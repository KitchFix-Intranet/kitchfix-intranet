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uisville - Projections" sheetId="1" r:id="rId4"/>
    <sheet state="visible" name="Louisville - Actuals (Billing)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WmfkR8xlNqkiKMqdBhEa8yKQuNsl+LArYg0mDUxEC3c="/>
    </ext>
  </extLst>
</workbook>
</file>

<file path=xl/sharedStrings.xml><?xml version="1.0" encoding="utf-8"?>
<sst xmlns="http://schemas.openxmlformats.org/spreadsheetml/2006/main" count="1946" uniqueCount="84">
  <si>
    <t>Bats @ Louisville, KY</t>
  </si>
  <si>
    <t>Louisville Bats</t>
  </si>
  <si>
    <t>Other</t>
  </si>
  <si>
    <t>TOTALS</t>
  </si>
  <si>
    <t>Day</t>
  </si>
  <si>
    <t>Date</t>
  </si>
  <si>
    <t>Period</t>
  </si>
  <si>
    <t>Week</t>
  </si>
  <si>
    <t>Game Type</t>
  </si>
  <si>
    <t>Breakfast</t>
  </si>
  <si>
    <t>Lunch</t>
  </si>
  <si>
    <t>Post-Game</t>
  </si>
  <si>
    <t>Umpire</t>
  </si>
  <si>
    <t>Snack</t>
  </si>
  <si>
    <t>Shake</t>
  </si>
  <si>
    <t>Blank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</si>
  <si>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</si>
  <si>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</si>
  <si>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</si>
  <si>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</si>
  <si>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</si>
  <si>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</si>
  <si>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</si>
  <si>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</si>
  <si>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</si>
  <si>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</si>
  <si>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</si>
  <si>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</si>
  <si>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</si>
  <si>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</si>
  <si>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</si>
  <si>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</si>
  <si>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Night</t>
  </si>
  <si>
    <t>DAY</t>
  </si>
  <si>
    <t>OFF</t>
  </si>
  <si>
    <t>NIGHT</t>
  </si>
  <si>
    <t>P</t>
  </si>
  <si>
    <t>SUM</t>
  </si>
  <si>
    <t>Count</t>
  </si>
  <si>
    <t>Rev</t>
  </si>
  <si>
    <t>Food Cost, %</t>
  </si>
  <si>
    <t>Hourly Labor Cost</t>
  </si>
  <si>
    <t>Salary</t>
  </si>
  <si>
    <t>Includes desired raises</t>
  </si>
  <si>
    <t>Prev.</t>
  </si>
  <si>
    <t>EC</t>
  </si>
  <si>
    <t>SC</t>
  </si>
  <si>
    <t>HM</t>
  </si>
  <si>
    <t>Packaging</t>
  </si>
  <si>
    <t>Supplies</t>
  </si>
  <si>
    <t xml:space="preserve">Linen </t>
  </si>
  <si>
    <t>5002 Repair &amp; Maintenance</t>
  </si>
  <si>
    <t xml:space="preserve">    5002.1 General Repair &amp; Maintenance</t>
  </si>
  <si>
    <t xml:space="preserve">    5002.5 Equipment</t>
  </si>
  <si>
    <t xml:space="preserve">  Total 5002 Repair &amp; Maintenance</t>
  </si>
  <si>
    <t>5004 Wages</t>
  </si>
  <si>
    <t xml:space="preserve">    5004.8 Incentives</t>
  </si>
  <si>
    <t>Incentive Rate</t>
  </si>
  <si>
    <t xml:space="preserve">    5004.9 Employer Payroll Taxes</t>
  </si>
  <si>
    <t>Tax Rate:</t>
  </si>
  <si>
    <t xml:space="preserve">  Total 5004 Wages</t>
  </si>
  <si>
    <t>5006 Travel</t>
  </si>
  <si>
    <t xml:space="preserve">    5006.1 Operations Travel</t>
  </si>
  <si>
    <t xml:space="preserve">    5006.3 Account Management Travel</t>
  </si>
  <si>
    <t xml:space="preserve">  Total 5006 Travel</t>
  </si>
  <si>
    <t>5012 Utilities</t>
  </si>
  <si>
    <t xml:space="preserve">    5012.1 Telephone Expense</t>
  </si>
  <si>
    <t xml:space="preserve">    5012.2 Scavenger</t>
  </si>
  <si>
    <t xml:space="preserve">    5012.3 General Utilities</t>
  </si>
  <si>
    <t xml:space="preserve">  Total 5012 Utilities</t>
  </si>
  <si>
    <t>5013 Lease Expenses</t>
  </si>
  <si>
    <t xml:space="preserve">    5013.1 Equipment Lease</t>
  </si>
  <si>
    <t xml:space="preserve">    5013.2 Building Lease</t>
  </si>
  <si>
    <t xml:space="preserve">  Total 5013 Lease Expenses</t>
  </si>
  <si>
    <t>5016 Professional Fees</t>
  </si>
  <si>
    <t xml:space="preserve">    5016.6 Merchant Service Fees</t>
  </si>
  <si>
    <t xml:space="preserve">    5016.7 Licenses &amp; Fees</t>
  </si>
  <si>
    <t xml:space="preserve">  Total 5016 Professional Fees</t>
  </si>
  <si>
    <t>5017 Team Development</t>
  </si>
  <si>
    <t xml:space="preserve">    5017.3 Perks</t>
  </si>
  <si>
    <t xml:space="preserve">    5017.5 Meals &amp; Entertainment</t>
  </si>
  <si>
    <t xml:space="preserve">    5017.7 Paid Time Off</t>
  </si>
  <si>
    <t xml:space="preserve">  Total 5017 Team Development</t>
  </si>
  <si>
    <t>Total SG&amp;A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</si>
</sst>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&quot;$&quot;#,##0_);[Red]\(&quot;$&quot;#,##0\)"/>
    <numFmt numFmtId="166" formatCode="_(&quot;$&quot;* #,##0.00_);_(&quot;$&quot;* \(#,##0.00\);_(&quot;$&quot;* &quot;-&quot;??_);_(@_)"/>
    <numFmt numFmtId="167" formatCode="0.0%"/>
  </numFmts>
  <fonts count="12">
    <font>
      <sz val="12.0"/>
      <color theme="1"/>
      <name val="Calibri"/>
      <scheme val="minor"/>
    </font>
    <font>
      <b/>
      <sz val="16.0"/>
      <color theme="0"/>
      <name val="Arial"/>
    </font>
    <font/>
    <font>
      <sz val="12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sz val="10.0"/>
      <color rgb="FF000000"/>
      <name val="Calibri"/>
    </font>
    <font>
      <sz val="10.0"/>
      <color rgb="FF000000"/>
      <name val="Calibri"/>
    </font>
    <font>
      <b/>
      <sz val="9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B6D7A8"/>
        <bgColor rgb="FFB6D7A8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0" fillId="0" fontId="3" numFmtId="0" xfId="0" applyFont="1"/>
    <xf borderId="6" fillId="0" fontId="4" numFmtId="0" xfId="0" applyAlignment="1" applyBorder="1" applyFont="1">
      <alignment horizontal="right"/>
    </xf>
    <xf borderId="6" fillId="0" fontId="4" numFmtId="0" xfId="0" applyBorder="1" applyFont="1"/>
    <xf borderId="6" fillId="0" fontId="4" numFmtId="164" xfId="0" applyAlignment="1" applyBorder="1" applyFont="1" applyNumberFormat="1">
      <alignment textRotation="90"/>
    </xf>
    <xf borderId="6" fillId="0" fontId="5" numFmtId="164" xfId="0" applyAlignment="1" applyBorder="1" applyFont="1" applyNumberFormat="1">
      <alignment textRotation="90"/>
    </xf>
    <xf borderId="6" fillId="4" fontId="1" numFmtId="0" xfId="0" applyAlignment="1" applyBorder="1" applyFill="1" applyFont="1">
      <alignment shrinkToFit="0" textRotation="90" wrapText="1"/>
    </xf>
    <xf borderId="7" fillId="0" fontId="6" numFmtId="0" xfId="0" applyAlignment="1" applyBorder="1" applyFont="1">
      <alignment horizontal="right"/>
    </xf>
    <xf borderId="7" fillId="0" fontId="6" numFmtId="14" xfId="0" applyBorder="1" applyFont="1" applyNumberForma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0" fillId="0" fontId="6" numFmtId="0" xfId="0" applyFont="1"/>
    <xf borderId="10" fillId="0" fontId="2" numFmtId="0" xfId="0" applyBorder="1" applyFont="1"/>
    <xf borderId="11" fillId="0" fontId="6" numFmtId="165" xfId="0" applyBorder="1" applyFont="1" applyNumberFormat="1"/>
    <xf borderId="10" fillId="0" fontId="6" numFmtId="0" xfId="0" applyBorder="1" applyFont="1"/>
    <xf borderId="12" fillId="0" fontId="6" numFmtId="0" xfId="0" applyAlignment="1" applyBorder="1" applyFont="1">
      <alignment horizontal="right"/>
    </xf>
    <xf borderId="12" fillId="0" fontId="6" numFmtId="14" xfId="0" applyBorder="1" applyFont="1" applyNumberFormat="1"/>
    <xf borderId="12" fillId="0" fontId="6" numFmtId="0" xfId="0" applyBorder="1" applyFont="1"/>
    <xf borderId="9" fillId="0" fontId="6" numFmtId="165" xfId="0" applyBorder="1" applyFont="1" applyNumberFormat="1"/>
    <xf borderId="10" fillId="0" fontId="6" numFmtId="165" xfId="0" applyBorder="1" applyFont="1" applyNumberFormat="1"/>
    <xf borderId="13" fillId="0" fontId="6" numFmtId="0" xfId="0" applyAlignment="1" applyBorder="1" applyFont="1">
      <alignment horizontal="right"/>
    </xf>
    <xf borderId="13" fillId="0" fontId="6" numFmtId="14" xfId="0" applyBorder="1" applyFont="1" applyNumberFormat="1"/>
    <xf borderId="13" fillId="0" fontId="6" numFmtId="0" xfId="0" applyBorder="1" applyFont="1"/>
    <xf borderId="14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14" fillId="0" fontId="2" numFmtId="0" xfId="0" applyBorder="1" applyFont="1"/>
    <xf borderId="4" fillId="0" fontId="6" numFmtId="165" xfId="0" applyBorder="1" applyFont="1" applyNumberFormat="1"/>
    <xf borderId="14" fillId="0" fontId="6" numFmtId="165" xfId="0" applyBorder="1" applyFont="1" applyNumberFormat="1"/>
    <xf borderId="8" fillId="0" fontId="6" numFmtId="165" xfId="0" applyBorder="1" applyFont="1" applyNumberFormat="1"/>
    <xf borderId="15" fillId="5" fontId="6" numFmtId="0" xfId="0" applyBorder="1" applyFill="1" applyFont="1"/>
    <xf borderId="16" fillId="0" fontId="2" numFmtId="0" xfId="0" applyBorder="1" applyFont="1"/>
    <xf borderId="17" fillId="5" fontId="6" numFmtId="0" xfId="0" applyBorder="1" applyFont="1"/>
    <xf borderId="18" fillId="0" fontId="2" numFmtId="0" xfId="0" applyBorder="1" applyFont="1"/>
    <xf borderId="19" fillId="5" fontId="6" numFmtId="165" xfId="0" applyBorder="1" applyFont="1" applyNumberFormat="1"/>
    <xf borderId="20" fillId="5" fontId="6" numFmtId="0" xfId="0" applyBorder="1" applyFont="1"/>
    <xf borderId="21" fillId="5" fontId="6" numFmtId="0" xfId="0" applyBorder="1" applyFont="1"/>
    <xf borderId="22" fillId="0" fontId="2" numFmtId="0" xfId="0" applyBorder="1" applyFont="1"/>
    <xf borderId="23" fillId="5" fontId="6" numFmtId="0" xfId="0" applyBorder="1" applyFont="1"/>
    <xf borderId="24" fillId="0" fontId="2" numFmtId="0" xfId="0" applyBorder="1" applyFont="1"/>
    <xf borderId="25" fillId="5" fontId="6" numFmtId="165" xfId="0" applyBorder="1" applyFont="1" applyNumberFormat="1"/>
    <xf borderId="26" fillId="5" fontId="6" numFmtId="0" xfId="0" applyBorder="1" applyFont="1"/>
    <xf borderId="27" fillId="5" fontId="6" numFmtId="165" xfId="0" applyBorder="1" applyFont="1" applyNumberFormat="1"/>
    <xf borderId="28" fillId="5" fontId="6" numFmtId="0" xfId="0" applyBorder="1" applyFont="1"/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5" numFmtId="0" xfId="0" applyFont="1"/>
    <xf borderId="0" fillId="0" fontId="7" numFmtId="0" xfId="0" applyFont="1"/>
    <xf borderId="0" fillId="0" fontId="8" numFmtId="0" xfId="0" applyFont="1"/>
    <xf borderId="0" fillId="0" fontId="5" numFmtId="165" xfId="0" applyFont="1" applyNumberFormat="1"/>
    <xf borderId="0" fillId="0" fontId="5" numFmtId="3" xfId="0" applyFont="1" applyNumberFormat="1"/>
    <xf borderId="0" fillId="0" fontId="5" numFmtId="10" xfId="0" applyFont="1" applyNumberFormat="1"/>
    <xf borderId="0" fillId="0" fontId="8" numFmtId="166" xfId="0" applyFont="1" applyNumberFormat="1"/>
    <xf borderId="0" fillId="0" fontId="7" numFmtId="166" xfId="0" applyFont="1" applyNumberFormat="1"/>
    <xf borderId="0" fillId="0" fontId="5" numFmtId="0" xfId="0" applyAlignment="1" applyFont="1">
      <alignment horizontal="right"/>
    </xf>
    <xf borderId="29" fillId="6" fontId="7" numFmtId="0" xfId="0" applyBorder="1" applyFill="1" applyFont="1"/>
    <xf borderId="30" fillId="6" fontId="8" numFmtId="167" xfId="0" applyBorder="1" applyFont="1" applyNumberFormat="1"/>
    <xf borderId="0" fillId="0" fontId="8" numFmtId="10" xfId="0" applyFont="1" applyNumberFormat="1"/>
    <xf borderId="31" fillId="7" fontId="7" numFmtId="0" xfId="0" applyBorder="1" applyFill="1" applyFont="1"/>
    <xf borderId="31" fillId="7" fontId="8" numFmtId="10" xfId="0" applyBorder="1" applyFont="1" applyNumberFormat="1"/>
    <xf borderId="31" fillId="7" fontId="8" numFmtId="0" xfId="0" applyBorder="1" applyFont="1"/>
    <xf borderId="0" fillId="0" fontId="9" numFmtId="0" xfId="0" applyFont="1"/>
    <xf borderId="0" fillId="0" fontId="8" numFmtId="167" xfId="0" applyFont="1" applyNumberFormat="1"/>
    <xf borderId="0" fillId="0" fontId="10" numFmtId="0" xfId="0" applyFont="1"/>
    <xf borderId="32" fillId="0" fontId="8" numFmtId="0" xfId="0" applyBorder="1" applyFont="1"/>
    <xf borderId="8" fillId="0" fontId="6" numFmtId="166" xfId="0" applyBorder="1" applyFont="1" applyNumberFormat="1"/>
    <xf borderId="0" fillId="0" fontId="11" numFmtId="0" xfId="0" applyFont="1"/>
    <xf borderId="10" fillId="0" fontId="11" numFmtId="166" xfId="0" applyBorder="1" applyFont="1" applyNumberFormat="1"/>
    <xf borderId="5" fillId="0" fontId="11" numFmtId="0" xfId="0" applyBorder="1" applyFont="1"/>
    <xf borderId="32" fillId="0" fontId="10" numFmtId="0" xfId="0" applyBorder="1" applyFont="1"/>
    <xf borderId="10" fillId="0" fontId="10" numFmtId="166" xfId="0" applyBorder="1" applyFont="1" applyNumberFormat="1"/>
    <xf borderId="10" fillId="0" fontId="6" numFmtId="166" xfId="0" applyBorder="1" applyFont="1" applyNumberFormat="1"/>
    <xf borderId="10" fillId="0" fontId="3" numFmtId="166" xfId="0" applyBorder="1" applyFont="1" applyNumberFormat="1"/>
    <xf borderId="33" fillId="0" fontId="10" numFmtId="0" xfId="0" applyBorder="1" applyFont="1"/>
    <xf borderId="9" fillId="0" fontId="11" numFmtId="0" xfId="0" applyBorder="1" applyFont="1"/>
    <xf borderId="9" fillId="0" fontId="10" numFmtId="0" xfId="0" applyBorder="1" applyFont="1"/>
    <xf borderId="9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14" fillId="0" fontId="3" numFmtId="0" xfId="0" applyBorder="1" applyFont="1"/>
    <xf borderId="7" fillId="8" fontId="6" numFmtId="0" xfId="0" applyAlignment="1" applyBorder="1" applyFill="1" applyFont="1">
      <alignment horizontal="right"/>
    </xf>
    <xf borderId="7" fillId="8" fontId="6" numFmtId="14" xfId="0" applyBorder="1" applyFont="1" applyNumberFormat="1"/>
    <xf borderId="7" fillId="8" fontId="6" numFmtId="0" xfId="0" applyBorder="1" applyFont="1"/>
    <xf borderId="8" fillId="8" fontId="6" numFmtId="0" xfId="0" applyBorder="1" applyFont="1"/>
    <xf borderId="9" fillId="8" fontId="6" numFmtId="0" xfId="0" applyAlignment="1" applyBorder="1" applyFont="1">
      <alignment readingOrder="0"/>
    </xf>
    <xf borderId="0" fillId="8" fontId="6" numFmtId="0" xfId="0" applyAlignment="1" applyFont="1">
      <alignment readingOrder="0"/>
    </xf>
    <xf borderId="9" fillId="8" fontId="6" numFmtId="0" xfId="0" applyBorder="1" applyFont="1"/>
    <xf borderId="0" fillId="8" fontId="6" numFmtId="0" xfId="0" applyFont="1"/>
    <xf borderId="11" fillId="8" fontId="6" numFmtId="165" xfId="0" applyBorder="1" applyFont="1" applyNumberFormat="1"/>
    <xf borderId="8" fillId="8" fontId="6" numFmtId="165" xfId="0" applyBorder="1" applyFont="1" applyNumberFormat="1"/>
    <xf borderId="12" fillId="8" fontId="6" numFmtId="0" xfId="0" applyAlignment="1" applyBorder="1" applyFont="1">
      <alignment horizontal="right"/>
    </xf>
    <xf borderId="12" fillId="8" fontId="6" numFmtId="14" xfId="0" applyBorder="1" applyFont="1" applyNumberFormat="1"/>
    <xf borderId="12" fillId="8" fontId="6" numFmtId="0" xfId="0" applyBorder="1" applyFont="1"/>
    <xf borderId="10" fillId="8" fontId="6" numFmtId="0" xfId="0" applyBorder="1" applyFont="1"/>
    <xf borderId="9" fillId="8" fontId="6" numFmtId="165" xfId="0" applyBorder="1" applyFont="1" applyNumberFormat="1"/>
    <xf borderId="10" fillId="8" fontId="6" numFmtId="165" xfId="0" applyBorder="1" applyFont="1" applyNumberFormat="1"/>
    <xf borderId="13" fillId="8" fontId="6" numFmtId="0" xfId="0" applyAlignment="1" applyBorder="1" applyFont="1">
      <alignment horizontal="right"/>
    </xf>
    <xf borderId="13" fillId="8" fontId="6" numFmtId="14" xfId="0" applyBorder="1" applyFont="1" applyNumberFormat="1"/>
    <xf borderId="13" fillId="8" fontId="6" numFmtId="0" xfId="0" applyBorder="1" applyFont="1"/>
    <xf borderId="14" fillId="8" fontId="6" numFmtId="0" xfId="0" applyBorder="1" applyFont="1"/>
    <xf borderId="4" fillId="8" fontId="6" numFmtId="0" xfId="0" applyAlignment="1" applyBorder="1" applyFont="1">
      <alignment readingOrder="0"/>
    </xf>
    <xf borderId="5" fillId="8" fontId="6" numFmtId="0" xfId="0" applyAlignment="1" applyBorder="1" applyFont="1">
      <alignment readingOrder="0"/>
    </xf>
    <xf borderId="4" fillId="8" fontId="6" numFmtId="0" xfId="0" applyBorder="1" applyFont="1"/>
    <xf borderId="5" fillId="8" fontId="6" numFmtId="0" xfId="0" applyBorder="1" applyFont="1"/>
    <xf borderId="4" fillId="8" fontId="6" numFmtId="165" xfId="0" applyBorder="1" applyFont="1" applyNumberFormat="1"/>
    <xf borderId="14" fillId="8" fontId="6" numFmtId="165" xfId="0" applyBorder="1" applyFont="1" applyNumberFormat="1"/>
    <xf borderId="9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5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2024/Budget%20vs%20Actual%20(2024)%20JL%20(12.15.23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Kitchfix Total"/>
      <sheetName val="COGS per Meal"/>
      <sheetName val="PFS - REDS"/>
      <sheetName val="PFS - TXR-AZ"/>
      <sheetName val="PFS - TBJ"/>
      <sheetName val="PFS - TBJ-BUF"/>
      <sheetName val="PFS - TBR"/>
      <sheetName val="PFS - TXR"/>
      <sheetName val="PFS - TXR-VISTOR"/>
      <sheetName val="1731"/>
      <sheetName val="CORP"/>
      <sheetName val="REDS - Data"/>
      <sheetName val="TXR-AZ - Data"/>
      <sheetName val="TBJ - Data"/>
      <sheetName val="BUF - Data"/>
      <sheetName val="TBR - Data"/>
      <sheetName val="TXR-TX - Data"/>
      <sheetName val="1731 - Data"/>
      <sheetName val="CORP - Data"/>
      <sheetName val="Travel - 2024"/>
      <sheetName val="PFS - New Busin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5" width="11.78"/>
    <col customWidth="1" min="6" max="17" width="3.67"/>
    <col customWidth="1" hidden="1" min="18" max="28" width="3.67"/>
    <col customWidth="1" hidden="1" min="29" max="29" width="14.0"/>
    <col customWidth="1" min="30" max="30" width="10.78"/>
    <col customWidth="1" min="31" max="32" width="8.0"/>
    <col customWidth="1" min="33" max="33" width="11.44"/>
    <col customWidth="1" min="34" max="34" width="8.0"/>
    <col customWidth="1" min="35" max="37" width="11.11"/>
    <col customWidth="1" min="38" max="38" width="11.44"/>
    <col customWidth="1" min="39" max="50" width="11.11"/>
  </cols>
  <sheetData>
    <row r="1" ht="22.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7"/>
      <c r="AF1" s="7"/>
      <c r="AG1" s="7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ht="130.5" customHeight="1">
      <c r="A2" s="9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1" t="s">
        <v>9</v>
      </c>
      <c r="G2" s="12">
        <v>24.0</v>
      </c>
      <c r="H2" s="11" t="s">
        <v>10</v>
      </c>
      <c r="I2" s="12">
        <v>24.0</v>
      </c>
      <c r="J2" s="11" t="s">
        <v>11</v>
      </c>
      <c r="K2" s="12">
        <v>24.0</v>
      </c>
      <c r="L2" s="11" t="s">
        <v>12</v>
      </c>
      <c r="M2" s="12">
        <v>24.0</v>
      </c>
      <c r="N2" s="11" t="s">
        <v>13</v>
      </c>
      <c r="O2" s="12">
        <v>8.0</v>
      </c>
      <c r="P2" s="11" t="s">
        <v>14</v>
      </c>
      <c r="Q2" s="12">
        <v>0.0</v>
      </c>
      <c r="R2" s="12" t="s">
        <v>15</v>
      </c>
      <c r="S2" s="12">
        <v>0.0</v>
      </c>
      <c r="T2" s="12" t="s">
        <v>15</v>
      </c>
      <c r="U2" s="12">
        <v>0.0</v>
      </c>
      <c r="V2" s="12" t="s">
        <v>15</v>
      </c>
      <c r="W2" s="12">
        <v>0.0</v>
      </c>
      <c r="X2" s="12" t="s">
        <v>15</v>
      </c>
      <c r="Y2" s="12">
        <v>0.0</v>
      </c>
      <c r="Z2" s="12" t="s">
        <v>15</v>
      </c>
      <c r="AA2" s="12">
        <v>0.0</v>
      </c>
      <c r="AB2" s="12" t="s">
        <v>15</v>
      </c>
      <c r="AC2" s="12">
        <v>0.0</v>
      </c>
      <c r="AD2" s="13" t="s">
        <v>16</v>
      </c>
      <c r="AE2" s="13" t="s">
        <v>17</v>
      </c>
      <c r="AF2" s="13" t="s">
        <v>18</v>
      </c>
      <c r="AG2" s="13" t="s">
        <v>19</v>
      </c>
      <c r="AH2" s="13" t="s">
        <v>20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ht="15.75" customHeight="1">
      <c r="A3" s="14" t="s">
        <v>21</v>
      </c>
      <c r="B3" s="15">
        <v>45292.0</v>
      </c>
      <c r="C3" s="16">
        <v>1.0</v>
      </c>
      <c r="D3" s="16" t="s">
        <v>22</v>
      </c>
      <c r="E3" s="17"/>
      <c r="F3" s="18"/>
      <c r="H3" s="19"/>
      <c r="J3" s="19"/>
      <c r="L3" s="19"/>
      <c r="N3" s="19"/>
      <c r="P3" s="19"/>
      <c r="Q3" s="20"/>
      <c r="R3" s="18"/>
      <c r="T3" s="19"/>
      <c r="V3" s="19"/>
      <c r="X3" s="19"/>
      <c r="Z3" s="19"/>
      <c r="AB3" s="19"/>
      <c r="AC3" s="20"/>
      <c r="AD3" s="21">
        <f t="shared" ref="AD3:AD359" si="1">(F3*G$2)+(H3*I$2)+(J3*K$2)+(L3*M$2)+(N3*O$2)+(P3*Q$2)+(R3*S$2)+(T3*U$2)+(V3*W$2)+(X3*Y$2)+(Z3*AA$2)+(AB3*AC$2)</f>
        <v>0</v>
      </c>
      <c r="AE3" s="16">
        <f t="shared" ref="AE3:AE359" si="2">SUM(F3:M3)</f>
        <v>0</v>
      </c>
      <c r="AF3" s="16">
        <f t="shared" ref="AF3:AF359" si="3">SUM(N3:Q3)</f>
        <v>0</v>
      </c>
      <c r="AG3" s="16">
        <f t="shared" ref="AG3:AG359" si="4">SUM(F3:AC3)</f>
        <v>0</v>
      </c>
      <c r="AH3" s="22">
        <f t="shared" ref="AH3:AH359" si="5">IFERROR(AD3/AG3,0)</f>
        <v>0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ht="15.75" customHeight="1">
      <c r="A4" s="23" t="s">
        <v>23</v>
      </c>
      <c r="B4" s="24">
        <f t="shared" ref="B4:B359" si="6">B3+1</f>
        <v>45293</v>
      </c>
      <c r="C4" s="25">
        <v>1.0</v>
      </c>
      <c r="D4" s="25" t="s">
        <v>22</v>
      </c>
      <c r="E4" s="22"/>
      <c r="F4" s="18"/>
      <c r="H4" s="19"/>
      <c r="J4" s="19"/>
      <c r="L4" s="19"/>
      <c r="N4" s="19"/>
      <c r="P4" s="19"/>
      <c r="Q4" s="20"/>
      <c r="R4" s="18"/>
      <c r="T4" s="19"/>
      <c r="V4" s="19"/>
      <c r="X4" s="19"/>
      <c r="Z4" s="19"/>
      <c r="AB4" s="19"/>
      <c r="AC4" s="20"/>
      <c r="AD4" s="26">
        <f t="shared" si="1"/>
        <v>0</v>
      </c>
      <c r="AE4" s="25">
        <f t="shared" si="2"/>
        <v>0</v>
      </c>
      <c r="AF4" s="25">
        <f t="shared" si="3"/>
        <v>0</v>
      </c>
      <c r="AG4" s="25">
        <f t="shared" si="4"/>
        <v>0</v>
      </c>
      <c r="AH4" s="27">
        <f t="shared" si="5"/>
        <v>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ht="15.75" customHeight="1">
      <c r="A5" s="23" t="s">
        <v>24</v>
      </c>
      <c r="B5" s="24">
        <f t="shared" si="6"/>
        <v>45294</v>
      </c>
      <c r="C5" s="25">
        <v>1.0</v>
      </c>
      <c r="D5" s="25" t="s">
        <v>22</v>
      </c>
      <c r="E5" s="22"/>
      <c r="F5" s="18"/>
      <c r="H5" s="19"/>
      <c r="J5" s="19"/>
      <c r="L5" s="19"/>
      <c r="N5" s="19"/>
      <c r="P5" s="19"/>
      <c r="Q5" s="20"/>
      <c r="R5" s="18"/>
      <c r="T5" s="19"/>
      <c r="V5" s="19"/>
      <c r="X5" s="19"/>
      <c r="Z5" s="19"/>
      <c r="AB5" s="19"/>
      <c r="AC5" s="20"/>
      <c r="AD5" s="26">
        <f t="shared" si="1"/>
        <v>0</v>
      </c>
      <c r="AE5" s="25">
        <f t="shared" si="2"/>
        <v>0</v>
      </c>
      <c r="AF5" s="25">
        <f t="shared" si="3"/>
        <v>0</v>
      </c>
      <c r="AG5" s="25">
        <f t="shared" si="4"/>
        <v>0</v>
      </c>
      <c r="AH5" s="27">
        <f t="shared" si="5"/>
        <v>0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ht="15.75" customHeight="1">
      <c r="A6" s="23" t="s">
        <v>25</v>
      </c>
      <c r="B6" s="24">
        <f t="shared" si="6"/>
        <v>45295</v>
      </c>
      <c r="C6" s="25">
        <v>1.0</v>
      </c>
      <c r="D6" s="25" t="s">
        <v>22</v>
      </c>
      <c r="E6" s="22"/>
      <c r="F6" s="18"/>
      <c r="H6" s="19"/>
      <c r="J6" s="19"/>
      <c r="L6" s="19"/>
      <c r="N6" s="19"/>
      <c r="P6" s="19"/>
      <c r="Q6" s="20"/>
      <c r="R6" s="18"/>
      <c r="T6" s="19"/>
      <c r="V6" s="19"/>
      <c r="X6" s="19"/>
      <c r="Z6" s="19"/>
      <c r="AB6" s="19"/>
      <c r="AC6" s="20"/>
      <c r="AD6" s="26">
        <f t="shared" si="1"/>
        <v>0</v>
      </c>
      <c r="AE6" s="25">
        <f t="shared" si="2"/>
        <v>0</v>
      </c>
      <c r="AF6" s="25">
        <f t="shared" si="3"/>
        <v>0</v>
      </c>
      <c r="AG6" s="25">
        <f t="shared" si="4"/>
        <v>0</v>
      </c>
      <c r="AH6" s="27">
        <f t="shared" si="5"/>
        <v>0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ht="15.75" customHeight="1">
      <c r="A7" s="23" t="s">
        <v>26</v>
      </c>
      <c r="B7" s="24">
        <f t="shared" si="6"/>
        <v>45296</v>
      </c>
      <c r="C7" s="25">
        <v>1.0</v>
      </c>
      <c r="D7" s="25" t="s">
        <v>22</v>
      </c>
      <c r="E7" s="22"/>
      <c r="F7" s="18"/>
      <c r="H7" s="19"/>
      <c r="J7" s="19"/>
      <c r="L7" s="19"/>
      <c r="N7" s="19"/>
      <c r="P7" s="19"/>
      <c r="Q7" s="20"/>
      <c r="R7" s="18"/>
      <c r="T7" s="19"/>
      <c r="V7" s="19"/>
      <c r="X7" s="19"/>
      <c r="Z7" s="19"/>
      <c r="AB7" s="19"/>
      <c r="AC7" s="20"/>
      <c r="AD7" s="26">
        <f t="shared" si="1"/>
        <v>0</v>
      </c>
      <c r="AE7" s="25">
        <f t="shared" si="2"/>
        <v>0</v>
      </c>
      <c r="AF7" s="25">
        <f t="shared" si="3"/>
        <v>0</v>
      </c>
      <c r="AG7" s="25">
        <f t="shared" si="4"/>
        <v>0</v>
      </c>
      <c r="AH7" s="27">
        <f t="shared" si="5"/>
        <v>0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ht="15.75" customHeight="1">
      <c r="A8" s="23" t="s">
        <v>27</v>
      </c>
      <c r="B8" s="24">
        <f t="shared" si="6"/>
        <v>45297</v>
      </c>
      <c r="C8" s="25">
        <v>1.0</v>
      </c>
      <c r="D8" s="25" t="s">
        <v>22</v>
      </c>
      <c r="E8" s="22"/>
      <c r="F8" s="18"/>
      <c r="H8" s="19"/>
      <c r="J8" s="19"/>
      <c r="L8" s="19"/>
      <c r="N8" s="19"/>
      <c r="P8" s="19"/>
      <c r="Q8" s="20"/>
      <c r="R8" s="18"/>
      <c r="T8" s="19"/>
      <c r="V8" s="19"/>
      <c r="X8" s="19"/>
      <c r="Z8" s="19"/>
      <c r="AB8" s="19"/>
      <c r="AC8" s="20"/>
      <c r="AD8" s="26">
        <f t="shared" si="1"/>
        <v>0</v>
      </c>
      <c r="AE8" s="25">
        <f t="shared" si="2"/>
        <v>0</v>
      </c>
      <c r="AF8" s="25">
        <f t="shared" si="3"/>
        <v>0</v>
      </c>
      <c r="AG8" s="25">
        <f t="shared" si="4"/>
        <v>0</v>
      </c>
      <c r="AH8" s="27">
        <f t="shared" si="5"/>
        <v>0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ht="15.75" customHeight="1">
      <c r="A9" s="28" t="s">
        <v>28</v>
      </c>
      <c r="B9" s="29">
        <f t="shared" si="6"/>
        <v>45298</v>
      </c>
      <c r="C9" s="30">
        <v>1.0</v>
      </c>
      <c r="D9" s="30" t="s">
        <v>22</v>
      </c>
      <c r="E9" s="31"/>
      <c r="F9" s="32"/>
      <c r="G9" s="7"/>
      <c r="H9" s="33"/>
      <c r="I9" s="7"/>
      <c r="J9" s="33"/>
      <c r="K9" s="7"/>
      <c r="L9" s="33"/>
      <c r="M9" s="7"/>
      <c r="N9" s="33"/>
      <c r="O9" s="7"/>
      <c r="P9" s="33"/>
      <c r="Q9" s="34"/>
      <c r="R9" s="32"/>
      <c r="S9" s="7"/>
      <c r="T9" s="33"/>
      <c r="U9" s="7"/>
      <c r="V9" s="33"/>
      <c r="W9" s="7"/>
      <c r="X9" s="33"/>
      <c r="Y9" s="7"/>
      <c r="Z9" s="33"/>
      <c r="AA9" s="7"/>
      <c r="AB9" s="33"/>
      <c r="AC9" s="34"/>
      <c r="AD9" s="35">
        <f t="shared" si="1"/>
        <v>0</v>
      </c>
      <c r="AE9" s="30">
        <f t="shared" si="2"/>
        <v>0</v>
      </c>
      <c r="AF9" s="30">
        <f t="shared" si="3"/>
        <v>0</v>
      </c>
      <c r="AG9" s="30">
        <f t="shared" si="4"/>
        <v>0</v>
      </c>
      <c r="AH9" s="36">
        <f t="shared" si="5"/>
        <v>0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ht="15.75" customHeight="1">
      <c r="A10" s="14" t="s">
        <v>21</v>
      </c>
      <c r="B10" s="15">
        <f t="shared" si="6"/>
        <v>45299</v>
      </c>
      <c r="C10" s="16">
        <v>1.0</v>
      </c>
      <c r="D10" s="16" t="s">
        <v>29</v>
      </c>
      <c r="E10" s="17"/>
      <c r="F10" s="18"/>
      <c r="H10" s="19"/>
      <c r="J10" s="19"/>
      <c r="L10" s="19"/>
      <c r="N10" s="19"/>
      <c r="P10" s="19"/>
      <c r="Q10" s="20"/>
      <c r="R10" s="18"/>
      <c r="T10" s="19"/>
      <c r="V10" s="19"/>
      <c r="X10" s="19"/>
      <c r="Z10" s="19"/>
      <c r="AB10" s="19"/>
      <c r="AC10" s="20"/>
      <c r="AD10" s="21">
        <f t="shared" si="1"/>
        <v>0</v>
      </c>
      <c r="AE10" s="16">
        <f t="shared" si="2"/>
        <v>0</v>
      </c>
      <c r="AF10" s="16">
        <f t="shared" si="3"/>
        <v>0</v>
      </c>
      <c r="AG10" s="16">
        <f t="shared" si="4"/>
        <v>0</v>
      </c>
      <c r="AH10" s="37">
        <f t="shared" si="5"/>
        <v>0</v>
      </c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ht="15.75" customHeight="1">
      <c r="A11" s="23" t="s">
        <v>23</v>
      </c>
      <c r="B11" s="24">
        <f t="shared" si="6"/>
        <v>45300</v>
      </c>
      <c r="C11" s="25">
        <v>1.0</v>
      </c>
      <c r="D11" s="25" t="s">
        <v>29</v>
      </c>
      <c r="E11" s="22"/>
      <c r="F11" s="18"/>
      <c r="H11" s="19"/>
      <c r="J11" s="19"/>
      <c r="L11" s="19"/>
      <c r="N11" s="19"/>
      <c r="P11" s="19"/>
      <c r="Q11" s="20"/>
      <c r="R11" s="18"/>
      <c r="T11" s="19"/>
      <c r="V11" s="19"/>
      <c r="X11" s="19"/>
      <c r="Z11" s="19"/>
      <c r="AB11" s="19"/>
      <c r="AC11" s="20"/>
      <c r="AD11" s="26">
        <f t="shared" si="1"/>
        <v>0</v>
      </c>
      <c r="AE11" s="25">
        <f t="shared" si="2"/>
        <v>0</v>
      </c>
      <c r="AF11" s="25">
        <f t="shared" si="3"/>
        <v>0</v>
      </c>
      <c r="AG11" s="25">
        <f t="shared" si="4"/>
        <v>0</v>
      </c>
      <c r="AH11" s="27">
        <f t="shared" si="5"/>
        <v>0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ht="15.75" customHeight="1">
      <c r="A12" s="23" t="s">
        <v>24</v>
      </c>
      <c r="B12" s="24">
        <f t="shared" si="6"/>
        <v>45301</v>
      </c>
      <c r="C12" s="25">
        <v>1.0</v>
      </c>
      <c r="D12" s="25" t="s">
        <v>29</v>
      </c>
      <c r="E12" s="22"/>
      <c r="F12" s="18"/>
      <c r="H12" s="19"/>
      <c r="J12" s="19"/>
      <c r="L12" s="19"/>
      <c r="N12" s="19"/>
      <c r="P12" s="19"/>
      <c r="Q12" s="20"/>
      <c r="R12" s="18"/>
      <c r="T12" s="19"/>
      <c r="V12" s="19"/>
      <c r="X12" s="19"/>
      <c r="Z12" s="19"/>
      <c r="AB12" s="19"/>
      <c r="AC12" s="20"/>
      <c r="AD12" s="26">
        <f t="shared" si="1"/>
        <v>0</v>
      </c>
      <c r="AE12" s="25">
        <f t="shared" si="2"/>
        <v>0</v>
      </c>
      <c r="AF12" s="25">
        <f t="shared" si="3"/>
        <v>0</v>
      </c>
      <c r="AG12" s="25">
        <f t="shared" si="4"/>
        <v>0</v>
      </c>
      <c r="AH12" s="27">
        <f t="shared" si="5"/>
        <v>0</v>
      </c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ht="15.75" customHeight="1">
      <c r="A13" s="23" t="s">
        <v>25</v>
      </c>
      <c r="B13" s="24">
        <f t="shared" si="6"/>
        <v>45302</v>
      </c>
      <c r="C13" s="25">
        <v>1.0</v>
      </c>
      <c r="D13" s="25" t="s">
        <v>29</v>
      </c>
      <c r="E13" s="22"/>
      <c r="F13" s="18"/>
      <c r="H13" s="19"/>
      <c r="J13" s="19"/>
      <c r="L13" s="19"/>
      <c r="N13" s="19"/>
      <c r="P13" s="19"/>
      <c r="Q13" s="20"/>
      <c r="R13" s="18"/>
      <c r="T13" s="19"/>
      <c r="V13" s="19"/>
      <c r="X13" s="19"/>
      <c r="Z13" s="19"/>
      <c r="AB13" s="19"/>
      <c r="AC13" s="20"/>
      <c r="AD13" s="26">
        <f t="shared" si="1"/>
        <v>0</v>
      </c>
      <c r="AE13" s="25">
        <f t="shared" si="2"/>
        <v>0</v>
      </c>
      <c r="AF13" s="25">
        <f t="shared" si="3"/>
        <v>0</v>
      </c>
      <c r="AG13" s="25">
        <f t="shared" si="4"/>
        <v>0</v>
      </c>
      <c r="AH13" s="27">
        <f t="shared" si="5"/>
        <v>0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ht="15.75" customHeight="1">
      <c r="A14" s="23" t="s">
        <v>26</v>
      </c>
      <c r="B14" s="24">
        <f t="shared" si="6"/>
        <v>45303</v>
      </c>
      <c r="C14" s="25">
        <v>1.0</v>
      </c>
      <c r="D14" s="25" t="s">
        <v>29</v>
      </c>
      <c r="E14" s="22"/>
      <c r="F14" s="18"/>
      <c r="H14" s="19"/>
      <c r="J14" s="19"/>
      <c r="L14" s="19"/>
      <c r="N14" s="19"/>
      <c r="P14" s="19"/>
      <c r="Q14" s="20"/>
      <c r="R14" s="18"/>
      <c r="T14" s="19"/>
      <c r="V14" s="19"/>
      <c r="X14" s="19"/>
      <c r="Z14" s="19"/>
      <c r="AB14" s="19"/>
      <c r="AC14" s="20"/>
      <c r="AD14" s="26">
        <f t="shared" si="1"/>
        <v>0</v>
      </c>
      <c r="AE14" s="25">
        <f t="shared" si="2"/>
        <v>0</v>
      </c>
      <c r="AF14" s="25">
        <f t="shared" si="3"/>
        <v>0</v>
      </c>
      <c r="AG14" s="25">
        <f t="shared" si="4"/>
        <v>0</v>
      </c>
      <c r="AH14" s="27">
        <f t="shared" si="5"/>
        <v>0</v>
      </c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ht="15.75" customHeight="1">
      <c r="A15" s="23" t="s">
        <v>27</v>
      </c>
      <c r="B15" s="24">
        <f t="shared" si="6"/>
        <v>45304</v>
      </c>
      <c r="C15" s="25">
        <v>1.0</v>
      </c>
      <c r="D15" s="25" t="s">
        <v>29</v>
      </c>
      <c r="E15" s="22"/>
      <c r="F15" s="18"/>
      <c r="H15" s="19"/>
      <c r="J15" s="19"/>
      <c r="L15" s="19"/>
      <c r="N15" s="19"/>
      <c r="P15" s="19"/>
      <c r="Q15" s="20"/>
      <c r="R15" s="18"/>
      <c r="T15" s="19"/>
      <c r="V15" s="19"/>
      <c r="X15" s="19"/>
      <c r="Z15" s="19"/>
      <c r="AB15" s="19"/>
      <c r="AC15" s="20"/>
      <c r="AD15" s="26">
        <f t="shared" si="1"/>
        <v>0</v>
      </c>
      <c r="AE15" s="25">
        <f t="shared" si="2"/>
        <v>0</v>
      </c>
      <c r="AF15" s="25">
        <f t="shared" si="3"/>
        <v>0</v>
      </c>
      <c r="AG15" s="25">
        <f t="shared" si="4"/>
        <v>0</v>
      </c>
      <c r="AH15" s="27">
        <f t="shared" si="5"/>
        <v>0</v>
      </c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ht="15.75" customHeight="1">
      <c r="A16" s="28" t="s">
        <v>28</v>
      </c>
      <c r="B16" s="29">
        <f t="shared" si="6"/>
        <v>45305</v>
      </c>
      <c r="C16" s="30">
        <v>1.0</v>
      </c>
      <c r="D16" s="30" t="s">
        <v>29</v>
      </c>
      <c r="E16" s="31"/>
      <c r="F16" s="32"/>
      <c r="G16" s="7"/>
      <c r="H16" s="33"/>
      <c r="I16" s="7"/>
      <c r="J16" s="33"/>
      <c r="K16" s="7"/>
      <c r="L16" s="33"/>
      <c r="M16" s="7"/>
      <c r="N16" s="33"/>
      <c r="O16" s="7"/>
      <c r="P16" s="33"/>
      <c r="Q16" s="34"/>
      <c r="R16" s="32"/>
      <c r="S16" s="7"/>
      <c r="T16" s="33"/>
      <c r="U16" s="7"/>
      <c r="V16" s="33"/>
      <c r="W16" s="7"/>
      <c r="X16" s="33"/>
      <c r="Y16" s="7"/>
      <c r="Z16" s="33"/>
      <c r="AA16" s="7"/>
      <c r="AB16" s="33"/>
      <c r="AC16" s="34"/>
      <c r="AD16" s="35">
        <f t="shared" si="1"/>
        <v>0</v>
      </c>
      <c r="AE16" s="30">
        <f t="shared" si="2"/>
        <v>0</v>
      </c>
      <c r="AF16" s="30">
        <f t="shared" si="3"/>
        <v>0</v>
      </c>
      <c r="AG16" s="30">
        <f t="shared" si="4"/>
        <v>0</v>
      </c>
      <c r="AH16" s="36">
        <f t="shared" si="5"/>
        <v>0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ht="15.75" customHeight="1">
      <c r="A17" s="14" t="s">
        <v>21</v>
      </c>
      <c r="B17" s="15">
        <f t="shared" si="6"/>
        <v>45306</v>
      </c>
      <c r="C17" s="16">
        <v>1.0</v>
      </c>
      <c r="D17" s="16" t="s">
        <v>30</v>
      </c>
      <c r="E17" s="17"/>
      <c r="F17" s="18"/>
      <c r="H17" s="19"/>
      <c r="J17" s="19"/>
      <c r="L17" s="19"/>
      <c r="N17" s="19"/>
      <c r="P17" s="19"/>
      <c r="Q17" s="20"/>
      <c r="R17" s="18"/>
      <c r="T17" s="19"/>
      <c r="V17" s="19"/>
      <c r="X17" s="19"/>
      <c r="Z17" s="19"/>
      <c r="AB17" s="19"/>
      <c r="AC17" s="20"/>
      <c r="AD17" s="21">
        <f t="shared" si="1"/>
        <v>0</v>
      </c>
      <c r="AE17" s="16">
        <f t="shared" si="2"/>
        <v>0</v>
      </c>
      <c r="AF17" s="16">
        <f t="shared" si="3"/>
        <v>0</v>
      </c>
      <c r="AG17" s="16">
        <f t="shared" si="4"/>
        <v>0</v>
      </c>
      <c r="AH17" s="37">
        <f t="shared" si="5"/>
        <v>0</v>
      </c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ht="15.75" customHeight="1">
      <c r="A18" s="23" t="s">
        <v>23</v>
      </c>
      <c r="B18" s="24">
        <f t="shared" si="6"/>
        <v>45307</v>
      </c>
      <c r="C18" s="25">
        <v>1.0</v>
      </c>
      <c r="D18" s="25" t="s">
        <v>30</v>
      </c>
      <c r="E18" s="22"/>
      <c r="F18" s="18"/>
      <c r="H18" s="19"/>
      <c r="J18" s="19"/>
      <c r="L18" s="19"/>
      <c r="N18" s="19"/>
      <c r="P18" s="19"/>
      <c r="Q18" s="20"/>
      <c r="R18" s="18"/>
      <c r="T18" s="19"/>
      <c r="V18" s="19"/>
      <c r="X18" s="19"/>
      <c r="Z18" s="19"/>
      <c r="AB18" s="19"/>
      <c r="AC18" s="20"/>
      <c r="AD18" s="26">
        <f t="shared" si="1"/>
        <v>0</v>
      </c>
      <c r="AE18" s="25">
        <f t="shared" si="2"/>
        <v>0</v>
      </c>
      <c r="AF18" s="25">
        <f t="shared" si="3"/>
        <v>0</v>
      </c>
      <c r="AG18" s="25">
        <f t="shared" si="4"/>
        <v>0</v>
      </c>
      <c r="AH18" s="27">
        <f t="shared" si="5"/>
        <v>0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ht="15.75" customHeight="1">
      <c r="A19" s="23" t="s">
        <v>24</v>
      </c>
      <c r="B19" s="24">
        <f t="shared" si="6"/>
        <v>45308</v>
      </c>
      <c r="C19" s="25">
        <v>1.0</v>
      </c>
      <c r="D19" s="25" t="s">
        <v>30</v>
      </c>
      <c r="E19" s="22"/>
      <c r="F19" s="18"/>
      <c r="H19" s="19"/>
      <c r="J19" s="19"/>
      <c r="L19" s="19"/>
      <c r="N19" s="19"/>
      <c r="P19" s="19"/>
      <c r="Q19" s="20"/>
      <c r="R19" s="18"/>
      <c r="T19" s="19"/>
      <c r="V19" s="19"/>
      <c r="X19" s="19"/>
      <c r="Z19" s="19"/>
      <c r="AB19" s="19"/>
      <c r="AC19" s="20"/>
      <c r="AD19" s="26">
        <f t="shared" si="1"/>
        <v>0</v>
      </c>
      <c r="AE19" s="25">
        <f t="shared" si="2"/>
        <v>0</v>
      </c>
      <c r="AF19" s="25">
        <f t="shared" si="3"/>
        <v>0</v>
      </c>
      <c r="AG19" s="25">
        <f t="shared" si="4"/>
        <v>0</v>
      </c>
      <c r="AH19" s="27">
        <f t="shared" si="5"/>
        <v>0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ht="15.75" customHeight="1">
      <c r="A20" s="23" t="s">
        <v>25</v>
      </c>
      <c r="B20" s="24">
        <f t="shared" si="6"/>
        <v>45309</v>
      </c>
      <c r="C20" s="25">
        <v>1.0</v>
      </c>
      <c r="D20" s="25" t="s">
        <v>30</v>
      </c>
      <c r="E20" s="22"/>
      <c r="F20" s="18"/>
      <c r="H20" s="19"/>
      <c r="J20" s="19"/>
      <c r="L20" s="19"/>
      <c r="N20" s="19"/>
      <c r="P20" s="19"/>
      <c r="Q20" s="20"/>
      <c r="R20" s="18"/>
      <c r="T20" s="19"/>
      <c r="V20" s="19"/>
      <c r="X20" s="19"/>
      <c r="Z20" s="19"/>
      <c r="AB20" s="19"/>
      <c r="AC20" s="20"/>
      <c r="AD20" s="26">
        <f t="shared" si="1"/>
        <v>0</v>
      </c>
      <c r="AE20" s="25">
        <f t="shared" si="2"/>
        <v>0</v>
      </c>
      <c r="AF20" s="25">
        <f t="shared" si="3"/>
        <v>0</v>
      </c>
      <c r="AG20" s="25">
        <f t="shared" si="4"/>
        <v>0</v>
      </c>
      <c r="AH20" s="27">
        <f t="shared" si="5"/>
        <v>0</v>
      </c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ht="15.75" customHeight="1">
      <c r="A21" s="23" t="s">
        <v>26</v>
      </c>
      <c r="B21" s="24">
        <f t="shared" si="6"/>
        <v>45310</v>
      </c>
      <c r="C21" s="25">
        <v>1.0</v>
      </c>
      <c r="D21" s="25" t="s">
        <v>30</v>
      </c>
      <c r="E21" s="22"/>
      <c r="F21" s="18"/>
      <c r="H21" s="19"/>
      <c r="J21" s="19"/>
      <c r="L21" s="19"/>
      <c r="N21" s="19"/>
      <c r="P21" s="19"/>
      <c r="Q21" s="20"/>
      <c r="R21" s="18"/>
      <c r="T21" s="19"/>
      <c r="V21" s="19"/>
      <c r="X21" s="19"/>
      <c r="Z21" s="19"/>
      <c r="AB21" s="19"/>
      <c r="AC21" s="20"/>
      <c r="AD21" s="26">
        <f t="shared" si="1"/>
        <v>0</v>
      </c>
      <c r="AE21" s="25">
        <f t="shared" si="2"/>
        <v>0</v>
      </c>
      <c r="AF21" s="25">
        <f t="shared" si="3"/>
        <v>0</v>
      </c>
      <c r="AG21" s="25">
        <f t="shared" si="4"/>
        <v>0</v>
      </c>
      <c r="AH21" s="27">
        <f t="shared" si="5"/>
        <v>0</v>
      </c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ht="15.75" customHeight="1">
      <c r="A22" s="23" t="s">
        <v>27</v>
      </c>
      <c r="B22" s="24">
        <f t="shared" si="6"/>
        <v>45311</v>
      </c>
      <c r="C22" s="25">
        <v>1.0</v>
      </c>
      <c r="D22" s="25" t="s">
        <v>30</v>
      </c>
      <c r="E22" s="22"/>
      <c r="F22" s="18"/>
      <c r="H22" s="19"/>
      <c r="J22" s="19"/>
      <c r="L22" s="19"/>
      <c r="N22" s="19"/>
      <c r="P22" s="19"/>
      <c r="Q22" s="20"/>
      <c r="R22" s="18"/>
      <c r="T22" s="19"/>
      <c r="V22" s="19"/>
      <c r="X22" s="19"/>
      <c r="Z22" s="19"/>
      <c r="AB22" s="19"/>
      <c r="AC22" s="20"/>
      <c r="AD22" s="26">
        <f t="shared" si="1"/>
        <v>0</v>
      </c>
      <c r="AE22" s="25">
        <f t="shared" si="2"/>
        <v>0</v>
      </c>
      <c r="AF22" s="25">
        <f t="shared" si="3"/>
        <v>0</v>
      </c>
      <c r="AG22" s="25">
        <f t="shared" si="4"/>
        <v>0</v>
      </c>
      <c r="AH22" s="27">
        <f t="shared" si="5"/>
        <v>0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ht="15.75" customHeight="1">
      <c r="A23" s="28" t="s">
        <v>28</v>
      </c>
      <c r="B23" s="29">
        <f t="shared" si="6"/>
        <v>45312</v>
      </c>
      <c r="C23" s="30">
        <v>1.0</v>
      </c>
      <c r="D23" s="30" t="s">
        <v>30</v>
      </c>
      <c r="E23" s="31"/>
      <c r="F23" s="32"/>
      <c r="G23" s="7"/>
      <c r="H23" s="33"/>
      <c r="I23" s="7"/>
      <c r="J23" s="33"/>
      <c r="K23" s="7"/>
      <c r="L23" s="33"/>
      <c r="M23" s="7"/>
      <c r="N23" s="33"/>
      <c r="O23" s="7"/>
      <c r="P23" s="33"/>
      <c r="Q23" s="34"/>
      <c r="R23" s="32"/>
      <c r="S23" s="7"/>
      <c r="T23" s="33"/>
      <c r="U23" s="7"/>
      <c r="V23" s="33"/>
      <c r="W23" s="7"/>
      <c r="X23" s="33"/>
      <c r="Y23" s="7"/>
      <c r="Z23" s="33"/>
      <c r="AA23" s="7"/>
      <c r="AB23" s="33"/>
      <c r="AC23" s="34"/>
      <c r="AD23" s="35">
        <f t="shared" si="1"/>
        <v>0</v>
      </c>
      <c r="AE23" s="30">
        <f t="shared" si="2"/>
        <v>0</v>
      </c>
      <c r="AF23" s="30">
        <f t="shared" si="3"/>
        <v>0</v>
      </c>
      <c r="AG23" s="30">
        <f t="shared" si="4"/>
        <v>0</v>
      </c>
      <c r="AH23" s="36">
        <f t="shared" si="5"/>
        <v>0</v>
      </c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ht="15.75" customHeight="1">
      <c r="A24" s="14" t="s">
        <v>21</v>
      </c>
      <c r="B24" s="15">
        <f t="shared" si="6"/>
        <v>45313</v>
      </c>
      <c r="C24" s="16">
        <v>1.0</v>
      </c>
      <c r="D24" s="16" t="s">
        <v>31</v>
      </c>
      <c r="E24" s="17"/>
      <c r="F24" s="18"/>
      <c r="H24" s="19"/>
      <c r="J24" s="19"/>
      <c r="L24" s="19"/>
      <c r="N24" s="19"/>
      <c r="P24" s="19"/>
      <c r="Q24" s="20"/>
      <c r="R24" s="18"/>
      <c r="T24" s="19"/>
      <c r="V24" s="19"/>
      <c r="X24" s="19"/>
      <c r="Z24" s="19"/>
      <c r="AB24" s="19"/>
      <c r="AC24" s="20"/>
      <c r="AD24" s="21">
        <f t="shared" si="1"/>
        <v>0</v>
      </c>
      <c r="AE24" s="16">
        <f t="shared" si="2"/>
        <v>0</v>
      </c>
      <c r="AF24" s="16">
        <f t="shared" si="3"/>
        <v>0</v>
      </c>
      <c r="AG24" s="16">
        <f t="shared" si="4"/>
        <v>0</v>
      </c>
      <c r="AH24" s="37">
        <f t="shared" si="5"/>
        <v>0</v>
      </c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ht="15.75" customHeight="1">
      <c r="A25" s="23" t="s">
        <v>23</v>
      </c>
      <c r="B25" s="24">
        <f t="shared" si="6"/>
        <v>45314</v>
      </c>
      <c r="C25" s="25">
        <v>1.0</v>
      </c>
      <c r="D25" s="25" t="s">
        <v>31</v>
      </c>
      <c r="E25" s="22"/>
      <c r="F25" s="18"/>
      <c r="H25" s="19"/>
      <c r="J25" s="19"/>
      <c r="L25" s="19"/>
      <c r="N25" s="19"/>
      <c r="P25" s="19"/>
      <c r="Q25" s="20"/>
      <c r="R25" s="18"/>
      <c r="T25" s="19"/>
      <c r="V25" s="19"/>
      <c r="X25" s="19"/>
      <c r="Z25" s="19"/>
      <c r="AB25" s="19"/>
      <c r="AC25" s="20"/>
      <c r="AD25" s="26">
        <f t="shared" si="1"/>
        <v>0</v>
      </c>
      <c r="AE25" s="25">
        <f t="shared" si="2"/>
        <v>0</v>
      </c>
      <c r="AF25" s="25">
        <f t="shared" si="3"/>
        <v>0</v>
      </c>
      <c r="AG25" s="25">
        <f t="shared" si="4"/>
        <v>0</v>
      </c>
      <c r="AH25" s="27">
        <f t="shared" si="5"/>
        <v>0</v>
      </c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ht="15.75" customHeight="1">
      <c r="A26" s="23" t="s">
        <v>24</v>
      </c>
      <c r="B26" s="24">
        <f t="shared" si="6"/>
        <v>45315</v>
      </c>
      <c r="C26" s="25">
        <v>1.0</v>
      </c>
      <c r="D26" s="25" t="s">
        <v>31</v>
      </c>
      <c r="E26" s="22"/>
      <c r="F26" s="18"/>
      <c r="H26" s="19"/>
      <c r="J26" s="19"/>
      <c r="L26" s="19"/>
      <c r="N26" s="19"/>
      <c r="P26" s="19"/>
      <c r="Q26" s="20"/>
      <c r="R26" s="18"/>
      <c r="T26" s="19"/>
      <c r="V26" s="19"/>
      <c r="X26" s="19"/>
      <c r="Z26" s="19"/>
      <c r="AB26" s="19"/>
      <c r="AC26" s="20"/>
      <c r="AD26" s="26">
        <f t="shared" si="1"/>
        <v>0</v>
      </c>
      <c r="AE26" s="25">
        <f t="shared" si="2"/>
        <v>0</v>
      </c>
      <c r="AF26" s="25">
        <f t="shared" si="3"/>
        <v>0</v>
      </c>
      <c r="AG26" s="25">
        <f t="shared" si="4"/>
        <v>0</v>
      </c>
      <c r="AH26" s="27">
        <f t="shared" si="5"/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ht="15.75" customHeight="1">
      <c r="A27" s="23" t="s">
        <v>25</v>
      </c>
      <c r="B27" s="24">
        <f t="shared" si="6"/>
        <v>45316</v>
      </c>
      <c r="C27" s="25">
        <v>1.0</v>
      </c>
      <c r="D27" s="25" t="s">
        <v>31</v>
      </c>
      <c r="E27" s="22"/>
      <c r="F27" s="18"/>
      <c r="H27" s="19"/>
      <c r="J27" s="19"/>
      <c r="L27" s="19"/>
      <c r="N27" s="19"/>
      <c r="P27" s="19"/>
      <c r="Q27" s="20"/>
      <c r="R27" s="18"/>
      <c r="T27" s="19"/>
      <c r="V27" s="19"/>
      <c r="X27" s="19"/>
      <c r="Z27" s="19"/>
      <c r="AB27" s="19"/>
      <c r="AC27" s="20"/>
      <c r="AD27" s="26">
        <f t="shared" si="1"/>
        <v>0</v>
      </c>
      <c r="AE27" s="25">
        <f t="shared" si="2"/>
        <v>0</v>
      </c>
      <c r="AF27" s="25">
        <f t="shared" si="3"/>
        <v>0</v>
      </c>
      <c r="AG27" s="25">
        <f t="shared" si="4"/>
        <v>0</v>
      </c>
      <c r="AH27" s="27">
        <f t="shared" si="5"/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ht="15.75" customHeight="1">
      <c r="A28" s="23" t="s">
        <v>26</v>
      </c>
      <c r="B28" s="24">
        <f t="shared" si="6"/>
        <v>45317</v>
      </c>
      <c r="C28" s="25">
        <v>1.0</v>
      </c>
      <c r="D28" s="25" t="s">
        <v>31</v>
      </c>
      <c r="E28" s="22"/>
      <c r="F28" s="18"/>
      <c r="H28" s="19"/>
      <c r="J28" s="19"/>
      <c r="L28" s="19"/>
      <c r="N28" s="19"/>
      <c r="P28" s="19"/>
      <c r="Q28" s="20"/>
      <c r="R28" s="18"/>
      <c r="T28" s="19"/>
      <c r="V28" s="19"/>
      <c r="X28" s="19"/>
      <c r="Z28" s="19"/>
      <c r="AB28" s="19"/>
      <c r="AC28" s="20"/>
      <c r="AD28" s="26">
        <f t="shared" si="1"/>
        <v>0</v>
      </c>
      <c r="AE28" s="25">
        <f t="shared" si="2"/>
        <v>0</v>
      </c>
      <c r="AF28" s="25">
        <f t="shared" si="3"/>
        <v>0</v>
      </c>
      <c r="AG28" s="25">
        <f t="shared" si="4"/>
        <v>0</v>
      </c>
      <c r="AH28" s="27">
        <f t="shared" si="5"/>
        <v>0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ht="15.75" customHeight="1">
      <c r="A29" s="23" t="s">
        <v>27</v>
      </c>
      <c r="B29" s="24">
        <f t="shared" si="6"/>
        <v>45318</v>
      </c>
      <c r="C29" s="25">
        <v>1.0</v>
      </c>
      <c r="D29" s="25" t="s">
        <v>31</v>
      </c>
      <c r="E29" s="22"/>
      <c r="F29" s="18"/>
      <c r="H29" s="19"/>
      <c r="J29" s="19"/>
      <c r="L29" s="19"/>
      <c r="N29" s="19"/>
      <c r="P29" s="19"/>
      <c r="Q29" s="20"/>
      <c r="R29" s="18"/>
      <c r="T29" s="19"/>
      <c r="V29" s="19"/>
      <c r="X29" s="19"/>
      <c r="Z29" s="19"/>
      <c r="AB29" s="19"/>
      <c r="AC29" s="20"/>
      <c r="AD29" s="26">
        <f t="shared" si="1"/>
        <v>0</v>
      </c>
      <c r="AE29" s="25">
        <f t="shared" si="2"/>
        <v>0</v>
      </c>
      <c r="AF29" s="25">
        <f t="shared" si="3"/>
        <v>0</v>
      </c>
      <c r="AG29" s="25">
        <f t="shared" si="4"/>
        <v>0</v>
      </c>
      <c r="AH29" s="27">
        <f t="shared" si="5"/>
        <v>0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ht="15.75" customHeight="1">
      <c r="A30" s="28" t="s">
        <v>28</v>
      </c>
      <c r="B30" s="29">
        <f t="shared" si="6"/>
        <v>45319</v>
      </c>
      <c r="C30" s="30">
        <v>1.0</v>
      </c>
      <c r="D30" s="30" t="s">
        <v>31</v>
      </c>
      <c r="E30" s="31"/>
      <c r="F30" s="32"/>
      <c r="G30" s="7"/>
      <c r="H30" s="33"/>
      <c r="I30" s="7"/>
      <c r="J30" s="33"/>
      <c r="K30" s="7"/>
      <c r="L30" s="33"/>
      <c r="M30" s="7"/>
      <c r="N30" s="33"/>
      <c r="O30" s="7"/>
      <c r="P30" s="33"/>
      <c r="Q30" s="34"/>
      <c r="R30" s="32"/>
      <c r="S30" s="7"/>
      <c r="T30" s="33"/>
      <c r="U30" s="7"/>
      <c r="V30" s="33"/>
      <c r="W30" s="7"/>
      <c r="X30" s="33"/>
      <c r="Y30" s="7"/>
      <c r="Z30" s="33"/>
      <c r="AA30" s="7"/>
      <c r="AB30" s="33"/>
      <c r="AC30" s="34"/>
      <c r="AD30" s="35">
        <f t="shared" si="1"/>
        <v>0</v>
      </c>
      <c r="AE30" s="30">
        <f t="shared" si="2"/>
        <v>0</v>
      </c>
      <c r="AF30" s="30">
        <f t="shared" si="3"/>
        <v>0</v>
      </c>
      <c r="AG30" s="30">
        <f t="shared" si="4"/>
        <v>0</v>
      </c>
      <c r="AH30" s="36">
        <f t="shared" si="5"/>
        <v>0</v>
      </c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ht="15.75" customHeight="1">
      <c r="A31" s="14" t="s">
        <v>21</v>
      </c>
      <c r="B31" s="15">
        <f t="shared" si="6"/>
        <v>45320</v>
      </c>
      <c r="C31" s="16">
        <v>2.0</v>
      </c>
      <c r="D31" s="16" t="s">
        <v>22</v>
      </c>
      <c r="E31" s="17"/>
      <c r="F31" s="18"/>
      <c r="H31" s="19"/>
      <c r="J31" s="19"/>
      <c r="L31" s="19"/>
      <c r="N31" s="19"/>
      <c r="P31" s="19"/>
      <c r="Q31" s="20"/>
      <c r="R31" s="18"/>
      <c r="T31" s="19"/>
      <c r="V31" s="19"/>
      <c r="X31" s="19"/>
      <c r="Z31" s="19"/>
      <c r="AB31" s="19"/>
      <c r="AC31" s="20"/>
      <c r="AD31" s="21">
        <f t="shared" si="1"/>
        <v>0</v>
      </c>
      <c r="AE31" s="16">
        <f t="shared" si="2"/>
        <v>0</v>
      </c>
      <c r="AF31" s="16">
        <f t="shared" si="3"/>
        <v>0</v>
      </c>
      <c r="AG31" s="16">
        <f t="shared" si="4"/>
        <v>0</v>
      </c>
      <c r="AH31" s="37">
        <f t="shared" si="5"/>
        <v>0</v>
      </c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ht="15.75" customHeight="1">
      <c r="A32" s="23" t="s">
        <v>23</v>
      </c>
      <c r="B32" s="24">
        <f t="shared" si="6"/>
        <v>45321</v>
      </c>
      <c r="C32" s="25">
        <v>2.0</v>
      </c>
      <c r="D32" s="25" t="s">
        <v>22</v>
      </c>
      <c r="E32" s="22"/>
      <c r="F32" s="18"/>
      <c r="H32" s="19"/>
      <c r="J32" s="19"/>
      <c r="L32" s="19"/>
      <c r="N32" s="19"/>
      <c r="P32" s="19"/>
      <c r="Q32" s="20"/>
      <c r="R32" s="18"/>
      <c r="T32" s="19"/>
      <c r="V32" s="19"/>
      <c r="X32" s="19"/>
      <c r="Z32" s="19"/>
      <c r="AB32" s="19"/>
      <c r="AC32" s="20"/>
      <c r="AD32" s="26">
        <f t="shared" si="1"/>
        <v>0</v>
      </c>
      <c r="AE32" s="25">
        <f t="shared" si="2"/>
        <v>0</v>
      </c>
      <c r="AF32" s="25">
        <f t="shared" si="3"/>
        <v>0</v>
      </c>
      <c r="AG32" s="25">
        <f t="shared" si="4"/>
        <v>0</v>
      </c>
      <c r="AH32" s="27">
        <f t="shared" si="5"/>
        <v>0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ht="15.75" customHeight="1">
      <c r="A33" s="23" t="s">
        <v>24</v>
      </c>
      <c r="B33" s="24">
        <f t="shared" si="6"/>
        <v>45322</v>
      </c>
      <c r="C33" s="25">
        <v>2.0</v>
      </c>
      <c r="D33" s="25" t="s">
        <v>22</v>
      </c>
      <c r="E33" s="22"/>
      <c r="F33" s="18"/>
      <c r="H33" s="19"/>
      <c r="J33" s="19"/>
      <c r="L33" s="19"/>
      <c r="N33" s="19"/>
      <c r="P33" s="19"/>
      <c r="Q33" s="20"/>
      <c r="R33" s="18"/>
      <c r="T33" s="19"/>
      <c r="V33" s="19"/>
      <c r="X33" s="19"/>
      <c r="Z33" s="19"/>
      <c r="AB33" s="19"/>
      <c r="AC33" s="20"/>
      <c r="AD33" s="26">
        <f t="shared" si="1"/>
        <v>0</v>
      </c>
      <c r="AE33" s="25">
        <f t="shared" si="2"/>
        <v>0</v>
      </c>
      <c r="AF33" s="25">
        <f t="shared" si="3"/>
        <v>0</v>
      </c>
      <c r="AG33" s="25">
        <f t="shared" si="4"/>
        <v>0</v>
      </c>
      <c r="AH33" s="27">
        <f t="shared" si="5"/>
        <v>0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ht="15.75" customHeight="1">
      <c r="A34" s="23" t="s">
        <v>25</v>
      </c>
      <c r="B34" s="24">
        <f t="shared" si="6"/>
        <v>45323</v>
      </c>
      <c r="C34" s="25">
        <v>2.0</v>
      </c>
      <c r="D34" s="25" t="s">
        <v>22</v>
      </c>
      <c r="E34" s="22"/>
      <c r="F34" s="18"/>
      <c r="H34" s="19"/>
      <c r="J34" s="19"/>
      <c r="L34" s="19"/>
      <c r="N34" s="19"/>
      <c r="P34" s="19"/>
      <c r="Q34" s="20"/>
      <c r="R34" s="18"/>
      <c r="T34" s="19"/>
      <c r="V34" s="19"/>
      <c r="X34" s="19"/>
      <c r="Z34" s="19"/>
      <c r="AB34" s="19"/>
      <c r="AC34" s="20"/>
      <c r="AD34" s="26">
        <f t="shared" si="1"/>
        <v>0</v>
      </c>
      <c r="AE34" s="25">
        <f t="shared" si="2"/>
        <v>0</v>
      </c>
      <c r="AF34" s="25">
        <f t="shared" si="3"/>
        <v>0</v>
      </c>
      <c r="AG34" s="25">
        <f t="shared" si="4"/>
        <v>0</v>
      </c>
      <c r="AH34" s="27">
        <f t="shared" si="5"/>
        <v>0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ht="15.75" customHeight="1">
      <c r="A35" s="23" t="s">
        <v>26</v>
      </c>
      <c r="B35" s="24">
        <f t="shared" si="6"/>
        <v>45324</v>
      </c>
      <c r="C35" s="25">
        <v>2.0</v>
      </c>
      <c r="D35" s="25" t="s">
        <v>22</v>
      </c>
      <c r="E35" s="22"/>
      <c r="F35" s="18"/>
      <c r="H35" s="19"/>
      <c r="J35" s="19"/>
      <c r="L35" s="19"/>
      <c r="N35" s="19"/>
      <c r="P35" s="19"/>
      <c r="Q35" s="20"/>
      <c r="R35" s="18"/>
      <c r="T35" s="19"/>
      <c r="V35" s="19"/>
      <c r="X35" s="19"/>
      <c r="Z35" s="19"/>
      <c r="AB35" s="19"/>
      <c r="AC35" s="20"/>
      <c r="AD35" s="26">
        <f t="shared" si="1"/>
        <v>0</v>
      </c>
      <c r="AE35" s="25">
        <f t="shared" si="2"/>
        <v>0</v>
      </c>
      <c r="AF35" s="25">
        <f t="shared" si="3"/>
        <v>0</v>
      </c>
      <c r="AG35" s="25">
        <f t="shared" si="4"/>
        <v>0</v>
      </c>
      <c r="AH35" s="27">
        <f t="shared" si="5"/>
        <v>0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ht="15.75" customHeight="1">
      <c r="A36" s="23" t="s">
        <v>27</v>
      </c>
      <c r="B36" s="24">
        <f t="shared" si="6"/>
        <v>45325</v>
      </c>
      <c r="C36" s="25">
        <v>2.0</v>
      </c>
      <c r="D36" s="25" t="s">
        <v>22</v>
      </c>
      <c r="E36" s="22"/>
      <c r="F36" s="18"/>
      <c r="H36" s="19"/>
      <c r="J36" s="19"/>
      <c r="L36" s="19"/>
      <c r="N36" s="19"/>
      <c r="P36" s="19"/>
      <c r="Q36" s="20"/>
      <c r="R36" s="18"/>
      <c r="T36" s="19"/>
      <c r="V36" s="19"/>
      <c r="X36" s="19"/>
      <c r="Z36" s="19"/>
      <c r="AB36" s="19"/>
      <c r="AC36" s="20"/>
      <c r="AD36" s="26">
        <f t="shared" si="1"/>
        <v>0</v>
      </c>
      <c r="AE36" s="25">
        <f t="shared" si="2"/>
        <v>0</v>
      </c>
      <c r="AF36" s="25">
        <f t="shared" si="3"/>
        <v>0</v>
      </c>
      <c r="AG36" s="25">
        <f t="shared" si="4"/>
        <v>0</v>
      </c>
      <c r="AH36" s="27">
        <f t="shared" si="5"/>
        <v>0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ht="15.75" customHeight="1">
      <c r="A37" s="28" t="s">
        <v>28</v>
      </c>
      <c r="B37" s="29">
        <f t="shared" si="6"/>
        <v>45326</v>
      </c>
      <c r="C37" s="30">
        <v>2.0</v>
      </c>
      <c r="D37" s="30" t="s">
        <v>22</v>
      </c>
      <c r="E37" s="31"/>
      <c r="F37" s="32"/>
      <c r="G37" s="7"/>
      <c r="H37" s="33"/>
      <c r="I37" s="7"/>
      <c r="J37" s="33"/>
      <c r="K37" s="7"/>
      <c r="L37" s="33"/>
      <c r="M37" s="7"/>
      <c r="N37" s="33"/>
      <c r="O37" s="7"/>
      <c r="P37" s="33"/>
      <c r="Q37" s="34"/>
      <c r="R37" s="32"/>
      <c r="S37" s="7"/>
      <c r="T37" s="33"/>
      <c r="U37" s="7"/>
      <c r="V37" s="33"/>
      <c r="W37" s="7"/>
      <c r="X37" s="33"/>
      <c r="Y37" s="7"/>
      <c r="Z37" s="33"/>
      <c r="AA37" s="7"/>
      <c r="AB37" s="33"/>
      <c r="AC37" s="34"/>
      <c r="AD37" s="35">
        <f t="shared" si="1"/>
        <v>0</v>
      </c>
      <c r="AE37" s="30">
        <f t="shared" si="2"/>
        <v>0</v>
      </c>
      <c r="AF37" s="30">
        <f t="shared" si="3"/>
        <v>0</v>
      </c>
      <c r="AG37" s="30">
        <f t="shared" si="4"/>
        <v>0</v>
      </c>
      <c r="AH37" s="36">
        <f t="shared" si="5"/>
        <v>0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ht="15.75" customHeight="1">
      <c r="A38" s="14" t="s">
        <v>21</v>
      </c>
      <c r="B38" s="15">
        <f t="shared" si="6"/>
        <v>45327</v>
      </c>
      <c r="C38" s="16">
        <v>2.0</v>
      </c>
      <c r="D38" s="16" t="s">
        <v>29</v>
      </c>
      <c r="E38" s="17"/>
      <c r="F38" s="18"/>
      <c r="H38" s="19"/>
      <c r="J38" s="19"/>
      <c r="L38" s="19"/>
      <c r="N38" s="19"/>
      <c r="P38" s="19"/>
      <c r="Q38" s="20"/>
      <c r="R38" s="18"/>
      <c r="T38" s="19"/>
      <c r="V38" s="19"/>
      <c r="X38" s="19"/>
      <c r="Z38" s="19"/>
      <c r="AB38" s="19"/>
      <c r="AC38" s="20"/>
      <c r="AD38" s="21">
        <f t="shared" si="1"/>
        <v>0</v>
      </c>
      <c r="AE38" s="16">
        <f t="shared" si="2"/>
        <v>0</v>
      </c>
      <c r="AF38" s="16">
        <f t="shared" si="3"/>
        <v>0</v>
      </c>
      <c r="AG38" s="16">
        <f t="shared" si="4"/>
        <v>0</v>
      </c>
      <c r="AH38" s="37">
        <f t="shared" si="5"/>
        <v>0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ht="15.75" customHeight="1">
      <c r="A39" s="23" t="s">
        <v>23</v>
      </c>
      <c r="B39" s="24">
        <f t="shared" si="6"/>
        <v>45328</v>
      </c>
      <c r="C39" s="25">
        <v>2.0</v>
      </c>
      <c r="D39" s="25" t="s">
        <v>29</v>
      </c>
      <c r="E39" s="22"/>
      <c r="F39" s="18"/>
      <c r="H39" s="19"/>
      <c r="J39" s="19"/>
      <c r="L39" s="19"/>
      <c r="N39" s="19"/>
      <c r="P39" s="19"/>
      <c r="Q39" s="20"/>
      <c r="R39" s="18"/>
      <c r="T39" s="19"/>
      <c r="V39" s="19"/>
      <c r="X39" s="19"/>
      <c r="Z39" s="19"/>
      <c r="AB39" s="19"/>
      <c r="AC39" s="20"/>
      <c r="AD39" s="26">
        <f t="shared" si="1"/>
        <v>0</v>
      </c>
      <c r="AE39" s="25">
        <f t="shared" si="2"/>
        <v>0</v>
      </c>
      <c r="AF39" s="25">
        <f t="shared" si="3"/>
        <v>0</v>
      </c>
      <c r="AG39" s="25">
        <f t="shared" si="4"/>
        <v>0</v>
      </c>
      <c r="AH39" s="27">
        <f t="shared" si="5"/>
        <v>0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ht="15.75" customHeight="1">
      <c r="A40" s="23" t="s">
        <v>24</v>
      </c>
      <c r="B40" s="24">
        <f t="shared" si="6"/>
        <v>45329</v>
      </c>
      <c r="C40" s="25">
        <v>2.0</v>
      </c>
      <c r="D40" s="25" t="s">
        <v>29</v>
      </c>
      <c r="E40" s="22"/>
      <c r="F40" s="18"/>
      <c r="H40" s="19"/>
      <c r="J40" s="19"/>
      <c r="L40" s="19"/>
      <c r="N40" s="19"/>
      <c r="P40" s="19"/>
      <c r="Q40" s="20"/>
      <c r="R40" s="18"/>
      <c r="T40" s="19"/>
      <c r="V40" s="19"/>
      <c r="X40" s="19"/>
      <c r="Z40" s="19"/>
      <c r="AB40" s="19"/>
      <c r="AC40" s="20"/>
      <c r="AD40" s="26">
        <f t="shared" si="1"/>
        <v>0</v>
      </c>
      <c r="AE40" s="25">
        <f t="shared" si="2"/>
        <v>0</v>
      </c>
      <c r="AF40" s="25">
        <f t="shared" si="3"/>
        <v>0</v>
      </c>
      <c r="AG40" s="25">
        <f t="shared" si="4"/>
        <v>0</v>
      </c>
      <c r="AH40" s="27">
        <f t="shared" si="5"/>
        <v>0</v>
      </c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ht="15.75" customHeight="1">
      <c r="A41" s="23" t="s">
        <v>25</v>
      </c>
      <c r="B41" s="24">
        <f t="shared" si="6"/>
        <v>45330</v>
      </c>
      <c r="C41" s="25">
        <v>2.0</v>
      </c>
      <c r="D41" s="25" t="s">
        <v>29</v>
      </c>
      <c r="E41" s="22"/>
      <c r="F41" s="18"/>
      <c r="H41" s="19"/>
      <c r="J41" s="19"/>
      <c r="L41" s="19"/>
      <c r="N41" s="19"/>
      <c r="P41" s="19"/>
      <c r="Q41" s="20"/>
      <c r="R41" s="18"/>
      <c r="T41" s="19"/>
      <c r="V41" s="19"/>
      <c r="X41" s="19"/>
      <c r="Z41" s="19"/>
      <c r="AB41" s="19"/>
      <c r="AC41" s="20"/>
      <c r="AD41" s="26">
        <f t="shared" si="1"/>
        <v>0</v>
      </c>
      <c r="AE41" s="25">
        <f t="shared" si="2"/>
        <v>0</v>
      </c>
      <c r="AF41" s="25">
        <f t="shared" si="3"/>
        <v>0</v>
      </c>
      <c r="AG41" s="25">
        <f t="shared" si="4"/>
        <v>0</v>
      </c>
      <c r="AH41" s="27">
        <f t="shared" si="5"/>
        <v>0</v>
      </c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ht="15.75" customHeight="1">
      <c r="A42" s="23" t="s">
        <v>26</v>
      </c>
      <c r="B42" s="24">
        <f t="shared" si="6"/>
        <v>45331</v>
      </c>
      <c r="C42" s="25">
        <v>2.0</v>
      </c>
      <c r="D42" s="25" t="s">
        <v>29</v>
      </c>
      <c r="E42" s="22"/>
      <c r="F42" s="18"/>
      <c r="H42" s="19"/>
      <c r="J42" s="19"/>
      <c r="L42" s="19"/>
      <c r="N42" s="19"/>
      <c r="P42" s="19"/>
      <c r="Q42" s="20"/>
      <c r="R42" s="18"/>
      <c r="T42" s="19"/>
      <c r="V42" s="19"/>
      <c r="X42" s="19"/>
      <c r="Z42" s="19"/>
      <c r="AB42" s="19"/>
      <c r="AC42" s="20"/>
      <c r="AD42" s="26">
        <f t="shared" si="1"/>
        <v>0</v>
      </c>
      <c r="AE42" s="25">
        <f t="shared" si="2"/>
        <v>0</v>
      </c>
      <c r="AF42" s="25">
        <f t="shared" si="3"/>
        <v>0</v>
      </c>
      <c r="AG42" s="25">
        <f t="shared" si="4"/>
        <v>0</v>
      </c>
      <c r="AH42" s="27">
        <f t="shared" si="5"/>
        <v>0</v>
      </c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ht="15.75" customHeight="1">
      <c r="A43" s="23" t="s">
        <v>27</v>
      </c>
      <c r="B43" s="24">
        <f t="shared" si="6"/>
        <v>45332</v>
      </c>
      <c r="C43" s="25">
        <v>2.0</v>
      </c>
      <c r="D43" s="25" t="s">
        <v>29</v>
      </c>
      <c r="E43" s="22"/>
      <c r="F43" s="18"/>
      <c r="H43" s="19"/>
      <c r="J43" s="19"/>
      <c r="L43" s="19"/>
      <c r="N43" s="19"/>
      <c r="P43" s="19"/>
      <c r="Q43" s="20"/>
      <c r="R43" s="18"/>
      <c r="T43" s="19"/>
      <c r="V43" s="19"/>
      <c r="X43" s="19"/>
      <c r="Z43" s="19"/>
      <c r="AB43" s="19"/>
      <c r="AC43" s="20"/>
      <c r="AD43" s="26">
        <f t="shared" si="1"/>
        <v>0</v>
      </c>
      <c r="AE43" s="25">
        <f t="shared" si="2"/>
        <v>0</v>
      </c>
      <c r="AF43" s="25">
        <f t="shared" si="3"/>
        <v>0</v>
      </c>
      <c r="AG43" s="25">
        <f t="shared" si="4"/>
        <v>0</v>
      </c>
      <c r="AH43" s="27">
        <f t="shared" si="5"/>
        <v>0</v>
      </c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ht="15.75" customHeight="1">
      <c r="A44" s="28" t="s">
        <v>28</v>
      </c>
      <c r="B44" s="29">
        <f t="shared" si="6"/>
        <v>45333</v>
      </c>
      <c r="C44" s="30">
        <v>2.0</v>
      </c>
      <c r="D44" s="30" t="s">
        <v>29</v>
      </c>
      <c r="E44" s="31"/>
      <c r="F44" s="32"/>
      <c r="G44" s="7"/>
      <c r="H44" s="33"/>
      <c r="I44" s="7"/>
      <c r="J44" s="33"/>
      <c r="K44" s="7"/>
      <c r="L44" s="33"/>
      <c r="M44" s="7"/>
      <c r="N44" s="33"/>
      <c r="O44" s="7"/>
      <c r="P44" s="33"/>
      <c r="Q44" s="34"/>
      <c r="R44" s="32"/>
      <c r="S44" s="7"/>
      <c r="T44" s="33"/>
      <c r="U44" s="7"/>
      <c r="V44" s="33"/>
      <c r="W44" s="7"/>
      <c r="X44" s="33"/>
      <c r="Y44" s="7"/>
      <c r="Z44" s="33"/>
      <c r="AA44" s="7"/>
      <c r="AB44" s="33"/>
      <c r="AC44" s="34"/>
      <c r="AD44" s="35">
        <f t="shared" si="1"/>
        <v>0</v>
      </c>
      <c r="AE44" s="30">
        <f t="shared" si="2"/>
        <v>0</v>
      </c>
      <c r="AF44" s="30">
        <f t="shared" si="3"/>
        <v>0</v>
      </c>
      <c r="AG44" s="30">
        <f t="shared" si="4"/>
        <v>0</v>
      </c>
      <c r="AH44" s="36">
        <f t="shared" si="5"/>
        <v>0</v>
      </c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ht="15.75" customHeight="1">
      <c r="A45" s="14" t="s">
        <v>21</v>
      </c>
      <c r="B45" s="15">
        <f t="shared" si="6"/>
        <v>45334</v>
      </c>
      <c r="C45" s="16">
        <v>2.0</v>
      </c>
      <c r="D45" s="16" t="s">
        <v>30</v>
      </c>
      <c r="E45" s="17"/>
      <c r="F45" s="18"/>
      <c r="H45" s="19"/>
      <c r="J45" s="19"/>
      <c r="L45" s="19"/>
      <c r="N45" s="19"/>
      <c r="P45" s="19"/>
      <c r="Q45" s="20"/>
      <c r="R45" s="18"/>
      <c r="T45" s="19"/>
      <c r="V45" s="19"/>
      <c r="X45" s="19"/>
      <c r="Z45" s="19"/>
      <c r="AB45" s="19"/>
      <c r="AC45" s="20"/>
      <c r="AD45" s="21">
        <f t="shared" si="1"/>
        <v>0</v>
      </c>
      <c r="AE45" s="16">
        <f t="shared" si="2"/>
        <v>0</v>
      </c>
      <c r="AF45" s="16">
        <f t="shared" si="3"/>
        <v>0</v>
      </c>
      <c r="AG45" s="16">
        <f t="shared" si="4"/>
        <v>0</v>
      </c>
      <c r="AH45" s="37">
        <f t="shared" si="5"/>
        <v>0</v>
      </c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ht="15.75" customHeight="1">
      <c r="A46" s="23" t="s">
        <v>23</v>
      </c>
      <c r="B46" s="24">
        <f t="shared" si="6"/>
        <v>45335</v>
      </c>
      <c r="C46" s="25">
        <v>2.0</v>
      </c>
      <c r="D46" s="25" t="s">
        <v>30</v>
      </c>
      <c r="E46" s="22"/>
      <c r="F46" s="18"/>
      <c r="H46" s="19"/>
      <c r="J46" s="19"/>
      <c r="L46" s="19"/>
      <c r="N46" s="19"/>
      <c r="P46" s="19"/>
      <c r="Q46" s="20"/>
      <c r="R46" s="18"/>
      <c r="T46" s="19"/>
      <c r="V46" s="19"/>
      <c r="X46" s="19"/>
      <c r="Z46" s="19"/>
      <c r="AB46" s="19"/>
      <c r="AC46" s="20"/>
      <c r="AD46" s="26">
        <f t="shared" si="1"/>
        <v>0</v>
      </c>
      <c r="AE46" s="25">
        <f t="shared" si="2"/>
        <v>0</v>
      </c>
      <c r="AF46" s="25">
        <f t="shared" si="3"/>
        <v>0</v>
      </c>
      <c r="AG46" s="25">
        <f t="shared" si="4"/>
        <v>0</v>
      </c>
      <c r="AH46" s="27">
        <f t="shared" si="5"/>
        <v>0</v>
      </c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ht="15.75" customHeight="1">
      <c r="A47" s="23" t="s">
        <v>24</v>
      </c>
      <c r="B47" s="24">
        <f t="shared" si="6"/>
        <v>45336</v>
      </c>
      <c r="C47" s="25">
        <v>2.0</v>
      </c>
      <c r="D47" s="25" t="s">
        <v>30</v>
      </c>
      <c r="E47" s="22"/>
      <c r="F47" s="18"/>
      <c r="H47" s="19"/>
      <c r="J47" s="19"/>
      <c r="L47" s="19"/>
      <c r="N47" s="19"/>
      <c r="P47" s="19"/>
      <c r="Q47" s="20"/>
      <c r="R47" s="18"/>
      <c r="T47" s="19"/>
      <c r="V47" s="19"/>
      <c r="X47" s="19"/>
      <c r="Z47" s="19"/>
      <c r="AB47" s="19"/>
      <c r="AC47" s="20"/>
      <c r="AD47" s="26">
        <f t="shared" si="1"/>
        <v>0</v>
      </c>
      <c r="AE47" s="25">
        <f t="shared" si="2"/>
        <v>0</v>
      </c>
      <c r="AF47" s="25">
        <f t="shared" si="3"/>
        <v>0</v>
      </c>
      <c r="AG47" s="25">
        <f t="shared" si="4"/>
        <v>0</v>
      </c>
      <c r="AH47" s="27">
        <f t="shared" si="5"/>
        <v>0</v>
      </c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ht="15.75" customHeight="1">
      <c r="A48" s="23" t="s">
        <v>25</v>
      </c>
      <c r="B48" s="24">
        <f t="shared" si="6"/>
        <v>45337</v>
      </c>
      <c r="C48" s="25">
        <v>2.0</v>
      </c>
      <c r="D48" s="25" t="s">
        <v>30</v>
      </c>
      <c r="E48" s="22"/>
      <c r="F48" s="18"/>
      <c r="H48" s="19"/>
      <c r="J48" s="19"/>
      <c r="L48" s="19"/>
      <c r="N48" s="19"/>
      <c r="P48" s="19"/>
      <c r="Q48" s="20"/>
      <c r="R48" s="18"/>
      <c r="T48" s="19"/>
      <c r="V48" s="19"/>
      <c r="X48" s="19"/>
      <c r="Z48" s="19"/>
      <c r="AB48" s="19"/>
      <c r="AC48" s="20"/>
      <c r="AD48" s="26">
        <f t="shared" si="1"/>
        <v>0</v>
      </c>
      <c r="AE48" s="25">
        <f t="shared" si="2"/>
        <v>0</v>
      </c>
      <c r="AF48" s="25">
        <f t="shared" si="3"/>
        <v>0</v>
      </c>
      <c r="AG48" s="25">
        <f t="shared" si="4"/>
        <v>0</v>
      </c>
      <c r="AH48" s="27">
        <f t="shared" si="5"/>
        <v>0</v>
      </c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ht="15.75" customHeight="1">
      <c r="A49" s="23" t="s">
        <v>26</v>
      </c>
      <c r="B49" s="24">
        <f t="shared" si="6"/>
        <v>45338</v>
      </c>
      <c r="C49" s="25">
        <v>2.0</v>
      </c>
      <c r="D49" s="25" t="s">
        <v>30</v>
      </c>
      <c r="E49" s="22"/>
      <c r="F49" s="18"/>
      <c r="H49" s="19"/>
      <c r="J49" s="19"/>
      <c r="L49" s="19"/>
      <c r="N49" s="19"/>
      <c r="P49" s="19"/>
      <c r="Q49" s="20"/>
      <c r="R49" s="18"/>
      <c r="T49" s="19"/>
      <c r="V49" s="19"/>
      <c r="X49" s="19"/>
      <c r="Z49" s="19"/>
      <c r="AB49" s="19"/>
      <c r="AC49" s="20"/>
      <c r="AD49" s="26">
        <f t="shared" si="1"/>
        <v>0</v>
      </c>
      <c r="AE49" s="25">
        <f t="shared" si="2"/>
        <v>0</v>
      </c>
      <c r="AF49" s="25">
        <f t="shared" si="3"/>
        <v>0</v>
      </c>
      <c r="AG49" s="25">
        <f t="shared" si="4"/>
        <v>0</v>
      </c>
      <c r="AH49" s="27">
        <f t="shared" si="5"/>
        <v>0</v>
      </c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ht="15.75" customHeight="1">
      <c r="A50" s="23" t="s">
        <v>27</v>
      </c>
      <c r="B50" s="24">
        <f t="shared" si="6"/>
        <v>45339</v>
      </c>
      <c r="C50" s="25">
        <v>2.0</v>
      </c>
      <c r="D50" s="25" t="s">
        <v>30</v>
      </c>
      <c r="E50" s="22"/>
      <c r="F50" s="18"/>
      <c r="H50" s="19"/>
      <c r="J50" s="19"/>
      <c r="L50" s="19"/>
      <c r="N50" s="19"/>
      <c r="P50" s="19"/>
      <c r="Q50" s="20"/>
      <c r="R50" s="18"/>
      <c r="T50" s="19"/>
      <c r="V50" s="19"/>
      <c r="X50" s="19"/>
      <c r="Z50" s="19"/>
      <c r="AB50" s="19"/>
      <c r="AC50" s="20"/>
      <c r="AD50" s="26">
        <f t="shared" si="1"/>
        <v>0</v>
      </c>
      <c r="AE50" s="25">
        <f t="shared" si="2"/>
        <v>0</v>
      </c>
      <c r="AF50" s="25">
        <f t="shared" si="3"/>
        <v>0</v>
      </c>
      <c r="AG50" s="25">
        <f t="shared" si="4"/>
        <v>0</v>
      </c>
      <c r="AH50" s="27">
        <f t="shared" si="5"/>
        <v>0</v>
      </c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ht="15.75" customHeight="1">
      <c r="A51" s="28" t="s">
        <v>28</v>
      </c>
      <c r="B51" s="29">
        <f t="shared" si="6"/>
        <v>45340</v>
      </c>
      <c r="C51" s="30">
        <v>2.0</v>
      </c>
      <c r="D51" s="30" t="s">
        <v>30</v>
      </c>
      <c r="E51" s="31"/>
      <c r="F51" s="32"/>
      <c r="G51" s="7"/>
      <c r="H51" s="33"/>
      <c r="I51" s="7"/>
      <c r="J51" s="33"/>
      <c r="K51" s="7"/>
      <c r="L51" s="33"/>
      <c r="M51" s="7"/>
      <c r="N51" s="33"/>
      <c r="O51" s="7"/>
      <c r="P51" s="33"/>
      <c r="Q51" s="34"/>
      <c r="R51" s="32"/>
      <c r="S51" s="7"/>
      <c r="T51" s="33"/>
      <c r="U51" s="7"/>
      <c r="V51" s="33"/>
      <c r="W51" s="7"/>
      <c r="X51" s="33"/>
      <c r="Y51" s="7"/>
      <c r="Z51" s="33"/>
      <c r="AA51" s="7"/>
      <c r="AB51" s="33"/>
      <c r="AC51" s="34"/>
      <c r="AD51" s="35">
        <f t="shared" si="1"/>
        <v>0</v>
      </c>
      <c r="AE51" s="30">
        <f t="shared" si="2"/>
        <v>0</v>
      </c>
      <c r="AF51" s="30">
        <f t="shared" si="3"/>
        <v>0</v>
      </c>
      <c r="AG51" s="30">
        <f t="shared" si="4"/>
        <v>0</v>
      </c>
      <c r="AH51" s="36">
        <f t="shared" si="5"/>
        <v>0</v>
      </c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ht="15.75" customHeight="1">
      <c r="A52" s="14" t="s">
        <v>21</v>
      </c>
      <c r="B52" s="15">
        <f t="shared" si="6"/>
        <v>45341</v>
      </c>
      <c r="C52" s="16">
        <v>2.0</v>
      </c>
      <c r="D52" s="16" t="s">
        <v>31</v>
      </c>
      <c r="E52" s="17"/>
      <c r="F52" s="18"/>
      <c r="H52" s="19"/>
      <c r="J52" s="19"/>
      <c r="L52" s="19"/>
      <c r="N52" s="19"/>
      <c r="P52" s="19"/>
      <c r="Q52" s="20"/>
      <c r="R52" s="18"/>
      <c r="T52" s="19"/>
      <c r="V52" s="19"/>
      <c r="X52" s="19"/>
      <c r="Z52" s="19"/>
      <c r="AB52" s="19"/>
      <c r="AC52" s="20"/>
      <c r="AD52" s="21">
        <f t="shared" si="1"/>
        <v>0</v>
      </c>
      <c r="AE52" s="16">
        <f t="shared" si="2"/>
        <v>0</v>
      </c>
      <c r="AF52" s="16">
        <f t="shared" si="3"/>
        <v>0</v>
      </c>
      <c r="AG52" s="16">
        <f t="shared" si="4"/>
        <v>0</v>
      </c>
      <c r="AH52" s="37">
        <f t="shared" si="5"/>
        <v>0</v>
      </c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ht="15.75" customHeight="1">
      <c r="A53" s="23" t="s">
        <v>23</v>
      </c>
      <c r="B53" s="24">
        <f t="shared" si="6"/>
        <v>45342</v>
      </c>
      <c r="C53" s="25">
        <v>2.0</v>
      </c>
      <c r="D53" s="25" t="s">
        <v>31</v>
      </c>
      <c r="E53" s="22"/>
      <c r="F53" s="18"/>
      <c r="H53" s="19"/>
      <c r="J53" s="19"/>
      <c r="L53" s="19"/>
      <c r="N53" s="19"/>
      <c r="P53" s="19"/>
      <c r="Q53" s="20"/>
      <c r="R53" s="18"/>
      <c r="T53" s="19"/>
      <c r="V53" s="19"/>
      <c r="X53" s="19"/>
      <c r="Z53" s="19"/>
      <c r="AB53" s="19"/>
      <c r="AC53" s="20"/>
      <c r="AD53" s="26">
        <f t="shared" si="1"/>
        <v>0</v>
      </c>
      <c r="AE53" s="25">
        <f t="shared" si="2"/>
        <v>0</v>
      </c>
      <c r="AF53" s="25">
        <f t="shared" si="3"/>
        <v>0</v>
      </c>
      <c r="AG53" s="25">
        <f t="shared" si="4"/>
        <v>0</v>
      </c>
      <c r="AH53" s="27">
        <f t="shared" si="5"/>
        <v>0</v>
      </c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ht="15.75" customHeight="1">
      <c r="A54" s="23" t="s">
        <v>24</v>
      </c>
      <c r="B54" s="24">
        <f t="shared" si="6"/>
        <v>45343</v>
      </c>
      <c r="C54" s="25">
        <v>2.0</v>
      </c>
      <c r="D54" s="25" t="s">
        <v>31</v>
      </c>
      <c r="E54" s="22"/>
      <c r="F54" s="18"/>
      <c r="H54" s="19"/>
      <c r="J54" s="19"/>
      <c r="L54" s="19"/>
      <c r="N54" s="19"/>
      <c r="P54" s="19"/>
      <c r="Q54" s="20"/>
      <c r="R54" s="18"/>
      <c r="T54" s="19"/>
      <c r="V54" s="19"/>
      <c r="X54" s="19"/>
      <c r="Z54" s="19"/>
      <c r="AB54" s="19"/>
      <c r="AC54" s="20"/>
      <c r="AD54" s="26">
        <f t="shared" si="1"/>
        <v>0</v>
      </c>
      <c r="AE54" s="25">
        <f t="shared" si="2"/>
        <v>0</v>
      </c>
      <c r="AF54" s="25">
        <f t="shared" si="3"/>
        <v>0</v>
      </c>
      <c r="AG54" s="25">
        <f t="shared" si="4"/>
        <v>0</v>
      </c>
      <c r="AH54" s="27">
        <f t="shared" si="5"/>
        <v>0</v>
      </c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ht="15.75" customHeight="1">
      <c r="A55" s="23" t="s">
        <v>25</v>
      </c>
      <c r="B55" s="24">
        <f t="shared" si="6"/>
        <v>45344</v>
      </c>
      <c r="C55" s="25">
        <v>2.0</v>
      </c>
      <c r="D55" s="25" t="s">
        <v>31</v>
      </c>
      <c r="E55" s="22"/>
      <c r="F55" s="18"/>
      <c r="H55" s="19"/>
      <c r="J55" s="19"/>
      <c r="L55" s="19"/>
      <c r="N55" s="19"/>
      <c r="P55" s="19"/>
      <c r="Q55" s="20"/>
      <c r="R55" s="18"/>
      <c r="T55" s="19"/>
      <c r="V55" s="19"/>
      <c r="X55" s="19"/>
      <c r="Z55" s="19"/>
      <c r="AB55" s="19"/>
      <c r="AC55" s="20"/>
      <c r="AD55" s="26">
        <f t="shared" si="1"/>
        <v>0</v>
      </c>
      <c r="AE55" s="25">
        <f t="shared" si="2"/>
        <v>0</v>
      </c>
      <c r="AF55" s="25">
        <f t="shared" si="3"/>
        <v>0</v>
      </c>
      <c r="AG55" s="25">
        <f t="shared" si="4"/>
        <v>0</v>
      </c>
      <c r="AH55" s="27">
        <f t="shared" si="5"/>
        <v>0</v>
      </c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ht="15.75" customHeight="1">
      <c r="A56" s="23" t="s">
        <v>26</v>
      </c>
      <c r="B56" s="24">
        <f t="shared" si="6"/>
        <v>45345</v>
      </c>
      <c r="C56" s="25">
        <v>2.0</v>
      </c>
      <c r="D56" s="25" t="s">
        <v>31</v>
      </c>
      <c r="E56" s="22"/>
      <c r="F56" s="18"/>
      <c r="H56" s="19"/>
      <c r="J56" s="19"/>
      <c r="L56" s="19"/>
      <c r="N56" s="19"/>
      <c r="P56" s="19"/>
      <c r="Q56" s="20"/>
      <c r="R56" s="18"/>
      <c r="T56" s="19"/>
      <c r="V56" s="19"/>
      <c r="X56" s="19"/>
      <c r="Z56" s="19"/>
      <c r="AB56" s="19"/>
      <c r="AC56" s="20"/>
      <c r="AD56" s="26">
        <f t="shared" si="1"/>
        <v>0</v>
      </c>
      <c r="AE56" s="25">
        <f t="shared" si="2"/>
        <v>0</v>
      </c>
      <c r="AF56" s="25">
        <f t="shared" si="3"/>
        <v>0</v>
      </c>
      <c r="AG56" s="25">
        <f t="shared" si="4"/>
        <v>0</v>
      </c>
      <c r="AH56" s="27">
        <f t="shared" si="5"/>
        <v>0</v>
      </c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ht="15.75" customHeight="1">
      <c r="A57" s="23" t="s">
        <v>27</v>
      </c>
      <c r="B57" s="24">
        <f t="shared" si="6"/>
        <v>45346</v>
      </c>
      <c r="C57" s="25">
        <v>2.0</v>
      </c>
      <c r="D57" s="25" t="s">
        <v>31</v>
      </c>
      <c r="E57" s="22"/>
      <c r="F57" s="18"/>
      <c r="H57" s="19"/>
      <c r="J57" s="19"/>
      <c r="L57" s="19"/>
      <c r="N57" s="19"/>
      <c r="P57" s="19"/>
      <c r="Q57" s="20"/>
      <c r="R57" s="18"/>
      <c r="T57" s="19"/>
      <c r="V57" s="19"/>
      <c r="X57" s="19"/>
      <c r="Z57" s="19"/>
      <c r="AB57" s="19"/>
      <c r="AC57" s="20"/>
      <c r="AD57" s="26">
        <f t="shared" si="1"/>
        <v>0</v>
      </c>
      <c r="AE57" s="25">
        <f t="shared" si="2"/>
        <v>0</v>
      </c>
      <c r="AF57" s="25">
        <f t="shared" si="3"/>
        <v>0</v>
      </c>
      <c r="AG57" s="25">
        <f t="shared" si="4"/>
        <v>0</v>
      </c>
      <c r="AH57" s="27">
        <f t="shared" si="5"/>
        <v>0</v>
      </c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ht="15.75" customHeight="1">
      <c r="A58" s="28" t="s">
        <v>28</v>
      </c>
      <c r="B58" s="29">
        <f t="shared" si="6"/>
        <v>45347</v>
      </c>
      <c r="C58" s="30">
        <v>2.0</v>
      </c>
      <c r="D58" s="30" t="s">
        <v>31</v>
      </c>
      <c r="E58" s="31"/>
      <c r="F58" s="32"/>
      <c r="G58" s="7"/>
      <c r="H58" s="33"/>
      <c r="I58" s="7"/>
      <c r="J58" s="33"/>
      <c r="K58" s="7"/>
      <c r="L58" s="33"/>
      <c r="M58" s="7"/>
      <c r="N58" s="33"/>
      <c r="O58" s="7"/>
      <c r="P58" s="33"/>
      <c r="Q58" s="34"/>
      <c r="R58" s="32"/>
      <c r="S58" s="7"/>
      <c r="T58" s="33"/>
      <c r="U58" s="7"/>
      <c r="V58" s="33"/>
      <c r="W58" s="7"/>
      <c r="X58" s="33"/>
      <c r="Y58" s="7"/>
      <c r="Z58" s="33"/>
      <c r="AA58" s="7"/>
      <c r="AB58" s="33"/>
      <c r="AC58" s="34"/>
      <c r="AD58" s="35">
        <f t="shared" si="1"/>
        <v>0</v>
      </c>
      <c r="AE58" s="30">
        <f t="shared" si="2"/>
        <v>0</v>
      </c>
      <c r="AF58" s="30">
        <f t="shared" si="3"/>
        <v>0</v>
      </c>
      <c r="AG58" s="30">
        <f t="shared" si="4"/>
        <v>0</v>
      </c>
      <c r="AH58" s="36">
        <f t="shared" si="5"/>
        <v>0</v>
      </c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ht="15.75" customHeight="1">
      <c r="A59" s="14" t="s">
        <v>21</v>
      </c>
      <c r="B59" s="15">
        <f t="shared" si="6"/>
        <v>45348</v>
      </c>
      <c r="C59" s="16">
        <v>3.0</v>
      </c>
      <c r="D59" s="16" t="s">
        <v>22</v>
      </c>
      <c r="E59" s="17"/>
      <c r="F59" s="18"/>
      <c r="H59" s="19"/>
      <c r="J59" s="19"/>
      <c r="L59" s="19"/>
      <c r="N59" s="19"/>
      <c r="P59" s="19"/>
      <c r="Q59" s="20"/>
      <c r="R59" s="18"/>
      <c r="T59" s="19"/>
      <c r="V59" s="19"/>
      <c r="X59" s="19"/>
      <c r="Z59" s="19"/>
      <c r="AB59" s="19"/>
      <c r="AC59" s="20"/>
      <c r="AD59" s="21">
        <f t="shared" si="1"/>
        <v>0</v>
      </c>
      <c r="AE59" s="16">
        <f t="shared" si="2"/>
        <v>0</v>
      </c>
      <c r="AF59" s="16">
        <f t="shared" si="3"/>
        <v>0</v>
      </c>
      <c r="AG59" s="16">
        <f t="shared" si="4"/>
        <v>0</v>
      </c>
      <c r="AH59" s="37">
        <f t="shared" si="5"/>
        <v>0</v>
      </c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ht="15.75" customHeight="1">
      <c r="A60" s="23" t="s">
        <v>23</v>
      </c>
      <c r="B60" s="24">
        <f t="shared" si="6"/>
        <v>45349</v>
      </c>
      <c r="C60" s="25">
        <v>3.0</v>
      </c>
      <c r="D60" s="25" t="s">
        <v>22</v>
      </c>
      <c r="E60" s="22"/>
      <c r="F60" s="18"/>
      <c r="H60" s="19"/>
      <c r="J60" s="19"/>
      <c r="L60" s="19"/>
      <c r="N60" s="19"/>
      <c r="P60" s="19"/>
      <c r="Q60" s="20"/>
      <c r="R60" s="18"/>
      <c r="T60" s="19"/>
      <c r="V60" s="19"/>
      <c r="X60" s="19"/>
      <c r="Z60" s="19"/>
      <c r="AB60" s="19"/>
      <c r="AC60" s="20"/>
      <c r="AD60" s="26">
        <f t="shared" si="1"/>
        <v>0</v>
      </c>
      <c r="AE60" s="25">
        <f t="shared" si="2"/>
        <v>0</v>
      </c>
      <c r="AF60" s="25">
        <f t="shared" si="3"/>
        <v>0</v>
      </c>
      <c r="AG60" s="25">
        <f t="shared" si="4"/>
        <v>0</v>
      </c>
      <c r="AH60" s="27">
        <f t="shared" si="5"/>
        <v>0</v>
      </c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ht="15.75" customHeight="1">
      <c r="A61" s="23" t="s">
        <v>24</v>
      </c>
      <c r="B61" s="24">
        <f t="shared" si="6"/>
        <v>45350</v>
      </c>
      <c r="C61" s="25">
        <v>3.0</v>
      </c>
      <c r="D61" s="25" t="s">
        <v>22</v>
      </c>
      <c r="E61" s="22"/>
      <c r="F61" s="18"/>
      <c r="H61" s="19"/>
      <c r="J61" s="19"/>
      <c r="L61" s="19"/>
      <c r="N61" s="19"/>
      <c r="P61" s="19"/>
      <c r="Q61" s="20"/>
      <c r="R61" s="18"/>
      <c r="T61" s="19"/>
      <c r="V61" s="19"/>
      <c r="X61" s="19"/>
      <c r="Z61" s="19"/>
      <c r="AB61" s="19"/>
      <c r="AC61" s="20"/>
      <c r="AD61" s="26">
        <f t="shared" si="1"/>
        <v>0</v>
      </c>
      <c r="AE61" s="25">
        <f t="shared" si="2"/>
        <v>0</v>
      </c>
      <c r="AF61" s="25">
        <f t="shared" si="3"/>
        <v>0</v>
      </c>
      <c r="AG61" s="25">
        <f t="shared" si="4"/>
        <v>0</v>
      </c>
      <c r="AH61" s="27">
        <f t="shared" si="5"/>
        <v>0</v>
      </c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ht="15.75" customHeight="1">
      <c r="A62" s="23" t="s">
        <v>25</v>
      </c>
      <c r="B62" s="24">
        <f t="shared" si="6"/>
        <v>45351</v>
      </c>
      <c r="C62" s="25">
        <v>3.0</v>
      </c>
      <c r="D62" s="25" t="s">
        <v>22</v>
      </c>
      <c r="E62" s="22"/>
      <c r="F62" s="18"/>
      <c r="H62" s="19"/>
      <c r="J62" s="19"/>
      <c r="L62" s="19"/>
      <c r="N62" s="19"/>
      <c r="P62" s="19"/>
      <c r="Q62" s="20"/>
      <c r="R62" s="18"/>
      <c r="T62" s="19"/>
      <c r="V62" s="19"/>
      <c r="X62" s="19"/>
      <c r="Z62" s="19"/>
      <c r="AB62" s="19"/>
      <c r="AC62" s="20"/>
      <c r="AD62" s="26">
        <f t="shared" si="1"/>
        <v>0</v>
      </c>
      <c r="AE62" s="25">
        <f t="shared" si="2"/>
        <v>0</v>
      </c>
      <c r="AF62" s="25">
        <f t="shared" si="3"/>
        <v>0</v>
      </c>
      <c r="AG62" s="25">
        <f t="shared" si="4"/>
        <v>0</v>
      </c>
      <c r="AH62" s="27">
        <f t="shared" si="5"/>
        <v>0</v>
      </c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ht="15.75" customHeight="1">
      <c r="A63" s="23" t="s">
        <v>26</v>
      </c>
      <c r="B63" s="24">
        <f t="shared" si="6"/>
        <v>45352</v>
      </c>
      <c r="C63" s="25">
        <v>3.0</v>
      </c>
      <c r="D63" s="25" t="s">
        <v>22</v>
      </c>
      <c r="E63" s="22"/>
      <c r="F63" s="18"/>
      <c r="H63" s="19"/>
      <c r="J63" s="19"/>
      <c r="L63" s="19"/>
      <c r="N63" s="19"/>
      <c r="P63" s="19"/>
      <c r="Q63" s="20"/>
      <c r="R63" s="18"/>
      <c r="T63" s="19"/>
      <c r="V63" s="19"/>
      <c r="X63" s="19"/>
      <c r="Z63" s="19"/>
      <c r="AB63" s="19"/>
      <c r="AC63" s="20"/>
      <c r="AD63" s="26">
        <f t="shared" si="1"/>
        <v>0</v>
      </c>
      <c r="AE63" s="25">
        <f t="shared" si="2"/>
        <v>0</v>
      </c>
      <c r="AF63" s="25">
        <f t="shared" si="3"/>
        <v>0</v>
      </c>
      <c r="AG63" s="25">
        <f t="shared" si="4"/>
        <v>0</v>
      </c>
      <c r="AH63" s="27">
        <f t="shared" si="5"/>
        <v>0</v>
      </c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ht="15.75" customHeight="1">
      <c r="A64" s="23" t="s">
        <v>27</v>
      </c>
      <c r="B64" s="24">
        <f t="shared" si="6"/>
        <v>45353</v>
      </c>
      <c r="C64" s="25">
        <v>3.0</v>
      </c>
      <c r="D64" s="25" t="s">
        <v>22</v>
      </c>
      <c r="E64" s="22"/>
      <c r="F64" s="18"/>
      <c r="H64" s="19"/>
      <c r="J64" s="19"/>
      <c r="L64" s="19"/>
      <c r="N64" s="19"/>
      <c r="P64" s="19"/>
      <c r="Q64" s="20"/>
      <c r="R64" s="18"/>
      <c r="T64" s="19"/>
      <c r="V64" s="19"/>
      <c r="X64" s="19"/>
      <c r="Z64" s="19"/>
      <c r="AB64" s="19"/>
      <c r="AC64" s="20"/>
      <c r="AD64" s="26">
        <f t="shared" si="1"/>
        <v>0</v>
      </c>
      <c r="AE64" s="25">
        <f t="shared" si="2"/>
        <v>0</v>
      </c>
      <c r="AF64" s="25">
        <f t="shared" si="3"/>
        <v>0</v>
      </c>
      <c r="AG64" s="25">
        <f t="shared" si="4"/>
        <v>0</v>
      </c>
      <c r="AH64" s="27">
        <f t="shared" si="5"/>
        <v>0</v>
      </c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ht="15.75" customHeight="1">
      <c r="A65" s="28" t="s">
        <v>28</v>
      </c>
      <c r="B65" s="29">
        <f t="shared" si="6"/>
        <v>45354</v>
      </c>
      <c r="C65" s="30">
        <v>3.0</v>
      </c>
      <c r="D65" s="30" t="s">
        <v>22</v>
      </c>
      <c r="E65" s="31"/>
      <c r="F65" s="32"/>
      <c r="G65" s="7"/>
      <c r="H65" s="33"/>
      <c r="I65" s="7"/>
      <c r="J65" s="33"/>
      <c r="K65" s="7"/>
      <c r="L65" s="33"/>
      <c r="M65" s="7"/>
      <c r="N65" s="33"/>
      <c r="O65" s="7"/>
      <c r="P65" s="33"/>
      <c r="Q65" s="34"/>
      <c r="R65" s="32"/>
      <c r="S65" s="7"/>
      <c r="T65" s="33"/>
      <c r="U65" s="7"/>
      <c r="V65" s="33"/>
      <c r="W65" s="7"/>
      <c r="X65" s="33"/>
      <c r="Y65" s="7"/>
      <c r="Z65" s="33"/>
      <c r="AA65" s="7"/>
      <c r="AB65" s="33"/>
      <c r="AC65" s="34"/>
      <c r="AD65" s="35">
        <f t="shared" si="1"/>
        <v>0</v>
      </c>
      <c r="AE65" s="30">
        <f t="shared" si="2"/>
        <v>0</v>
      </c>
      <c r="AF65" s="30">
        <f t="shared" si="3"/>
        <v>0</v>
      </c>
      <c r="AG65" s="30">
        <f t="shared" si="4"/>
        <v>0</v>
      </c>
      <c r="AH65" s="36">
        <f t="shared" si="5"/>
        <v>0</v>
      </c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ht="15.75" customHeight="1">
      <c r="A66" s="14" t="s">
        <v>21</v>
      </c>
      <c r="B66" s="15">
        <f t="shared" si="6"/>
        <v>45355</v>
      </c>
      <c r="C66" s="16">
        <v>3.0</v>
      </c>
      <c r="D66" s="16" t="s">
        <v>29</v>
      </c>
      <c r="E66" s="17"/>
      <c r="F66" s="18"/>
      <c r="H66" s="19"/>
      <c r="J66" s="19"/>
      <c r="L66" s="19"/>
      <c r="N66" s="19"/>
      <c r="P66" s="19"/>
      <c r="Q66" s="20"/>
      <c r="R66" s="18"/>
      <c r="T66" s="19"/>
      <c r="V66" s="19"/>
      <c r="X66" s="19"/>
      <c r="Z66" s="19"/>
      <c r="AB66" s="19"/>
      <c r="AC66" s="20"/>
      <c r="AD66" s="21">
        <f t="shared" si="1"/>
        <v>0</v>
      </c>
      <c r="AE66" s="16">
        <f t="shared" si="2"/>
        <v>0</v>
      </c>
      <c r="AF66" s="16">
        <f t="shared" si="3"/>
        <v>0</v>
      </c>
      <c r="AG66" s="16">
        <f t="shared" si="4"/>
        <v>0</v>
      </c>
      <c r="AH66" s="37">
        <f t="shared" si="5"/>
        <v>0</v>
      </c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ht="15.75" customHeight="1">
      <c r="A67" s="23" t="s">
        <v>23</v>
      </c>
      <c r="B67" s="24">
        <f t="shared" si="6"/>
        <v>45356</v>
      </c>
      <c r="C67" s="25">
        <v>3.0</v>
      </c>
      <c r="D67" s="25" t="s">
        <v>29</v>
      </c>
      <c r="E67" s="22"/>
      <c r="F67" s="18"/>
      <c r="H67" s="19"/>
      <c r="J67" s="19"/>
      <c r="L67" s="19"/>
      <c r="N67" s="19"/>
      <c r="P67" s="19"/>
      <c r="Q67" s="20"/>
      <c r="R67" s="18"/>
      <c r="T67" s="19"/>
      <c r="V67" s="19"/>
      <c r="X67" s="19"/>
      <c r="Z67" s="19"/>
      <c r="AB67" s="19"/>
      <c r="AC67" s="20"/>
      <c r="AD67" s="26">
        <f t="shared" si="1"/>
        <v>0</v>
      </c>
      <c r="AE67" s="25">
        <f t="shared" si="2"/>
        <v>0</v>
      </c>
      <c r="AF67" s="25">
        <f t="shared" si="3"/>
        <v>0</v>
      </c>
      <c r="AG67" s="25">
        <f t="shared" si="4"/>
        <v>0</v>
      </c>
      <c r="AH67" s="27">
        <f t="shared" si="5"/>
        <v>0</v>
      </c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ht="15.75" customHeight="1">
      <c r="A68" s="23" t="s">
        <v>24</v>
      </c>
      <c r="B68" s="24">
        <f t="shared" si="6"/>
        <v>45357</v>
      </c>
      <c r="C68" s="25">
        <v>3.0</v>
      </c>
      <c r="D68" s="25" t="s">
        <v>29</v>
      </c>
      <c r="E68" s="22"/>
      <c r="F68" s="18"/>
      <c r="H68" s="19"/>
      <c r="J68" s="19"/>
      <c r="L68" s="19"/>
      <c r="N68" s="19"/>
      <c r="P68" s="19"/>
      <c r="Q68" s="20"/>
      <c r="R68" s="18"/>
      <c r="T68" s="19"/>
      <c r="V68" s="19"/>
      <c r="X68" s="19"/>
      <c r="Z68" s="19"/>
      <c r="AB68" s="19"/>
      <c r="AC68" s="20"/>
      <c r="AD68" s="26">
        <f t="shared" si="1"/>
        <v>0</v>
      </c>
      <c r="AE68" s="25">
        <f t="shared" si="2"/>
        <v>0</v>
      </c>
      <c r="AF68" s="25">
        <f t="shared" si="3"/>
        <v>0</v>
      </c>
      <c r="AG68" s="25">
        <f t="shared" si="4"/>
        <v>0</v>
      </c>
      <c r="AH68" s="27">
        <f t="shared" si="5"/>
        <v>0</v>
      </c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ht="15.75" customHeight="1">
      <c r="A69" s="23" t="s">
        <v>25</v>
      </c>
      <c r="B69" s="24">
        <f t="shared" si="6"/>
        <v>45358</v>
      </c>
      <c r="C69" s="25">
        <v>3.0</v>
      </c>
      <c r="D69" s="25" t="s">
        <v>29</v>
      </c>
      <c r="E69" s="22"/>
      <c r="F69" s="18"/>
      <c r="H69" s="19"/>
      <c r="J69" s="19"/>
      <c r="L69" s="19"/>
      <c r="N69" s="19"/>
      <c r="P69" s="19"/>
      <c r="Q69" s="20"/>
      <c r="R69" s="18"/>
      <c r="T69" s="19"/>
      <c r="V69" s="19"/>
      <c r="X69" s="19"/>
      <c r="Z69" s="19"/>
      <c r="AB69" s="19"/>
      <c r="AC69" s="20"/>
      <c r="AD69" s="26">
        <f t="shared" si="1"/>
        <v>0</v>
      </c>
      <c r="AE69" s="25">
        <f t="shared" si="2"/>
        <v>0</v>
      </c>
      <c r="AF69" s="25">
        <f t="shared" si="3"/>
        <v>0</v>
      </c>
      <c r="AG69" s="25">
        <f t="shared" si="4"/>
        <v>0</v>
      </c>
      <c r="AH69" s="27">
        <f t="shared" si="5"/>
        <v>0</v>
      </c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ht="15.75" customHeight="1">
      <c r="A70" s="23" t="s">
        <v>26</v>
      </c>
      <c r="B70" s="24">
        <f t="shared" si="6"/>
        <v>45359</v>
      </c>
      <c r="C70" s="25">
        <v>3.0</v>
      </c>
      <c r="D70" s="25" t="s">
        <v>29</v>
      </c>
      <c r="E70" s="22"/>
      <c r="F70" s="18"/>
      <c r="H70" s="19"/>
      <c r="J70" s="19"/>
      <c r="L70" s="19"/>
      <c r="N70" s="19"/>
      <c r="P70" s="19"/>
      <c r="Q70" s="20"/>
      <c r="R70" s="18"/>
      <c r="T70" s="19"/>
      <c r="V70" s="19"/>
      <c r="X70" s="19"/>
      <c r="Z70" s="19"/>
      <c r="AB70" s="19"/>
      <c r="AC70" s="20"/>
      <c r="AD70" s="26">
        <f t="shared" si="1"/>
        <v>0</v>
      </c>
      <c r="AE70" s="25">
        <f t="shared" si="2"/>
        <v>0</v>
      </c>
      <c r="AF70" s="25">
        <f t="shared" si="3"/>
        <v>0</v>
      </c>
      <c r="AG70" s="25">
        <f t="shared" si="4"/>
        <v>0</v>
      </c>
      <c r="AH70" s="27">
        <f t="shared" si="5"/>
        <v>0</v>
      </c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ht="15.75" customHeight="1">
      <c r="A71" s="23" t="s">
        <v>27</v>
      </c>
      <c r="B71" s="24">
        <f t="shared" si="6"/>
        <v>45360</v>
      </c>
      <c r="C71" s="25">
        <v>3.0</v>
      </c>
      <c r="D71" s="25" t="s">
        <v>29</v>
      </c>
      <c r="E71" s="22"/>
      <c r="F71" s="18"/>
      <c r="H71" s="19"/>
      <c r="J71" s="19"/>
      <c r="L71" s="19"/>
      <c r="N71" s="19"/>
      <c r="P71" s="19"/>
      <c r="Q71" s="20"/>
      <c r="R71" s="18"/>
      <c r="T71" s="19"/>
      <c r="V71" s="19"/>
      <c r="X71" s="19"/>
      <c r="Z71" s="19"/>
      <c r="AB71" s="19"/>
      <c r="AC71" s="20"/>
      <c r="AD71" s="26">
        <f t="shared" si="1"/>
        <v>0</v>
      </c>
      <c r="AE71" s="25">
        <f t="shared" si="2"/>
        <v>0</v>
      </c>
      <c r="AF71" s="25">
        <f t="shared" si="3"/>
        <v>0</v>
      </c>
      <c r="AG71" s="25">
        <f t="shared" si="4"/>
        <v>0</v>
      </c>
      <c r="AH71" s="27">
        <f t="shared" si="5"/>
        <v>0</v>
      </c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ht="15.75" customHeight="1">
      <c r="A72" s="28" t="s">
        <v>28</v>
      </c>
      <c r="B72" s="29">
        <f t="shared" si="6"/>
        <v>45361</v>
      </c>
      <c r="C72" s="30">
        <v>3.0</v>
      </c>
      <c r="D72" s="30" t="s">
        <v>29</v>
      </c>
      <c r="E72" s="31"/>
      <c r="F72" s="32"/>
      <c r="G72" s="7"/>
      <c r="H72" s="33"/>
      <c r="I72" s="7"/>
      <c r="J72" s="33"/>
      <c r="K72" s="7"/>
      <c r="L72" s="33"/>
      <c r="M72" s="7"/>
      <c r="N72" s="33"/>
      <c r="O72" s="7"/>
      <c r="P72" s="33"/>
      <c r="Q72" s="34"/>
      <c r="R72" s="32"/>
      <c r="S72" s="7"/>
      <c r="T72" s="33"/>
      <c r="U72" s="7"/>
      <c r="V72" s="33"/>
      <c r="W72" s="7"/>
      <c r="X72" s="33"/>
      <c r="Y72" s="7"/>
      <c r="Z72" s="33"/>
      <c r="AA72" s="7"/>
      <c r="AB72" s="33"/>
      <c r="AC72" s="34"/>
      <c r="AD72" s="35">
        <f t="shared" si="1"/>
        <v>0</v>
      </c>
      <c r="AE72" s="30">
        <f t="shared" si="2"/>
        <v>0</v>
      </c>
      <c r="AF72" s="30">
        <f t="shared" si="3"/>
        <v>0</v>
      </c>
      <c r="AG72" s="30">
        <f t="shared" si="4"/>
        <v>0</v>
      </c>
      <c r="AH72" s="36">
        <f t="shared" si="5"/>
        <v>0</v>
      </c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ht="15.75" customHeight="1">
      <c r="A73" s="14" t="s">
        <v>21</v>
      </c>
      <c r="B73" s="15">
        <f t="shared" si="6"/>
        <v>45362</v>
      </c>
      <c r="C73" s="16">
        <v>3.0</v>
      </c>
      <c r="D73" s="16" t="s">
        <v>30</v>
      </c>
      <c r="E73" s="17"/>
      <c r="F73" s="18"/>
      <c r="H73" s="19"/>
      <c r="J73" s="19"/>
      <c r="L73" s="19"/>
      <c r="N73" s="19"/>
      <c r="P73" s="19"/>
      <c r="Q73" s="20"/>
      <c r="R73" s="18"/>
      <c r="T73" s="19"/>
      <c r="V73" s="19"/>
      <c r="X73" s="19"/>
      <c r="Z73" s="19"/>
      <c r="AB73" s="19"/>
      <c r="AC73" s="20"/>
      <c r="AD73" s="21">
        <f t="shared" si="1"/>
        <v>0</v>
      </c>
      <c r="AE73" s="16">
        <f t="shared" si="2"/>
        <v>0</v>
      </c>
      <c r="AF73" s="16">
        <f t="shared" si="3"/>
        <v>0</v>
      </c>
      <c r="AG73" s="16">
        <f t="shared" si="4"/>
        <v>0</v>
      </c>
      <c r="AH73" s="37">
        <f t="shared" si="5"/>
        <v>0</v>
      </c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ht="15.75" customHeight="1">
      <c r="A74" s="23" t="s">
        <v>23</v>
      </c>
      <c r="B74" s="24">
        <f t="shared" si="6"/>
        <v>45363</v>
      </c>
      <c r="C74" s="25">
        <v>3.0</v>
      </c>
      <c r="D74" s="25" t="s">
        <v>30</v>
      </c>
      <c r="E74" s="22"/>
      <c r="F74" s="18"/>
      <c r="H74" s="19"/>
      <c r="J74" s="19"/>
      <c r="L74" s="19"/>
      <c r="N74" s="19"/>
      <c r="P74" s="19"/>
      <c r="Q74" s="20"/>
      <c r="R74" s="18"/>
      <c r="T74" s="19"/>
      <c r="V74" s="19"/>
      <c r="X74" s="19"/>
      <c r="Z74" s="19"/>
      <c r="AB74" s="19"/>
      <c r="AC74" s="20"/>
      <c r="AD74" s="26">
        <f t="shared" si="1"/>
        <v>0</v>
      </c>
      <c r="AE74" s="25">
        <f t="shared" si="2"/>
        <v>0</v>
      </c>
      <c r="AF74" s="25">
        <f t="shared" si="3"/>
        <v>0</v>
      </c>
      <c r="AG74" s="25">
        <f t="shared" si="4"/>
        <v>0</v>
      </c>
      <c r="AH74" s="27">
        <f t="shared" si="5"/>
        <v>0</v>
      </c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ht="15.75" customHeight="1">
      <c r="A75" s="23" t="s">
        <v>24</v>
      </c>
      <c r="B75" s="24">
        <f t="shared" si="6"/>
        <v>45364</v>
      </c>
      <c r="C75" s="25">
        <v>3.0</v>
      </c>
      <c r="D75" s="25" t="s">
        <v>30</v>
      </c>
      <c r="E75" s="22"/>
      <c r="F75" s="18"/>
      <c r="H75" s="19"/>
      <c r="J75" s="19"/>
      <c r="L75" s="19"/>
      <c r="N75" s="19"/>
      <c r="P75" s="19"/>
      <c r="Q75" s="20"/>
      <c r="R75" s="18"/>
      <c r="T75" s="19"/>
      <c r="V75" s="19"/>
      <c r="X75" s="19"/>
      <c r="Z75" s="19"/>
      <c r="AB75" s="19"/>
      <c r="AC75" s="20"/>
      <c r="AD75" s="26">
        <f t="shared" si="1"/>
        <v>0</v>
      </c>
      <c r="AE75" s="25">
        <f t="shared" si="2"/>
        <v>0</v>
      </c>
      <c r="AF75" s="25">
        <f t="shared" si="3"/>
        <v>0</v>
      </c>
      <c r="AG75" s="25">
        <f t="shared" si="4"/>
        <v>0</v>
      </c>
      <c r="AH75" s="27">
        <f t="shared" si="5"/>
        <v>0</v>
      </c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ht="15.75" customHeight="1">
      <c r="A76" s="23" t="s">
        <v>25</v>
      </c>
      <c r="B76" s="24">
        <f t="shared" si="6"/>
        <v>45365</v>
      </c>
      <c r="C76" s="25">
        <v>3.0</v>
      </c>
      <c r="D76" s="25" t="s">
        <v>30</v>
      </c>
      <c r="E76" s="22"/>
      <c r="F76" s="18"/>
      <c r="H76" s="19"/>
      <c r="J76" s="19"/>
      <c r="L76" s="19"/>
      <c r="N76" s="19"/>
      <c r="P76" s="19"/>
      <c r="Q76" s="20"/>
      <c r="R76" s="18"/>
      <c r="T76" s="19"/>
      <c r="V76" s="19"/>
      <c r="X76" s="19"/>
      <c r="Z76" s="19"/>
      <c r="AB76" s="19"/>
      <c r="AC76" s="20"/>
      <c r="AD76" s="26">
        <f t="shared" si="1"/>
        <v>0</v>
      </c>
      <c r="AE76" s="25">
        <f t="shared" si="2"/>
        <v>0</v>
      </c>
      <c r="AF76" s="25">
        <f t="shared" si="3"/>
        <v>0</v>
      </c>
      <c r="AG76" s="25">
        <f t="shared" si="4"/>
        <v>0</v>
      </c>
      <c r="AH76" s="27">
        <f t="shared" si="5"/>
        <v>0</v>
      </c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ht="15.75" customHeight="1">
      <c r="A77" s="23" t="s">
        <v>26</v>
      </c>
      <c r="B77" s="24">
        <f t="shared" si="6"/>
        <v>45366</v>
      </c>
      <c r="C77" s="25">
        <v>3.0</v>
      </c>
      <c r="D77" s="25" t="s">
        <v>30</v>
      </c>
      <c r="E77" s="22"/>
      <c r="F77" s="18"/>
      <c r="H77" s="19"/>
      <c r="J77" s="19"/>
      <c r="L77" s="19"/>
      <c r="N77" s="19"/>
      <c r="P77" s="19"/>
      <c r="Q77" s="20"/>
      <c r="R77" s="18"/>
      <c r="T77" s="19"/>
      <c r="V77" s="19"/>
      <c r="X77" s="19"/>
      <c r="Z77" s="19"/>
      <c r="AB77" s="19"/>
      <c r="AC77" s="20"/>
      <c r="AD77" s="26">
        <f t="shared" si="1"/>
        <v>0</v>
      </c>
      <c r="AE77" s="25">
        <f t="shared" si="2"/>
        <v>0</v>
      </c>
      <c r="AF77" s="25">
        <f t="shared" si="3"/>
        <v>0</v>
      </c>
      <c r="AG77" s="25">
        <f t="shared" si="4"/>
        <v>0</v>
      </c>
      <c r="AH77" s="27">
        <f t="shared" si="5"/>
        <v>0</v>
      </c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ht="15.75" customHeight="1">
      <c r="A78" s="23" t="s">
        <v>27</v>
      </c>
      <c r="B78" s="24">
        <f t="shared" si="6"/>
        <v>45367</v>
      </c>
      <c r="C78" s="25">
        <v>3.0</v>
      </c>
      <c r="D78" s="25" t="s">
        <v>30</v>
      </c>
      <c r="E78" s="22"/>
      <c r="F78" s="18"/>
      <c r="H78" s="19"/>
      <c r="J78" s="19"/>
      <c r="L78" s="19"/>
      <c r="N78" s="19"/>
      <c r="P78" s="19"/>
      <c r="Q78" s="20"/>
      <c r="R78" s="18"/>
      <c r="T78" s="19"/>
      <c r="V78" s="19"/>
      <c r="X78" s="19"/>
      <c r="Z78" s="19"/>
      <c r="AB78" s="19"/>
      <c r="AC78" s="20"/>
      <c r="AD78" s="26">
        <f t="shared" si="1"/>
        <v>0</v>
      </c>
      <c r="AE78" s="25">
        <f t="shared" si="2"/>
        <v>0</v>
      </c>
      <c r="AF78" s="25">
        <f t="shared" si="3"/>
        <v>0</v>
      </c>
      <c r="AG78" s="25">
        <f t="shared" si="4"/>
        <v>0</v>
      </c>
      <c r="AH78" s="27">
        <f t="shared" si="5"/>
        <v>0</v>
      </c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ht="15.75" customHeight="1">
      <c r="A79" s="28" t="s">
        <v>28</v>
      </c>
      <c r="B79" s="29">
        <f t="shared" si="6"/>
        <v>45368</v>
      </c>
      <c r="C79" s="30">
        <v>3.0</v>
      </c>
      <c r="D79" s="30" t="s">
        <v>30</v>
      </c>
      <c r="E79" s="31"/>
      <c r="F79" s="32"/>
      <c r="G79" s="7"/>
      <c r="H79" s="33"/>
      <c r="I79" s="7"/>
      <c r="J79" s="33"/>
      <c r="K79" s="7"/>
      <c r="L79" s="33"/>
      <c r="M79" s="7"/>
      <c r="N79" s="33"/>
      <c r="O79" s="7"/>
      <c r="P79" s="33"/>
      <c r="Q79" s="34"/>
      <c r="R79" s="32"/>
      <c r="S79" s="7"/>
      <c r="T79" s="33"/>
      <c r="U79" s="7"/>
      <c r="V79" s="33"/>
      <c r="W79" s="7"/>
      <c r="X79" s="33"/>
      <c r="Y79" s="7"/>
      <c r="Z79" s="33"/>
      <c r="AA79" s="7"/>
      <c r="AB79" s="33"/>
      <c r="AC79" s="34"/>
      <c r="AD79" s="35">
        <f t="shared" si="1"/>
        <v>0</v>
      </c>
      <c r="AE79" s="30">
        <f t="shared" si="2"/>
        <v>0</v>
      </c>
      <c r="AF79" s="30">
        <f t="shared" si="3"/>
        <v>0</v>
      </c>
      <c r="AG79" s="30">
        <f t="shared" si="4"/>
        <v>0</v>
      </c>
      <c r="AH79" s="36">
        <f t="shared" si="5"/>
        <v>0</v>
      </c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ht="15.75" customHeight="1">
      <c r="A80" s="14" t="s">
        <v>21</v>
      </c>
      <c r="B80" s="15">
        <f t="shared" si="6"/>
        <v>45369</v>
      </c>
      <c r="C80" s="16">
        <v>3.0</v>
      </c>
      <c r="D80" s="16" t="s">
        <v>31</v>
      </c>
      <c r="E80" s="17"/>
      <c r="F80" s="18"/>
      <c r="H80" s="19"/>
      <c r="J80" s="19"/>
      <c r="L80" s="19"/>
      <c r="N80" s="19"/>
      <c r="P80" s="19"/>
      <c r="Q80" s="20"/>
      <c r="R80" s="18"/>
      <c r="T80" s="19"/>
      <c r="V80" s="19"/>
      <c r="X80" s="19"/>
      <c r="Z80" s="19"/>
      <c r="AB80" s="19"/>
      <c r="AC80" s="20"/>
      <c r="AD80" s="21">
        <f t="shared" si="1"/>
        <v>0</v>
      </c>
      <c r="AE80" s="16">
        <f t="shared" si="2"/>
        <v>0</v>
      </c>
      <c r="AF80" s="16">
        <f t="shared" si="3"/>
        <v>0</v>
      </c>
      <c r="AG80" s="16">
        <f t="shared" si="4"/>
        <v>0</v>
      </c>
      <c r="AH80" s="37">
        <f t="shared" si="5"/>
        <v>0</v>
      </c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ht="15.75" customHeight="1">
      <c r="A81" s="23" t="s">
        <v>23</v>
      </c>
      <c r="B81" s="24">
        <f t="shared" si="6"/>
        <v>45370</v>
      </c>
      <c r="C81" s="25">
        <v>3.0</v>
      </c>
      <c r="D81" s="25" t="s">
        <v>31</v>
      </c>
      <c r="E81" s="22"/>
      <c r="F81" s="18"/>
      <c r="H81" s="19"/>
      <c r="J81" s="19"/>
      <c r="L81" s="19"/>
      <c r="N81" s="19"/>
      <c r="P81" s="19"/>
      <c r="Q81" s="20"/>
      <c r="R81" s="18"/>
      <c r="T81" s="19"/>
      <c r="V81" s="19"/>
      <c r="X81" s="19"/>
      <c r="Z81" s="19"/>
      <c r="AB81" s="19"/>
      <c r="AC81" s="20"/>
      <c r="AD81" s="26">
        <f t="shared" si="1"/>
        <v>0</v>
      </c>
      <c r="AE81" s="25">
        <f t="shared" si="2"/>
        <v>0</v>
      </c>
      <c r="AF81" s="25">
        <f t="shared" si="3"/>
        <v>0</v>
      </c>
      <c r="AG81" s="25">
        <f t="shared" si="4"/>
        <v>0</v>
      </c>
      <c r="AH81" s="27">
        <f t="shared" si="5"/>
        <v>0</v>
      </c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ht="15.75" customHeight="1">
      <c r="A82" s="23" t="s">
        <v>24</v>
      </c>
      <c r="B82" s="24">
        <f t="shared" si="6"/>
        <v>45371</v>
      </c>
      <c r="C82" s="25">
        <v>3.0</v>
      </c>
      <c r="D82" s="25" t="s">
        <v>31</v>
      </c>
      <c r="E82" s="22"/>
      <c r="F82" s="18"/>
      <c r="H82" s="19"/>
      <c r="J82" s="19"/>
      <c r="L82" s="19"/>
      <c r="N82" s="19"/>
      <c r="P82" s="19"/>
      <c r="Q82" s="20"/>
      <c r="R82" s="18"/>
      <c r="T82" s="19"/>
      <c r="V82" s="19"/>
      <c r="X82" s="19"/>
      <c r="Z82" s="19"/>
      <c r="AB82" s="19"/>
      <c r="AC82" s="20"/>
      <c r="AD82" s="26">
        <f t="shared" si="1"/>
        <v>0</v>
      </c>
      <c r="AE82" s="25">
        <f t="shared" si="2"/>
        <v>0</v>
      </c>
      <c r="AF82" s="25">
        <f t="shared" si="3"/>
        <v>0</v>
      </c>
      <c r="AG82" s="25">
        <f t="shared" si="4"/>
        <v>0</v>
      </c>
      <c r="AH82" s="27">
        <f t="shared" si="5"/>
        <v>0</v>
      </c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ht="15.75" customHeight="1">
      <c r="A83" s="23" t="s">
        <v>25</v>
      </c>
      <c r="B83" s="24">
        <f t="shared" si="6"/>
        <v>45372</v>
      </c>
      <c r="C83" s="25">
        <v>3.0</v>
      </c>
      <c r="D83" s="25" t="s">
        <v>31</v>
      </c>
      <c r="E83" s="22"/>
      <c r="F83" s="18"/>
      <c r="H83" s="19"/>
      <c r="J83" s="19"/>
      <c r="L83" s="19"/>
      <c r="N83" s="19"/>
      <c r="P83" s="19"/>
      <c r="Q83" s="20"/>
      <c r="R83" s="18"/>
      <c r="T83" s="19"/>
      <c r="V83" s="19"/>
      <c r="X83" s="19"/>
      <c r="Z83" s="19"/>
      <c r="AB83" s="19"/>
      <c r="AC83" s="20"/>
      <c r="AD83" s="26">
        <f t="shared" si="1"/>
        <v>0</v>
      </c>
      <c r="AE83" s="25">
        <f t="shared" si="2"/>
        <v>0</v>
      </c>
      <c r="AF83" s="25">
        <f t="shared" si="3"/>
        <v>0</v>
      </c>
      <c r="AG83" s="25">
        <f t="shared" si="4"/>
        <v>0</v>
      </c>
      <c r="AH83" s="27">
        <f t="shared" si="5"/>
        <v>0</v>
      </c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ht="15.75" customHeight="1">
      <c r="A84" s="23" t="s">
        <v>26</v>
      </c>
      <c r="B84" s="24">
        <f t="shared" si="6"/>
        <v>45373</v>
      </c>
      <c r="C84" s="25">
        <v>3.0</v>
      </c>
      <c r="D84" s="25" t="s">
        <v>31</v>
      </c>
      <c r="E84" s="22"/>
      <c r="F84" s="18"/>
      <c r="H84" s="19"/>
      <c r="J84" s="19"/>
      <c r="L84" s="19"/>
      <c r="N84" s="19"/>
      <c r="P84" s="19"/>
      <c r="Q84" s="20"/>
      <c r="R84" s="18"/>
      <c r="T84" s="19"/>
      <c r="V84" s="19"/>
      <c r="X84" s="19"/>
      <c r="Z84" s="19"/>
      <c r="AB84" s="19"/>
      <c r="AC84" s="20"/>
      <c r="AD84" s="26">
        <f t="shared" si="1"/>
        <v>0</v>
      </c>
      <c r="AE84" s="25">
        <f t="shared" si="2"/>
        <v>0</v>
      </c>
      <c r="AF84" s="25">
        <f t="shared" si="3"/>
        <v>0</v>
      </c>
      <c r="AG84" s="25">
        <f t="shared" si="4"/>
        <v>0</v>
      </c>
      <c r="AH84" s="27">
        <f t="shared" si="5"/>
        <v>0</v>
      </c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ht="15.75" customHeight="1">
      <c r="A85" s="23" t="s">
        <v>27</v>
      </c>
      <c r="B85" s="24">
        <f t="shared" si="6"/>
        <v>45374</v>
      </c>
      <c r="C85" s="25">
        <v>3.0</v>
      </c>
      <c r="D85" s="25" t="s">
        <v>31</v>
      </c>
      <c r="E85" s="22"/>
      <c r="F85" s="18"/>
      <c r="H85" s="19"/>
      <c r="J85" s="19"/>
      <c r="L85" s="19"/>
      <c r="N85" s="19"/>
      <c r="P85" s="19"/>
      <c r="Q85" s="20"/>
      <c r="R85" s="18"/>
      <c r="T85" s="19"/>
      <c r="V85" s="19"/>
      <c r="X85" s="19"/>
      <c r="Z85" s="19"/>
      <c r="AB85" s="19"/>
      <c r="AC85" s="20"/>
      <c r="AD85" s="26">
        <f t="shared" si="1"/>
        <v>0</v>
      </c>
      <c r="AE85" s="25">
        <f t="shared" si="2"/>
        <v>0</v>
      </c>
      <c r="AF85" s="25">
        <f t="shared" si="3"/>
        <v>0</v>
      </c>
      <c r="AG85" s="25">
        <f t="shared" si="4"/>
        <v>0</v>
      </c>
      <c r="AH85" s="27">
        <f t="shared" si="5"/>
        <v>0</v>
      </c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ht="15.75" customHeight="1">
      <c r="A86" s="28" t="s">
        <v>28</v>
      </c>
      <c r="B86" s="29">
        <f t="shared" si="6"/>
        <v>45375</v>
      </c>
      <c r="C86" s="30">
        <v>3.0</v>
      </c>
      <c r="D86" s="30" t="s">
        <v>31</v>
      </c>
      <c r="E86" s="31"/>
      <c r="F86" s="32"/>
      <c r="G86" s="7"/>
      <c r="H86" s="33"/>
      <c r="I86" s="7"/>
      <c r="J86" s="33"/>
      <c r="K86" s="7"/>
      <c r="L86" s="33"/>
      <c r="M86" s="7"/>
      <c r="N86" s="33"/>
      <c r="O86" s="7"/>
      <c r="P86" s="33"/>
      <c r="Q86" s="34"/>
      <c r="R86" s="32"/>
      <c r="S86" s="7"/>
      <c r="T86" s="33"/>
      <c r="U86" s="7"/>
      <c r="V86" s="33"/>
      <c r="W86" s="7"/>
      <c r="X86" s="33"/>
      <c r="Y86" s="7"/>
      <c r="Z86" s="33"/>
      <c r="AA86" s="7"/>
      <c r="AB86" s="33"/>
      <c r="AC86" s="34"/>
      <c r="AD86" s="35">
        <f t="shared" si="1"/>
        <v>0</v>
      </c>
      <c r="AE86" s="30">
        <f t="shared" si="2"/>
        <v>0</v>
      </c>
      <c r="AF86" s="30">
        <f t="shared" si="3"/>
        <v>0</v>
      </c>
      <c r="AG86" s="30">
        <f t="shared" si="4"/>
        <v>0</v>
      </c>
      <c r="AH86" s="36">
        <f t="shared" si="5"/>
        <v>0</v>
      </c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ht="15.75" customHeight="1">
      <c r="A87" s="14" t="s">
        <v>21</v>
      </c>
      <c r="B87" s="15">
        <f t="shared" si="6"/>
        <v>45376</v>
      </c>
      <c r="C87" s="16">
        <v>4.0</v>
      </c>
      <c r="D87" s="16" t="s">
        <v>22</v>
      </c>
      <c r="E87" s="17"/>
      <c r="F87" s="18">
        <v>0.0</v>
      </c>
      <c r="H87" s="19">
        <v>0.0</v>
      </c>
      <c r="J87" s="19">
        <v>0.0</v>
      </c>
      <c r="L87" s="19">
        <v>0.0</v>
      </c>
      <c r="N87" s="19">
        <v>0.0</v>
      </c>
      <c r="P87" s="19">
        <v>0.0</v>
      </c>
      <c r="Q87" s="20"/>
      <c r="R87" s="18"/>
      <c r="T87" s="19"/>
      <c r="V87" s="19"/>
      <c r="X87" s="19"/>
      <c r="Z87" s="19"/>
      <c r="AB87" s="19"/>
      <c r="AC87" s="20"/>
      <c r="AD87" s="21">
        <f t="shared" si="1"/>
        <v>0</v>
      </c>
      <c r="AE87" s="16">
        <f t="shared" si="2"/>
        <v>0</v>
      </c>
      <c r="AF87" s="16">
        <f t="shared" si="3"/>
        <v>0</v>
      </c>
      <c r="AG87" s="16">
        <f t="shared" si="4"/>
        <v>0</v>
      </c>
      <c r="AH87" s="37">
        <f t="shared" si="5"/>
        <v>0</v>
      </c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ht="15.75" customHeight="1">
      <c r="A88" s="23" t="s">
        <v>23</v>
      </c>
      <c r="B88" s="24">
        <f t="shared" si="6"/>
        <v>45377</v>
      </c>
      <c r="C88" s="25">
        <v>4.0</v>
      </c>
      <c r="D88" s="25" t="s">
        <v>22</v>
      </c>
      <c r="E88" s="22"/>
      <c r="F88" s="18">
        <v>0.0</v>
      </c>
      <c r="H88" s="19">
        <v>0.0</v>
      </c>
      <c r="J88" s="19">
        <v>0.0</v>
      </c>
      <c r="L88" s="19">
        <v>0.0</v>
      </c>
      <c r="N88" s="19">
        <v>0.0</v>
      </c>
      <c r="P88" s="19">
        <v>0.0</v>
      </c>
      <c r="Q88" s="20"/>
      <c r="R88" s="18"/>
      <c r="T88" s="19"/>
      <c r="V88" s="19"/>
      <c r="X88" s="19"/>
      <c r="Z88" s="19"/>
      <c r="AB88" s="19"/>
      <c r="AC88" s="20"/>
      <c r="AD88" s="26">
        <f t="shared" si="1"/>
        <v>0</v>
      </c>
      <c r="AE88" s="25">
        <f t="shared" si="2"/>
        <v>0</v>
      </c>
      <c r="AF88" s="25">
        <f t="shared" si="3"/>
        <v>0</v>
      </c>
      <c r="AG88" s="25">
        <f t="shared" si="4"/>
        <v>0</v>
      </c>
      <c r="AH88" s="27">
        <f t="shared" si="5"/>
        <v>0</v>
      </c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ht="15.75" customHeight="1">
      <c r="A89" s="23" t="s">
        <v>24</v>
      </c>
      <c r="B89" s="24">
        <f t="shared" si="6"/>
        <v>45378</v>
      </c>
      <c r="C89" s="25">
        <v>4.0</v>
      </c>
      <c r="D89" s="25" t="s">
        <v>22</v>
      </c>
      <c r="E89" s="22"/>
      <c r="F89" s="18">
        <v>0.0</v>
      </c>
      <c r="H89" s="19">
        <v>0.0</v>
      </c>
      <c r="J89" s="19">
        <v>0.0</v>
      </c>
      <c r="L89" s="19">
        <v>0.0</v>
      </c>
      <c r="N89" s="19">
        <v>0.0</v>
      </c>
      <c r="P89" s="19">
        <v>0.0</v>
      </c>
      <c r="Q89" s="20"/>
      <c r="R89" s="18"/>
      <c r="T89" s="19"/>
      <c r="V89" s="19"/>
      <c r="X89" s="19"/>
      <c r="Z89" s="19"/>
      <c r="AB89" s="19"/>
      <c r="AC89" s="20"/>
      <c r="AD89" s="26">
        <f t="shared" si="1"/>
        <v>0</v>
      </c>
      <c r="AE89" s="25">
        <f t="shared" si="2"/>
        <v>0</v>
      </c>
      <c r="AF89" s="25">
        <f t="shared" si="3"/>
        <v>0</v>
      </c>
      <c r="AG89" s="25">
        <f t="shared" si="4"/>
        <v>0</v>
      </c>
      <c r="AH89" s="27">
        <f t="shared" si="5"/>
        <v>0</v>
      </c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ht="15.75" customHeight="1">
      <c r="A90" s="23" t="s">
        <v>25</v>
      </c>
      <c r="B90" s="24">
        <f t="shared" si="6"/>
        <v>45379</v>
      </c>
      <c r="C90" s="25">
        <v>4.0</v>
      </c>
      <c r="D90" s="25" t="s">
        <v>22</v>
      </c>
      <c r="E90" s="22"/>
      <c r="F90" s="18">
        <v>0.0</v>
      </c>
      <c r="H90" s="19">
        <v>0.0</v>
      </c>
      <c r="J90" s="19">
        <v>0.0</v>
      </c>
      <c r="L90" s="19">
        <v>0.0</v>
      </c>
      <c r="N90" s="19">
        <v>0.0</v>
      </c>
      <c r="P90" s="19">
        <v>0.0</v>
      </c>
      <c r="Q90" s="20"/>
      <c r="R90" s="18"/>
      <c r="T90" s="19"/>
      <c r="V90" s="19"/>
      <c r="X90" s="19"/>
      <c r="Z90" s="19"/>
      <c r="AB90" s="19"/>
      <c r="AC90" s="20"/>
      <c r="AD90" s="26">
        <f t="shared" si="1"/>
        <v>0</v>
      </c>
      <c r="AE90" s="25">
        <f t="shared" si="2"/>
        <v>0</v>
      </c>
      <c r="AF90" s="25">
        <f t="shared" si="3"/>
        <v>0</v>
      </c>
      <c r="AG90" s="25">
        <f t="shared" si="4"/>
        <v>0</v>
      </c>
      <c r="AH90" s="27">
        <f t="shared" si="5"/>
        <v>0</v>
      </c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ht="16.5" customHeight="1">
      <c r="A91" s="23" t="s">
        <v>26</v>
      </c>
      <c r="B91" s="24">
        <f t="shared" si="6"/>
        <v>45380</v>
      </c>
      <c r="C91" s="25">
        <v>4.0</v>
      </c>
      <c r="D91" s="25" t="s">
        <v>22</v>
      </c>
      <c r="E91" s="22" t="s">
        <v>32</v>
      </c>
      <c r="F91" s="18">
        <v>0.0</v>
      </c>
      <c r="H91" s="19">
        <v>45.0</v>
      </c>
      <c r="J91" s="19">
        <v>45.0</v>
      </c>
      <c r="L91" s="19">
        <v>0.0</v>
      </c>
      <c r="N91" s="19">
        <v>45.0</v>
      </c>
      <c r="P91" s="19">
        <v>0.0</v>
      </c>
      <c r="Q91" s="20"/>
      <c r="R91" s="18"/>
      <c r="T91" s="19"/>
      <c r="V91" s="19"/>
      <c r="X91" s="19"/>
      <c r="Z91" s="19"/>
      <c r="AB91" s="19"/>
      <c r="AC91" s="20"/>
      <c r="AD91" s="26">
        <f t="shared" si="1"/>
        <v>2520</v>
      </c>
      <c r="AE91" s="25">
        <f t="shared" si="2"/>
        <v>90</v>
      </c>
      <c r="AF91" s="25">
        <f t="shared" si="3"/>
        <v>45</v>
      </c>
      <c r="AG91" s="25">
        <f t="shared" si="4"/>
        <v>135</v>
      </c>
      <c r="AH91" s="27">
        <f t="shared" si="5"/>
        <v>18.66666667</v>
      </c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ht="15.75" customHeight="1">
      <c r="A92" s="23" t="s">
        <v>27</v>
      </c>
      <c r="B92" s="24">
        <f t="shared" si="6"/>
        <v>45381</v>
      </c>
      <c r="C92" s="25">
        <v>4.0</v>
      </c>
      <c r="D92" s="25" t="s">
        <v>22</v>
      </c>
      <c r="E92" s="22" t="s">
        <v>33</v>
      </c>
      <c r="F92" s="18">
        <v>45.0</v>
      </c>
      <c r="H92" s="19">
        <v>45.0</v>
      </c>
      <c r="J92" s="19">
        <v>0.0</v>
      </c>
      <c r="L92" s="19">
        <v>0.0</v>
      </c>
      <c r="N92" s="19">
        <v>0.0</v>
      </c>
      <c r="P92" s="19">
        <v>0.0</v>
      </c>
      <c r="Q92" s="20"/>
      <c r="R92" s="18"/>
      <c r="T92" s="19"/>
      <c r="V92" s="19"/>
      <c r="X92" s="19"/>
      <c r="Z92" s="19"/>
      <c r="AB92" s="19"/>
      <c r="AC92" s="20"/>
      <c r="AD92" s="26">
        <f t="shared" si="1"/>
        <v>2160</v>
      </c>
      <c r="AE92" s="25">
        <f t="shared" si="2"/>
        <v>90</v>
      </c>
      <c r="AF92" s="25">
        <f t="shared" si="3"/>
        <v>0</v>
      </c>
      <c r="AG92" s="25">
        <f t="shared" si="4"/>
        <v>90</v>
      </c>
      <c r="AH92" s="27">
        <f t="shared" si="5"/>
        <v>24</v>
      </c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ht="15.75" customHeight="1">
      <c r="A93" s="28" t="s">
        <v>28</v>
      </c>
      <c r="B93" s="29">
        <f t="shared" si="6"/>
        <v>45382</v>
      </c>
      <c r="C93" s="30">
        <v>4.0</v>
      </c>
      <c r="D93" s="30" t="s">
        <v>22</v>
      </c>
      <c r="E93" s="31" t="s">
        <v>33</v>
      </c>
      <c r="F93" s="32">
        <v>45.0</v>
      </c>
      <c r="G93" s="7"/>
      <c r="H93" s="33">
        <v>45.0</v>
      </c>
      <c r="I93" s="7"/>
      <c r="J93" s="33">
        <v>0.0</v>
      </c>
      <c r="K93" s="7"/>
      <c r="L93" s="33">
        <v>0.0</v>
      </c>
      <c r="M93" s="7"/>
      <c r="N93" s="33">
        <v>0.0</v>
      </c>
      <c r="O93" s="7"/>
      <c r="P93" s="33">
        <v>0.0</v>
      </c>
      <c r="Q93" s="34"/>
      <c r="R93" s="32"/>
      <c r="S93" s="7"/>
      <c r="T93" s="33"/>
      <c r="U93" s="7"/>
      <c r="V93" s="33"/>
      <c r="W93" s="7"/>
      <c r="X93" s="33"/>
      <c r="Y93" s="7"/>
      <c r="Z93" s="33"/>
      <c r="AA93" s="7"/>
      <c r="AB93" s="33"/>
      <c r="AC93" s="34"/>
      <c r="AD93" s="35">
        <f t="shared" si="1"/>
        <v>2160</v>
      </c>
      <c r="AE93" s="30">
        <f t="shared" si="2"/>
        <v>90</v>
      </c>
      <c r="AF93" s="30">
        <f t="shared" si="3"/>
        <v>0</v>
      </c>
      <c r="AG93" s="30">
        <f t="shared" si="4"/>
        <v>90</v>
      </c>
      <c r="AH93" s="36">
        <f t="shared" si="5"/>
        <v>24</v>
      </c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ht="15.75" customHeight="1">
      <c r="A94" s="14" t="s">
        <v>21</v>
      </c>
      <c r="B94" s="15">
        <f t="shared" si="6"/>
        <v>45383</v>
      </c>
      <c r="C94" s="16">
        <v>4.0</v>
      </c>
      <c r="D94" s="16" t="s">
        <v>29</v>
      </c>
      <c r="E94" s="17" t="s">
        <v>34</v>
      </c>
      <c r="F94" s="18">
        <v>0.0</v>
      </c>
      <c r="H94" s="19">
        <v>0.0</v>
      </c>
      <c r="J94" s="19">
        <v>0.0</v>
      </c>
      <c r="L94" s="19">
        <v>0.0</v>
      </c>
      <c r="N94" s="19">
        <v>0.0</v>
      </c>
      <c r="P94" s="19">
        <v>0.0</v>
      </c>
      <c r="Q94" s="20"/>
      <c r="R94" s="18"/>
      <c r="T94" s="19"/>
      <c r="V94" s="19"/>
      <c r="X94" s="19"/>
      <c r="Z94" s="19"/>
      <c r="AB94" s="19"/>
      <c r="AC94" s="20"/>
      <c r="AD94" s="21">
        <f t="shared" si="1"/>
        <v>0</v>
      </c>
      <c r="AE94" s="16">
        <f t="shared" si="2"/>
        <v>0</v>
      </c>
      <c r="AF94" s="16">
        <f t="shared" si="3"/>
        <v>0</v>
      </c>
      <c r="AG94" s="16">
        <f t="shared" si="4"/>
        <v>0</v>
      </c>
      <c r="AH94" s="37">
        <f t="shared" si="5"/>
        <v>0</v>
      </c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ht="15.75" customHeight="1">
      <c r="A95" s="23" t="s">
        <v>23</v>
      </c>
      <c r="B95" s="24">
        <f t="shared" si="6"/>
        <v>45384</v>
      </c>
      <c r="C95" s="25">
        <v>4.0</v>
      </c>
      <c r="D95" s="25" t="s">
        <v>29</v>
      </c>
      <c r="E95" s="22" t="s">
        <v>34</v>
      </c>
      <c r="F95" s="18">
        <v>0.0</v>
      </c>
      <c r="H95" s="19">
        <v>0.0</v>
      </c>
      <c r="J95" s="19">
        <v>0.0</v>
      </c>
      <c r="L95" s="19">
        <v>0.0</v>
      </c>
      <c r="N95" s="19">
        <v>0.0</v>
      </c>
      <c r="P95" s="19">
        <v>0.0</v>
      </c>
      <c r="Q95" s="20"/>
      <c r="R95" s="18"/>
      <c r="T95" s="19"/>
      <c r="V95" s="19"/>
      <c r="X95" s="19"/>
      <c r="Z95" s="19"/>
      <c r="AB95" s="19"/>
      <c r="AC95" s="20"/>
      <c r="AD95" s="26">
        <f t="shared" si="1"/>
        <v>0</v>
      </c>
      <c r="AE95" s="25">
        <f t="shared" si="2"/>
        <v>0</v>
      </c>
      <c r="AF95" s="25">
        <f t="shared" si="3"/>
        <v>0</v>
      </c>
      <c r="AG95" s="25">
        <f t="shared" si="4"/>
        <v>0</v>
      </c>
      <c r="AH95" s="27">
        <f t="shared" si="5"/>
        <v>0</v>
      </c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ht="15.75" customHeight="1">
      <c r="A96" s="23" t="s">
        <v>24</v>
      </c>
      <c r="B96" s="24">
        <f t="shared" si="6"/>
        <v>45385</v>
      </c>
      <c r="C96" s="25">
        <v>4.0</v>
      </c>
      <c r="D96" s="25" t="s">
        <v>29</v>
      </c>
      <c r="E96" s="22" t="s">
        <v>34</v>
      </c>
      <c r="F96" s="18">
        <v>0.0</v>
      </c>
      <c r="H96" s="19">
        <v>0.0</v>
      </c>
      <c r="J96" s="19">
        <v>0.0</v>
      </c>
      <c r="L96" s="19">
        <v>0.0</v>
      </c>
      <c r="N96" s="19">
        <v>0.0</v>
      </c>
      <c r="P96" s="19">
        <v>0.0</v>
      </c>
      <c r="Q96" s="20"/>
      <c r="R96" s="18"/>
      <c r="T96" s="19"/>
      <c r="V96" s="19"/>
      <c r="X96" s="19"/>
      <c r="Z96" s="19"/>
      <c r="AB96" s="19"/>
      <c r="AC96" s="20"/>
      <c r="AD96" s="26">
        <f t="shared" si="1"/>
        <v>0</v>
      </c>
      <c r="AE96" s="25">
        <f t="shared" si="2"/>
        <v>0</v>
      </c>
      <c r="AF96" s="25">
        <f t="shared" si="3"/>
        <v>0</v>
      </c>
      <c r="AG96" s="25">
        <f t="shared" si="4"/>
        <v>0</v>
      </c>
      <c r="AH96" s="27">
        <f t="shared" si="5"/>
        <v>0</v>
      </c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ht="15.75" customHeight="1">
      <c r="A97" s="23" t="s">
        <v>25</v>
      </c>
      <c r="B97" s="24">
        <f t="shared" si="6"/>
        <v>45386</v>
      </c>
      <c r="C97" s="25">
        <v>4.0</v>
      </c>
      <c r="D97" s="25" t="s">
        <v>29</v>
      </c>
      <c r="E97" s="22" t="s">
        <v>34</v>
      </c>
      <c r="F97" s="18">
        <v>0.0</v>
      </c>
      <c r="H97" s="19">
        <v>0.0</v>
      </c>
      <c r="J97" s="19">
        <v>0.0</v>
      </c>
      <c r="L97" s="19">
        <v>0.0</v>
      </c>
      <c r="N97" s="19">
        <v>0.0</v>
      </c>
      <c r="P97" s="19">
        <v>0.0</v>
      </c>
      <c r="Q97" s="20"/>
      <c r="R97" s="18"/>
      <c r="T97" s="19"/>
      <c r="V97" s="19"/>
      <c r="X97" s="19"/>
      <c r="Z97" s="19"/>
      <c r="AB97" s="19"/>
      <c r="AC97" s="20"/>
      <c r="AD97" s="26">
        <f t="shared" si="1"/>
        <v>0</v>
      </c>
      <c r="AE97" s="25">
        <f t="shared" si="2"/>
        <v>0</v>
      </c>
      <c r="AF97" s="25">
        <f t="shared" si="3"/>
        <v>0</v>
      </c>
      <c r="AG97" s="25">
        <f t="shared" si="4"/>
        <v>0</v>
      </c>
      <c r="AH97" s="27">
        <f t="shared" si="5"/>
        <v>0</v>
      </c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ht="15.75" customHeight="1">
      <c r="A98" s="23" t="s">
        <v>26</v>
      </c>
      <c r="B98" s="24">
        <f t="shared" si="6"/>
        <v>45387</v>
      </c>
      <c r="C98" s="25">
        <v>4.0</v>
      </c>
      <c r="D98" s="25" t="s">
        <v>29</v>
      </c>
      <c r="E98" s="22" t="s">
        <v>34</v>
      </c>
      <c r="F98" s="18">
        <v>0.0</v>
      </c>
      <c r="H98" s="19">
        <v>0.0</v>
      </c>
      <c r="J98" s="19">
        <v>0.0</v>
      </c>
      <c r="L98" s="19">
        <v>0.0</v>
      </c>
      <c r="N98" s="19">
        <v>0.0</v>
      </c>
      <c r="P98" s="19">
        <v>0.0</v>
      </c>
      <c r="Q98" s="20"/>
      <c r="R98" s="18"/>
      <c r="T98" s="19"/>
      <c r="V98" s="19"/>
      <c r="X98" s="19"/>
      <c r="Z98" s="19"/>
      <c r="AB98" s="19"/>
      <c r="AC98" s="20"/>
      <c r="AD98" s="26">
        <f t="shared" si="1"/>
        <v>0</v>
      </c>
      <c r="AE98" s="25">
        <f t="shared" si="2"/>
        <v>0</v>
      </c>
      <c r="AF98" s="25">
        <f t="shared" si="3"/>
        <v>0</v>
      </c>
      <c r="AG98" s="25">
        <f t="shared" si="4"/>
        <v>0</v>
      </c>
      <c r="AH98" s="27">
        <f t="shared" si="5"/>
        <v>0</v>
      </c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ht="15.75" customHeight="1">
      <c r="A99" s="23" t="s">
        <v>27</v>
      </c>
      <c r="B99" s="24">
        <f t="shared" si="6"/>
        <v>45388</v>
      </c>
      <c r="C99" s="25">
        <v>4.0</v>
      </c>
      <c r="D99" s="25" t="s">
        <v>29</v>
      </c>
      <c r="E99" s="22" t="s">
        <v>34</v>
      </c>
      <c r="F99" s="18">
        <v>0.0</v>
      </c>
      <c r="H99" s="19">
        <v>0.0</v>
      </c>
      <c r="J99" s="19">
        <v>0.0</v>
      </c>
      <c r="L99" s="19">
        <v>0.0</v>
      </c>
      <c r="N99" s="19">
        <v>0.0</v>
      </c>
      <c r="P99" s="19">
        <v>0.0</v>
      </c>
      <c r="Q99" s="20"/>
      <c r="R99" s="18"/>
      <c r="T99" s="19"/>
      <c r="V99" s="19"/>
      <c r="X99" s="19"/>
      <c r="Z99" s="19"/>
      <c r="AB99" s="19"/>
      <c r="AC99" s="20"/>
      <c r="AD99" s="26">
        <f t="shared" si="1"/>
        <v>0</v>
      </c>
      <c r="AE99" s="25">
        <f t="shared" si="2"/>
        <v>0</v>
      </c>
      <c r="AF99" s="25">
        <f t="shared" si="3"/>
        <v>0</v>
      </c>
      <c r="AG99" s="25">
        <f t="shared" si="4"/>
        <v>0</v>
      </c>
      <c r="AH99" s="27">
        <f t="shared" si="5"/>
        <v>0</v>
      </c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ht="15.75" customHeight="1">
      <c r="A100" s="28" t="s">
        <v>28</v>
      </c>
      <c r="B100" s="29">
        <f t="shared" si="6"/>
        <v>45389</v>
      </c>
      <c r="C100" s="30">
        <v>4.0</v>
      </c>
      <c r="D100" s="30" t="s">
        <v>29</v>
      </c>
      <c r="E100" s="31" t="s">
        <v>34</v>
      </c>
      <c r="F100" s="33">
        <v>0.0</v>
      </c>
      <c r="G100" s="7"/>
      <c r="H100" s="33">
        <v>0.0</v>
      </c>
      <c r="I100" s="7"/>
      <c r="J100" s="33">
        <v>0.0</v>
      </c>
      <c r="K100" s="7"/>
      <c r="L100" s="33">
        <v>0.0</v>
      </c>
      <c r="M100" s="7"/>
      <c r="N100" s="33">
        <v>0.0</v>
      </c>
      <c r="O100" s="7"/>
      <c r="P100" s="33">
        <v>0.0</v>
      </c>
      <c r="Q100" s="34"/>
      <c r="R100" s="32"/>
      <c r="S100" s="7"/>
      <c r="T100" s="33"/>
      <c r="U100" s="7"/>
      <c r="V100" s="33"/>
      <c r="W100" s="7"/>
      <c r="X100" s="33"/>
      <c r="Y100" s="7"/>
      <c r="Z100" s="33"/>
      <c r="AA100" s="7"/>
      <c r="AB100" s="33"/>
      <c r="AC100" s="34"/>
      <c r="AD100" s="35">
        <f t="shared" si="1"/>
        <v>0</v>
      </c>
      <c r="AE100" s="30">
        <f t="shared" si="2"/>
        <v>0</v>
      </c>
      <c r="AF100" s="30">
        <f t="shared" si="3"/>
        <v>0</v>
      </c>
      <c r="AG100" s="30">
        <f t="shared" si="4"/>
        <v>0</v>
      </c>
      <c r="AH100" s="36">
        <f t="shared" si="5"/>
        <v>0</v>
      </c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ht="15.75" customHeight="1">
      <c r="A101" s="14" t="s">
        <v>21</v>
      </c>
      <c r="B101" s="15">
        <f t="shared" si="6"/>
        <v>45390</v>
      </c>
      <c r="C101" s="16">
        <v>4.0</v>
      </c>
      <c r="D101" s="16" t="s">
        <v>30</v>
      </c>
      <c r="E101" s="17" t="s">
        <v>34</v>
      </c>
      <c r="F101" s="18">
        <v>0.0</v>
      </c>
      <c r="H101" s="19">
        <v>0.0</v>
      </c>
      <c r="J101" s="19">
        <v>0.0</v>
      </c>
      <c r="L101" s="19">
        <v>0.0</v>
      </c>
      <c r="N101" s="19">
        <v>0.0</v>
      </c>
      <c r="P101" s="19">
        <v>0.0</v>
      </c>
      <c r="Q101" s="20"/>
      <c r="R101" s="18"/>
      <c r="T101" s="19"/>
      <c r="V101" s="19"/>
      <c r="X101" s="19"/>
      <c r="Z101" s="19"/>
      <c r="AB101" s="19"/>
      <c r="AC101" s="20"/>
      <c r="AD101" s="21">
        <f t="shared" si="1"/>
        <v>0</v>
      </c>
      <c r="AE101" s="16">
        <f t="shared" si="2"/>
        <v>0</v>
      </c>
      <c r="AF101" s="16">
        <f t="shared" si="3"/>
        <v>0</v>
      </c>
      <c r="AG101" s="16">
        <f t="shared" si="4"/>
        <v>0</v>
      </c>
      <c r="AH101" s="37">
        <f t="shared" si="5"/>
        <v>0</v>
      </c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ht="15.75" customHeight="1">
      <c r="A102" s="23" t="s">
        <v>23</v>
      </c>
      <c r="B102" s="24">
        <f t="shared" si="6"/>
        <v>45391</v>
      </c>
      <c r="C102" s="25">
        <v>4.0</v>
      </c>
      <c r="D102" s="25" t="s">
        <v>30</v>
      </c>
      <c r="E102" s="22" t="s">
        <v>35</v>
      </c>
      <c r="F102" s="18">
        <v>0.0</v>
      </c>
      <c r="H102" s="19">
        <v>45.0</v>
      </c>
      <c r="J102" s="19">
        <v>45.0</v>
      </c>
      <c r="L102" s="19">
        <v>0.0</v>
      </c>
      <c r="N102" s="19">
        <v>45.0</v>
      </c>
      <c r="P102" s="19">
        <v>0.0</v>
      </c>
      <c r="Q102" s="20"/>
      <c r="R102" s="18"/>
      <c r="T102" s="19"/>
      <c r="V102" s="19"/>
      <c r="X102" s="19"/>
      <c r="Z102" s="19"/>
      <c r="AB102" s="19"/>
      <c r="AC102" s="20"/>
      <c r="AD102" s="26">
        <f t="shared" si="1"/>
        <v>2520</v>
      </c>
      <c r="AE102" s="25">
        <f t="shared" si="2"/>
        <v>90</v>
      </c>
      <c r="AF102" s="25">
        <f t="shared" si="3"/>
        <v>45</v>
      </c>
      <c r="AG102" s="25">
        <f t="shared" si="4"/>
        <v>135</v>
      </c>
      <c r="AH102" s="27">
        <f t="shared" si="5"/>
        <v>18.66666667</v>
      </c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ht="15.75" customHeight="1">
      <c r="A103" s="23" t="s">
        <v>24</v>
      </c>
      <c r="B103" s="24">
        <f t="shared" si="6"/>
        <v>45392</v>
      </c>
      <c r="C103" s="25">
        <v>4.0</v>
      </c>
      <c r="D103" s="25" t="s">
        <v>30</v>
      </c>
      <c r="E103" s="22" t="s">
        <v>33</v>
      </c>
      <c r="F103" s="18">
        <v>45.0</v>
      </c>
      <c r="H103" s="19">
        <v>45.0</v>
      </c>
      <c r="J103" s="19">
        <v>0.0</v>
      </c>
      <c r="L103" s="19">
        <v>0.0</v>
      </c>
      <c r="N103" s="19">
        <v>0.0</v>
      </c>
      <c r="P103" s="19">
        <v>0.0</v>
      </c>
      <c r="Q103" s="20"/>
      <c r="R103" s="18"/>
      <c r="T103" s="19"/>
      <c r="V103" s="19"/>
      <c r="X103" s="19"/>
      <c r="Z103" s="19"/>
      <c r="AB103" s="19"/>
      <c r="AC103" s="20"/>
      <c r="AD103" s="26">
        <f t="shared" si="1"/>
        <v>2160</v>
      </c>
      <c r="AE103" s="25">
        <f t="shared" si="2"/>
        <v>90</v>
      </c>
      <c r="AF103" s="25">
        <f t="shared" si="3"/>
        <v>0</v>
      </c>
      <c r="AG103" s="25">
        <f t="shared" si="4"/>
        <v>90</v>
      </c>
      <c r="AH103" s="27">
        <f t="shared" si="5"/>
        <v>24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ht="15.75" customHeight="1">
      <c r="A104" s="23" t="s">
        <v>25</v>
      </c>
      <c r="B104" s="24">
        <f t="shared" si="6"/>
        <v>45393</v>
      </c>
      <c r="C104" s="25">
        <v>4.0</v>
      </c>
      <c r="D104" s="25" t="s">
        <v>30</v>
      </c>
      <c r="E104" s="22" t="s">
        <v>35</v>
      </c>
      <c r="F104" s="18">
        <v>0.0</v>
      </c>
      <c r="H104" s="19">
        <v>45.0</v>
      </c>
      <c r="J104" s="19">
        <v>45.0</v>
      </c>
      <c r="L104" s="19">
        <v>0.0</v>
      </c>
      <c r="N104" s="19">
        <v>45.0</v>
      </c>
      <c r="P104" s="19">
        <v>0.0</v>
      </c>
      <c r="Q104" s="20"/>
      <c r="R104" s="18"/>
      <c r="T104" s="19"/>
      <c r="V104" s="19"/>
      <c r="X104" s="19"/>
      <c r="Z104" s="19"/>
      <c r="AB104" s="19"/>
      <c r="AC104" s="20"/>
      <c r="AD104" s="26">
        <f t="shared" si="1"/>
        <v>2520</v>
      </c>
      <c r="AE104" s="25">
        <f t="shared" si="2"/>
        <v>90</v>
      </c>
      <c r="AF104" s="25">
        <f t="shared" si="3"/>
        <v>45</v>
      </c>
      <c r="AG104" s="25">
        <f t="shared" si="4"/>
        <v>135</v>
      </c>
      <c r="AH104" s="27">
        <f t="shared" si="5"/>
        <v>18.66666667</v>
      </c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ht="15.75" customHeight="1">
      <c r="A105" s="23" t="s">
        <v>26</v>
      </c>
      <c r="B105" s="24">
        <f t="shared" si="6"/>
        <v>45394</v>
      </c>
      <c r="C105" s="25">
        <v>4.0</v>
      </c>
      <c r="D105" s="25" t="s">
        <v>30</v>
      </c>
      <c r="E105" s="22" t="s">
        <v>35</v>
      </c>
      <c r="F105" s="18">
        <v>0.0</v>
      </c>
      <c r="H105" s="19">
        <v>45.0</v>
      </c>
      <c r="J105" s="19">
        <v>45.0</v>
      </c>
      <c r="L105" s="19">
        <v>0.0</v>
      </c>
      <c r="N105" s="19">
        <v>45.0</v>
      </c>
      <c r="P105" s="19">
        <v>0.0</v>
      </c>
      <c r="Q105" s="20"/>
      <c r="R105" s="18"/>
      <c r="T105" s="19"/>
      <c r="V105" s="19"/>
      <c r="X105" s="19"/>
      <c r="Z105" s="19"/>
      <c r="AB105" s="19"/>
      <c r="AC105" s="20"/>
      <c r="AD105" s="26">
        <f t="shared" si="1"/>
        <v>2520</v>
      </c>
      <c r="AE105" s="25">
        <f t="shared" si="2"/>
        <v>90</v>
      </c>
      <c r="AF105" s="25">
        <f t="shared" si="3"/>
        <v>45</v>
      </c>
      <c r="AG105" s="25">
        <f t="shared" si="4"/>
        <v>135</v>
      </c>
      <c r="AH105" s="27">
        <f t="shared" si="5"/>
        <v>18.66666667</v>
      </c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ht="15.75" customHeight="1">
      <c r="A106" s="23" t="s">
        <v>27</v>
      </c>
      <c r="B106" s="24">
        <f t="shared" si="6"/>
        <v>45395</v>
      </c>
      <c r="C106" s="25">
        <v>4.0</v>
      </c>
      <c r="D106" s="25" t="s">
        <v>30</v>
      </c>
      <c r="E106" s="22" t="s">
        <v>35</v>
      </c>
      <c r="F106" s="18">
        <v>0.0</v>
      </c>
      <c r="H106" s="19">
        <v>45.0</v>
      </c>
      <c r="J106" s="19">
        <v>45.0</v>
      </c>
      <c r="L106" s="19">
        <v>0.0</v>
      </c>
      <c r="N106" s="19">
        <v>45.0</v>
      </c>
      <c r="P106" s="19">
        <v>0.0</v>
      </c>
      <c r="Q106" s="20"/>
      <c r="R106" s="18"/>
      <c r="T106" s="19"/>
      <c r="V106" s="19"/>
      <c r="X106" s="19"/>
      <c r="Z106" s="19"/>
      <c r="AB106" s="19"/>
      <c r="AC106" s="20"/>
      <c r="AD106" s="26">
        <f t="shared" si="1"/>
        <v>2520</v>
      </c>
      <c r="AE106" s="25">
        <f t="shared" si="2"/>
        <v>90</v>
      </c>
      <c r="AF106" s="25">
        <f t="shared" si="3"/>
        <v>45</v>
      </c>
      <c r="AG106" s="25">
        <f t="shared" si="4"/>
        <v>135</v>
      </c>
      <c r="AH106" s="27">
        <f t="shared" si="5"/>
        <v>18.66666667</v>
      </c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ht="15.75" customHeight="1">
      <c r="A107" s="28" t="s">
        <v>28</v>
      </c>
      <c r="B107" s="29">
        <f t="shared" si="6"/>
        <v>45396</v>
      </c>
      <c r="C107" s="30">
        <v>4.0</v>
      </c>
      <c r="D107" s="30" t="s">
        <v>30</v>
      </c>
      <c r="E107" s="31" t="s">
        <v>33</v>
      </c>
      <c r="F107" s="32">
        <v>45.0</v>
      </c>
      <c r="G107" s="7"/>
      <c r="H107" s="33">
        <v>45.0</v>
      </c>
      <c r="I107" s="7"/>
      <c r="J107" s="33">
        <v>0.0</v>
      </c>
      <c r="K107" s="7"/>
      <c r="L107" s="33">
        <v>0.0</v>
      </c>
      <c r="M107" s="7"/>
      <c r="N107" s="33">
        <v>0.0</v>
      </c>
      <c r="O107" s="7"/>
      <c r="P107" s="33">
        <v>0.0</v>
      </c>
      <c r="Q107" s="34"/>
      <c r="R107" s="32"/>
      <c r="S107" s="7"/>
      <c r="T107" s="33"/>
      <c r="U107" s="7"/>
      <c r="V107" s="33"/>
      <c r="W107" s="7"/>
      <c r="X107" s="33"/>
      <c r="Y107" s="7"/>
      <c r="Z107" s="33"/>
      <c r="AA107" s="7"/>
      <c r="AB107" s="33"/>
      <c r="AC107" s="34"/>
      <c r="AD107" s="35">
        <f t="shared" si="1"/>
        <v>2160</v>
      </c>
      <c r="AE107" s="30">
        <f t="shared" si="2"/>
        <v>90</v>
      </c>
      <c r="AF107" s="30">
        <f t="shared" si="3"/>
        <v>0</v>
      </c>
      <c r="AG107" s="30">
        <f t="shared" si="4"/>
        <v>90</v>
      </c>
      <c r="AH107" s="36">
        <f t="shared" si="5"/>
        <v>24</v>
      </c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ht="15.75" customHeight="1">
      <c r="A108" s="14" t="s">
        <v>21</v>
      </c>
      <c r="B108" s="15">
        <f t="shared" si="6"/>
        <v>45397</v>
      </c>
      <c r="C108" s="16">
        <v>4.0</v>
      </c>
      <c r="D108" s="16" t="s">
        <v>31</v>
      </c>
      <c r="E108" s="17" t="s">
        <v>34</v>
      </c>
      <c r="F108" s="18">
        <v>0.0</v>
      </c>
      <c r="H108" s="19">
        <v>0.0</v>
      </c>
      <c r="J108" s="19">
        <v>0.0</v>
      </c>
      <c r="L108" s="19">
        <v>0.0</v>
      </c>
      <c r="N108" s="19">
        <v>0.0</v>
      </c>
      <c r="P108" s="19">
        <v>0.0</v>
      </c>
      <c r="Q108" s="20"/>
      <c r="R108" s="18"/>
      <c r="T108" s="19"/>
      <c r="V108" s="19"/>
      <c r="X108" s="19"/>
      <c r="Z108" s="19"/>
      <c r="AB108" s="19"/>
      <c r="AC108" s="20"/>
      <c r="AD108" s="21">
        <f t="shared" si="1"/>
        <v>0</v>
      </c>
      <c r="AE108" s="16">
        <f t="shared" si="2"/>
        <v>0</v>
      </c>
      <c r="AF108" s="16">
        <f t="shared" si="3"/>
        <v>0</v>
      </c>
      <c r="AG108" s="16">
        <f t="shared" si="4"/>
        <v>0</v>
      </c>
      <c r="AH108" s="37">
        <f t="shared" si="5"/>
        <v>0</v>
      </c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ht="15.75" customHeight="1">
      <c r="A109" s="23" t="s">
        <v>23</v>
      </c>
      <c r="B109" s="24">
        <f t="shared" si="6"/>
        <v>45398</v>
      </c>
      <c r="C109" s="25">
        <v>4.0</v>
      </c>
      <c r="D109" s="25" t="s">
        <v>31</v>
      </c>
      <c r="E109" s="22" t="s">
        <v>34</v>
      </c>
      <c r="F109" s="18">
        <v>0.0</v>
      </c>
      <c r="H109" s="19">
        <v>0.0</v>
      </c>
      <c r="J109" s="19">
        <v>0.0</v>
      </c>
      <c r="L109" s="19">
        <v>0.0</v>
      </c>
      <c r="N109" s="19">
        <v>0.0</v>
      </c>
      <c r="P109" s="19">
        <v>0.0</v>
      </c>
      <c r="Q109" s="20"/>
      <c r="R109" s="18"/>
      <c r="T109" s="19"/>
      <c r="V109" s="19"/>
      <c r="X109" s="19"/>
      <c r="Z109" s="19"/>
      <c r="AB109" s="19"/>
      <c r="AC109" s="20"/>
      <c r="AD109" s="26">
        <f t="shared" si="1"/>
        <v>0</v>
      </c>
      <c r="AE109" s="25">
        <f t="shared" si="2"/>
        <v>0</v>
      </c>
      <c r="AF109" s="25">
        <f t="shared" si="3"/>
        <v>0</v>
      </c>
      <c r="AG109" s="25">
        <f t="shared" si="4"/>
        <v>0</v>
      </c>
      <c r="AH109" s="27">
        <f t="shared" si="5"/>
        <v>0</v>
      </c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ht="15.75" customHeight="1">
      <c r="A110" s="23" t="s">
        <v>24</v>
      </c>
      <c r="B110" s="24">
        <f t="shared" si="6"/>
        <v>45399</v>
      </c>
      <c r="C110" s="25">
        <v>4.0</v>
      </c>
      <c r="D110" s="25" t="s">
        <v>31</v>
      </c>
      <c r="E110" s="22" t="s">
        <v>34</v>
      </c>
      <c r="F110" s="18">
        <v>0.0</v>
      </c>
      <c r="H110" s="19">
        <v>0.0</v>
      </c>
      <c r="J110" s="19">
        <v>0.0</v>
      </c>
      <c r="L110" s="19">
        <v>0.0</v>
      </c>
      <c r="N110" s="19">
        <v>0.0</v>
      </c>
      <c r="P110" s="19">
        <v>0.0</v>
      </c>
      <c r="Q110" s="20"/>
      <c r="R110" s="18"/>
      <c r="T110" s="19"/>
      <c r="V110" s="19"/>
      <c r="X110" s="19"/>
      <c r="Z110" s="19"/>
      <c r="AB110" s="19"/>
      <c r="AC110" s="20"/>
      <c r="AD110" s="26">
        <f t="shared" si="1"/>
        <v>0</v>
      </c>
      <c r="AE110" s="25">
        <f t="shared" si="2"/>
        <v>0</v>
      </c>
      <c r="AF110" s="25">
        <f t="shared" si="3"/>
        <v>0</v>
      </c>
      <c r="AG110" s="25">
        <f t="shared" si="4"/>
        <v>0</v>
      </c>
      <c r="AH110" s="27">
        <f t="shared" si="5"/>
        <v>0</v>
      </c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ht="15.75" customHeight="1">
      <c r="A111" s="23" t="s">
        <v>25</v>
      </c>
      <c r="B111" s="24">
        <f t="shared" si="6"/>
        <v>45400</v>
      </c>
      <c r="C111" s="25">
        <v>4.0</v>
      </c>
      <c r="D111" s="25" t="s">
        <v>31</v>
      </c>
      <c r="E111" s="22" t="s">
        <v>34</v>
      </c>
      <c r="F111" s="18">
        <v>0.0</v>
      </c>
      <c r="H111" s="19">
        <v>0.0</v>
      </c>
      <c r="J111" s="19">
        <v>0.0</v>
      </c>
      <c r="L111" s="19">
        <v>0.0</v>
      </c>
      <c r="N111" s="19">
        <v>0.0</v>
      </c>
      <c r="P111" s="19">
        <v>0.0</v>
      </c>
      <c r="Q111" s="20"/>
      <c r="R111" s="18"/>
      <c r="T111" s="19"/>
      <c r="V111" s="19"/>
      <c r="X111" s="19"/>
      <c r="Z111" s="19"/>
      <c r="AB111" s="19"/>
      <c r="AC111" s="20"/>
      <c r="AD111" s="26">
        <f t="shared" si="1"/>
        <v>0</v>
      </c>
      <c r="AE111" s="25">
        <f t="shared" si="2"/>
        <v>0</v>
      </c>
      <c r="AF111" s="25">
        <f t="shared" si="3"/>
        <v>0</v>
      </c>
      <c r="AG111" s="25">
        <f t="shared" si="4"/>
        <v>0</v>
      </c>
      <c r="AH111" s="27">
        <f t="shared" si="5"/>
        <v>0</v>
      </c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ht="15.75" customHeight="1">
      <c r="A112" s="23" t="s">
        <v>26</v>
      </c>
      <c r="B112" s="24">
        <f t="shared" si="6"/>
        <v>45401</v>
      </c>
      <c r="C112" s="25">
        <v>4.0</v>
      </c>
      <c r="D112" s="25" t="s">
        <v>31</v>
      </c>
      <c r="E112" s="22" t="s">
        <v>34</v>
      </c>
      <c r="F112" s="18">
        <v>0.0</v>
      </c>
      <c r="H112" s="19">
        <v>0.0</v>
      </c>
      <c r="J112" s="19">
        <v>0.0</v>
      </c>
      <c r="L112" s="19">
        <v>0.0</v>
      </c>
      <c r="N112" s="19">
        <v>0.0</v>
      </c>
      <c r="P112" s="19">
        <v>0.0</v>
      </c>
      <c r="Q112" s="20"/>
      <c r="R112" s="18"/>
      <c r="T112" s="19"/>
      <c r="V112" s="19"/>
      <c r="X112" s="19"/>
      <c r="Z112" s="19"/>
      <c r="AB112" s="19"/>
      <c r="AC112" s="20"/>
      <c r="AD112" s="26">
        <f t="shared" si="1"/>
        <v>0</v>
      </c>
      <c r="AE112" s="25">
        <f t="shared" si="2"/>
        <v>0</v>
      </c>
      <c r="AF112" s="25">
        <f t="shared" si="3"/>
        <v>0</v>
      </c>
      <c r="AG112" s="25">
        <f t="shared" si="4"/>
        <v>0</v>
      </c>
      <c r="AH112" s="27">
        <f t="shared" si="5"/>
        <v>0</v>
      </c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ht="15.75" customHeight="1">
      <c r="A113" s="23" t="s">
        <v>27</v>
      </c>
      <c r="B113" s="24">
        <f t="shared" si="6"/>
        <v>45402</v>
      </c>
      <c r="C113" s="25">
        <v>4.0</v>
      </c>
      <c r="D113" s="25" t="s">
        <v>31</v>
      </c>
      <c r="E113" s="22" t="s">
        <v>34</v>
      </c>
      <c r="F113" s="18">
        <v>0.0</v>
      </c>
      <c r="H113" s="19">
        <v>0.0</v>
      </c>
      <c r="J113" s="19">
        <v>0.0</v>
      </c>
      <c r="L113" s="19">
        <v>0.0</v>
      </c>
      <c r="N113" s="19">
        <v>0.0</v>
      </c>
      <c r="P113" s="19">
        <v>0.0</v>
      </c>
      <c r="Q113" s="20"/>
      <c r="R113" s="18"/>
      <c r="T113" s="19"/>
      <c r="V113" s="19"/>
      <c r="X113" s="19"/>
      <c r="Z113" s="19"/>
      <c r="AB113" s="19"/>
      <c r="AC113" s="20"/>
      <c r="AD113" s="26">
        <f t="shared" si="1"/>
        <v>0</v>
      </c>
      <c r="AE113" s="25">
        <f t="shared" si="2"/>
        <v>0</v>
      </c>
      <c r="AF113" s="25">
        <f t="shared" si="3"/>
        <v>0</v>
      </c>
      <c r="AG113" s="25">
        <f t="shared" si="4"/>
        <v>0</v>
      </c>
      <c r="AH113" s="27">
        <f t="shared" si="5"/>
        <v>0</v>
      </c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ht="15.75" customHeight="1">
      <c r="A114" s="28" t="s">
        <v>28</v>
      </c>
      <c r="B114" s="29">
        <f t="shared" si="6"/>
        <v>45403</v>
      </c>
      <c r="C114" s="30">
        <v>4.0</v>
      </c>
      <c r="D114" s="30" t="s">
        <v>31</v>
      </c>
      <c r="E114" s="31" t="s">
        <v>34</v>
      </c>
      <c r="F114" s="33">
        <v>0.0</v>
      </c>
      <c r="G114" s="7"/>
      <c r="H114" s="33">
        <v>0.0</v>
      </c>
      <c r="I114" s="7"/>
      <c r="J114" s="33">
        <v>0.0</v>
      </c>
      <c r="K114" s="7"/>
      <c r="L114" s="33">
        <v>0.0</v>
      </c>
      <c r="M114" s="7"/>
      <c r="N114" s="33">
        <v>0.0</v>
      </c>
      <c r="O114" s="7"/>
      <c r="P114" s="33">
        <v>0.0</v>
      </c>
      <c r="Q114" s="34"/>
      <c r="R114" s="32"/>
      <c r="S114" s="7"/>
      <c r="T114" s="33"/>
      <c r="U114" s="7"/>
      <c r="V114" s="33"/>
      <c r="W114" s="7"/>
      <c r="X114" s="33"/>
      <c r="Y114" s="7"/>
      <c r="Z114" s="33"/>
      <c r="AA114" s="7"/>
      <c r="AB114" s="33"/>
      <c r="AC114" s="34"/>
      <c r="AD114" s="35">
        <f t="shared" si="1"/>
        <v>0</v>
      </c>
      <c r="AE114" s="30">
        <f t="shared" si="2"/>
        <v>0</v>
      </c>
      <c r="AF114" s="30">
        <f t="shared" si="3"/>
        <v>0</v>
      </c>
      <c r="AG114" s="30">
        <f t="shared" si="4"/>
        <v>0</v>
      </c>
      <c r="AH114" s="36">
        <f t="shared" si="5"/>
        <v>0</v>
      </c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ht="15.75" customHeight="1">
      <c r="A115" s="14" t="s">
        <v>21</v>
      </c>
      <c r="B115" s="15">
        <f t="shared" si="6"/>
        <v>45404</v>
      </c>
      <c r="C115" s="16">
        <v>5.0</v>
      </c>
      <c r="D115" s="16" t="s">
        <v>22</v>
      </c>
      <c r="E115" s="17" t="s">
        <v>34</v>
      </c>
      <c r="F115" s="18">
        <v>0.0</v>
      </c>
      <c r="H115" s="19">
        <v>0.0</v>
      </c>
      <c r="J115" s="19">
        <v>0.0</v>
      </c>
      <c r="L115" s="19">
        <v>0.0</v>
      </c>
      <c r="N115" s="19">
        <v>0.0</v>
      </c>
      <c r="P115" s="19">
        <v>0.0</v>
      </c>
      <c r="Q115" s="20"/>
      <c r="R115" s="18"/>
      <c r="T115" s="19"/>
      <c r="V115" s="19"/>
      <c r="X115" s="19"/>
      <c r="Z115" s="19"/>
      <c r="AB115" s="19"/>
      <c r="AC115" s="20"/>
      <c r="AD115" s="21">
        <f t="shared" si="1"/>
        <v>0</v>
      </c>
      <c r="AE115" s="16">
        <f t="shared" si="2"/>
        <v>0</v>
      </c>
      <c r="AF115" s="16">
        <f t="shared" si="3"/>
        <v>0</v>
      </c>
      <c r="AG115" s="16">
        <f t="shared" si="4"/>
        <v>0</v>
      </c>
      <c r="AH115" s="37">
        <f t="shared" si="5"/>
        <v>0</v>
      </c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ht="15.75" customHeight="1">
      <c r="A116" s="23" t="s">
        <v>23</v>
      </c>
      <c r="B116" s="24">
        <f t="shared" si="6"/>
        <v>45405</v>
      </c>
      <c r="C116" s="25">
        <v>5.0</v>
      </c>
      <c r="D116" s="25" t="s">
        <v>22</v>
      </c>
      <c r="E116" s="22" t="s">
        <v>35</v>
      </c>
      <c r="F116" s="18">
        <v>0.0</v>
      </c>
      <c r="H116" s="19">
        <v>45.0</v>
      </c>
      <c r="J116" s="19">
        <v>45.0</v>
      </c>
      <c r="L116" s="19">
        <v>0.0</v>
      </c>
      <c r="N116" s="19">
        <v>45.0</v>
      </c>
      <c r="P116" s="19">
        <v>0.0</v>
      </c>
      <c r="Q116" s="20"/>
      <c r="R116" s="18"/>
      <c r="T116" s="19"/>
      <c r="V116" s="19"/>
      <c r="X116" s="19"/>
      <c r="Z116" s="19"/>
      <c r="AB116" s="19"/>
      <c r="AC116" s="20"/>
      <c r="AD116" s="26">
        <f t="shared" si="1"/>
        <v>2520</v>
      </c>
      <c r="AE116" s="25">
        <f t="shared" si="2"/>
        <v>90</v>
      </c>
      <c r="AF116" s="25">
        <f t="shared" si="3"/>
        <v>45</v>
      </c>
      <c r="AG116" s="25">
        <f t="shared" si="4"/>
        <v>135</v>
      </c>
      <c r="AH116" s="27">
        <f t="shared" si="5"/>
        <v>18.66666667</v>
      </c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ht="15.75" customHeight="1">
      <c r="A117" s="23" t="s">
        <v>24</v>
      </c>
      <c r="B117" s="24">
        <f t="shared" si="6"/>
        <v>45406</v>
      </c>
      <c r="C117" s="25">
        <v>5.0</v>
      </c>
      <c r="D117" s="25" t="s">
        <v>22</v>
      </c>
      <c r="E117" s="22" t="s">
        <v>33</v>
      </c>
      <c r="F117" s="18">
        <v>45.0</v>
      </c>
      <c r="H117" s="19">
        <v>45.0</v>
      </c>
      <c r="J117" s="19">
        <v>0.0</v>
      </c>
      <c r="L117" s="19">
        <v>0.0</v>
      </c>
      <c r="N117" s="19">
        <v>0.0</v>
      </c>
      <c r="P117" s="19">
        <v>0.0</v>
      </c>
      <c r="Q117" s="20"/>
      <c r="R117" s="18"/>
      <c r="T117" s="19"/>
      <c r="V117" s="19"/>
      <c r="X117" s="19"/>
      <c r="Z117" s="19"/>
      <c r="AB117" s="19"/>
      <c r="AC117" s="20"/>
      <c r="AD117" s="26">
        <f t="shared" si="1"/>
        <v>2160</v>
      </c>
      <c r="AE117" s="25">
        <f t="shared" si="2"/>
        <v>90</v>
      </c>
      <c r="AF117" s="25">
        <f t="shared" si="3"/>
        <v>0</v>
      </c>
      <c r="AG117" s="25">
        <f t="shared" si="4"/>
        <v>90</v>
      </c>
      <c r="AH117" s="27">
        <f t="shared" si="5"/>
        <v>24</v>
      </c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ht="15.75" customHeight="1">
      <c r="A118" s="23" t="s">
        <v>25</v>
      </c>
      <c r="B118" s="24">
        <f t="shared" si="6"/>
        <v>45407</v>
      </c>
      <c r="C118" s="25">
        <v>5.0</v>
      </c>
      <c r="D118" s="25" t="s">
        <v>22</v>
      </c>
      <c r="E118" s="22" t="s">
        <v>35</v>
      </c>
      <c r="F118" s="18">
        <v>0.0</v>
      </c>
      <c r="H118" s="19">
        <v>45.0</v>
      </c>
      <c r="J118" s="19">
        <v>45.0</v>
      </c>
      <c r="L118" s="19">
        <v>0.0</v>
      </c>
      <c r="N118" s="19">
        <v>45.0</v>
      </c>
      <c r="P118" s="19">
        <v>0.0</v>
      </c>
      <c r="Q118" s="20"/>
      <c r="R118" s="18"/>
      <c r="T118" s="19"/>
      <c r="V118" s="19"/>
      <c r="X118" s="19"/>
      <c r="Z118" s="19"/>
      <c r="AB118" s="19"/>
      <c r="AC118" s="20"/>
      <c r="AD118" s="26">
        <f t="shared" si="1"/>
        <v>2520</v>
      </c>
      <c r="AE118" s="25">
        <f t="shared" si="2"/>
        <v>90</v>
      </c>
      <c r="AF118" s="25">
        <f t="shared" si="3"/>
        <v>45</v>
      </c>
      <c r="AG118" s="25">
        <f t="shared" si="4"/>
        <v>135</v>
      </c>
      <c r="AH118" s="27">
        <f t="shared" si="5"/>
        <v>18.66666667</v>
      </c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ht="15.75" customHeight="1">
      <c r="A119" s="23" t="s">
        <v>26</v>
      </c>
      <c r="B119" s="24">
        <f t="shared" si="6"/>
        <v>45408</v>
      </c>
      <c r="C119" s="25">
        <v>5.0</v>
      </c>
      <c r="D119" s="25" t="s">
        <v>22</v>
      </c>
      <c r="E119" s="22" t="s">
        <v>35</v>
      </c>
      <c r="F119" s="18">
        <v>0.0</v>
      </c>
      <c r="H119" s="19">
        <v>45.0</v>
      </c>
      <c r="J119" s="19">
        <v>45.0</v>
      </c>
      <c r="L119" s="19">
        <v>0.0</v>
      </c>
      <c r="N119" s="19">
        <v>45.0</v>
      </c>
      <c r="P119" s="19">
        <v>0.0</v>
      </c>
      <c r="Q119" s="20"/>
      <c r="R119" s="18"/>
      <c r="T119" s="19"/>
      <c r="V119" s="19"/>
      <c r="X119" s="19"/>
      <c r="Z119" s="19"/>
      <c r="AB119" s="19"/>
      <c r="AC119" s="20"/>
      <c r="AD119" s="26">
        <f t="shared" si="1"/>
        <v>2520</v>
      </c>
      <c r="AE119" s="25">
        <f t="shared" si="2"/>
        <v>90</v>
      </c>
      <c r="AF119" s="25">
        <f t="shared" si="3"/>
        <v>45</v>
      </c>
      <c r="AG119" s="25">
        <f t="shared" si="4"/>
        <v>135</v>
      </c>
      <c r="AH119" s="27">
        <f t="shared" si="5"/>
        <v>18.66666667</v>
      </c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ht="15.75" customHeight="1">
      <c r="A120" s="23" t="s">
        <v>27</v>
      </c>
      <c r="B120" s="24">
        <f t="shared" si="6"/>
        <v>45409</v>
      </c>
      <c r="C120" s="25">
        <v>5.0</v>
      </c>
      <c r="D120" s="25" t="s">
        <v>22</v>
      </c>
      <c r="E120" s="22" t="s">
        <v>35</v>
      </c>
      <c r="F120" s="18">
        <v>0.0</v>
      </c>
      <c r="H120" s="19">
        <v>45.0</v>
      </c>
      <c r="J120" s="19">
        <v>45.0</v>
      </c>
      <c r="L120" s="19">
        <v>0.0</v>
      </c>
      <c r="N120" s="19">
        <v>45.0</v>
      </c>
      <c r="P120" s="19">
        <v>0.0</v>
      </c>
      <c r="Q120" s="20"/>
      <c r="R120" s="18"/>
      <c r="T120" s="19"/>
      <c r="V120" s="19"/>
      <c r="X120" s="19"/>
      <c r="Z120" s="19"/>
      <c r="AB120" s="19"/>
      <c r="AC120" s="20"/>
      <c r="AD120" s="26">
        <f t="shared" si="1"/>
        <v>2520</v>
      </c>
      <c r="AE120" s="25">
        <f t="shared" si="2"/>
        <v>90</v>
      </c>
      <c r="AF120" s="25">
        <f t="shared" si="3"/>
        <v>45</v>
      </c>
      <c r="AG120" s="25">
        <f t="shared" si="4"/>
        <v>135</v>
      </c>
      <c r="AH120" s="27">
        <f t="shared" si="5"/>
        <v>18.66666667</v>
      </c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ht="15.75" customHeight="1">
      <c r="A121" s="28" t="s">
        <v>28</v>
      </c>
      <c r="B121" s="29">
        <f t="shared" si="6"/>
        <v>45410</v>
      </c>
      <c r="C121" s="30">
        <v>5.0</v>
      </c>
      <c r="D121" s="30" t="s">
        <v>22</v>
      </c>
      <c r="E121" s="31" t="s">
        <v>33</v>
      </c>
      <c r="F121" s="32">
        <v>45.0</v>
      </c>
      <c r="G121" s="7"/>
      <c r="H121" s="33">
        <v>45.0</v>
      </c>
      <c r="I121" s="7"/>
      <c r="J121" s="33">
        <v>0.0</v>
      </c>
      <c r="K121" s="7"/>
      <c r="L121" s="33">
        <v>0.0</v>
      </c>
      <c r="M121" s="7"/>
      <c r="N121" s="33">
        <v>0.0</v>
      </c>
      <c r="O121" s="7"/>
      <c r="P121" s="33">
        <v>0.0</v>
      </c>
      <c r="Q121" s="34"/>
      <c r="R121" s="32"/>
      <c r="S121" s="7"/>
      <c r="T121" s="33"/>
      <c r="U121" s="7"/>
      <c r="V121" s="33"/>
      <c r="W121" s="7"/>
      <c r="X121" s="33"/>
      <c r="Y121" s="7"/>
      <c r="Z121" s="33"/>
      <c r="AA121" s="7"/>
      <c r="AB121" s="33"/>
      <c r="AC121" s="34"/>
      <c r="AD121" s="35">
        <f t="shared" si="1"/>
        <v>2160</v>
      </c>
      <c r="AE121" s="30">
        <f t="shared" si="2"/>
        <v>90</v>
      </c>
      <c r="AF121" s="30">
        <f t="shared" si="3"/>
        <v>0</v>
      </c>
      <c r="AG121" s="30">
        <f t="shared" si="4"/>
        <v>90</v>
      </c>
      <c r="AH121" s="36">
        <f t="shared" si="5"/>
        <v>24</v>
      </c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ht="15.75" customHeight="1">
      <c r="A122" s="14" t="s">
        <v>21</v>
      </c>
      <c r="B122" s="15">
        <f t="shared" si="6"/>
        <v>45411</v>
      </c>
      <c r="C122" s="16">
        <v>5.0</v>
      </c>
      <c r="D122" s="16" t="s">
        <v>29</v>
      </c>
      <c r="E122" s="17" t="s">
        <v>34</v>
      </c>
      <c r="F122" s="18">
        <v>0.0</v>
      </c>
      <c r="H122" s="19">
        <v>0.0</v>
      </c>
      <c r="J122" s="19">
        <v>0.0</v>
      </c>
      <c r="L122" s="19">
        <v>0.0</v>
      </c>
      <c r="N122" s="19">
        <v>0.0</v>
      </c>
      <c r="P122" s="19">
        <v>0.0</v>
      </c>
      <c r="Q122" s="20"/>
      <c r="R122" s="18"/>
      <c r="T122" s="19"/>
      <c r="V122" s="19"/>
      <c r="X122" s="19"/>
      <c r="Z122" s="19"/>
      <c r="AB122" s="19"/>
      <c r="AC122" s="20"/>
      <c r="AD122" s="21">
        <f t="shared" si="1"/>
        <v>0</v>
      </c>
      <c r="AE122" s="16">
        <f t="shared" si="2"/>
        <v>0</v>
      </c>
      <c r="AF122" s="16">
        <f t="shared" si="3"/>
        <v>0</v>
      </c>
      <c r="AG122" s="16">
        <f t="shared" si="4"/>
        <v>0</v>
      </c>
      <c r="AH122" s="37">
        <f t="shared" si="5"/>
        <v>0</v>
      </c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ht="15.75" customHeight="1">
      <c r="A123" s="23" t="s">
        <v>23</v>
      </c>
      <c r="B123" s="24">
        <f t="shared" si="6"/>
        <v>45412</v>
      </c>
      <c r="C123" s="25">
        <v>5.0</v>
      </c>
      <c r="D123" s="25" t="s">
        <v>29</v>
      </c>
      <c r="E123" s="22" t="s">
        <v>34</v>
      </c>
      <c r="F123" s="18">
        <v>0.0</v>
      </c>
      <c r="H123" s="19">
        <v>0.0</v>
      </c>
      <c r="J123" s="19">
        <v>0.0</v>
      </c>
      <c r="L123" s="19">
        <v>0.0</v>
      </c>
      <c r="N123" s="19">
        <v>0.0</v>
      </c>
      <c r="P123" s="19">
        <v>0.0</v>
      </c>
      <c r="Q123" s="20"/>
      <c r="R123" s="18"/>
      <c r="T123" s="19"/>
      <c r="V123" s="19"/>
      <c r="X123" s="19"/>
      <c r="Z123" s="19"/>
      <c r="AB123" s="19"/>
      <c r="AC123" s="20"/>
      <c r="AD123" s="26">
        <f t="shared" si="1"/>
        <v>0</v>
      </c>
      <c r="AE123" s="25">
        <f t="shared" si="2"/>
        <v>0</v>
      </c>
      <c r="AF123" s="25">
        <f t="shared" si="3"/>
        <v>0</v>
      </c>
      <c r="AG123" s="25">
        <f t="shared" si="4"/>
        <v>0</v>
      </c>
      <c r="AH123" s="27">
        <f t="shared" si="5"/>
        <v>0</v>
      </c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ht="15.75" customHeight="1">
      <c r="A124" s="23" t="s">
        <v>24</v>
      </c>
      <c r="B124" s="24">
        <f t="shared" si="6"/>
        <v>45413</v>
      </c>
      <c r="C124" s="25">
        <v>5.0</v>
      </c>
      <c r="D124" s="25" t="s">
        <v>29</v>
      </c>
      <c r="E124" s="22" t="s">
        <v>34</v>
      </c>
      <c r="F124" s="18">
        <v>0.0</v>
      </c>
      <c r="H124" s="19">
        <v>0.0</v>
      </c>
      <c r="J124" s="19">
        <v>0.0</v>
      </c>
      <c r="L124" s="19">
        <v>0.0</v>
      </c>
      <c r="N124" s="19">
        <v>0.0</v>
      </c>
      <c r="P124" s="19">
        <v>0.0</v>
      </c>
      <c r="Q124" s="20"/>
      <c r="R124" s="18"/>
      <c r="T124" s="19"/>
      <c r="V124" s="19"/>
      <c r="X124" s="19"/>
      <c r="Z124" s="19"/>
      <c r="AB124" s="19"/>
      <c r="AC124" s="20"/>
      <c r="AD124" s="26">
        <f t="shared" si="1"/>
        <v>0</v>
      </c>
      <c r="AE124" s="25">
        <f t="shared" si="2"/>
        <v>0</v>
      </c>
      <c r="AF124" s="25">
        <f t="shared" si="3"/>
        <v>0</v>
      </c>
      <c r="AG124" s="25">
        <f t="shared" si="4"/>
        <v>0</v>
      </c>
      <c r="AH124" s="27">
        <f t="shared" si="5"/>
        <v>0</v>
      </c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ht="15.75" customHeight="1">
      <c r="A125" s="23" t="s">
        <v>25</v>
      </c>
      <c r="B125" s="24">
        <f t="shared" si="6"/>
        <v>45414</v>
      </c>
      <c r="C125" s="25">
        <v>5.0</v>
      </c>
      <c r="D125" s="25" t="s">
        <v>29</v>
      </c>
      <c r="E125" s="22" t="s">
        <v>34</v>
      </c>
      <c r="F125" s="18">
        <v>0.0</v>
      </c>
      <c r="H125" s="19">
        <v>0.0</v>
      </c>
      <c r="J125" s="19">
        <v>0.0</v>
      </c>
      <c r="L125" s="19">
        <v>0.0</v>
      </c>
      <c r="N125" s="19">
        <v>0.0</v>
      </c>
      <c r="P125" s="19">
        <v>0.0</v>
      </c>
      <c r="Q125" s="20"/>
      <c r="R125" s="18"/>
      <c r="T125" s="19"/>
      <c r="V125" s="19"/>
      <c r="X125" s="19"/>
      <c r="Z125" s="19"/>
      <c r="AB125" s="19"/>
      <c r="AC125" s="20"/>
      <c r="AD125" s="26">
        <f t="shared" si="1"/>
        <v>0</v>
      </c>
      <c r="AE125" s="25">
        <f t="shared" si="2"/>
        <v>0</v>
      </c>
      <c r="AF125" s="25">
        <f t="shared" si="3"/>
        <v>0</v>
      </c>
      <c r="AG125" s="25">
        <f t="shared" si="4"/>
        <v>0</v>
      </c>
      <c r="AH125" s="27">
        <f t="shared" si="5"/>
        <v>0</v>
      </c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ht="15.75" customHeight="1">
      <c r="A126" s="23" t="s">
        <v>26</v>
      </c>
      <c r="B126" s="24">
        <f t="shared" si="6"/>
        <v>45415</v>
      </c>
      <c r="C126" s="25">
        <v>5.0</v>
      </c>
      <c r="D126" s="25" t="s">
        <v>29</v>
      </c>
      <c r="E126" s="22" t="s">
        <v>34</v>
      </c>
      <c r="F126" s="18">
        <v>0.0</v>
      </c>
      <c r="H126" s="19">
        <v>0.0</v>
      </c>
      <c r="J126" s="19">
        <v>0.0</v>
      </c>
      <c r="L126" s="19">
        <v>0.0</v>
      </c>
      <c r="N126" s="19">
        <v>0.0</v>
      </c>
      <c r="P126" s="19">
        <v>0.0</v>
      </c>
      <c r="Q126" s="20"/>
      <c r="R126" s="18"/>
      <c r="T126" s="19"/>
      <c r="V126" s="19"/>
      <c r="X126" s="19"/>
      <c r="Z126" s="19"/>
      <c r="AB126" s="19"/>
      <c r="AC126" s="20"/>
      <c r="AD126" s="26">
        <f t="shared" si="1"/>
        <v>0</v>
      </c>
      <c r="AE126" s="25">
        <f t="shared" si="2"/>
        <v>0</v>
      </c>
      <c r="AF126" s="25">
        <f t="shared" si="3"/>
        <v>0</v>
      </c>
      <c r="AG126" s="25">
        <f t="shared" si="4"/>
        <v>0</v>
      </c>
      <c r="AH126" s="27">
        <f t="shared" si="5"/>
        <v>0</v>
      </c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ht="15.75" customHeight="1">
      <c r="A127" s="23" t="s">
        <v>27</v>
      </c>
      <c r="B127" s="24">
        <f t="shared" si="6"/>
        <v>45416</v>
      </c>
      <c r="C127" s="25">
        <v>5.0</v>
      </c>
      <c r="D127" s="25" t="s">
        <v>29</v>
      </c>
      <c r="E127" s="22" t="s">
        <v>34</v>
      </c>
      <c r="F127" s="18">
        <v>0.0</v>
      </c>
      <c r="H127" s="19">
        <v>0.0</v>
      </c>
      <c r="J127" s="19">
        <v>0.0</v>
      </c>
      <c r="L127" s="19">
        <v>0.0</v>
      </c>
      <c r="N127" s="19">
        <v>0.0</v>
      </c>
      <c r="P127" s="19">
        <v>0.0</v>
      </c>
      <c r="Q127" s="20"/>
      <c r="R127" s="18"/>
      <c r="T127" s="19"/>
      <c r="V127" s="19"/>
      <c r="X127" s="19"/>
      <c r="Z127" s="19"/>
      <c r="AB127" s="19"/>
      <c r="AC127" s="20"/>
      <c r="AD127" s="26">
        <f t="shared" si="1"/>
        <v>0</v>
      </c>
      <c r="AE127" s="25">
        <f t="shared" si="2"/>
        <v>0</v>
      </c>
      <c r="AF127" s="25">
        <f t="shared" si="3"/>
        <v>0</v>
      </c>
      <c r="AG127" s="25">
        <f t="shared" si="4"/>
        <v>0</v>
      </c>
      <c r="AH127" s="27">
        <f t="shared" si="5"/>
        <v>0</v>
      </c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ht="15.75" customHeight="1">
      <c r="A128" s="28" t="s">
        <v>28</v>
      </c>
      <c r="B128" s="29">
        <f t="shared" si="6"/>
        <v>45417</v>
      </c>
      <c r="C128" s="30">
        <v>5.0</v>
      </c>
      <c r="D128" s="30" t="s">
        <v>29</v>
      </c>
      <c r="E128" s="31" t="s">
        <v>34</v>
      </c>
      <c r="F128" s="33">
        <v>0.0</v>
      </c>
      <c r="G128" s="7"/>
      <c r="H128" s="33">
        <v>0.0</v>
      </c>
      <c r="I128" s="7"/>
      <c r="J128" s="33">
        <v>0.0</v>
      </c>
      <c r="K128" s="7"/>
      <c r="L128" s="33">
        <v>0.0</v>
      </c>
      <c r="M128" s="7"/>
      <c r="N128" s="33">
        <v>0.0</v>
      </c>
      <c r="O128" s="7"/>
      <c r="P128" s="33">
        <v>0.0</v>
      </c>
      <c r="Q128" s="34"/>
      <c r="R128" s="32"/>
      <c r="S128" s="7"/>
      <c r="T128" s="33"/>
      <c r="U128" s="7"/>
      <c r="V128" s="33"/>
      <c r="W128" s="7"/>
      <c r="X128" s="33"/>
      <c r="Y128" s="7"/>
      <c r="Z128" s="33"/>
      <c r="AA128" s="7"/>
      <c r="AB128" s="33"/>
      <c r="AC128" s="34"/>
      <c r="AD128" s="35">
        <f t="shared" si="1"/>
        <v>0</v>
      </c>
      <c r="AE128" s="30">
        <f t="shared" si="2"/>
        <v>0</v>
      </c>
      <c r="AF128" s="30">
        <f t="shared" si="3"/>
        <v>0</v>
      </c>
      <c r="AG128" s="30">
        <f t="shared" si="4"/>
        <v>0</v>
      </c>
      <c r="AH128" s="36">
        <f t="shared" si="5"/>
        <v>0</v>
      </c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ht="15.75" customHeight="1">
      <c r="A129" s="14" t="s">
        <v>21</v>
      </c>
      <c r="B129" s="15">
        <f t="shared" si="6"/>
        <v>45418</v>
      </c>
      <c r="C129" s="16">
        <v>5.0</v>
      </c>
      <c r="D129" s="16" t="s">
        <v>30</v>
      </c>
      <c r="E129" s="17" t="s">
        <v>34</v>
      </c>
      <c r="F129" s="18">
        <v>0.0</v>
      </c>
      <c r="H129" s="19">
        <v>0.0</v>
      </c>
      <c r="J129" s="19">
        <v>0.0</v>
      </c>
      <c r="L129" s="19">
        <v>0.0</v>
      </c>
      <c r="N129" s="19">
        <v>0.0</v>
      </c>
      <c r="P129" s="19">
        <v>0.0</v>
      </c>
      <c r="Q129" s="20"/>
      <c r="R129" s="18"/>
      <c r="T129" s="19"/>
      <c r="V129" s="19"/>
      <c r="X129" s="19"/>
      <c r="Z129" s="19"/>
      <c r="AB129" s="19"/>
      <c r="AC129" s="20"/>
      <c r="AD129" s="21">
        <f t="shared" si="1"/>
        <v>0</v>
      </c>
      <c r="AE129" s="16">
        <f t="shared" si="2"/>
        <v>0</v>
      </c>
      <c r="AF129" s="16">
        <f t="shared" si="3"/>
        <v>0</v>
      </c>
      <c r="AG129" s="16">
        <f t="shared" si="4"/>
        <v>0</v>
      </c>
      <c r="AH129" s="37">
        <f t="shared" si="5"/>
        <v>0</v>
      </c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ht="15.75" customHeight="1">
      <c r="A130" s="23" t="s">
        <v>23</v>
      </c>
      <c r="B130" s="24">
        <f t="shared" si="6"/>
        <v>45419</v>
      </c>
      <c r="C130" s="25">
        <v>5.0</v>
      </c>
      <c r="D130" s="25" t="s">
        <v>30</v>
      </c>
      <c r="E130" s="22" t="s">
        <v>35</v>
      </c>
      <c r="F130" s="18">
        <v>0.0</v>
      </c>
      <c r="H130" s="19">
        <v>45.0</v>
      </c>
      <c r="J130" s="19">
        <v>45.0</v>
      </c>
      <c r="L130" s="19">
        <v>0.0</v>
      </c>
      <c r="N130" s="19">
        <v>45.0</v>
      </c>
      <c r="P130" s="19">
        <v>0.0</v>
      </c>
      <c r="Q130" s="20"/>
      <c r="R130" s="18"/>
      <c r="T130" s="19"/>
      <c r="V130" s="19"/>
      <c r="X130" s="19"/>
      <c r="Z130" s="19"/>
      <c r="AB130" s="19"/>
      <c r="AC130" s="20"/>
      <c r="AD130" s="26">
        <f t="shared" si="1"/>
        <v>2520</v>
      </c>
      <c r="AE130" s="25">
        <f t="shared" si="2"/>
        <v>90</v>
      </c>
      <c r="AF130" s="25">
        <f t="shared" si="3"/>
        <v>45</v>
      </c>
      <c r="AG130" s="25">
        <f t="shared" si="4"/>
        <v>135</v>
      </c>
      <c r="AH130" s="27">
        <f t="shared" si="5"/>
        <v>18.66666667</v>
      </c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ht="15.75" customHeight="1">
      <c r="A131" s="23" t="s">
        <v>24</v>
      </c>
      <c r="B131" s="24">
        <f t="shared" si="6"/>
        <v>45420</v>
      </c>
      <c r="C131" s="25">
        <v>5.0</v>
      </c>
      <c r="D131" s="25" t="s">
        <v>30</v>
      </c>
      <c r="E131" s="22" t="s">
        <v>33</v>
      </c>
      <c r="F131" s="18">
        <v>45.0</v>
      </c>
      <c r="H131" s="19">
        <v>45.0</v>
      </c>
      <c r="J131" s="19">
        <v>0.0</v>
      </c>
      <c r="L131" s="19">
        <v>0.0</v>
      </c>
      <c r="N131" s="19">
        <v>0.0</v>
      </c>
      <c r="P131" s="19">
        <v>0.0</v>
      </c>
      <c r="Q131" s="20"/>
      <c r="R131" s="18"/>
      <c r="T131" s="19"/>
      <c r="V131" s="19"/>
      <c r="X131" s="19"/>
      <c r="Z131" s="19"/>
      <c r="AB131" s="19"/>
      <c r="AC131" s="20"/>
      <c r="AD131" s="26">
        <f t="shared" si="1"/>
        <v>2160</v>
      </c>
      <c r="AE131" s="25">
        <f t="shared" si="2"/>
        <v>90</v>
      </c>
      <c r="AF131" s="25">
        <f t="shared" si="3"/>
        <v>0</v>
      </c>
      <c r="AG131" s="25">
        <f t="shared" si="4"/>
        <v>90</v>
      </c>
      <c r="AH131" s="27">
        <f t="shared" si="5"/>
        <v>24</v>
      </c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ht="15.75" customHeight="1">
      <c r="A132" s="23" t="s">
        <v>25</v>
      </c>
      <c r="B132" s="24">
        <f t="shared" si="6"/>
        <v>45421</v>
      </c>
      <c r="C132" s="25">
        <v>5.0</v>
      </c>
      <c r="D132" s="25" t="s">
        <v>30</v>
      </c>
      <c r="E132" s="22" t="s">
        <v>35</v>
      </c>
      <c r="F132" s="18">
        <v>0.0</v>
      </c>
      <c r="H132" s="19">
        <v>45.0</v>
      </c>
      <c r="J132" s="19">
        <v>45.0</v>
      </c>
      <c r="L132" s="19">
        <v>0.0</v>
      </c>
      <c r="N132" s="19">
        <v>45.0</v>
      </c>
      <c r="P132" s="19">
        <v>0.0</v>
      </c>
      <c r="Q132" s="20"/>
      <c r="R132" s="18"/>
      <c r="T132" s="19"/>
      <c r="V132" s="19"/>
      <c r="X132" s="19"/>
      <c r="Z132" s="19"/>
      <c r="AB132" s="19"/>
      <c r="AC132" s="20"/>
      <c r="AD132" s="26">
        <f t="shared" si="1"/>
        <v>2520</v>
      </c>
      <c r="AE132" s="25">
        <f t="shared" si="2"/>
        <v>90</v>
      </c>
      <c r="AF132" s="25">
        <f t="shared" si="3"/>
        <v>45</v>
      </c>
      <c r="AG132" s="25">
        <f t="shared" si="4"/>
        <v>135</v>
      </c>
      <c r="AH132" s="27">
        <f t="shared" si="5"/>
        <v>18.66666667</v>
      </c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ht="15.75" customHeight="1">
      <c r="A133" s="23" t="s">
        <v>26</v>
      </c>
      <c r="B133" s="24">
        <f t="shared" si="6"/>
        <v>45422</v>
      </c>
      <c r="C133" s="25">
        <v>5.0</v>
      </c>
      <c r="D133" s="25" t="s">
        <v>30</v>
      </c>
      <c r="E133" s="22" t="s">
        <v>35</v>
      </c>
      <c r="F133" s="18">
        <v>0.0</v>
      </c>
      <c r="H133" s="19">
        <v>45.0</v>
      </c>
      <c r="J133" s="19">
        <v>45.0</v>
      </c>
      <c r="L133" s="19">
        <v>0.0</v>
      </c>
      <c r="N133" s="19">
        <v>45.0</v>
      </c>
      <c r="P133" s="19">
        <v>0.0</v>
      </c>
      <c r="Q133" s="20"/>
      <c r="R133" s="18"/>
      <c r="T133" s="19"/>
      <c r="V133" s="19"/>
      <c r="X133" s="19"/>
      <c r="Z133" s="19"/>
      <c r="AB133" s="19"/>
      <c r="AC133" s="20"/>
      <c r="AD133" s="26">
        <f t="shared" si="1"/>
        <v>2520</v>
      </c>
      <c r="AE133" s="25">
        <f t="shared" si="2"/>
        <v>90</v>
      </c>
      <c r="AF133" s="25">
        <f t="shared" si="3"/>
        <v>45</v>
      </c>
      <c r="AG133" s="25">
        <f t="shared" si="4"/>
        <v>135</v>
      </c>
      <c r="AH133" s="27">
        <f t="shared" si="5"/>
        <v>18.66666667</v>
      </c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ht="15.75" customHeight="1">
      <c r="A134" s="23" t="s">
        <v>27</v>
      </c>
      <c r="B134" s="24">
        <f t="shared" si="6"/>
        <v>45423</v>
      </c>
      <c r="C134" s="25">
        <v>5.0</v>
      </c>
      <c r="D134" s="25" t="s">
        <v>30</v>
      </c>
      <c r="E134" s="22" t="s">
        <v>35</v>
      </c>
      <c r="F134" s="18">
        <v>0.0</v>
      </c>
      <c r="H134" s="19">
        <v>45.0</v>
      </c>
      <c r="J134" s="19">
        <v>45.0</v>
      </c>
      <c r="L134" s="19">
        <v>0.0</v>
      </c>
      <c r="N134" s="19">
        <v>45.0</v>
      </c>
      <c r="P134" s="19">
        <v>0.0</v>
      </c>
      <c r="Q134" s="20"/>
      <c r="R134" s="18"/>
      <c r="T134" s="19"/>
      <c r="V134" s="19"/>
      <c r="X134" s="19"/>
      <c r="Z134" s="19"/>
      <c r="AB134" s="19"/>
      <c r="AC134" s="20"/>
      <c r="AD134" s="26">
        <f t="shared" si="1"/>
        <v>2520</v>
      </c>
      <c r="AE134" s="25">
        <f t="shared" si="2"/>
        <v>90</v>
      </c>
      <c r="AF134" s="25">
        <f t="shared" si="3"/>
        <v>45</v>
      </c>
      <c r="AG134" s="25">
        <f t="shared" si="4"/>
        <v>135</v>
      </c>
      <c r="AH134" s="27">
        <f t="shared" si="5"/>
        <v>18.66666667</v>
      </c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ht="15.75" customHeight="1">
      <c r="A135" s="28" t="s">
        <v>28</v>
      </c>
      <c r="B135" s="29">
        <f t="shared" si="6"/>
        <v>45424</v>
      </c>
      <c r="C135" s="30">
        <v>5.0</v>
      </c>
      <c r="D135" s="30" t="s">
        <v>30</v>
      </c>
      <c r="E135" s="31" t="s">
        <v>33</v>
      </c>
      <c r="F135" s="32">
        <v>45.0</v>
      </c>
      <c r="G135" s="7"/>
      <c r="H135" s="33">
        <v>45.0</v>
      </c>
      <c r="I135" s="7"/>
      <c r="J135" s="33">
        <v>0.0</v>
      </c>
      <c r="K135" s="7"/>
      <c r="L135" s="33">
        <v>0.0</v>
      </c>
      <c r="M135" s="7"/>
      <c r="N135" s="33">
        <v>0.0</v>
      </c>
      <c r="O135" s="7"/>
      <c r="P135" s="33">
        <v>0.0</v>
      </c>
      <c r="Q135" s="34"/>
      <c r="R135" s="32"/>
      <c r="S135" s="7"/>
      <c r="T135" s="33"/>
      <c r="U135" s="7"/>
      <c r="V135" s="33"/>
      <c r="W135" s="7"/>
      <c r="X135" s="33"/>
      <c r="Y135" s="7"/>
      <c r="Z135" s="33"/>
      <c r="AA135" s="7"/>
      <c r="AB135" s="33"/>
      <c r="AC135" s="34"/>
      <c r="AD135" s="35">
        <f t="shared" si="1"/>
        <v>2160</v>
      </c>
      <c r="AE135" s="30">
        <f t="shared" si="2"/>
        <v>90</v>
      </c>
      <c r="AF135" s="30">
        <f t="shared" si="3"/>
        <v>0</v>
      </c>
      <c r="AG135" s="30">
        <f t="shared" si="4"/>
        <v>90</v>
      </c>
      <c r="AH135" s="36">
        <f t="shared" si="5"/>
        <v>24</v>
      </c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ht="15.75" customHeight="1">
      <c r="A136" s="14" t="s">
        <v>21</v>
      </c>
      <c r="B136" s="15">
        <f t="shared" si="6"/>
        <v>45425</v>
      </c>
      <c r="C136" s="16">
        <v>5.0</v>
      </c>
      <c r="D136" s="16" t="s">
        <v>31</v>
      </c>
      <c r="E136" s="17" t="s">
        <v>34</v>
      </c>
      <c r="F136" s="18">
        <v>0.0</v>
      </c>
      <c r="H136" s="19">
        <v>0.0</v>
      </c>
      <c r="J136" s="19">
        <v>0.0</v>
      </c>
      <c r="L136" s="19">
        <v>0.0</v>
      </c>
      <c r="N136" s="19">
        <v>0.0</v>
      </c>
      <c r="P136" s="19">
        <v>0.0</v>
      </c>
      <c r="Q136" s="20"/>
      <c r="R136" s="18"/>
      <c r="T136" s="19"/>
      <c r="V136" s="19"/>
      <c r="X136" s="19"/>
      <c r="Z136" s="19"/>
      <c r="AB136" s="19"/>
      <c r="AC136" s="20"/>
      <c r="AD136" s="21">
        <f t="shared" si="1"/>
        <v>0</v>
      </c>
      <c r="AE136" s="16">
        <f t="shared" si="2"/>
        <v>0</v>
      </c>
      <c r="AF136" s="16">
        <f t="shared" si="3"/>
        <v>0</v>
      </c>
      <c r="AG136" s="16">
        <f t="shared" si="4"/>
        <v>0</v>
      </c>
      <c r="AH136" s="37">
        <f t="shared" si="5"/>
        <v>0</v>
      </c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ht="15.75" customHeight="1">
      <c r="A137" s="23" t="s">
        <v>23</v>
      </c>
      <c r="B137" s="24">
        <f t="shared" si="6"/>
        <v>45426</v>
      </c>
      <c r="C137" s="25">
        <v>5.0</v>
      </c>
      <c r="D137" s="25" t="s">
        <v>31</v>
      </c>
      <c r="E137" s="22" t="s">
        <v>34</v>
      </c>
      <c r="F137" s="18">
        <v>0.0</v>
      </c>
      <c r="H137" s="19">
        <v>0.0</v>
      </c>
      <c r="J137" s="19">
        <v>0.0</v>
      </c>
      <c r="L137" s="19">
        <v>0.0</v>
      </c>
      <c r="N137" s="19">
        <v>0.0</v>
      </c>
      <c r="P137" s="19">
        <v>0.0</v>
      </c>
      <c r="Q137" s="20"/>
      <c r="R137" s="18"/>
      <c r="T137" s="19"/>
      <c r="V137" s="19"/>
      <c r="X137" s="19"/>
      <c r="Z137" s="19"/>
      <c r="AB137" s="19"/>
      <c r="AC137" s="20"/>
      <c r="AD137" s="26">
        <f t="shared" si="1"/>
        <v>0</v>
      </c>
      <c r="AE137" s="25">
        <f t="shared" si="2"/>
        <v>0</v>
      </c>
      <c r="AF137" s="25">
        <f t="shared" si="3"/>
        <v>0</v>
      </c>
      <c r="AG137" s="25">
        <f t="shared" si="4"/>
        <v>0</v>
      </c>
      <c r="AH137" s="27">
        <f t="shared" si="5"/>
        <v>0</v>
      </c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ht="15.75" customHeight="1">
      <c r="A138" s="23" t="s">
        <v>24</v>
      </c>
      <c r="B138" s="24">
        <f t="shared" si="6"/>
        <v>45427</v>
      </c>
      <c r="C138" s="25">
        <v>5.0</v>
      </c>
      <c r="D138" s="25" t="s">
        <v>31</v>
      </c>
      <c r="E138" s="22" t="s">
        <v>34</v>
      </c>
      <c r="F138" s="18">
        <v>0.0</v>
      </c>
      <c r="H138" s="19">
        <v>0.0</v>
      </c>
      <c r="J138" s="19">
        <v>0.0</v>
      </c>
      <c r="L138" s="19">
        <v>0.0</v>
      </c>
      <c r="N138" s="19">
        <v>0.0</v>
      </c>
      <c r="P138" s="19">
        <v>0.0</v>
      </c>
      <c r="Q138" s="20"/>
      <c r="R138" s="18"/>
      <c r="T138" s="19"/>
      <c r="V138" s="19"/>
      <c r="X138" s="19"/>
      <c r="Z138" s="19"/>
      <c r="AB138" s="19"/>
      <c r="AC138" s="20"/>
      <c r="AD138" s="26">
        <f t="shared" si="1"/>
        <v>0</v>
      </c>
      <c r="AE138" s="25">
        <f t="shared" si="2"/>
        <v>0</v>
      </c>
      <c r="AF138" s="25">
        <f t="shared" si="3"/>
        <v>0</v>
      </c>
      <c r="AG138" s="25">
        <f t="shared" si="4"/>
        <v>0</v>
      </c>
      <c r="AH138" s="27">
        <f t="shared" si="5"/>
        <v>0</v>
      </c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ht="15.75" customHeight="1">
      <c r="A139" s="23" t="s">
        <v>25</v>
      </c>
      <c r="B139" s="24">
        <f t="shared" si="6"/>
        <v>45428</v>
      </c>
      <c r="C139" s="25">
        <v>5.0</v>
      </c>
      <c r="D139" s="25" t="s">
        <v>31</v>
      </c>
      <c r="E139" s="22" t="s">
        <v>34</v>
      </c>
      <c r="F139" s="18">
        <v>0.0</v>
      </c>
      <c r="H139" s="19">
        <v>0.0</v>
      </c>
      <c r="J139" s="19">
        <v>0.0</v>
      </c>
      <c r="L139" s="19">
        <v>0.0</v>
      </c>
      <c r="N139" s="19">
        <v>0.0</v>
      </c>
      <c r="P139" s="19">
        <v>0.0</v>
      </c>
      <c r="Q139" s="20"/>
      <c r="R139" s="18"/>
      <c r="T139" s="19"/>
      <c r="V139" s="19"/>
      <c r="X139" s="19"/>
      <c r="Z139" s="19"/>
      <c r="AB139" s="19"/>
      <c r="AC139" s="20"/>
      <c r="AD139" s="26">
        <f t="shared" si="1"/>
        <v>0</v>
      </c>
      <c r="AE139" s="25">
        <f t="shared" si="2"/>
        <v>0</v>
      </c>
      <c r="AF139" s="25">
        <f t="shared" si="3"/>
        <v>0</v>
      </c>
      <c r="AG139" s="25">
        <f t="shared" si="4"/>
        <v>0</v>
      </c>
      <c r="AH139" s="27">
        <f t="shared" si="5"/>
        <v>0</v>
      </c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ht="15.75" customHeight="1">
      <c r="A140" s="23" t="s">
        <v>26</v>
      </c>
      <c r="B140" s="24">
        <f t="shared" si="6"/>
        <v>45429</v>
      </c>
      <c r="C140" s="25">
        <v>5.0</v>
      </c>
      <c r="D140" s="25" t="s">
        <v>31</v>
      </c>
      <c r="E140" s="22" t="s">
        <v>34</v>
      </c>
      <c r="F140" s="18">
        <v>0.0</v>
      </c>
      <c r="H140" s="19">
        <v>0.0</v>
      </c>
      <c r="J140" s="19">
        <v>0.0</v>
      </c>
      <c r="L140" s="19">
        <v>0.0</v>
      </c>
      <c r="N140" s="19">
        <v>0.0</v>
      </c>
      <c r="P140" s="19">
        <v>0.0</v>
      </c>
      <c r="Q140" s="20"/>
      <c r="R140" s="18"/>
      <c r="T140" s="19"/>
      <c r="V140" s="19"/>
      <c r="X140" s="19"/>
      <c r="Z140" s="19"/>
      <c r="AB140" s="19"/>
      <c r="AC140" s="20"/>
      <c r="AD140" s="26">
        <f t="shared" si="1"/>
        <v>0</v>
      </c>
      <c r="AE140" s="25">
        <f t="shared" si="2"/>
        <v>0</v>
      </c>
      <c r="AF140" s="25">
        <f t="shared" si="3"/>
        <v>0</v>
      </c>
      <c r="AG140" s="25">
        <f t="shared" si="4"/>
        <v>0</v>
      </c>
      <c r="AH140" s="27">
        <f t="shared" si="5"/>
        <v>0</v>
      </c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ht="15.75" customHeight="1">
      <c r="A141" s="23" t="s">
        <v>27</v>
      </c>
      <c r="B141" s="24">
        <f t="shared" si="6"/>
        <v>45430</v>
      </c>
      <c r="C141" s="25">
        <v>5.0</v>
      </c>
      <c r="D141" s="25" t="s">
        <v>31</v>
      </c>
      <c r="E141" s="22" t="s">
        <v>34</v>
      </c>
      <c r="F141" s="18">
        <v>0.0</v>
      </c>
      <c r="H141" s="19">
        <v>0.0</v>
      </c>
      <c r="J141" s="19">
        <v>0.0</v>
      </c>
      <c r="L141" s="19">
        <v>0.0</v>
      </c>
      <c r="N141" s="19">
        <v>0.0</v>
      </c>
      <c r="P141" s="19">
        <v>0.0</v>
      </c>
      <c r="Q141" s="20"/>
      <c r="R141" s="18"/>
      <c r="T141" s="19"/>
      <c r="V141" s="19"/>
      <c r="X141" s="19"/>
      <c r="Z141" s="19"/>
      <c r="AB141" s="19"/>
      <c r="AC141" s="20"/>
      <c r="AD141" s="26">
        <f t="shared" si="1"/>
        <v>0</v>
      </c>
      <c r="AE141" s="25">
        <f t="shared" si="2"/>
        <v>0</v>
      </c>
      <c r="AF141" s="25">
        <f t="shared" si="3"/>
        <v>0</v>
      </c>
      <c r="AG141" s="25">
        <f t="shared" si="4"/>
        <v>0</v>
      </c>
      <c r="AH141" s="27">
        <f t="shared" si="5"/>
        <v>0</v>
      </c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ht="15.75" customHeight="1">
      <c r="A142" s="28" t="s">
        <v>28</v>
      </c>
      <c r="B142" s="29">
        <f t="shared" si="6"/>
        <v>45431</v>
      </c>
      <c r="C142" s="30">
        <v>5.0</v>
      </c>
      <c r="D142" s="30" t="s">
        <v>31</v>
      </c>
      <c r="E142" s="31" t="s">
        <v>34</v>
      </c>
      <c r="F142" s="33">
        <v>0.0</v>
      </c>
      <c r="G142" s="7"/>
      <c r="H142" s="33">
        <v>0.0</v>
      </c>
      <c r="I142" s="7"/>
      <c r="J142" s="33">
        <v>0.0</v>
      </c>
      <c r="K142" s="7"/>
      <c r="L142" s="33">
        <v>0.0</v>
      </c>
      <c r="M142" s="7"/>
      <c r="N142" s="33">
        <v>0.0</v>
      </c>
      <c r="O142" s="7"/>
      <c r="P142" s="33">
        <v>0.0</v>
      </c>
      <c r="Q142" s="34"/>
      <c r="R142" s="32"/>
      <c r="S142" s="7"/>
      <c r="T142" s="33"/>
      <c r="U142" s="7"/>
      <c r="V142" s="33"/>
      <c r="W142" s="7"/>
      <c r="X142" s="33"/>
      <c r="Y142" s="7"/>
      <c r="Z142" s="33"/>
      <c r="AA142" s="7"/>
      <c r="AB142" s="33"/>
      <c r="AC142" s="34"/>
      <c r="AD142" s="35">
        <f t="shared" si="1"/>
        <v>0</v>
      </c>
      <c r="AE142" s="30">
        <f t="shared" si="2"/>
        <v>0</v>
      </c>
      <c r="AF142" s="30">
        <f t="shared" si="3"/>
        <v>0</v>
      </c>
      <c r="AG142" s="30">
        <f t="shared" si="4"/>
        <v>0</v>
      </c>
      <c r="AH142" s="36">
        <f t="shared" si="5"/>
        <v>0</v>
      </c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ht="15.75" customHeight="1">
      <c r="A143" s="14" t="s">
        <v>21</v>
      </c>
      <c r="B143" s="15">
        <f t="shared" si="6"/>
        <v>45432</v>
      </c>
      <c r="C143" s="16">
        <v>6.0</v>
      </c>
      <c r="D143" s="16" t="s">
        <v>22</v>
      </c>
      <c r="E143" s="17" t="s">
        <v>34</v>
      </c>
      <c r="F143" s="18">
        <v>0.0</v>
      </c>
      <c r="H143" s="19">
        <v>0.0</v>
      </c>
      <c r="J143" s="19">
        <v>0.0</v>
      </c>
      <c r="L143" s="19">
        <v>0.0</v>
      </c>
      <c r="N143" s="19">
        <v>0.0</v>
      </c>
      <c r="P143" s="19">
        <v>0.0</v>
      </c>
      <c r="Q143" s="20"/>
      <c r="R143" s="18"/>
      <c r="T143" s="19"/>
      <c r="V143" s="19"/>
      <c r="X143" s="19"/>
      <c r="Z143" s="19"/>
      <c r="AB143" s="19"/>
      <c r="AC143" s="20"/>
      <c r="AD143" s="21">
        <f t="shared" si="1"/>
        <v>0</v>
      </c>
      <c r="AE143" s="16">
        <f t="shared" si="2"/>
        <v>0</v>
      </c>
      <c r="AF143" s="16">
        <f t="shared" si="3"/>
        <v>0</v>
      </c>
      <c r="AG143" s="16">
        <f t="shared" si="4"/>
        <v>0</v>
      </c>
      <c r="AH143" s="37">
        <f t="shared" si="5"/>
        <v>0</v>
      </c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ht="15.75" customHeight="1">
      <c r="A144" s="23" t="s">
        <v>23</v>
      </c>
      <c r="B144" s="24">
        <f t="shared" si="6"/>
        <v>45433</v>
      </c>
      <c r="C144" s="25">
        <v>6.0</v>
      </c>
      <c r="D144" s="25" t="s">
        <v>22</v>
      </c>
      <c r="E144" s="22" t="s">
        <v>35</v>
      </c>
      <c r="F144" s="18">
        <v>0.0</v>
      </c>
      <c r="H144" s="19">
        <v>45.0</v>
      </c>
      <c r="J144" s="19">
        <v>45.0</v>
      </c>
      <c r="L144" s="19">
        <v>0.0</v>
      </c>
      <c r="N144" s="19">
        <v>45.0</v>
      </c>
      <c r="P144" s="19">
        <v>0.0</v>
      </c>
      <c r="Q144" s="20"/>
      <c r="R144" s="18"/>
      <c r="T144" s="19"/>
      <c r="V144" s="19"/>
      <c r="X144" s="19"/>
      <c r="Z144" s="19"/>
      <c r="AB144" s="19"/>
      <c r="AC144" s="20"/>
      <c r="AD144" s="26">
        <f t="shared" si="1"/>
        <v>2520</v>
      </c>
      <c r="AE144" s="25">
        <f t="shared" si="2"/>
        <v>90</v>
      </c>
      <c r="AF144" s="25">
        <f t="shared" si="3"/>
        <v>45</v>
      </c>
      <c r="AG144" s="25">
        <f t="shared" si="4"/>
        <v>135</v>
      </c>
      <c r="AH144" s="27">
        <f t="shared" si="5"/>
        <v>18.66666667</v>
      </c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ht="15.75" customHeight="1">
      <c r="A145" s="23" t="s">
        <v>24</v>
      </c>
      <c r="B145" s="24">
        <f t="shared" si="6"/>
        <v>45434</v>
      </c>
      <c r="C145" s="25">
        <v>6.0</v>
      </c>
      <c r="D145" s="25" t="s">
        <v>22</v>
      </c>
      <c r="E145" s="22" t="s">
        <v>35</v>
      </c>
      <c r="F145" s="18">
        <v>0.0</v>
      </c>
      <c r="H145" s="19">
        <v>45.0</v>
      </c>
      <c r="J145" s="19">
        <v>45.0</v>
      </c>
      <c r="L145" s="19">
        <v>0.0</v>
      </c>
      <c r="N145" s="19">
        <v>45.0</v>
      </c>
      <c r="P145" s="19">
        <v>0.0</v>
      </c>
      <c r="Q145" s="20"/>
      <c r="R145" s="18"/>
      <c r="T145" s="19"/>
      <c r="V145" s="19"/>
      <c r="X145" s="19"/>
      <c r="Z145" s="19"/>
      <c r="AB145" s="19"/>
      <c r="AC145" s="20"/>
      <c r="AD145" s="26">
        <f t="shared" si="1"/>
        <v>2520</v>
      </c>
      <c r="AE145" s="25">
        <f t="shared" si="2"/>
        <v>90</v>
      </c>
      <c r="AF145" s="25">
        <f t="shared" si="3"/>
        <v>45</v>
      </c>
      <c r="AG145" s="25">
        <f t="shared" si="4"/>
        <v>135</v>
      </c>
      <c r="AH145" s="27">
        <f t="shared" si="5"/>
        <v>18.66666667</v>
      </c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ht="15.75" customHeight="1">
      <c r="A146" s="23" t="s">
        <v>25</v>
      </c>
      <c r="B146" s="24">
        <f t="shared" si="6"/>
        <v>45435</v>
      </c>
      <c r="C146" s="25">
        <v>6.0</v>
      </c>
      <c r="D146" s="25" t="s">
        <v>22</v>
      </c>
      <c r="E146" s="22" t="s">
        <v>35</v>
      </c>
      <c r="F146" s="18">
        <v>0.0</v>
      </c>
      <c r="H146" s="19">
        <v>45.0</v>
      </c>
      <c r="J146" s="19">
        <v>45.0</v>
      </c>
      <c r="L146" s="19">
        <v>0.0</v>
      </c>
      <c r="N146" s="19">
        <v>45.0</v>
      </c>
      <c r="P146" s="19">
        <v>0.0</v>
      </c>
      <c r="Q146" s="20"/>
      <c r="R146" s="18"/>
      <c r="T146" s="19"/>
      <c r="V146" s="19"/>
      <c r="X146" s="19"/>
      <c r="Z146" s="19"/>
      <c r="AB146" s="19"/>
      <c r="AC146" s="20"/>
      <c r="AD146" s="26">
        <f t="shared" si="1"/>
        <v>2520</v>
      </c>
      <c r="AE146" s="25">
        <f t="shared" si="2"/>
        <v>90</v>
      </c>
      <c r="AF146" s="25">
        <f t="shared" si="3"/>
        <v>45</v>
      </c>
      <c r="AG146" s="25">
        <f t="shared" si="4"/>
        <v>135</v>
      </c>
      <c r="AH146" s="27">
        <f t="shared" si="5"/>
        <v>18.66666667</v>
      </c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ht="15.75" customHeight="1">
      <c r="A147" s="23" t="s">
        <v>26</v>
      </c>
      <c r="B147" s="24">
        <f t="shared" si="6"/>
        <v>45436</v>
      </c>
      <c r="C147" s="25">
        <v>6.0</v>
      </c>
      <c r="D147" s="25" t="s">
        <v>22</v>
      </c>
      <c r="E147" s="22" t="s">
        <v>35</v>
      </c>
      <c r="F147" s="18">
        <v>0.0</v>
      </c>
      <c r="H147" s="19">
        <v>45.0</v>
      </c>
      <c r="J147" s="19">
        <v>45.0</v>
      </c>
      <c r="L147" s="19">
        <v>0.0</v>
      </c>
      <c r="N147" s="19">
        <v>45.0</v>
      </c>
      <c r="P147" s="19">
        <v>0.0</v>
      </c>
      <c r="Q147" s="20"/>
      <c r="R147" s="18"/>
      <c r="T147" s="19"/>
      <c r="V147" s="19"/>
      <c r="X147" s="19"/>
      <c r="Z147" s="19"/>
      <c r="AB147" s="19"/>
      <c r="AC147" s="20"/>
      <c r="AD147" s="26">
        <f t="shared" si="1"/>
        <v>2520</v>
      </c>
      <c r="AE147" s="25">
        <f t="shared" si="2"/>
        <v>90</v>
      </c>
      <c r="AF147" s="25">
        <f t="shared" si="3"/>
        <v>45</v>
      </c>
      <c r="AG147" s="25">
        <f t="shared" si="4"/>
        <v>135</v>
      </c>
      <c r="AH147" s="27">
        <f t="shared" si="5"/>
        <v>18.66666667</v>
      </c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ht="15.75" customHeight="1">
      <c r="A148" s="23" t="s">
        <v>27</v>
      </c>
      <c r="B148" s="24">
        <f t="shared" si="6"/>
        <v>45437</v>
      </c>
      <c r="C148" s="25">
        <v>6.0</v>
      </c>
      <c r="D148" s="25" t="s">
        <v>22</v>
      </c>
      <c r="E148" s="22" t="s">
        <v>35</v>
      </c>
      <c r="F148" s="18">
        <v>0.0</v>
      </c>
      <c r="H148" s="19">
        <v>45.0</v>
      </c>
      <c r="J148" s="19">
        <v>45.0</v>
      </c>
      <c r="L148" s="19">
        <v>0.0</v>
      </c>
      <c r="N148" s="19">
        <v>45.0</v>
      </c>
      <c r="P148" s="19">
        <v>0.0</v>
      </c>
      <c r="Q148" s="20"/>
      <c r="R148" s="18"/>
      <c r="T148" s="19"/>
      <c r="V148" s="19"/>
      <c r="X148" s="19"/>
      <c r="Z148" s="19"/>
      <c r="AB148" s="19"/>
      <c r="AC148" s="20"/>
      <c r="AD148" s="26">
        <f t="shared" si="1"/>
        <v>2520</v>
      </c>
      <c r="AE148" s="25">
        <f t="shared" si="2"/>
        <v>90</v>
      </c>
      <c r="AF148" s="25">
        <f t="shared" si="3"/>
        <v>45</v>
      </c>
      <c r="AG148" s="25">
        <f t="shared" si="4"/>
        <v>135</v>
      </c>
      <c r="AH148" s="27">
        <f t="shared" si="5"/>
        <v>18.66666667</v>
      </c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ht="15.75" customHeight="1">
      <c r="A149" s="28" t="s">
        <v>28</v>
      </c>
      <c r="B149" s="29">
        <f t="shared" si="6"/>
        <v>45438</v>
      </c>
      <c r="C149" s="30">
        <v>6.0</v>
      </c>
      <c r="D149" s="30" t="s">
        <v>22</v>
      </c>
      <c r="E149" s="31" t="s">
        <v>35</v>
      </c>
      <c r="F149" s="32">
        <v>0.0</v>
      </c>
      <c r="G149" s="7"/>
      <c r="H149" s="33">
        <v>45.0</v>
      </c>
      <c r="I149" s="7"/>
      <c r="J149" s="33">
        <v>45.0</v>
      </c>
      <c r="K149" s="7"/>
      <c r="L149" s="33">
        <v>0.0</v>
      </c>
      <c r="M149" s="7"/>
      <c r="N149" s="33">
        <v>45.0</v>
      </c>
      <c r="O149" s="7"/>
      <c r="P149" s="33">
        <v>0.0</v>
      </c>
      <c r="Q149" s="34"/>
      <c r="R149" s="32"/>
      <c r="S149" s="7"/>
      <c r="T149" s="33"/>
      <c r="U149" s="7"/>
      <c r="V149" s="33"/>
      <c r="W149" s="7"/>
      <c r="X149" s="33"/>
      <c r="Y149" s="7"/>
      <c r="Z149" s="33"/>
      <c r="AA149" s="7"/>
      <c r="AB149" s="33"/>
      <c r="AC149" s="34"/>
      <c r="AD149" s="35">
        <f t="shared" si="1"/>
        <v>2520</v>
      </c>
      <c r="AE149" s="30">
        <f t="shared" si="2"/>
        <v>90</v>
      </c>
      <c r="AF149" s="30">
        <f t="shared" si="3"/>
        <v>45</v>
      </c>
      <c r="AG149" s="30">
        <f t="shared" si="4"/>
        <v>135</v>
      </c>
      <c r="AH149" s="36">
        <f t="shared" si="5"/>
        <v>18.66666667</v>
      </c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ht="15.75" customHeight="1">
      <c r="A150" s="14" t="s">
        <v>21</v>
      </c>
      <c r="B150" s="15">
        <f t="shared" si="6"/>
        <v>45439</v>
      </c>
      <c r="C150" s="16">
        <v>6.0</v>
      </c>
      <c r="D150" s="16" t="s">
        <v>29</v>
      </c>
      <c r="E150" s="17" t="s">
        <v>34</v>
      </c>
      <c r="F150" s="18">
        <v>0.0</v>
      </c>
      <c r="H150" s="19">
        <v>0.0</v>
      </c>
      <c r="J150" s="19">
        <v>0.0</v>
      </c>
      <c r="L150" s="19">
        <v>0.0</v>
      </c>
      <c r="N150" s="19">
        <v>0.0</v>
      </c>
      <c r="P150" s="19">
        <v>0.0</v>
      </c>
      <c r="Q150" s="20"/>
      <c r="R150" s="18"/>
      <c r="T150" s="19"/>
      <c r="V150" s="19"/>
      <c r="X150" s="19"/>
      <c r="Z150" s="19"/>
      <c r="AB150" s="19"/>
      <c r="AC150" s="20"/>
      <c r="AD150" s="21">
        <f t="shared" si="1"/>
        <v>0</v>
      </c>
      <c r="AE150" s="16">
        <f t="shared" si="2"/>
        <v>0</v>
      </c>
      <c r="AF150" s="16">
        <f t="shared" si="3"/>
        <v>0</v>
      </c>
      <c r="AG150" s="16">
        <f t="shared" si="4"/>
        <v>0</v>
      </c>
      <c r="AH150" s="37">
        <f t="shared" si="5"/>
        <v>0</v>
      </c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ht="15.75" customHeight="1">
      <c r="A151" s="23" t="s">
        <v>23</v>
      </c>
      <c r="B151" s="24">
        <f t="shared" si="6"/>
        <v>45440</v>
      </c>
      <c r="C151" s="25">
        <v>6.0</v>
      </c>
      <c r="D151" s="25" t="s">
        <v>29</v>
      </c>
      <c r="E151" s="22" t="s">
        <v>35</v>
      </c>
      <c r="F151" s="18">
        <v>0.0</v>
      </c>
      <c r="H151" s="19">
        <v>45.0</v>
      </c>
      <c r="J151" s="19">
        <v>45.0</v>
      </c>
      <c r="L151" s="19">
        <v>0.0</v>
      </c>
      <c r="N151" s="19">
        <v>45.0</v>
      </c>
      <c r="P151" s="19">
        <v>0.0</v>
      </c>
      <c r="Q151" s="20"/>
      <c r="R151" s="18"/>
      <c r="T151" s="19"/>
      <c r="V151" s="19"/>
      <c r="X151" s="19"/>
      <c r="Z151" s="19"/>
      <c r="AB151" s="19"/>
      <c r="AC151" s="20"/>
      <c r="AD151" s="26">
        <f t="shared" si="1"/>
        <v>2520</v>
      </c>
      <c r="AE151" s="25">
        <f t="shared" si="2"/>
        <v>90</v>
      </c>
      <c r="AF151" s="25">
        <f t="shared" si="3"/>
        <v>45</v>
      </c>
      <c r="AG151" s="25">
        <f t="shared" si="4"/>
        <v>135</v>
      </c>
      <c r="AH151" s="27">
        <f t="shared" si="5"/>
        <v>18.66666667</v>
      </c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ht="15.75" customHeight="1">
      <c r="A152" s="23" t="s">
        <v>24</v>
      </c>
      <c r="B152" s="24">
        <f t="shared" si="6"/>
        <v>45441</v>
      </c>
      <c r="C152" s="25">
        <v>6.0</v>
      </c>
      <c r="D152" s="25" t="s">
        <v>29</v>
      </c>
      <c r="E152" s="22" t="s">
        <v>35</v>
      </c>
      <c r="F152" s="18">
        <v>0.0</v>
      </c>
      <c r="H152" s="19">
        <v>45.0</v>
      </c>
      <c r="J152" s="19">
        <v>45.0</v>
      </c>
      <c r="L152" s="19">
        <v>0.0</v>
      </c>
      <c r="N152" s="19">
        <v>45.0</v>
      </c>
      <c r="P152" s="19">
        <v>0.0</v>
      </c>
      <c r="Q152" s="20"/>
      <c r="R152" s="18"/>
      <c r="T152" s="19"/>
      <c r="V152" s="19"/>
      <c r="X152" s="19"/>
      <c r="Z152" s="19"/>
      <c r="AB152" s="19"/>
      <c r="AC152" s="20"/>
      <c r="AD152" s="26">
        <f t="shared" si="1"/>
        <v>2520</v>
      </c>
      <c r="AE152" s="25">
        <f t="shared" si="2"/>
        <v>90</v>
      </c>
      <c r="AF152" s="25">
        <f t="shared" si="3"/>
        <v>45</v>
      </c>
      <c r="AG152" s="25">
        <f t="shared" si="4"/>
        <v>135</v>
      </c>
      <c r="AH152" s="27">
        <f t="shared" si="5"/>
        <v>18.66666667</v>
      </c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ht="15.75" customHeight="1">
      <c r="A153" s="23" t="s">
        <v>25</v>
      </c>
      <c r="B153" s="24">
        <f t="shared" si="6"/>
        <v>45442</v>
      </c>
      <c r="C153" s="25">
        <v>6.0</v>
      </c>
      <c r="D153" s="25" t="s">
        <v>29</v>
      </c>
      <c r="E153" s="22" t="s">
        <v>35</v>
      </c>
      <c r="F153" s="18">
        <v>0.0</v>
      </c>
      <c r="H153" s="19">
        <v>45.0</v>
      </c>
      <c r="J153" s="19">
        <v>45.0</v>
      </c>
      <c r="L153" s="19">
        <v>0.0</v>
      </c>
      <c r="N153" s="19">
        <v>45.0</v>
      </c>
      <c r="P153" s="19">
        <v>0.0</v>
      </c>
      <c r="Q153" s="20"/>
      <c r="R153" s="18"/>
      <c r="T153" s="19"/>
      <c r="V153" s="19"/>
      <c r="X153" s="19"/>
      <c r="Z153" s="19"/>
      <c r="AB153" s="19"/>
      <c r="AC153" s="20"/>
      <c r="AD153" s="26">
        <f t="shared" si="1"/>
        <v>2520</v>
      </c>
      <c r="AE153" s="25">
        <f t="shared" si="2"/>
        <v>90</v>
      </c>
      <c r="AF153" s="25">
        <f t="shared" si="3"/>
        <v>45</v>
      </c>
      <c r="AG153" s="25">
        <f t="shared" si="4"/>
        <v>135</v>
      </c>
      <c r="AH153" s="27">
        <f t="shared" si="5"/>
        <v>18.66666667</v>
      </c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ht="15.75" customHeight="1">
      <c r="A154" s="23" t="s">
        <v>26</v>
      </c>
      <c r="B154" s="24">
        <f t="shared" si="6"/>
        <v>45443</v>
      </c>
      <c r="C154" s="25">
        <v>6.0</v>
      </c>
      <c r="D154" s="25" t="s">
        <v>29</v>
      </c>
      <c r="E154" s="22" t="s">
        <v>35</v>
      </c>
      <c r="F154" s="18">
        <v>0.0</v>
      </c>
      <c r="H154" s="19">
        <v>45.0</v>
      </c>
      <c r="J154" s="19">
        <v>45.0</v>
      </c>
      <c r="L154" s="19">
        <v>0.0</v>
      </c>
      <c r="N154" s="19">
        <v>45.0</v>
      </c>
      <c r="P154" s="19">
        <v>0.0</v>
      </c>
      <c r="Q154" s="20"/>
      <c r="R154" s="18"/>
      <c r="T154" s="19"/>
      <c r="V154" s="19"/>
      <c r="X154" s="19"/>
      <c r="Z154" s="19"/>
      <c r="AB154" s="19"/>
      <c r="AC154" s="20"/>
      <c r="AD154" s="26">
        <f t="shared" si="1"/>
        <v>2520</v>
      </c>
      <c r="AE154" s="25">
        <f t="shared" si="2"/>
        <v>90</v>
      </c>
      <c r="AF154" s="25">
        <f t="shared" si="3"/>
        <v>45</v>
      </c>
      <c r="AG154" s="25">
        <f t="shared" si="4"/>
        <v>135</v>
      </c>
      <c r="AH154" s="27">
        <f t="shared" si="5"/>
        <v>18.66666667</v>
      </c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ht="15.75" customHeight="1">
      <c r="A155" s="23" t="s">
        <v>27</v>
      </c>
      <c r="B155" s="24">
        <f t="shared" si="6"/>
        <v>45444</v>
      </c>
      <c r="C155" s="25">
        <v>6.0</v>
      </c>
      <c r="D155" s="25" t="s">
        <v>29</v>
      </c>
      <c r="E155" s="22" t="s">
        <v>35</v>
      </c>
      <c r="F155" s="18">
        <v>0.0</v>
      </c>
      <c r="H155" s="19">
        <v>45.0</v>
      </c>
      <c r="J155" s="19">
        <v>45.0</v>
      </c>
      <c r="L155" s="19">
        <v>0.0</v>
      </c>
      <c r="N155" s="19">
        <v>45.0</v>
      </c>
      <c r="P155" s="19">
        <v>0.0</v>
      </c>
      <c r="Q155" s="20"/>
      <c r="R155" s="18"/>
      <c r="T155" s="19"/>
      <c r="V155" s="19"/>
      <c r="X155" s="19"/>
      <c r="Z155" s="19"/>
      <c r="AB155" s="19"/>
      <c r="AC155" s="20"/>
      <c r="AD155" s="26">
        <f t="shared" si="1"/>
        <v>2520</v>
      </c>
      <c r="AE155" s="25">
        <f t="shared" si="2"/>
        <v>90</v>
      </c>
      <c r="AF155" s="25">
        <f t="shared" si="3"/>
        <v>45</v>
      </c>
      <c r="AG155" s="25">
        <f t="shared" si="4"/>
        <v>135</v>
      </c>
      <c r="AH155" s="27">
        <f t="shared" si="5"/>
        <v>18.66666667</v>
      </c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ht="15.75" customHeight="1">
      <c r="A156" s="28" t="s">
        <v>28</v>
      </c>
      <c r="B156" s="29">
        <f t="shared" si="6"/>
        <v>45445</v>
      </c>
      <c r="C156" s="30">
        <v>6.0</v>
      </c>
      <c r="D156" s="30" t="s">
        <v>29</v>
      </c>
      <c r="E156" s="31" t="s">
        <v>33</v>
      </c>
      <c r="F156" s="33">
        <v>45.0</v>
      </c>
      <c r="G156" s="7"/>
      <c r="H156" s="33">
        <v>45.0</v>
      </c>
      <c r="I156" s="7"/>
      <c r="J156" s="33">
        <v>0.0</v>
      </c>
      <c r="K156" s="7"/>
      <c r="L156" s="33">
        <v>0.0</v>
      </c>
      <c r="M156" s="7"/>
      <c r="N156" s="33">
        <v>0.0</v>
      </c>
      <c r="O156" s="7"/>
      <c r="P156" s="33">
        <v>0.0</v>
      </c>
      <c r="Q156" s="34"/>
      <c r="R156" s="32"/>
      <c r="S156" s="7"/>
      <c r="T156" s="33"/>
      <c r="U156" s="7"/>
      <c r="V156" s="33"/>
      <c r="W156" s="7"/>
      <c r="X156" s="33"/>
      <c r="Y156" s="7"/>
      <c r="Z156" s="33"/>
      <c r="AA156" s="7"/>
      <c r="AB156" s="33"/>
      <c r="AC156" s="34"/>
      <c r="AD156" s="35">
        <f t="shared" si="1"/>
        <v>2160</v>
      </c>
      <c r="AE156" s="30">
        <f t="shared" si="2"/>
        <v>90</v>
      </c>
      <c r="AF156" s="30">
        <f t="shared" si="3"/>
        <v>0</v>
      </c>
      <c r="AG156" s="30">
        <f t="shared" si="4"/>
        <v>90</v>
      </c>
      <c r="AH156" s="36">
        <f t="shared" si="5"/>
        <v>24</v>
      </c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ht="15.75" customHeight="1">
      <c r="A157" s="14" t="s">
        <v>21</v>
      </c>
      <c r="B157" s="15">
        <f t="shared" si="6"/>
        <v>45446</v>
      </c>
      <c r="C157" s="16">
        <v>6.0</v>
      </c>
      <c r="D157" s="16" t="s">
        <v>30</v>
      </c>
      <c r="E157" s="17" t="s">
        <v>34</v>
      </c>
      <c r="F157" s="18">
        <v>0.0</v>
      </c>
      <c r="H157" s="19">
        <v>0.0</v>
      </c>
      <c r="J157" s="19">
        <v>0.0</v>
      </c>
      <c r="L157" s="19">
        <v>0.0</v>
      </c>
      <c r="N157" s="19">
        <v>0.0</v>
      </c>
      <c r="P157" s="19">
        <v>0.0</v>
      </c>
      <c r="Q157" s="20"/>
      <c r="R157" s="18"/>
      <c r="T157" s="19"/>
      <c r="V157" s="19"/>
      <c r="X157" s="19"/>
      <c r="Z157" s="19"/>
      <c r="AB157" s="19"/>
      <c r="AC157" s="20"/>
      <c r="AD157" s="21">
        <f t="shared" si="1"/>
        <v>0</v>
      </c>
      <c r="AE157" s="16">
        <f t="shared" si="2"/>
        <v>0</v>
      </c>
      <c r="AF157" s="16">
        <f t="shared" si="3"/>
        <v>0</v>
      </c>
      <c r="AG157" s="16">
        <f t="shared" si="4"/>
        <v>0</v>
      </c>
      <c r="AH157" s="37">
        <f t="shared" si="5"/>
        <v>0</v>
      </c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ht="15.75" customHeight="1">
      <c r="A158" s="23" t="s">
        <v>23</v>
      </c>
      <c r="B158" s="24">
        <f t="shared" si="6"/>
        <v>45447</v>
      </c>
      <c r="C158" s="25">
        <v>6.0</v>
      </c>
      <c r="D158" s="25" t="s">
        <v>30</v>
      </c>
      <c r="E158" s="22" t="s">
        <v>34</v>
      </c>
      <c r="F158" s="18">
        <v>0.0</v>
      </c>
      <c r="H158" s="19">
        <v>0.0</v>
      </c>
      <c r="J158" s="19">
        <v>0.0</v>
      </c>
      <c r="L158" s="19">
        <v>0.0</v>
      </c>
      <c r="N158" s="19">
        <v>0.0</v>
      </c>
      <c r="P158" s="19">
        <v>0.0</v>
      </c>
      <c r="Q158" s="20"/>
      <c r="R158" s="18"/>
      <c r="T158" s="19"/>
      <c r="V158" s="19"/>
      <c r="X158" s="19"/>
      <c r="Z158" s="19"/>
      <c r="AB158" s="19"/>
      <c r="AC158" s="20"/>
      <c r="AD158" s="26">
        <f t="shared" si="1"/>
        <v>0</v>
      </c>
      <c r="AE158" s="25">
        <f t="shared" si="2"/>
        <v>0</v>
      </c>
      <c r="AF158" s="25">
        <f t="shared" si="3"/>
        <v>0</v>
      </c>
      <c r="AG158" s="25">
        <f t="shared" si="4"/>
        <v>0</v>
      </c>
      <c r="AH158" s="27">
        <f t="shared" si="5"/>
        <v>0</v>
      </c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ht="15.75" customHeight="1">
      <c r="A159" s="23" t="s">
        <v>24</v>
      </c>
      <c r="B159" s="24">
        <f t="shared" si="6"/>
        <v>45448</v>
      </c>
      <c r="C159" s="25">
        <v>6.0</v>
      </c>
      <c r="D159" s="25" t="s">
        <v>30</v>
      </c>
      <c r="E159" s="22" t="s">
        <v>34</v>
      </c>
      <c r="F159" s="18">
        <v>0.0</v>
      </c>
      <c r="H159" s="19">
        <v>0.0</v>
      </c>
      <c r="J159" s="19">
        <v>0.0</v>
      </c>
      <c r="L159" s="19">
        <v>0.0</v>
      </c>
      <c r="N159" s="19">
        <v>0.0</v>
      </c>
      <c r="P159" s="19">
        <v>0.0</v>
      </c>
      <c r="Q159" s="20"/>
      <c r="R159" s="18"/>
      <c r="T159" s="19"/>
      <c r="V159" s="19"/>
      <c r="X159" s="19"/>
      <c r="Z159" s="19"/>
      <c r="AB159" s="19"/>
      <c r="AC159" s="20"/>
      <c r="AD159" s="26">
        <f t="shared" si="1"/>
        <v>0</v>
      </c>
      <c r="AE159" s="25">
        <f t="shared" si="2"/>
        <v>0</v>
      </c>
      <c r="AF159" s="25">
        <f t="shared" si="3"/>
        <v>0</v>
      </c>
      <c r="AG159" s="25">
        <f t="shared" si="4"/>
        <v>0</v>
      </c>
      <c r="AH159" s="27">
        <f t="shared" si="5"/>
        <v>0</v>
      </c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ht="15.75" customHeight="1">
      <c r="A160" s="23" t="s">
        <v>25</v>
      </c>
      <c r="B160" s="24">
        <f t="shared" si="6"/>
        <v>45449</v>
      </c>
      <c r="C160" s="25">
        <v>6.0</v>
      </c>
      <c r="D160" s="25" t="s">
        <v>30</v>
      </c>
      <c r="E160" s="22" t="s">
        <v>34</v>
      </c>
      <c r="F160" s="18">
        <v>0.0</v>
      </c>
      <c r="H160" s="19">
        <v>0.0</v>
      </c>
      <c r="J160" s="19">
        <v>0.0</v>
      </c>
      <c r="L160" s="19">
        <v>0.0</v>
      </c>
      <c r="N160" s="19">
        <v>0.0</v>
      </c>
      <c r="P160" s="19">
        <v>0.0</v>
      </c>
      <c r="Q160" s="20"/>
      <c r="R160" s="18"/>
      <c r="T160" s="19"/>
      <c r="V160" s="19"/>
      <c r="X160" s="19"/>
      <c r="Z160" s="19"/>
      <c r="AB160" s="19"/>
      <c r="AC160" s="20"/>
      <c r="AD160" s="26">
        <f t="shared" si="1"/>
        <v>0</v>
      </c>
      <c r="AE160" s="25">
        <f t="shared" si="2"/>
        <v>0</v>
      </c>
      <c r="AF160" s="25">
        <f t="shared" si="3"/>
        <v>0</v>
      </c>
      <c r="AG160" s="25">
        <f t="shared" si="4"/>
        <v>0</v>
      </c>
      <c r="AH160" s="27">
        <f t="shared" si="5"/>
        <v>0</v>
      </c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ht="15.75" customHeight="1">
      <c r="A161" s="23" t="s">
        <v>26</v>
      </c>
      <c r="B161" s="24">
        <f t="shared" si="6"/>
        <v>45450</v>
      </c>
      <c r="C161" s="25">
        <v>6.0</v>
      </c>
      <c r="D161" s="25" t="s">
        <v>30</v>
      </c>
      <c r="E161" s="22" t="s">
        <v>34</v>
      </c>
      <c r="F161" s="18">
        <v>0.0</v>
      </c>
      <c r="H161" s="19">
        <v>0.0</v>
      </c>
      <c r="J161" s="19">
        <v>0.0</v>
      </c>
      <c r="L161" s="19">
        <v>0.0</v>
      </c>
      <c r="N161" s="19">
        <v>0.0</v>
      </c>
      <c r="P161" s="19">
        <v>0.0</v>
      </c>
      <c r="Q161" s="20"/>
      <c r="R161" s="18"/>
      <c r="T161" s="19"/>
      <c r="V161" s="19"/>
      <c r="X161" s="19"/>
      <c r="Z161" s="19"/>
      <c r="AB161" s="19"/>
      <c r="AC161" s="20"/>
      <c r="AD161" s="26">
        <f t="shared" si="1"/>
        <v>0</v>
      </c>
      <c r="AE161" s="25">
        <f t="shared" si="2"/>
        <v>0</v>
      </c>
      <c r="AF161" s="25">
        <f t="shared" si="3"/>
        <v>0</v>
      </c>
      <c r="AG161" s="25">
        <f t="shared" si="4"/>
        <v>0</v>
      </c>
      <c r="AH161" s="27">
        <f t="shared" si="5"/>
        <v>0</v>
      </c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ht="15.75" customHeight="1">
      <c r="A162" s="23" t="s">
        <v>27</v>
      </c>
      <c r="B162" s="24">
        <f t="shared" si="6"/>
        <v>45451</v>
      </c>
      <c r="C162" s="25">
        <v>6.0</v>
      </c>
      <c r="D162" s="25" t="s">
        <v>30</v>
      </c>
      <c r="E162" s="22" t="s">
        <v>34</v>
      </c>
      <c r="F162" s="18">
        <v>0.0</v>
      </c>
      <c r="H162" s="19">
        <v>0.0</v>
      </c>
      <c r="J162" s="19">
        <v>0.0</v>
      </c>
      <c r="L162" s="19">
        <v>0.0</v>
      </c>
      <c r="N162" s="19">
        <v>0.0</v>
      </c>
      <c r="P162" s="19">
        <v>0.0</v>
      </c>
      <c r="Q162" s="20"/>
      <c r="R162" s="18"/>
      <c r="T162" s="19"/>
      <c r="V162" s="19"/>
      <c r="X162" s="19"/>
      <c r="Z162" s="19"/>
      <c r="AB162" s="19"/>
      <c r="AC162" s="20"/>
      <c r="AD162" s="26">
        <f t="shared" si="1"/>
        <v>0</v>
      </c>
      <c r="AE162" s="25">
        <f t="shared" si="2"/>
        <v>0</v>
      </c>
      <c r="AF162" s="25">
        <f t="shared" si="3"/>
        <v>0</v>
      </c>
      <c r="AG162" s="25">
        <f t="shared" si="4"/>
        <v>0</v>
      </c>
      <c r="AH162" s="27">
        <f t="shared" si="5"/>
        <v>0</v>
      </c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ht="15.75" customHeight="1">
      <c r="A163" s="28" t="s">
        <v>28</v>
      </c>
      <c r="B163" s="29">
        <f t="shared" si="6"/>
        <v>45452</v>
      </c>
      <c r="C163" s="30">
        <v>6.0</v>
      </c>
      <c r="D163" s="30" t="s">
        <v>30</v>
      </c>
      <c r="E163" s="31" t="s">
        <v>34</v>
      </c>
      <c r="F163" s="33">
        <v>0.0</v>
      </c>
      <c r="G163" s="7"/>
      <c r="H163" s="33">
        <v>0.0</v>
      </c>
      <c r="I163" s="7"/>
      <c r="J163" s="33">
        <v>0.0</v>
      </c>
      <c r="K163" s="7"/>
      <c r="L163" s="33">
        <v>0.0</v>
      </c>
      <c r="M163" s="7"/>
      <c r="N163" s="33">
        <v>0.0</v>
      </c>
      <c r="O163" s="7"/>
      <c r="P163" s="33">
        <v>0.0</v>
      </c>
      <c r="Q163" s="34"/>
      <c r="R163" s="32"/>
      <c r="S163" s="7"/>
      <c r="T163" s="33"/>
      <c r="U163" s="7"/>
      <c r="V163" s="33"/>
      <c r="W163" s="7"/>
      <c r="X163" s="33"/>
      <c r="Y163" s="7"/>
      <c r="Z163" s="33"/>
      <c r="AA163" s="7"/>
      <c r="AB163" s="33"/>
      <c r="AC163" s="34"/>
      <c r="AD163" s="35">
        <f t="shared" si="1"/>
        <v>0</v>
      </c>
      <c r="AE163" s="30">
        <f t="shared" si="2"/>
        <v>0</v>
      </c>
      <c r="AF163" s="30">
        <f t="shared" si="3"/>
        <v>0</v>
      </c>
      <c r="AG163" s="30">
        <f t="shared" si="4"/>
        <v>0</v>
      </c>
      <c r="AH163" s="36">
        <f t="shared" si="5"/>
        <v>0</v>
      </c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ht="15.75" customHeight="1">
      <c r="A164" s="14" t="s">
        <v>21</v>
      </c>
      <c r="B164" s="15">
        <f t="shared" si="6"/>
        <v>45453</v>
      </c>
      <c r="C164" s="16">
        <v>6.0</v>
      </c>
      <c r="D164" s="16" t="s">
        <v>31</v>
      </c>
      <c r="E164" s="17" t="s">
        <v>34</v>
      </c>
      <c r="F164" s="18">
        <v>0.0</v>
      </c>
      <c r="H164" s="19">
        <v>0.0</v>
      </c>
      <c r="J164" s="19">
        <v>0.0</v>
      </c>
      <c r="L164" s="19">
        <v>0.0</v>
      </c>
      <c r="N164" s="19">
        <v>0.0</v>
      </c>
      <c r="P164" s="19">
        <v>0.0</v>
      </c>
      <c r="Q164" s="20"/>
      <c r="R164" s="18"/>
      <c r="T164" s="19"/>
      <c r="V164" s="19"/>
      <c r="X164" s="19"/>
      <c r="Z164" s="19"/>
      <c r="AB164" s="19"/>
      <c r="AC164" s="20"/>
      <c r="AD164" s="21">
        <f t="shared" si="1"/>
        <v>0</v>
      </c>
      <c r="AE164" s="16">
        <f t="shared" si="2"/>
        <v>0</v>
      </c>
      <c r="AF164" s="16">
        <f t="shared" si="3"/>
        <v>0</v>
      </c>
      <c r="AG164" s="16">
        <f t="shared" si="4"/>
        <v>0</v>
      </c>
      <c r="AH164" s="37">
        <f t="shared" si="5"/>
        <v>0</v>
      </c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ht="15.75" customHeight="1">
      <c r="A165" s="23" t="s">
        <v>23</v>
      </c>
      <c r="B165" s="24">
        <f t="shared" si="6"/>
        <v>45454</v>
      </c>
      <c r="C165" s="25">
        <v>6.0</v>
      </c>
      <c r="D165" s="25" t="s">
        <v>31</v>
      </c>
      <c r="E165" s="22" t="s">
        <v>35</v>
      </c>
      <c r="F165" s="18">
        <v>0.0</v>
      </c>
      <c r="H165" s="19">
        <v>45.0</v>
      </c>
      <c r="J165" s="19">
        <v>45.0</v>
      </c>
      <c r="L165" s="19">
        <v>0.0</v>
      </c>
      <c r="N165" s="19">
        <v>45.0</v>
      </c>
      <c r="P165" s="19">
        <v>0.0</v>
      </c>
      <c r="Q165" s="20"/>
      <c r="R165" s="18"/>
      <c r="T165" s="19"/>
      <c r="V165" s="19"/>
      <c r="X165" s="19"/>
      <c r="Z165" s="19"/>
      <c r="AB165" s="19"/>
      <c r="AC165" s="20"/>
      <c r="AD165" s="26">
        <f t="shared" si="1"/>
        <v>2520</v>
      </c>
      <c r="AE165" s="25">
        <f t="shared" si="2"/>
        <v>90</v>
      </c>
      <c r="AF165" s="25">
        <f t="shared" si="3"/>
        <v>45</v>
      </c>
      <c r="AG165" s="25">
        <f t="shared" si="4"/>
        <v>135</v>
      </c>
      <c r="AH165" s="27">
        <f t="shared" si="5"/>
        <v>18.66666667</v>
      </c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ht="15.75" customHeight="1">
      <c r="A166" s="23" t="s">
        <v>24</v>
      </c>
      <c r="B166" s="24">
        <f t="shared" si="6"/>
        <v>45455</v>
      </c>
      <c r="C166" s="25">
        <v>6.0</v>
      </c>
      <c r="D166" s="25" t="s">
        <v>31</v>
      </c>
      <c r="E166" s="22" t="s">
        <v>33</v>
      </c>
      <c r="F166" s="18">
        <v>45.0</v>
      </c>
      <c r="H166" s="19">
        <v>45.0</v>
      </c>
      <c r="J166" s="19">
        <v>0.0</v>
      </c>
      <c r="L166" s="19">
        <v>0.0</v>
      </c>
      <c r="N166" s="19">
        <v>0.0</v>
      </c>
      <c r="P166" s="19">
        <v>0.0</v>
      </c>
      <c r="Q166" s="20"/>
      <c r="R166" s="18"/>
      <c r="T166" s="19"/>
      <c r="V166" s="19"/>
      <c r="X166" s="19"/>
      <c r="Z166" s="19"/>
      <c r="AB166" s="19"/>
      <c r="AC166" s="20"/>
      <c r="AD166" s="26">
        <f t="shared" si="1"/>
        <v>2160</v>
      </c>
      <c r="AE166" s="25">
        <f t="shared" si="2"/>
        <v>90</v>
      </c>
      <c r="AF166" s="25">
        <f t="shared" si="3"/>
        <v>0</v>
      </c>
      <c r="AG166" s="25">
        <f t="shared" si="4"/>
        <v>90</v>
      </c>
      <c r="AH166" s="27">
        <f t="shared" si="5"/>
        <v>24</v>
      </c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ht="15.75" customHeight="1">
      <c r="A167" s="23" t="s">
        <v>25</v>
      </c>
      <c r="B167" s="24">
        <f t="shared" si="6"/>
        <v>45456</v>
      </c>
      <c r="C167" s="25">
        <v>6.0</v>
      </c>
      <c r="D167" s="25" t="s">
        <v>31</v>
      </c>
      <c r="E167" s="22" t="s">
        <v>35</v>
      </c>
      <c r="F167" s="18">
        <v>0.0</v>
      </c>
      <c r="H167" s="19">
        <v>45.0</v>
      </c>
      <c r="J167" s="19">
        <v>45.0</v>
      </c>
      <c r="L167" s="19">
        <v>0.0</v>
      </c>
      <c r="N167" s="19">
        <v>45.0</v>
      </c>
      <c r="P167" s="19">
        <v>0.0</v>
      </c>
      <c r="Q167" s="20"/>
      <c r="R167" s="18"/>
      <c r="T167" s="19"/>
      <c r="V167" s="19"/>
      <c r="X167" s="19"/>
      <c r="Z167" s="19"/>
      <c r="AB167" s="19"/>
      <c r="AC167" s="20"/>
      <c r="AD167" s="26">
        <f t="shared" si="1"/>
        <v>2520</v>
      </c>
      <c r="AE167" s="25">
        <f t="shared" si="2"/>
        <v>90</v>
      </c>
      <c r="AF167" s="25">
        <f t="shared" si="3"/>
        <v>45</v>
      </c>
      <c r="AG167" s="25">
        <f t="shared" si="4"/>
        <v>135</v>
      </c>
      <c r="AH167" s="27">
        <f t="shared" si="5"/>
        <v>18.66666667</v>
      </c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ht="15.75" customHeight="1">
      <c r="A168" s="23" t="s">
        <v>26</v>
      </c>
      <c r="B168" s="24">
        <f t="shared" si="6"/>
        <v>45457</v>
      </c>
      <c r="C168" s="25">
        <v>6.0</v>
      </c>
      <c r="D168" s="25" t="s">
        <v>31</v>
      </c>
      <c r="E168" s="22" t="s">
        <v>35</v>
      </c>
      <c r="F168" s="18">
        <v>0.0</v>
      </c>
      <c r="H168" s="19">
        <v>45.0</v>
      </c>
      <c r="J168" s="19">
        <v>45.0</v>
      </c>
      <c r="L168" s="19">
        <v>0.0</v>
      </c>
      <c r="N168" s="19">
        <v>45.0</v>
      </c>
      <c r="P168" s="19">
        <v>0.0</v>
      </c>
      <c r="Q168" s="20"/>
      <c r="R168" s="18"/>
      <c r="T168" s="19"/>
      <c r="V168" s="19"/>
      <c r="X168" s="19"/>
      <c r="Z168" s="19"/>
      <c r="AB168" s="19"/>
      <c r="AC168" s="20"/>
      <c r="AD168" s="26">
        <f t="shared" si="1"/>
        <v>2520</v>
      </c>
      <c r="AE168" s="25">
        <f t="shared" si="2"/>
        <v>90</v>
      </c>
      <c r="AF168" s="25">
        <f t="shared" si="3"/>
        <v>45</v>
      </c>
      <c r="AG168" s="25">
        <f t="shared" si="4"/>
        <v>135</v>
      </c>
      <c r="AH168" s="27">
        <f t="shared" si="5"/>
        <v>18.66666667</v>
      </c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ht="15.75" customHeight="1">
      <c r="A169" s="23" t="s">
        <v>27</v>
      </c>
      <c r="B169" s="24">
        <f t="shared" si="6"/>
        <v>45458</v>
      </c>
      <c r="C169" s="25">
        <v>6.0</v>
      </c>
      <c r="D169" s="25" t="s">
        <v>31</v>
      </c>
      <c r="E169" s="22" t="s">
        <v>35</v>
      </c>
      <c r="F169" s="18">
        <v>0.0</v>
      </c>
      <c r="H169" s="19">
        <v>45.0</v>
      </c>
      <c r="J169" s="19">
        <v>45.0</v>
      </c>
      <c r="L169" s="19">
        <v>0.0</v>
      </c>
      <c r="N169" s="19">
        <v>45.0</v>
      </c>
      <c r="P169" s="19">
        <v>0.0</v>
      </c>
      <c r="Q169" s="20"/>
      <c r="R169" s="18"/>
      <c r="T169" s="19"/>
      <c r="V169" s="19"/>
      <c r="X169" s="19"/>
      <c r="Z169" s="19"/>
      <c r="AB169" s="19"/>
      <c r="AC169" s="20"/>
      <c r="AD169" s="26">
        <f t="shared" si="1"/>
        <v>2520</v>
      </c>
      <c r="AE169" s="25">
        <f t="shared" si="2"/>
        <v>90</v>
      </c>
      <c r="AF169" s="25">
        <f t="shared" si="3"/>
        <v>45</v>
      </c>
      <c r="AG169" s="25">
        <f t="shared" si="4"/>
        <v>135</v>
      </c>
      <c r="AH169" s="27">
        <f t="shared" si="5"/>
        <v>18.66666667</v>
      </c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ht="15.75" customHeight="1">
      <c r="A170" s="28" t="s">
        <v>28</v>
      </c>
      <c r="B170" s="29">
        <f t="shared" si="6"/>
        <v>45459</v>
      </c>
      <c r="C170" s="30">
        <v>6.0</v>
      </c>
      <c r="D170" s="30" t="s">
        <v>31</v>
      </c>
      <c r="E170" s="31" t="s">
        <v>33</v>
      </c>
      <c r="F170" s="32">
        <v>45.0</v>
      </c>
      <c r="G170" s="7"/>
      <c r="H170" s="33">
        <v>45.0</v>
      </c>
      <c r="I170" s="7"/>
      <c r="J170" s="33">
        <v>0.0</v>
      </c>
      <c r="K170" s="7"/>
      <c r="L170" s="33">
        <v>0.0</v>
      </c>
      <c r="M170" s="7"/>
      <c r="N170" s="33">
        <v>0.0</v>
      </c>
      <c r="O170" s="7"/>
      <c r="P170" s="33">
        <v>0.0</v>
      </c>
      <c r="Q170" s="34"/>
      <c r="R170" s="32"/>
      <c r="S170" s="7"/>
      <c r="T170" s="33"/>
      <c r="U170" s="7"/>
      <c r="V170" s="33"/>
      <c r="W170" s="7"/>
      <c r="X170" s="33"/>
      <c r="Y170" s="7"/>
      <c r="Z170" s="33"/>
      <c r="AA170" s="7"/>
      <c r="AB170" s="33"/>
      <c r="AC170" s="34"/>
      <c r="AD170" s="35">
        <f t="shared" si="1"/>
        <v>2160</v>
      </c>
      <c r="AE170" s="30">
        <f t="shared" si="2"/>
        <v>90</v>
      </c>
      <c r="AF170" s="30">
        <f t="shared" si="3"/>
        <v>0</v>
      </c>
      <c r="AG170" s="30">
        <f t="shared" si="4"/>
        <v>90</v>
      </c>
      <c r="AH170" s="36">
        <f t="shared" si="5"/>
        <v>24</v>
      </c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ht="15.75" customHeight="1">
      <c r="A171" s="14" t="s">
        <v>21</v>
      </c>
      <c r="B171" s="15">
        <f t="shared" si="6"/>
        <v>45460</v>
      </c>
      <c r="C171" s="16">
        <v>7.0</v>
      </c>
      <c r="D171" s="16" t="s">
        <v>22</v>
      </c>
      <c r="E171" s="17" t="s">
        <v>34</v>
      </c>
      <c r="F171" s="18">
        <v>0.0</v>
      </c>
      <c r="H171" s="19">
        <v>0.0</v>
      </c>
      <c r="J171" s="19">
        <v>0.0</v>
      </c>
      <c r="L171" s="19">
        <v>0.0</v>
      </c>
      <c r="N171" s="19">
        <v>0.0</v>
      </c>
      <c r="P171" s="19">
        <v>0.0</v>
      </c>
      <c r="Q171" s="20"/>
      <c r="R171" s="18"/>
      <c r="T171" s="19"/>
      <c r="V171" s="19"/>
      <c r="X171" s="19"/>
      <c r="Z171" s="19"/>
      <c r="AB171" s="19"/>
      <c r="AC171" s="20"/>
      <c r="AD171" s="21">
        <f t="shared" si="1"/>
        <v>0</v>
      </c>
      <c r="AE171" s="16">
        <f t="shared" si="2"/>
        <v>0</v>
      </c>
      <c r="AF171" s="16">
        <f t="shared" si="3"/>
        <v>0</v>
      </c>
      <c r="AG171" s="16">
        <f t="shared" si="4"/>
        <v>0</v>
      </c>
      <c r="AH171" s="37">
        <f t="shared" si="5"/>
        <v>0</v>
      </c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ht="15.75" customHeight="1">
      <c r="A172" s="23" t="s">
        <v>23</v>
      </c>
      <c r="B172" s="24">
        <f t="shared" si="6"/>
        <v>45461</v>
      </c>
      <c r="C172" s="25">
        <v>7.0</v>
      </c>
      <c r="D172" s="25" t="s">
        <v>22</v>
      </c>
      <c r="E172" s="22" t="s">
        <v>34</v>
      </c>
      <c r="F172" s="18">
        <v>0.0</v>
      </c>
      <c r="H172" s="19">
        <v>0.0</v>
      </c>
      <c r="J172" s="19">
        <v>0.0</v>
      </c>
      <c r="L172" s="19">
        <v>0.0</v>
      </c>
      <c r="N172" s="19">
        <v>0.0</v>
      </c>
      <c r="P172" s="19">
        <v>0.0</v>
      </c>
      <c r="Q172" s="20"/>
      <c r="R172" s="18"/>
      <c r="T172" s="19"/>
      <c r="V172" s="19"/>
      <c r="X172" s="19"/>
      <c r="Z172" s="19"/>
      <c r="AB172" s="19"/>
      <c r="AC172" s="20"/>
      <c r="AD172" s="26">
        <f t="shared" si="1"/>
        <v>0</v>
      </c>
      <c r="AE172" s="25">
        <f t="shared" si="2"/>
        <v>0</v>
      </c>
      <c r="AF172" s="25">
        <f t="shared" si="3"/>
        <v>0</v>
      </c>
      <c r="AG172" s="25">
        <f t="shared" si="4"/>
        <v>0</v>
      </c>
      <c r="AH172" s="27">
        <f t="shared" si="5"/>
        <v>0</v>
      </c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ht="15.75" customHeight="1">
      <c r="A173" s="23" t="s">
        <v>24</v>
      </c>
      <c r="B173" s="24">
        <f t="shared" si="6"/>
        <v>45462</v>
      </c>
      <c r="C173" s="25">
        <v>7.0</v>
      </c>
      <c r="D173" s="25" t="s">
        <v>22</v>
      </c>
      <c r="E173" s="22" t="s">
        <v>34</v>
      </c>
      <c r="F173" s="18">
        <v>0.0</v>
      </c>
      <c r="H173" s="19">
        <v>0.0</v>
      </c>
      <c r="J173" s="19">
        <v>0.0</v>
      </c>
      <c r="L173" s="19">
        <v>0.0</v>
      </c>
      <c r="N173" s="19">
        <v>0.0</v>
      </c>
      <c r="P173" s="19">
        <v>0.0</v>
      </c>
      <c r="Q173" s="20"/>
      <c r="R173" s="18"/>
      <c r="T173" s="19"/>
      <c r="V173" s="19"/>
      <c r="X173" s="19"/>
      <c r="Z173" s="19"/>
      <c r="AB173" s="19"/>
      <c r="AC173" s="20"/>
      <c r="AD173" s="26">
        <f t="shared" si="1"/>
        <v>0</v>
      </c>
      <c r="AE173" s="25">
        <f t="shared" si="2"/>
        <v>0</v>
      </c>
      <c r="AF173" s="25">
        <f t="shared" si="3"/>
        <v>0</v>
      </c>
      <c r="AG173" s="25">
        <f t="shared" si="4"/>
        <v>0</v>
      </c>
      <c r="AH173" s="27">
        <f t="shared" si="5"/>
        <v>0</v>
      </c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ht="15.75" customHeight="1">
      <c r="A174" s="23" t="s">
        <v>25</v>
      </c>
      <c r="B174" s="24">
        <f t="shared" si="6"/>
        <v>45463</v>
      </c>
      <c r="C174" s="25">
        <v>7.0</v>
      </c>
      <c r="D174" s="25" t="s">
        <v>22</v>
      </c>
      <c r="E174" s="22" t="s">
        <v>34</v>
      </c>
      <c r="F174" s="18">
        <v>0.0</v>
      </c>
      <c r="H174" s="19">
        <v>0.0</v>
      </c>
      <c r="J174" s="19">
        <v>0.0</v>
      </c>
      <c r="L174" s="19">
        <v>0.0</v>
      </c>
      <c r="N174" s="19">
        <v>0.0</v>
      </c>
      <c r="P174" s="19">
        <v>0.0</v>
      </c>
      <c r="Q174" s="20"/>
      <c r="R174" s="18"/>
      <c r="T174" s="19"/>
      <c r="V174" s="19"/>
      <c r="X174" s="19"/>
      <c r="Z174" s="19"/>
      <c r="AB174" s="19"/>
      <c r="AC174" s="20"/>
      <c r="AD174" s="26">
        <f t="shared" si="1"/>
        <v>0</v>
      </c>
      <c r="AE174" s="25">
        <f t="shared" si="2"/>
        <v>0</v>
      </c>
      <c r="AF174" s="25">
        <f t="shared" si="3"/>
        <v>0</v>
      </c>
      <c r="AG174" s="25">
        <f t="shared" si="4"/>
        <v>0</v>
      </c>
      <c r="AH174" s="27">
        <f t="shared" si="5"/>
        <v>0</v>
      </c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ht="15.75" customHeight="1">
      <c r="A175" s="23" t="s">
        <v>26</v>
      </c>
      <c r="B175" s="24">
        <f t="shared" si="6"/>
        <v>45464</v>
      </c>
      <c r="C175" s="25">
        <v>7.0</v>
      </c>
      <c r="D175" s="25" t="s">
        <v>22</v>
      </c>
      <c r="E175" s="22" t="s">
        <v>34</v>
      </c>
      <c r="F175" s="18">
        <v>0.0</v>
      </c>
      <c r="H175" s="19">
        <v>0.0</v>
      </c>
      <c r="J175" s="19">
        <v>0.0</v>
      </c>
      <c r="L175" s="19">
        <v>0.0</v>
      </c>
      <c r="N175" s="19">
        <v>0.0</v>
      </c>
      <c r="P175" s="19">
        <v>0.0</v>
      </c>
      <c r="Q175" s="20"/>
      <c r="R175" s="18"/>
      <c r="T175" s="19"/>
      <c r="V175" s="19"/>
      <c r="X175" s="19"/>
      <c r="Z175" s="19"/>
      <c r="AB175" s="19"/>
      <c r="AC175" s="20"/>
      <c r="AD175" s="26">
        <f t="shared" si="1"/>
        <v>0</v>
      </c>
      <c r="AE175" s="25">
        <f t="shared" si="2"/>
        <v>0</v>
      </c>
      <c r="AF175" s="25">
        <f t="shared" si="3"/>
        <v>0</v>
      </c>
      <c r="AG175" s="25">
        <f t="shared" si="4"/>
        <v>0</v>
      </c>
      <c r="AH175" s="27">
        <f t="shared" si="5"/>
        <v>0</v>
      </c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ht="15.75" customHeight="1">
      <c r="A176" s="23" t="s">
        <v>27</v>
      </c>
      <c r="B176" s="24">
        <f t="shared" si="6"/>
        <v>45465</v>
      </c>
      <c r="C176" s="25">
        <v>7.0</v>
      </c>
      <c r="D176" s="25" t="s">
        <v>22</v>
      </c>
      <c r="E176" s="22" t="s">
        <v>34</v>
      </c>
      <c r="F176" s="18">
        <v>0.0</v>
      </c>
      <c r="H176" s="19">
        <v>0.0</v>
      </c>
      <c r="J176" s="19">
        <v>0.0</v>
      </c>
      <c r="L176" s="19">
        <v>0.0</v>
      </c>
      <c r="N176" s="19">
        <v>0.0</v>
      </c>
      <c r="P176" s="19">
        <v>0.0</v>
      </c>
      <c r="Q176" s="20"/>
      <c r="R176" s="18"/>
      <c r="T176" s="19"/>
      <c r="V176" s="19"/>
      <c r="X176" s="19"/>
      <c r="Z176" s="19"/>
      <c r="AB176" s="19"/>
      <c r="AC176" s="20"/>
      <c r="AD176" s="26">
        <f t="shared" si="1"/>
        <v>0</v>
      </c>
      <c r="AE176" s="25">
        <f t="shared" si="2"/>
        <v>0</v>
      </c>
      <c r="AF176" s="25">
        <f t="shared" si="3"/>
        <v>0</v>
      </c>
      <c r="AG176" s="25">
        <f t="shared" si="4"/>
        <v>0</v>
      </c>
      <c r="AH176" s="27">
        <f t="shared" si="5"/>
        <v>0</v>
      </c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ht="15.75" customHeight="1">
      <c r="A177" s="28" t="s">
        <v>28</v>
      </c>
      <c r="B177" s="29">
        <f t="shared" si="6"/>
        <v>45466</v>
      </c>
      <c r="C177" s="30">
        <v>7.0</v>
      </c>
      <c r="D177" s="30" t="s">
        <v>22</v>
      </c>
      <c r="E177" s="31" t="s">
        <v>34</v>
      </c>
      <c r="F177" s="33">
        <v>0.0</v>
      </c>
      <c r="G177" s="7"/>
      <c r="H177" s="33">
        <v>0.0</v>
      </c>
      <c r="I177" s="7"/>
      <c r="J177" s="33">
        <v>0.0</v>
      </c>
      <c r="K177" s="7"/>
      <c r="L177" s="33">
        <v>0.0</v>
      </c>
      <c r="M177" s="7"/>
      <c r="N177" s="33">
        <v>0.0</v>
      </c>
      <c r="O177" s="7"/>
      <c r="P177" s="33">
        <v>0.0</v>
      </c>
      <c r="Q177" s="34"/>
      <c r="R177" s="32"/>
      <c r="S177" s="7"/>
      <c r="T177" s="33"/>
      <c r="U177" s="7"/>
      <c r="V177" s="33"/>
      <c r="W177" s="7"/>
      <c r="X177" s="33"/>
      <c r="Y177" s="7"/>
      <c r="Z177" s="33"/>
      <c r="AA177" s="7"/>
      <c r="AB177" s="33"/>
      <c r="AC177" s="34"/>
      <c r="AD177" s="35">
        <f t="shared" si="1"/>
        <v>0</v>
      </c>
      <c r="AE177" s="30">
        <f t="shared" si="2"/>
        <v>0</v>
      </c>
      <c r="AF177" s="30">
        <f t="shared" si="3"/>
        <v>0</v>
      </c>
      <c r="AG177" s="30">
        <f t="shared" si="4"/>
        <v>0</v>
      </c>
      <c r="AH177" s="36">
        <f t="shared" si="5"/>
        <v>0</v>
      </c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ht="15.75" customHeight="1">
      <c r="A178" s="14" t="s">
        <v>21</v>
      </c>
      <c r="B178" s="15">
        <f t="shared" si="6"/>
        <v>45467</v>
      </c>
      <c r="C178" s="16">
        <v>7.0</v>
      </c>
      <c r="D178" s="16" t="s">
        <v>29</v>
      </c>
      <c r="E178" s="17" t="s">
        <v>34</v>
      </c>
      <c r="F178" s="18">
        <v>0.0</v>
      </c>
      <c r="H178" s="19">
        <v>0.0</v>
      </c>
      <c r="J178" s="19">
        <v>0.0</v>
      </c>
      <c r="L178" s="19">
        <v>0.0</v>
      </c>
      <c r="N178" s="19">
        <v>0.0</v>
      </c>
      <c r="P178" s="19">
        <v>0.0</v>
      </c>
      <c r="Q178" s="20"/>
      <c r="R178" s="18"/>
      <c r="T178" s="19"/>
      <c r="V178" s="19"/>
      <c r="X178" s="19"/>
      <c r="Z178" s="19"/>
      <c r="AB178" s="19"/>
      <c r="AC178" s="20"/>
      <c r="AD178" s="21">
        <f t="shared" si="1"/>
        <v>0</v>
      </c>
      <c r="AE178" s="16">
        <f t="shared" si="2"/>
        <v>0</v>
      </c>
      <c r="AF178" s="16">
        <f t="shared" si="3"/>
        <v>0</v>
      </c>
      <c r="AG178" s="16">
        <f t="shared" si="4"/>
        <v>0</v>
      </c>
      <c r="AH178" s="37">
        <f t="shared" si="5"/>
        <v>0</v>
      </c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ht="15.75" customHeight="1">
      <c r="A179" s="23" t="s">
        <v>23</v>
      </c>
      <c r="B179" s="24">
        <f t="shared" si="6"/>
        <v>45468</v>
      </c>
      <c r="C179" s="25">
        <v>7.0</v>
      </c>
      <c r="D179" s="25" t="s">
        <v>29</v>
      </c>
      <c r="E179" s="22" t="s">
        <v>34</v>
      </c>
      <c r="F179" s="18">
        <v>0.0</v>
      </c>
      <c r="H179" s="19">
        <v>0.0</v>
      </c>
      <c r="J179" s="19">
        <v>0.0</v>
      </c>
      <c r="L179" s="19">
        <v>0.0</v>
      </c>
      <c r="N179" s="19">
        <v>0.0</v>
      </c>
      <c r="P179" s="19">
        <v>0.0</v>
      </c>
      <c r="Q179" s="20"/>
      <c r="R179" s="18"/>
      <c r="T179" s="19"/>
      <c r="V179" s="19"/>
      <c r="X179" s="19"/>
      <c r="Z179" s="19"/>
      <c r="AB179" s="19"/>
      <c r="AC179" s="20"/>
      <c r="AD179" s="26">
        <f t="shared" si="1"/>
        <v>0</v>
      </c>
      <c r="AE179" s="25">
        <f t="shared" si="2"/>
        <v>0</v>
      </c>
      <c r="AF179" s="25">
        <f t="shared" si="3"/>
        <v>0</v>
      </c>
      <c r="AG179" s="25">
        <f t="shared" si="4"/>
        <v>0</v>
      </c>
      <c r="AH179" s="27">
        <f t="shared" si="5"/>
        <v>0</v>
      </c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ht="15.75" customHeight="1">
      <c r="A180" s="23" t="s">
        <v>24</v>
      </c>
      <c r="B180" s="24">
        <f t="shared" si="6"/>
        <v>45469</v>
      </c>
      <c r="C180" s="25">
        <v>7.0</v>
      </c>
      <c r="D180" s="25" t="s">
        <v>29</v>
      </c>
      <c r="E180" s="22" t="s">
        <v>34</v>
      </c>
      <c r="F180" s="18">
        <v>0.0</v>
      </c>
      <c r="H180" s="19">
        <v>0.0</v>
      </c>
      <c r="J180" s="19">
        <v>0.0</v>
      </c>
      <c r="L180" s="19">
        <v>0.0</v>
      </c>
      <c r="N180" s="19">
        <v>0.0</v>
      </c>
      <c r="P180" s="19">
        <v>0.0</v>
      </c>
      <c r="Q180" s="20"/>
      <c r="R180" s="18"/>
      <c r="T180" s="19"/>
      <c r="V180" s="19"/>
      <c r="X180" s="19"/>
      <c r="Z180" s="19"/>
      <c r="AB180" s="19"/>
      <c r="AC180" s="20"/>
      <c r="AD180" s="26">
        <f t="shared" si="1"/>
        <v>0</v>
      </c>
      <c r="AE180" s="25">
        <f t="shared" si="2"/>
        <v>0</v>
      </c>
      <c r="AF180" s="25">
        <f t="shared" si="3"/>
        <v>0</v>
      </c>
      <c r="AG180" s="25">
        <f t="shared" si="4"/>
        <v>0</v>
      </c>
      <c r="AH180" s="27">
        <f t="shared" si="5"/>
        <v>0</v>
      </c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ht="15.75" customHeight="1">
      <c r="A181" s="23" t="s">
        <v>25</v>
      </c>
      <c r="B181" s="24">
        <f t="shared" si="6"/>
        <v>45470</v>
      </c>
      <c r="C181" s="25">
        <v>7.0</v>
      </c>
      <c r="D181" s="25" t="s">
        <v>29</v>
      </c>
      <c r="E181" s="22" t="s">
        <v>34</v>
      </c>
      <c r="F181" s="18">
        <v>0.0</v>
      </c>
      <c r="H181" s="19">
        <v>0.0</v>
      </c>
      <c r="J181" s="19">
        <v>0.0</v>
      </c>
      <c r="L181" s="19">
        <v>0.0</v>
      </c>
      <c r="N181" s="19">
        <v>0.0</v>
      </c>
      <c r="P181" s="19">
        <v>0.0</v>
      </c>
      <c r="Q181" s="20"/>
      <c r="R181" s="18"/>
      <c r="T181" s="19"/>
      <c r="V181" s="19"/>
      <c r="X181" s="19"/>
      <c r="Z181" s="19"/>
      <c r="AB181" s="19"/>
      <c r="AC181" s="20"/>
      <c r="AD181" s="26">
        <f t="shared" si="1"/>
        <v>0</v>
      </c>
      <c r="AE181" s="25">
        <f t="shared" si="2"/>
        <v>0</v>
      </c>
      <c r="AF181" s="25">
        <f t="shared" si="3"/>
        <v>0</v>
      </c>
      <c r="AG181" s="25">
        <f t="shared" si="4"/>
        <v>0</v>
      </c>
      <c r="AH181" s="27">
        <f t="shared" si="5"/>
        <v>0</v>
      </c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ht="15.75" customHeight="1">
      <c r="A182" s="23" t="s">
        <v>26</v>
      </c>
      <c r="B182" s="24">
        <f t="shared" si="6"/>
        <v>45471</v>
      </c>
      <c r="C182" s="25">
        <v>7.0</v>
      </c>
      <c r="D182" s="25" t="s">
        <v>29</v>
      </c>
      <c r="E182" s="22" t="s">
        <v>34</v>
      </c>
      <c r="F182" s="18">
        <v>0.0</v>
      </c>
      <c r="H182" s="19">
        <v>0.0</v>
      </c>
      <c r="J182" s="19">
        <v>0.0</v>
      </c>
      <c r="L182" s="19">
        <v>0.0</v>
      </c>
      <c r="N182" s="19">
        <v>0.0</v>
      </c>
      <c r="P182" s="19">
        <v>0.0</v>
      </c>
      <c r="Q182" s="20"/>
      <c r="R182" s="18"/>
      <c r="T182" s="19"/>
      <c r="V182" s="19"/>
      <c r="X182" s="19"/>
      <c r="Z182" s="19"/>
      <c r="AB182" s="19"/>
      <c r="AC182" s="20"/>
      <c r="AD182" s="26">
        <f t="shared" si="1"/>
        <v>0</v>
      </c>
      <c r="AE182" s="25">
        <f t="shared" si="2"/>
        <v>0</v>
      </c>
      <c r="AF182" s="25">
        <f t="shared" si="3"/>
        <v>0</v>
      </c>
      <c r="AG182" s="25">
        <f t="shared" si="4"/>
        <v>0</v>
      </c>
      <c r="AH182" s="27">
        <f t="shared" si="5"/>
        <v>0</v>
      </c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ht="15.75" customHeight="1">
      <c r="A183" s="23" t="s">
        <v>27</v>
      </c>
      <c r="B183" s="24">
        <f t="shared" si="6"/>
        <v>45472</v>
      </c>
      <c r="C183" s="25">
        <v>7.0</v>
      </c>
      <c r="D183" s="25" t="s">
        <v>29</v>
      </c>
      <c r="E183" s="22" t="s">
        <v>34</v>
      </c>
      <c r="F183" s="18">
        <v>0.0</v>
      </c>
      <c r="H183" s="19">
        <v>0.0</v>
      </c>
      <c r="J183" s="19">
        <v>0.0</v>
      </c>
      <c r="L183" s="19">
        <v>0.0</v>
      </c>
      <c r="N183" s="19">
        <v>0.0</v>
      </c>
      <c r="P183" s="19">
        <v>0.0</v>
      </c>
      <c r="Q183" s="20"/>
      <c r="R183" s="18"/>
      <c r="T183" s="19"/>
      <c r="V183" s="19"/>
      <c r="X183" s="19"/>
      <c r="Z183" s="19"/>
      <c r="AB183" s="19"/>
      <c r="AC183" s="20"/>
      <c r="AD183" s="26">
        <f t="shared" si="1"/>
        <v>0</v>
      </c>
      <c r="AE183" s="25">
        <f t="shared" si="2"/>
        <v>0</v>
      </c>
      <c r="AF183" s="25">
        <f t="shared" si="3"/>
        <v>0</v>
      </c>
      <c r="AG183" s="25">
        <f t="shared" si="4"/>
        <v>0</v>
      </c>
      <c r="AH183" s="27">
        <f t="shared" si="5"/>
        <v>0</v>
      </c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ht="15.75" customHeight="1">
      <c r="A184" s="28" t="s">
        <v>28</v>
      </c>
      <c r="B184" s="29">
        <f t="shared" si="6"/>
        <v>45473</v>
      </c>
      <c r="C184" s="30">
        <v>7.0</v>
      </c>
      <c r="D184" s="30" t="s">
        <v>29</v>
      </c>
      <c r="E184" s="31" t="s">
        <v>34</v>
      </c>
      <c r="F184" s="33">
        <v>0.0</v>
      </c>
      <c r="G184" s="7"/>
      <c r="H184" s="33">
        <v>0.0</v>
      </c>
      <c r="I184" s="7"/>
      <c r="J184" s="33">
        <v>0.0</v>
      </c>
      <c r="K184" s="7"/>
      <c r="L184" s="33">
        <v>0.0</v>
      </c>
      <c r="M184" s="7"/>
      <c r="N184" s="33">
        <v>0.0</v>
      </c>
      <c r="O184" s="7"/>
      <c r="P184" s="33">
        <v>0.0</v>
      </c>
      <c r="Q184" s="34"/>
      <c r="R184" s="32"/>
      <c r="S184" s="7"/>
      <c r="T184" s="33"/>
      <c r="U184" s="7"/>
      <c r="V184" s="33"/>
      <c r="W184" s="7"/>
      <c r="X184" s="33"/>
      <c r="Y184" s="7"/>
      <c r="Z184" s="33"/>
      <c r="AA184" s="7"/>
      <c r="AB184" s="33"/>
      <c r="AC184" s="34"/>
      <c r="AD184" s="35">
        <f t="shared" si="1"/>
        <v>0</v>
      </c>
      <c r="AE184" s="30">
        <f t="shared" si="2"/>
        <v>0</v>
      </c>
      <c r="AF184" s="30">
        <f t="shared" si="3"/>
        <v>0</v>
      </c>
      <c r="AG184" s="30">
        <f t="shared" si="4"/>
        <v>0</v>
      </c>
      <c r="AH184" s="36">
        <f t="shared" si="5"/>
        <v>0</v>
      </c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ht="15.75" customHeight="1">
      <c r="A185" s="14" t="s">
        <v>21</v>
      </c>
      <c r="B185" s="15">
        <f t="shared" si="6"/>
        <v>45474</v>
      </c>
      <c r="C185" s="16">
        <v>7.0</v>
      </c>
      <c r="D185" s="16" t="s">
        <v>30</v>
      </c>
      <c r="E185" s="17" t="s">
        <v>35</v>
      </c>
      <c r="F185" s="18">
        <v>0.0</v>
      </c>
      <c r="H185" s="19">
        <v>45.0</v>
      </c>
      <c r="J185" s="19">
        <v>45.0</v>
      </c>
      <c r="L185" s="19">
        <v>0.0</v>
      </c>
      <c r="N185" s="19">
        <v>45.0</v>
      </c>
      <c r="P185" s="19">
        <v>0.0</v>
      </c>
      <c r="Q185" s="20"/>
      <c r="R185" s="18"/>
      <c r="T185" s="19"/>
      <c r="V185" s="19"/>
      <c r="X185" s="19"/>
      <c r="Z185" s="19"/>
      <c r="AB185" s="19"/>
      <c r="AC185" s="20"/>
      <c r="AD185" s="21">
        <f t="shared" si="1"/>
        <v>2520</v>
      </c>
      <c r="AE185" s="16">
        <f t="shared" si="2"/>
        <v>90</v>
      </c>
      <c r="AF185" s="16">
        <f t="shared" si="3"/>
        <v>45</v>
      </c>
      <c r="AG185" s="16">
        <f t="shared" si="4"/>
        <v>135</v>
      </c>
      <c r="AH185" s="37">
        <f t="shared" si="5"/>
        <v>18.66666667</v>
      </c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ht="15.75" customHeight="1">
      <c r="A186" s="23" t="s">
        <v>23</v>
      </c>
      <c r="B186" s="24">
        <f t="shared" si="6"/>
        <v>45475</v>
      </c>
      <c r="C186" s="25">
        <v>7.0</v>
      </c>
      <c r="D186" s="25" t="s">
        <v>30</v>
      </c>
      <c r="E186" s="22" t="s">
        <v>35</v>
      </c>
      <c r="F186" s="18">
        <v>0.0</v>
      </c>
      <c r="H186" s="19">
        <v>45.0</v>
      </c>
      <c r="J186" s="19">
        <v>45.0</v>
      </c>
      <c r="L186" s="19">
        <v>0.0</v>
      </c>
      <c r="N186" s="19">
        <v>45.0</v>
      </c>
      <c r="P186" s="19">
        <v>0.0</v>
      </c>
      <c r="Q186" s="20"/>
      <c r="R186" s="18"/>
      <c r="T186" s="19"/>
      <c r="V186" s="19"/>
      <c r="X186" s="19"/>
      <c r="Z186" s="19"/>
      <c r="AB186" s="19"/>
      <c r="AC186" s="20"/>
      <c r="AD186" s="26">
        <f t="shared" si="1"/>
        <v>2520</v>
      </c>
      <c r="AE186" s="25">
        <f t="shared" si="2"/>
        <v>90</v>
      </c>
      <c r="AF186" s="25">
        <f t="shared" si="3"/>
        <v>45</v>
      </c>
      <c r="AG186" s="25">
        <f t="shared" si="4"/>
        <v>135</v>
      </c>
      <c r="AH186" s="27">
        <f t="shared" si="5"/>
        <v>18.66666667</v>
      </c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ht="15.75" customHeight="1">
      <c r="A187" s="23" t="s">
        <v>24</v>
      </c>
      <c r="B187" s="24">
        <f t="shared" si="6"/>
        <v>45476</v>
      </c>
      <c r="C187" s="25">
        <v>7.0</v>
      </c>
      <c r="D187" s="25" t="s">
        <v>30</v>
      </c>
      <c r="E187" s="22" t="s">
        <v>35</v>
      </c>
      <c r="F187" s="18">
        <v>0.0</v>
      </c>
      <c r="H187" s="19">
        <v>45.0</v>
      </c>
      <c r="J187" s="19">
        <v>45.0</v>
      </c>
      <c r="L187" s="19">
        <v>0.0</v>
      </c>
      <c r="N187" s="19">
        <v>45.0</v>
      </c>
      <c r="P187" s="19">
        <v>0.0</v>
      </c>
      <c r="Q187" s="20"/>
      <c r="R187" s="18"/>
      <c r="T187" s="19"/>
      <c r="V187" s="19"/>
      <c r="X187" s="19"/>
      <c r="Z187" s="19"/>
      <c r="AB187" s="19"/>
      <c r="AC187" s="20"/>
      <c r="AD187" s="26">
        <f t="shared" si="1"/>
        <v>2520</v>
      </c>
      <c r="AE187" s="25">
        <f t="shared" si="2"/>
        <v>90</v>
      </c>
      <c r="AF187" s="25">
        <f t="shared" si="3"/>
        <v>45</v>
      </c>
      <c r="AG187" s="25">
        <f t="shared" si="4"/>
        <v>135</v>
      </c>
      <c r="AH187" s="27">
        <f t="shared" si="5"/>
        <v>18.66666667</v>
      </c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ht="15.75" customHeight="1">
      <c r="A188" s="23" t="s">
        <v>25</v>
      </c>
      <c r="B188" s="24">
        <f t="shared" si="6"/>
        <v>45477</v>
      </c>
      <c r="C188" s="25">
        <v>7.0</v>
      </c>
      <c r="D188" s="25" t="s">
        <v>30</v>
      </c>
      <c r="E188" s="22" t="s">
        <v>34</v>
      </c>
      <c r="F188" s="18">
        <v>0.0</v>
      </c>
      <c r="H188" s="19">
        <v>0.0</v>
      </c>
      <c r="J188" s="19">
        <v>0.0</v>
      </c>
      <c r="L188" s="19">
        <v>0.0</v>
      </c>
      <c r="N188" s="19">
        <v>0.0</v>
      </c>
      <c r="P188" s="19">
        <v>0.0</v>
      </c>
      <c r="Q188" s="20"/>
      <c r="R188" s="18"/>
      <c r="T188" s="19"/>
      <c r="V188" s="19"/>
      <c r="X188" s="19"/>
      <c r="Z188" s="19"/>
      <c r="AB188" s="19"/>
      <c r="AC188" s="20"/>
      <c r="AD188" s="26">
        <f t="shared" si="1"/>
        <v>0</v>
      </c>
      <c r="AE188" s="25">
        <f t="shared" si="2"/>
        <v>0</v>
      </c>
      <c r="AF188" s="25">
        <f t="shared" si="3"/>
        <v>0</v>
      </c>
      <c r="AG188" s="25">
        <f t="shared" si="4"/>
        <v>0</v>
      </c>
      <c r="AH188" s="27">
        <f t="shared" si="5"/>
        <v>0</v>
      </c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ht="15.75" customHeight="1">
      <c r="A189" s="23" t="s">
        <v>26</v>
      </c>
      <c r="B189" s="24">
        <f t="shared" si="6"/>
        <v>45478</v>
      </c>
      <c r="C189" s="25">
        <v>7.0</v>
      </c>
      <c r="D189" s="25" t="s">
        <v>30</v>
      </c>
      <c r="E189" s="22" t="s">
        <v>34</v>
      </c>
      <c r="F189" s="18">
        <v>0.0</v>
      </c>
      <c r="H189" s="19">
        <v>0.0</v>
      </c>
      <c r="J189" s="19">
        <v>0.0</v>
      </c>
      <c r="L189" s="19">
        <v>0.0</v>
      </c>
      <c r="N189" s="19">
        <v>0.0</v>
      </c>
      <c r="P189" s="19">
        <v>0.0</v>
      </c>
      <c r="Q189" s="20"/>
      <c r="R189" s="18"/>
      <c r="T189" s="19"/>
      <c r="V189" s="19"/>
      <c r="X189" s="19"/>
      <c r="Z189" s="19"/>
      <c r="AB189" s="19"/>
      <c r="AC189" s="20"/>
      <c r="AD189" s="26">
        <f t="shared" si="1"/>
        <v>0</v>
      </c>
      <c r="AE189" s="25">
        <f t="shared" si="2"/>
        <v>0</v>
      </c>
      <c r="AF189" s="25">
        <f t="shared" si="3"/>
        <v>0</v>
      </c>
      <c r="AG189" s="25">
        <f t="shared" si="4"/>
        <v>0</v>
      </c>
      <c r="AH189" s="27">
        <f t="shared" si="5"/>
        <v>0</v>
      </c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ht="15.75" customHeight="1">
      <c r="A190" s="23" t="s">
        <v>27</v>
      </c>
      <c r="B190" s="24">
        <f t="shared" si="6"/>
        <v>45479</v>
      </c>
      <c r="C190" s="25">
        <v>7.0</v>
      </c>
      <c r="D190" s="25" t="s">
        <v>30</v>
      </c>
      <c r="E190" s="22" t="s">
        <v>34</v>
      </c>
      <c r="F190" s="18">
        <v>0.0</v>
      </c>
      <c r="H190" s="19">
        <v>0.0</v>
      </c>
      <c r="J190" s="19">
        <v>0.0</v>
      </c>
      <c r="L190" s="19">
        <v>0.0</v>
      </c>
      <c r="N190" s="19">
        <v>0.0</v>
      </c>
      <c r="P190" s="19">
        <v>0.0</v>
      </c>
      <c r="Q190" s="20"/>
      <c r="R190" s="18"/>
      <c r="T190" s="19"/>
      <c r="V190" s="19"/>
      <c r="X190" s="19"/>
      <c r="Z190" s="19"/>
      <c r="AB190" s="19"/>
      <c r="AC190" s="20"/>
      <c r="AD190" s="26">
        <f t="shared" si="1"/>
        <v>0</v>
      </c>
      <c r="AE190" s="25">
        <f t="shared" si="2"/>
        <v>0</v>
      </c>
      <c r="AF190" s="25">
        <f t="shared" si="3"/>
        <v>0</v>
      </c>
      <c r="AG190" s="25">
        <f t="shared" si="4"/>
        <v>0</v>
      </c>
      <c r="AH190" s="27">
        <f t="shared" si="5"/>
        <v>0</v>
      </c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ht="15.75" customHeight="1">
      <c r="A191" s="28" t="s">
        <v>28</v>
      </c>
      <c r="B191" s="29">
        <f t="shared" si="6"/>
        <v>45480</v>
      </c>
      <c r="C191" s="30">
        <v>7.0</v>
      </c>
      <c r="D191" s="30" t="s">
        <v>30</v>
      </c>
      <c r="E191" s="31" t="s">
        <v>34</v>
      </c>
      <c r="F191" s="32">
        <v>0.0</v>
      </c>
      <c r="G191" s="7"/>
      <c r="H191" s="33">
        <v>0.0</v>
      </c>
      <c r="I191" s="7"/>
      <c r="J191" s="33">
        <v>0.0</v>
      </c>
      <c r="K191" s="7"/>
      <c r="L191" s="33">
        <v>0.0</v>
      </c>
      <c r="M191" s="7"/>
      <c r="N191" s="33">
        <v>0.0</v>
      </c>
      <c r="O191" s="7"/>
      <c r="P191" s="33">
        <v>0.0</v>
      </c>
      <c r="Q191" s="34"/>
      <c r="R191" s="32"/>
      <c r="S191" s="7"/>
      <c r="T191" s="33"/>
      <c r="U191" s="7"/>
      <c r="V191" s="33"/>
      <c r="W191" s="7"/>
      <c r="X191" s="33"/>
      <c r="Y191" s="7"/>
      <c r="Z191" s="33"/>
      <c r="AA191" s="7"/>
      <c r="AB191" s="33"/>
      <c r="AC191" s="34"/>
      <c r="AD191" s="35">
        <f t="shared" si="1"/>
        <v>0</v>
      </c>
      <c r="AE191" s="30">
        <f t="shared" si="2"/>
        <v>0</v>
      </c>
      <c r="AF191" s="30">
        <f t="shared" si="3"/>
        <v>0</v>
      </c>
      <c r="AG191" s="30">
        <f t="shared" si="4"/>
        <v>0</v>
      </c>
      <c r="AH191" s="36">
        <f t="shared" si="5"/>
        <v>0</v>
      </c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ht="15.75" customHeight="1">
      <c r="A192" s="14" t="s">
        <v>21</v>
      </c>
      <c r="B192" s="15">
        <f t="shared" si="6"/>
        <v>45481</v>
      </c>
      <c r="C192" s="16">
        <v>7.0</v>
      </c>
      <c r="D192" s="16" t="s">
        <v>31</v>
      </c>
      <c r="E192" s="17" t="s">
        <v>34</v>
      </c>
      <c r="F192" s="18">
        <v>0.0</v>
      </c>
      <c r="H192" s="19">
        <v>0.0</v>
      </c>
      <c r="J192" s="19">
        <v>0.0</v>
      </c>
      <c r="L192" s="19">
        <v>0.0</v>
      </c>
      <c r="N192" s="19">
        <v>0.0</v>
      </c>
      <c r="P192" s="19">
        <v>0.0</v>
      </c>
      <c r="Q192" s="20"/>
      <c r="R192" s="18"/>
      <c r="T192" s="19"/>
      <c r="V192" s="19"/>
      <c r="X192" s="19"/>
      <c r="Z192" s="19"/>
      <c r="AB192" s="19"/>
      <c r="AC192" s="20"/>
      <c r="AD192" s="21">
        <f t="shared" si="1"/>
        <v>0</v>
      </c>
      <c r="AE192" s="16">
        <f t="shared" si="2"/>
        <v>0</v>
      </c>
      <c r="AF192" s="16">
        <f t="shared" si="3"/>
        <v>0</v>
      </c>
      <c r="AG192" s="16">
        <f t="shared" si="4"/>
        <v>0</v>
      </c>
      <c r="AH192" s="37">
        <f t="shared" si="5"/>
        <v>0</v>
      </c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ht="15.75" customHeight="1">
      <c r="A193" s="23" t="s">
        <v>23</v>
      </c>
      <c r="B193" s="24">
        <f t="shared" si="6"/>
        <v>45482</v>
      </c>
      <c r="C193" s="25">
        <v>7.0</v>
      </c>
      <c r="D193" s="25" t="s">
        <v>31</v>
      </c>
      <c r="E193" s="22" t="s">
        <v>35</v>
      </c>
      <c r="F193" s="18">
        <v>0.0</v>
      </c>
      <c r="H193" s="19">
        <v>45.0</v>
      </c>
      <c r="J193" s="19">
        <v>45.0</v>
      </c>
      <c r="L193" s="19">
        <v>0.0</v>
      </c>
      <c r="N193" s="19">
        <v>45.0</v>
      </c>
      <c r="P193" s="19">
        <v>0.0</v>
      </c>
      <c r="Q193" s="20"/>
      <c r="R193" s="18"/>
      <c r="T193" s="19"/>
      <c r="V193" s="19"/>
      <c r="X193" s="19"/>
      <c r="Z193" s="19"/>
      <c r="AB193" s="19"/>
      <c r="AC193" s="20"/>
      <c r="AD193" s="26">
        <f t="shared" si="1"/>
        <v>2520</v>
      </c>
      <c r="AE193" s="25">
        <f t="shared" si="2"/>
        <v>90</v>
      </c>
      <c r="AF193" s="25">
        <f t="shared" si="3"/>
        <v>45</v>
      </c>
      <c r="AG193" s="25">
        <f t="shared" si="4"/>
        <v>135</v>
      </c>
      <c r="AH193" s="27">
        <f t="shared" si="5"/>
        <v>18.66666667</v>
      </c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ht="15.75" customHeight="1">
      <c r="A194" s="23" t="s">
        <v>24</v>
      </c>
      <c r="B194" s="24">
        <f t="shared" si="6"/>
        <v>45483</v>
      </c>
      <c r="C194" s="25">
        <v>7.0</v>
      </c>
      <c r="D194" s="25" t="s">
        <v>31</v>
      </c>
      <c r="E194" s="22" t="s">
        <v>35</v>
      </c>
      <c r="F194" s="18">
        <v>0.0</v>
      </c>
      <c r="H194" s="19">
        <v>45.0</v>
      </c>
      <c r="J194" s="19">
        <v>45.0</v>
      </c>
      <c r="L194" s="19">
        <v>0.0</v>
      </c>
      <c r="N194" s="19">
        <v>45.0</v>
      </c>
      <c r="P194" s="19">
        <v>0.0</v>
      </c>
      <c r="Q194" s="20"/>
      <c r="R194" s="18"/>
      <c r="T194" s="19"/>
      <c r="V194" s="19"/>
      <c r="X194" s="19"/>
      <c r="Z194" s="19"/>
      <c r="AB194" s="19"/>
      <c r="AC194" s="20"/>
      <c r="AD194" s="26">
        <f t="shared" si="1"/>
        <v>2520</v>
      </c>
      <c r="AE194" s="25">
        <f t="shared" si="2"/>
        <v>90</v>
      </c>
      <c r="AF194" s="25">
        <f t="shared" si="3"/>
        <v>45</v>
      </c>
      <c r="AG194" s="25">
        <f t="shared" si="4"/>
        <v>135</v>
      </c>
      <c r="AH194" s="27">
        <f t="shared" si="5"/>
        <v>18.66666667</v>
      </c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ht="15.75" customHeight="1">
      <c r="A195" s="23" t="s">
        <v>25</v>
      </c>
      <c r="B195" s="24">
        <f t="shared" si="6"/>
        <v>45484</v>
      </c>
      <c r="C195" s="25">
        <v>7.0</v>
      </c>
      <c r="D195" s="25" t="s">
        <v>31</v>
      </c>
      <c r="E195" s="22" t="s">
        <v>35</v>
      </c>
      <c r="F195" s="18">
        <v>0.0</v>
      </c>
      <c r="H195" s="19">
        <v>45.0</v>
      </c>
      <c r="J195" s="19">
        <v>45.0</v>
      </c>
      <c r="L195" s="19">
        <v>0.0</v>
      </c>
      <c r="N195" s="19">
        <v>45.0</v>
      </c>
      <c r="P195" s="19">
        <v>0.0</v>
      </c>
      <c r="Q195" s="20"/>
      <c r="R195" s="18"/>
      <c r="T195" s="19"/>
      <c r="V195" s="19"/>
      <c r="X195" s="19"/>
      <c r="Z195" s="19"/>
      <c r="AB195" s="19"/>
      <c r="AC195" s="20"/>
      <c r="AD195" s="26">
        <f t="shared" si="1"/>
        <v>2520</v>
      </c>
      <c r="AE195" s="25">
        <f t="shared" si="2"/>
        <v>90</v>
      </c>
      <c r="AF195" s="25">
        <f t="shared" si="3"/>
        <v>45</v>
      </c>
      <c r="AG195" s="25">
        <f t="shared" si="4"/>
        <v>135</v>
      </c>
      <c r="AH195" s="27">
        <f t="shared" si="5"/>
        <v>18.66666667</v>
      </c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ht="15.75" customHeight="1">
      <c r="A196" s="23" t="s">
        <v>26</v>
      </c>
      <c r="B196" s="24">
        <f t="shared" si="6"/>
        <v>45485</v>
      </c>
      <c r="C196" s="25">
        <v>7.0</v>
      </c>
      <c r="D196" s="25" t="s">
        <v>31</v>
      </c>
      <c r="E196" s="22" t="s">
        <v>35</v>
      </c>
      <c r="F196" s="18">
        <v>0.0</v>
      </c>
      <c r="H196" s="19">
        <v>45.0</v>
      </c>
      <c r="J196" s="19">
        <v>45.0</v>
      </c>
      <c r="L196" s="19">
        <v>0.0</v>
      </c>
      <c r="N196" s="19">
        <v>45.0</v>
      </c>
      <c r="P196" s="19">
        <v>0.0</v>
      </c>
      <c r="Q196" s="20"/>
      <c r="R196" s="18"/>
      <c r="T196" s="19"/>
      <c r="V196" s="19"/>
      <c r="X196" s="19"/>
      <c r="Z196" s="19"/>
      <c r="AB196" s="19"/>
      <c r="AC196" s="20"/>
      <c r="AD196" s="26">
        <f t="shared" si="1"/>
        <v>2520</v>
      </c>
      <c r="AE196" s="25">
        <f t="shared" si="2"/>
        <v>90</v>
      </c>
      <c r="AF196" s="25">
        <f t="shared" si="3"/>
        <v>45</v>
      </c>
      <c r="AG196" s="25">
        <f t="shared" si="4"/>
        <v>135</v>
      </c>
      <c r="AH196" s="27">
        <f t="shared" si="5"/>
        <v>18.66666667</v>
      </c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ht="15.75" customHeight="1">
      <c r="A197" s="23" t="s">
        <v>27</v>
      </c>
      <c r="B197" s="24">
        <f t="shared" si="6"/>
        <v>45486</v>
      </c>
      <c r="C197" s="25">
        <v>7.0</v>
      </c>
      <c r="D197" s="25" t="s">
        <v>31</v>
      </c>
      <c r="E197" s="22" t="s">
        <v>35</v>
      </c>
      <c r="F197" s="18">
        <v>0.0</v>
      </c>
      <c r="H197" s="19">
        <v>45.0</v>
      </c>
      <c r="J197" s="19">
        <v>45.0</v>
      </c>
      <c r="L197" s="19">
        <v>0.0</v>
      </c>
      <c r="N197" s="19">
        <v>45.0</v>
      </c>
      <c r="P197" s="19">
        <v>0.0</v>
      </c>
      <c r="Q197" s="20"/>
      <c r="R197" s="18"/>
      <c r="T197" s="19"/>
      <c r="V197" s="19"/>
      <c r="X197" s="19"/>
      <c r="Z197" s="19"/>
      <c r="AB197" s="19"/>
      <c r="AC197" s="20"/>
      <c r="AD197" s="26">
        <f t="shared" si="1"/>
        <v>2520</v>
      </c>
      <c r="AE197" s="25">
        <f t="shared" si="2"/>
        <v>90</v>
      </c>
      <c r="AF197" s="25">
        <f t="shared" si="3"/>
        <v>45</v>
      </c>
      <c r="AG197" s="25">
        <f t="shared" si="4"/>
        <v>135</v>
      </c>
      <c r="AH197" s="27">
        <f t="shared" si="5"/>
        <v>18.66666667</v>
      </c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ht="15.75" customHeight="1">
      <c r="A198" s="28" t="s">
        <v>28</v>
      </c>
      <c r="B198" s="29">
        <f t="shared" si="6"/>
        <v>45487</v>
      </c>
      <c r="C198" s="30">
        <v>7.0</v>
      </c>
      <c r="D198" s="30" t="s">
        <v>31</v>
      </c>
      <c r="E198" s="31" t="s">
        <v>33</v>
      </c>
      <c r="F198" s="33">
        <v>45.0</v>
      </c>
      <c r="G198" s="7"/>
      <c r="H198" s="33">
        <v>45.0</v>
      </c>
      <c r="I198" s="7"/>
      <c r="J198" s="33">
        <v>0.0</v>
      </c>
      <c r="K198" s="7"/>
      <c r="L198" s="33">
        <v>0.0</v>
      </c>
      <c r="M198" s="7"/>
      <c r="N198" s="33">
        <v>0.0</v>
      </c>
      <c r="O198" s="7"/>
      <c r="P198" s="33">
        <v>0.0</v>
      </c>
      <c r="Q198" s="34"/>
      <c r="R198" s="32"/>
      <c r="S198" s="7"/>
      <c r="T198" s="33"/>
      <c r="U198" s="7"/>
      <c r="V198" s="33"/>
      <c r="W198" s="7"/>
      <c r="X198" s="33"/>
      <c r="Y198" s="7"/>
      <c r="Z198" s="33"/>
      <c r="AA198" s="7"/>
      <c r="AB198" s="33"/>
      <c r="AC198" s="34"/>
      <c r="AD198" s="35">
        <f t="shared" si="1"/>
        <v>2160</v>
      </c>
      <c r="AE198" s="30">
        <f t="shared" si="2"/>
        <v>90</v>
      </c>
      <c r="AF198" s="30">
        <f t="shared" si="3"/>
        <v>0</v>
      </c>
      <c r="AG198" s="30">
        <f t="shared" si="4"/>
        <v>90</v>
      </c>
      <c r="AH198" s="36">
        <f t="shared" si="5"/>
        <v>24</v>
      </c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ht="15.75" customHeight="1">
      <c r="A199" s="14" t="s">
        <v>21</v>
      </c>
      <c r="B199" s="15">
        <f t="shared" si="6"/>
        <v>45488</v>
      </c>
      <c r="C199" s="16">
        <v>8.0</v>
      </c>
      <c r="D199" s="16" t="s">
        <v>22</v>
      </c>
      <c r="E199" s="17" t="s">
        <v>34</v>
      </c>
      <c r="F199" s="18">
        <v>0.0</v>
      </c>
      <c r="H199" s="19">
        <v>0.0</v>
      </c>
      <c r="J199" s="19">
        <v>0.0</v>
      </c>
      <c r="L199" s="19">
        <v>0.0</v>
      </c>
      <c r="N199" s="19">
        <v>0.0</v>
      </c>
      <c r="P199" s="19">
        <v>0.0</v>
      </c>
      <c r="Q199" s="20"/>
      <c r="R199" s="18"/>
      <c r="T199" s="19"/>
      <c r="V199" s="19"/>
      <c r="X199" s="19"/>
      <c r="Z199" s="19"/>
      <c r="AB199" s="19"/>
      <c r="AC199" s="20"/>
      <c r="AD199" s="21">
        <f t="shared" si="1"/>
        <v>0</v>
      </c>
      <c r="AE199" s="16">
        <f t="shared" si="2"/>
        <v>0</v>
      </c>
      <c r="AF199" s="16">
        <f t="shared" si="3"/>
        <v>0</v>
      </c>
      <c r="AG199" s="16">
        <f t="shared" si="4"/>
        <v>0</v>
      </c>
      <c r="AH199" s="37">
        <f t="shared" si="5"/>
        <v>0</v>
      </c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ht="15.75" customHeight="1">
      <c r="A200" s="23" t="s">
        <v>23</v>
      </c>
      <c r="B200" s="24">
        <f t="shared" si="6"/>
        <v>45489</v>
      </c>
      <c r="C200" s="25">
        <v>8.0</v>
      </c>
      <c r="D200" s="25" t="s">
        <v>22</v>
      </c>
      <c r="E200" s="22" t="s">
        <v>34</v>
      </c>
      <c r="F200" s="18">
        <v>0.0</v>
      </c>
      <c r="H200" s="19">
        <v>0.0</v>
      </c>
      <c r="J200" s="19">
        <v>0.0</v>
      </c>
      <c r="L200" s="19">
        <v>0.0</v>
      </c>
      <c r="N200" s="19">
        <v>0.0</v>
      </c>
      <c r="P200" s="19">
        <v>0.0</v>
      </c>
      <c r="Q200" s="20"/>
      <c r="R200" s="18"/>
      <c r="T200" s="19"/>
      <c r="V200" s="19"/>
      <c r="X200" s="19"/>
      <c r="Z200" s="19"/>
      <c r="AB200" s="19"/>
      <c r="AC200" s="20"/>
      <c r="AD200" s="26">
        <f t="shared" si="1"/>
        <v>0</v>
      </c>
      <c r="AE200" s="25">
        <f t="shared" si="2"/>
        <v>0</v>
      </c>
      <c r="AF200" s="25">
        <f t="shared" si="3"/>
        <v>0</v>
      </c>
      <c r="AG200" s="25">
        <f t="shared" si="4"/>
        <v>0</v>
      </c>
      <c r="AH200" s="27">
        <f t="shared" si="5"/>
        <v>0</v>
      </c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ht="15.75" customHeight="1">
      <c r="A201" s="23" t="s">
        <v>24</v>
      </c>
      <c r="B201" s="24">
        <f t="shared" si="6"/>
        <v>45490</v>
      </c>
      <c r="C201" s="25">
        <v>8.0</v>
      </c>
      <c r="D201" s="25" t="s">
        <v>22</v>
      </c>
      <c r="E201" s="22" t="s">
        <v>34</v>
      </c>
      <c r="F201" s="18">
        <v>0.0</v>
      </c>
      <c r="H201" s="19">
        <v>0.0</v>
      </c>
      <c r="J201" s="19">
        <v>0.0</v>
      </c>
      <c r="L201" s="19">
        <v>0.0</v>
      </c>
      <c r="N201" s="19">
        <v>0.0</v>
      </c>
      <c r="P201" s="19">
        <v>0.0</v>
      </c>
      <c r="Q201" s="20"/>
      <c r="R201" s="18"/>
      <c r="T201" s="19"/>
      <c r="V201" s="19"/>
      <c r="X201" s="19"/>
      <c r="Z201" s="19"/>
      <c r="AB201" s="19"/>
      <c r="AC201" s="20"/>
      <c r="AD201" s="26">
        <f t="shared" si="1"/>
        <v>0</v>
      </c>
      <c r="AE201" s="25">
        <f t="shared" si="2"/>
        <v>0</v>
      </c>
      <c r="AF201" s="25">
        <f t="shared" si="3"/>
        <v>0</v>
      </c>
      <c r="AG201" s="25">
        <f t="shared" si="4"/>
        <v>0</v>
      </c>
      <c r="AH201" s="27">
        <f t="shared" si="5"/>
        <v>0</v>
      </c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ht="15.75" customHeight="1">
      <c r="A202" s="23" t="s">
        <v>25</v>
      </c>
      <c r="B202" s="24">
        <f t="shared" si="6"/>
        <v>45491</v>
      </c>
      <c r="C202" s="25">
        <v>8.0</v>
      </c>
      <c r="D202" s="25" t="s">
        <v>22</v>
      </c>
      <c r="E202" s="22" t="s">
        <v>34</v>
      </c>
      <c r="F202" s="18">
        <v>0.0</v>
      </c>
      <c r="H202" s="19">
        <v>0.0</v>
      </c>
      <c r="J202" s="19">
        <v>0.0</v>
      </c>
      <c r="L202" s="19">
        <v>0.0</v>
      </c>
      <c r="N202" s="19">
        <v>0.0</v>
      </c>
      <c r="P202" s="19">
        <v>0.0</v>
      </c>
      <c r="Q202" s="20"/>
      <c r="R202" s="18"/>
      <c r="T202" s="19"/>
      <c r="V202" s="19"/>
      <c r="X202" s="19"/>
      <c r="Z202" s="19"/>
      <c r="AB202" s="19"/>
      <c r="AC202" s="20"/>
      <c r="AD202" s="26">
        <f t="shared" si="1"/>
        <v>0</v>
      </c>
      <c r="AE202" s="25">
        <f t="shared" si="2"/>
        <v>0</v>
      </c>
      <c r="AF202" s="25">
        <f t="shared" si="3"/>
        <v>0</v>
      </c>
      <c r="AG202" s="25">
        <f t="shared" si="4"/>
        <v>0</v>
      </c>
      <c r="AH202" s="27">
        <f t="shared" si="5"/>
        <v>0</v>
      </c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ht="15.75" customHeight="1">
      <c r="A203" s="23" t="s">
        <v>26</v>
      </c>
      <c r="B203" s="24">
        <f t="shared" si="6"/>
        <v>45492</v>
      </c>
      <c r="C203" s="25">
        <v>8.0</v>
      </c>
      <c r="D203" s="25" t="s">
        <v>22</v>
      </c>
      <c r="E203" s="22" t="s">
        <v>35</v>
      </c>
      <c r="F203" s="18">
        <v>0.0</v>
      </c>
      <c r="H203" s="19">
        <v>45.0</v>
      </c>
      <c r="J203" s="19">
        <v>45.0</v>
      </c>
      <c r="L203" s="19">
        <v>0.0</v>
      </c>
      <c r="N203" s="19">
        <v>45.0</v>
      </c>
      <c r="P203" s="19">
        <v>0.0</v>
      </c>
      <c r="Q203" s="20"/>
      <c r="R203" s="18"/>
      <c r="T203" s="19"/>
      <c r="V203" s="19"/>
      <c r="X203" s="19"/>
      <c r="Z203" s="19"/>
      <c r="AB203" s="19"/>
      <c r="AC203" s="20"/>
      <c r="AD203" s="26">
        <f t="shared" si="1"/>
        <v>2520</v>
      </c>
      <c r="AE203" s="25">
        <f t="shared" si="2"/>
        <v>90</v>
      </c>
      <c r="AF203" s="25">
        <f t="shared" si="3"/>
        <v>45</v>
      </c>
      <c r="AG203" s="25">
        <f t="shared" si="4"/>
        <v>135</v>
      </c>
      <c r="AH203" s="27">
        <f t="shared" si="5"/>
        <v>18.66666667</v>
      </c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ht="15.75" customHeight="1">
      <c r="A204" s="23" t="s">
        <v>27</v>
      </c>
      <c r="B204" s="24">
        <f t="shared" si="6"/>
        <v>45493</v>
      </c>
      <c r="C204" s="25">
        <v>8.0</v>
      </c>
      <c r="D204" s="25" t="s">
        <v>22</v>
      </c>
      <c r="E204" s="22" t="s">
        <v>35</v>
      </c>
      <c r="F204" s="18">
        <v>0.0</v>
      </c>
      <c r="H204" s="19">
        <v>45.0</v>
      </c>
      <c r="J204" s="19">
        <v>45.0</v>
      </c>
      <c r="L204" s="19">
        <v>0.0</v>
      </c>
      <c r="N204" s="19">
        <v>45.0</v>
      </c>
      <c r="P204" s="19">
        <v>0.0</v>
      </c>
      <c r="Q204" s="20"/>
      <c r="R204" s="18"/>
      <c r="T204" s="19"/>
      <c r="V204" s="19"/>
      <c r="X204" s="19"/>
      <c r="Z204" s="19"/>
      <c r="AB204" s="19"/>
      <c r="AC204" s="20"/>
      <c r="AD204" s="26">
        <f t="shared" si="1"/>
        <v>2520</v>
      </c>
      <c r="AE204" s="25">
        <f t="shared" si="2"/>
        <v>90</v>
      </c>
      <c r="AF204" s="25">
        <f t="shared" si="3"/>
        <v>45</v>
      </c>
      <c r="AG204" s="25">
        <f t="shared" si="4"/>
        <v>135</v>
      </c>
      <c r="AH204" s="27">
        <f t="shared" si="5"/>
        <v>18.66666667</v>
      </c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ht="15.75" customHeight="1">
      <c r="A205" s="28" t="s">
        <v>28</v>
      </c>
      <c r="B205" s="29">
        <f t="shared" si="6"/>
        <v>45494</v>
      </c>
      <c r="C205" s="30">
        <v>8.0</v>
      </c>
      <c r="D205" s="30" t="s">
        <v>22</v>
      </c>
      <c r="E205" s="31" t="s">
        <v>35</v>
      </c>
      <c r="F205" s="32">
        <v>0.0</v>
      </c>
      <c r="G205" s="7"/>
      <c r="H205" s="33">
        <v>45.0</v>
      </c>
      <c r="I205" s="7"/>
      <c r="J205" s="33">
        <v>45.0</v>
      </c>
      <c r="K205" s="7"/>
      <c r="L205" s="33">
        <v>0.0</v>
      </c>
      <c r="M205" s="7"/>
      <c r="N205" s="33">
        <v>45.0</v>
      </c>
      <c r="O205" s="7"/>
      <c r="P205" s="33">
        <v>0.0</v>
      </c>
      <c r="Q205" s="34"/>
      <c r="R205" s="32"/>
      <c r="S205" s="7"/>
      <c r="T205" s="33"/>
      <c r="U205" s="7"/>
      <c r="V205" s="33"/>
      <c r="W205" s="7"/>
      <c r="X205" s="33"/>
      <c r="Y205" s="7"/>
      <c r="Z205" s="33"/>
      <c r="AA205" s="7"/>
      <c r="AB205" s="33"/>
      <c r="AC205" s="34"/>
      <c r="AD205" s="35">
        <f t="shared" si="1"/>
        <v>2520</v>
      </c>
      <c r="AE205" s="30">
        <f t="shared" si="2"/>
        <v>90</v>
      </c>
      <c r="AF205" s="30">
        <f t="shared" si="3"/>
        <v>45</v>
      </c>
      <c r="AG205" s="30">
        <f t="shared" si="4"/>
        <v>135</v>
      </c>
      <c r="AH205" s="36">
        <f t="shared" si="5"/>
        <v>18.66666667</v>
      </c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ht="15.75" customHeight="1">
      <c r="A206" s="14" t="s">
        <v>21</v>
      </c>
      <c r="B206" s="15">
        <f t="shared" si="6"/>
        <v>45495</v>
      </c>
      <c r="C206" s="16">
        <v>8.0</v>
      </c>
      <c r="D206" s="16" t="s">
        <v>29</v>
      </c>
      <c r="E206" s="17" t="s">
        <v>34</v>
      </c>
      <c r="F206" s="18">
        <v>0.0</v>
      </c>
      <c r="H206" s="19">
        <v>0.0</v>
      </c>
      <c r="J206" s="19">
        <v>0.0</v>
      </c>
      <c r="L206" s="19">
        <v>0.0</v>
      </c>
      <c r="N206" s="19">
        <v>0.0</v>
      </c>
      <c r="P206" s="19">
        <v>0.0</v>
      </c>
      <c r="Q206" s="20"/>
      <c r="R206" s="18"/>
      <c r="T206" s="19"/>
      <c r="V206" s="19"/>
      <c r="X206" s="19"/>
      <c r="Z206" s="19"/>
      <c r="AB206" s="19"/>
      <c r="AC206" s="20"/>
      <c r="AD206" s="21">
        <f t="shared" si="1"/>
        <v>0</v>
      </c>
      <c r="AE206" s="16">
        <f t="shared" si="2"/>
        <v>0</v>
      </c>
      <c r="AF206" s="16">
        <f t="shared" si="3"/>
        <v>0</v>
      </c>
      <c r="AG206" s="16">
        <f t="shared" si="4"/>
        <v>0</v>
      </c>
      <c r="AH206" s="37">
        <f t="shared" si="5"/>
        <v>0</v>
      </c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ht="15.75" customHeight="1">
      <c r="A207" s="23" t="s">
        <v>23</v>
      </c>
      <c r="B207" s="24">
        <f t="shared" si="6"/>
        <v>45496</v>
      </c>
      <c r="C207" s="25">
        <v>8.0</v>
      </c>
      <c r="D207" s="25" t="s">
        <v>29</v>
      </c>
      <c r="E207" s="22" t="s">
        <v>34</v>
      </c>
      <c r="F207" s="18">
        <v>0.0</v>
      </c>
      <c r="H207" s="19">
        <v>0.0</v>
      </c>
      <c r="J207" s="19">
        <v>0.0</v>
      </c>
      <c r="L207" s="19">
        <v>0.0</v>
      </c>
      <c r="N207" s="19">
        <v>0.0</v>
      </c>
      <c r="P207" s="19">
        <v>0.0</v>
      </c>
      <c r="Q207" s="20"/>
      <c r="R207" s="18"/>
      <c r="T207" s="19"/>
      <c r="V207" s="19"/>
      <c r="X207" s="19"/>
      <c r="Z207" s="19"/>
      <c r="AB207" s="19"/>
      <c r="AC207" s="20"/>
      <c r="AD207" s="26">
        <f t="shared" si="1"/>
        <v>0</v>
      </c>
      <c r="AE207" s="25">
        <f t="shared" si="2"/>
        <v>0</v>
      </c>
      <c r="AF207" s="25">
        <f t="shared" si="3"/>
        <v>0</v>
      </c>
      <c r="AG207" s="25">
        <f t="shared" si="4"/>
        <v>0</v>
      </c>
      <c r="AH207" s="27">
        <f t="shared" si="5"/>
        <v>0</v>
      </c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ht="15.75" customHeight="1">
      <c r="A208" s="23" t="s">
        <v>24</v>
      </c>
      <c r="B208" s="24">
        <f t="shared" si="6"/>
        <v>45497</v>
      </c>
      <c r="C208" s="25">
        <v>8.0</v>
      </c>
      <c r="D208" s="25" t="s">
        <v>29</v>
      </c>
      <c r="E208" s="22" t="s">
        <v>34</v>
      </c>
      <c r="F208" s="18">
        <v>0.0</v>
      </c>
      <c r="H208" s="19">
        <v>0.0</v>
      </c>
      <c r="J208" s="19">
        <v>0.0</v>
      </c>
      <c r="L208" s="19">
        <v>0.0</v>
      </c>
      <c r="N208" s="19">
        <v>0.0</v>
      </c>
      <c r="P208" s="19">
        <v>0.0</v>
      </c>
      <c r="Q208" s="20"/>
      <c r="R208" s="18"/>
      <c r="T208" s="19"/>
      <c r="V208" s="19"/>
      <c r="X208" s="19"/>
      <c r="Z208" s="19"/>
      <c r="AB208" s="19"/>
      <c r="AC208" s="20"/>
      <c r="AD208" s="26">
        <f t="shared" si="1"/>
        <v>0</v>
      </c>
      <c r="AE208" s="25">
        <f t="shared" si="2"/>
        <v>0</v>
      </c>
      <c r="AF208" s="25">
        <f t="shared" si="3"/>
        <v>0</v>
      </c>
      <c r="AG208" s="25">
        <f t="shared" si="4"/>
        <v>0</v>
      </c>
      <c r="AH208" s="27">
        <f t="shared" si="5"/>
        <v>0</v>
      </c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ht="15.75" customHeight="1">
      <c r="A209" s="23" t="s">
        <v>25</v>
      </c>
      <c r="B209" s="24">
        <f t="shared" si="6"/>
        <v>45498</v>
      </c>
      <c r="C209" s="25">
        <v>8.0</v>
      </c>
      <c r="D209" s="25" t="s">
        <v>29</v>
      </c>
      <c r="E209" s="22" t="s">
        <v>34</v>
      </c>
      <c r="F209" s="18">
        <v>0.0</v>
      </c>
      <c r="H209" s="19">
        <v>0.0</v>
      </c>
      <c r="J209" s="19">
        <v>0.0</v>
      </c>
      <c r="L209" s="19">
        <v>0.0</v>
      </c>
      <c r="N209" s="19">
        <v>0.0</v>
      </c>
      <c r="P209" s="19">
        <v>0.0</v>
      </c>
      <c r="Q209" s="20"/>
      <c r="R209" s="18"/>
      <c r="T209" s="19"/>
      <c r="V209" s="19"/>
      <c r="X209" s="19"/>
      <c r="Z209" s="19"/>
      <c r="AB209" s="19"/>
      <c r="AC209" s="20"/>
      <c r="AD209" s="26">
        <f t="shared" si="1"/>
        <v>0</v>
      </c>
      <c r="AE209" s="25">
        <f t="shared" si="2"/>
        <v>0</v>
      </c>
      <c r="AF209" s="25">
        <f t="shared" si="3"/>
        <v>0</v>
      </c>
      <c r="AG209" s="25">
        <f t="shared" si="4"/>
        <v>0</v>
      </c>
      <c r="AH209" s="27">
        <f t="shared" si="5"/>
        <v>0</v>
      </c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ht="15.75" customHeight="1">
      <c r="A210" s="23" t="s">
        <v>26</v>
      </c>
      <c r="B210" s="24">
        <f t="shared" si="6"/>
        <v>45499</v>
      </c>
      <c r="C210" s="25">
        <v>8.0</v>
      </c>
      <c r="D210" s="25" t="s">
        <v>29</v>
      </c>
      <c r="E210" s="22" t="s">
        <v>34</v>
      </c>
      <c r="F210" s="18">
        <v>0.0</v>
      </c>
      <c r="H210" s="19">
        <v>0.0</v>
      </c>
      <c r="J210" s="19">
        <v>0.0</v>
      </c>
      <c r="L210" s="19">
        <v>0.0</v>
      </c>
      <c r="N210" s="19">
        <v>0.0</v>
      </c>
      <c r="P210" s="19">
        <v>0.0</v>
      </c>
      <c r="Q210" s="20"/>
      <c r="R210" s="18"/>
      <c r="T210" s="19"/>
      <c r="V210" s="19"/>
      <c r="X210" s="19"/>
      <c r="Z210" s="19"/>
      <c r="AB210" s="19"/>
      <c r="AC210" s="20"/>
      <c r="AD210" s="26">
        <f t="shared" si="1"/>
        <v>0</v>
      </c>
      <c r="AE210" s="25">
        <f t="shared" si="2"/>
        <v>0</v>
      </c>
      <c r="AF210" s="25">
        <f t="shared" si="3"/>
        <v>0</v>
      </c>
      <c r="AG210" s="25">
        <f t="shared" si="4"/>
        <v>0</v>
      </c>
      <c r="AH210" s="27">
        <f t="shared" si="5"/>
        <v>0</v>
      </c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ht="15.75" customHeight="1">
      <c r="A211" s="23" t="s">
        <v>27</v>
      </c>
      <c r="B211" s="24">
        <f t="shared" si="6"/>
        <v>45500</v>
      </c>
      <c r="C211" s="25">
        <v>8.0</v>
      </c>
      <c r="D211" s="25" t="s">
        <v>29</v>
      </c>
      <c r="E211" s="22" t="s">
        <v>34</v>
      </c>
      <c r="F211" s="18">
        <v>0.0</v>
      </c>
      <c r="H211" s="19">
        <v>0.0</v>
      </c>
      <c r="J211" s="19">
        <v>0.0</v>
      </c>
      <c r="L211" s="19">
        <v>0.0</v>
      </c>
      <c r="N211" s="19">
        <v>0.0</v>
      </c>
      <c r="P211" s="19">
        <v>0.0</v>
      </c>
      <c r="Q211" s="20"/>
      <c r="R211" s="18"/>
      <c r="T211" s="19"/>
      <c r="V211" s="19"/>
      <c r="X211" s="19"/>
      <c r="Z211" s="19"/>
      <c r="AB211" s="19"/>
      <c r="AC211" s="20"/>
      <c r="AD211" s="26">
        <f t="shared" si="1"/>
        <v>0</v>
      </c>
      <c r="AE211" s="25">
        <f t="shared" si="2"/>
        <v>0</v>
      </c>
      <c r="AF211" s="25">
        <f t="shared" si="3"/>
        <v>0</v>
      </c>
      <c r="AG211" s="25">
        <f t="shared" si="4"/>
        <v>0</v>
      </c>
      <c r="AH211" s="27">
        <f t="shared" si="5"/>
        <v>0</v>
      </c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ht="15.75" customHeight="1">
      <c r="A212" s="28" t="s">
        <v>28</v>
      </c>
      <c r="B212" s="29">
        <f t="shared" si="6"/>
        <v>45501</v>
      </c>
      <c r="C212" s="30">
        <v>8.0</v>
      </c>
      <c r="D212" s="30" t="s">
        <v>29</v>
      </c>
      <c r="E212" s="31" t="s">
        <v>34</v>
      </c>
      <c r="F212" s="33">
        <v>0.0</v>
      </c>
      <c r="G212" s="7"/>
      <c r="H212" s="33">
        <v>0.0</v>
      </c>
      <c r="I212" s="7"/>
      <c r="J212" s="33">
        <v>0.0</v>
      </c>
      <c r="K212" s="7"/>
      <c r="L212" s="33">
        <v>0.0</v>
      </c>
      <c r="M212" s="7"/>
      <c r="N212" s="33">
        <v>0.0</v>
      </c>
      <c r="O212" s="7"/>
      <c r="P212" s="33">
        <v>0.0</v>
      </c>
      <c r="Q212" s="34"/>
      <c r="R212" s="32"/>
      <c r="S212" s="7"/>
      <c r="T212" s="33"/>
      <c r="U212" s="7"/>
      <c r="V212" s="33"/>
      <c r="W212" s="7"/>
      <c r="X212" s="33"/>
      <c r="Y212" s="7"/>
      <c r="Z212" s="33"/>
      <c r="AA212" s="7"/>
      <c r="AB212" s="33"/>
      <c r="AC212" s="34"/>
      <c r="AD212" s="35">
        <f t="shared" si="1"/>
        <v>0</v>
      </c>
      <c r="AE212" s="30">
        <f t="shared" si="2"/>
        <v>0</v>
      </c>
      <c r="AF212" s="30">
        <f t="shared" si="3"/>
        <v>0</v>
      </c>
      <c r="AG212" s="30">
        <f t="shared" si="4"/>
        <v>0</v>
      </c>
      <c r="AH212" s="36">
        <f t="shared" si="5"/>
        <v>0</v>
      </c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ht="15.75" customHeight="1">
      <c r="A213" s="14" t="s">
        <v>21</v>
      </c>
      <c r="B213" s="15">
        <f t="shared" si="6"/>
        <v>45502</v>
      </c>
      <c r="C213" s="16">
        <v>8.0</v>
      </c>
      <c r="D213" s="16" t="s">
        <v>30</v>
      </c>
      <c r="E213" s="17" t="s">
        <v>34</v>
      </c>
      <c r="F213" s="18">
        <v>0.0</v>
      </c>
      <c r="H213" s="19">
        <v>0.0</v>
      </c>
      <c r="J213" s="19">
        <v>0.0</v>
      </c>
      <c r="L213" s="19">
        <v>0.0</v>
      </c>
      <c r="N213" s="19">
        <v>0.0</v>
      </c>
      <c r="P213" s="19">
        <v>0.0</v>
      </c>
      <c r="Q213" s="20"/>
      <c r="R213" s="18"/>
      <c r="T213" s="19"/>
      <c r="V213" s="19"/>
      <c r="X213" s="19"/>
      <c r="Z213" s="19"/>
      <c r="AB213" s="19"/>
      <c r="AC213" s="20"/>
      <c r="AD213" s="21">
        <f t="shared" si="1"/>
        <v>0</v>
      </c>
      <c r="AE213" s="16">
        <f t="shared" si="2"/>
        <v>0</v>
      </c>
      <c r="AF213" s="16">
        <f t="shared" si="3"/>
        <v>0</v>
      </c>
      <c r="AG213" s="16">
        <f t="shared" si="4"/>
        <v>0</v>
      </c>
      <c r="AH213" s="37">
        <f t="shared" si="5"/>
        <v>0</v>
      </c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ht="15.75" customHeight="1">
      <c r="A214" s="23" t="s">
        <v>23</v>
      </c>
      <c r="B214" s="24">
        <f t="shared" si="6"/>
        <v>45503</v>
      </c>
      <c r="C214" s="25">
        <v>8.0</v>
      </c>
      <c r="D214" s="25" t="s">
        <v>30</v>
      </c>
      <c r="E214" s="22" t="s">
        <v>34</v>
      </c>
      <c r="F214" s="18">
        <v>0.0</v>
      </c>
      <c r="H214" s="19">
        <v>0.0</v>
      </c>
      <c r="J214" s="19">
        <v>0.0</v>
      </c>
      <c r="L214" s="19">
        <v>0.0</v>
      </c>
      <c r="N214" s="19">
        <v>0.0</v>
      </c>
      <c r="P214" s="19">
        <v>0.0</v>
      </c>
      <c r="Q214" s="20"/>
      <c r="R214" s="18"/>
      <c r="T214" s="19"/>
      <c r="V214" s="19"/>
      <c r="X214" s="19"/>
      <c r="Z214" s="19"/>
      <c r="AB214" s="19"/>
      <c r="AC214" s="20"/>
      <c r="AD214" s="26">
        <f t="shared" si="1"/>
        <v>0</v>
      </c>
      <c r="AE214" s="25">
        <f t="shared" si="2"/>
        <v>0</v>
      </c>
      <c r="AF214" s="25">
        <f t="shared" si="3"/>
        <v>0</v>
      </c>
      <c r="AG214" s="25">
        <f t="shared" si="4"/>
        <v>0</v>
      </c>
      <c r="AH214" s="27">
        <f t="shared" si="5"/>
        <v>0</v>
      </c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ht="15.75" customHeight="1">
      <c r="A215" s="23" t="s">
        <v>24</v>
      </c>
      <c r="B215" s="24">
        <f t="shared" si="6"/>
        <v>45504</v>
      </c>
      <c r="C215" s="25">
        <v>8.0</v>
      </c>
      <c r="D215" s="25" t="s">
        <v>30</v>
      </c>
      <c r="E215" s="22" t="s">
        <v>34</v>
      </c>
      <c r="F215" s="18">
        <v>0.0</v>
      </c>
      <c r="H215" s="19">
        <v>0.0</v>
      </c>
      <c r="J215" s="19">
        <v>0.0</v>
      </c>
      <c r="L215" s="19">
        <v>0.0</v>
      </c>
      <c r="N215" s="19">
        <v>0.0</v>
      </c>
      <c r="P215" s="19">
        <v>0.0</v>
      </c>
      <c r="Q215" s="20"/>
      <c r="R215" s="18"/>
      <c r="T215" s="19"/>
      <c r="V215" s="19"/>
      <c r="X215" s="19"/>
      <c r="Z215" s="19"/>
      <c r="AB215" s="19"/>
      <c r="AC215" s="20"/>
      <c r="AD215" s="26">
        <f t="shared" si="1"/>
        <v>0</v>
      </c>
      <c r="AE215" s="25">
        <f t="shared" si="2"/>
        <v>0</v>
      </c>
      <c r="AF215" s="25">
        <f t="shared" si="3"/>
        <v>0</v>
      </c>
      <c r="AG215" s="25">
        <f t="shared" si="4"/>
        <v>0</v>
      </c>
      <c r="AH215" s="27">
        <f t="shared" si="5"/>
        <v>0</v>
      </c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ht="15.75" customHeight="1">
      <c r="A216" s="23" t="s">
        <v>25</v>
      </c>
      <c r="B216" s="24">
        <f t="shared" si="6"/>
        <v>45505</v>
      </c>
      <c r="C216" s="25">
        <v>8.0</v>
      </c>
      <c r="D216" s="25" t="s">
        <v>30</v>
      </c>
      <c r="E216" s="22" t="s">
        <v>34</v>
      </c>
      <c r="F216" s="18">
        <v>0.0</v>
      </c>
      <c r="H216" s="19">
        <v>0.0</v>
      </c>
      <c r="J216" s="19">
        <v>0.0</v>
      </c>
      <c r="L216" s="19">
        <v>0.0</v>
      </c>
      <c r="N216" s="19">
        <v>0.0</v>
      </c>
      <c r="P216" s="19">
        <v>0.0</v>
      </c>
      <c r="Q216" s="20"/>
      <c r="R216" s="18"/>
      <c r="T216" s="19"/>
      <c r="V216" s="19"/>
      <c r="X216" s="19"/>
      <c r="Z216" s="19"/>
      <c r="AB216" s="19"/>
      <c r="AC216" s="20"/>
      <c r="AD216" s="26">
        <f t="shared" si="1"/>
        <v>0</v>
      </c>
      <c r="AE216" s="25">
        <f t="shared" si="2"/>
        <v>0</v>
      </c>
      <c r="AF216" s="25">
        <f t="shared" si="3"/>
        <v>0</v>
      </c>
      <c r="AG216" s="25">
        <f t="shared" si="4"/>
        <v>0</v>
      </c>
      <c r="AH216" s="27">
        <f t="shared" si="5"/>
        <v>0</v>
      </c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ht="15.75" customHeight="1">
      <c r="A217" s="23" t="s">
        <v>26</v>
      </c>
      <c r="B217" s="24">
        <f t="shared" si="6"/>
        <v>45506</v>
      </c>
      <c r="C217" s="25">
        <v>8.0</v>
      </c>
      <c r="D217" s="25" t="s">
        <v>30</v>
      </c>
      <c r="E217" s="22" t="s">
        <v>34</v>
      </c>
      <c r="F217" s="18">
        <v>0.0</v>
      </c>
      <c r="H217" s="19">
        <v>0.0</v>
      </c>
      <c r="J217" s="19">
        <v>0.0</v>
      </c>
      <c r="L217" s="19">
        <v>0.0</v>
      </c>
      <c r="N217" s="19">
        <v>0.0</v>
      </c>
      <c r="P217" s="19">
        <v>0.0</v>
      </c>
      <c r="Q217" s="20"/>
      <c r="R217" s="18"/>
      <c r="T217" s="19"/>
      <c r="V217" s="19"/>
      <c r="X217" s="19"/>
      <c r="Z217" s="19"/>
      <c r="AB217" s="19"/>
      <c r="AC217" s="20"/>
      <c r="AD217" s="26">
        <f t="shared" si="1"/>
        <v>0</v>
      </c>
      <c r="AE217" s="25">
        <f t="shared" si="2"/>
        <v>0</v>
      </c>
      <c r="AF217" s="25">
        <f t="shared" si="3"/>
        <v>0</v>
      </c>
      <c r="AG217" s="25">
        <f t="shared" si="4"/>
        <v>0</v>
      </c>
      <c r="AH217" s="27">
        <f t="shared" si="5"/>
        <v>0</v>
      </c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ht="15.75" customHeight="1">
      <c r="A218" s="23" t="s">
        <v>27</v>
      </c>
      <c r="B218" s="24">
        <f t="shared" si="6"/>
        <v>45507</v>
      </c>
      <c r="C218" s="25">
        <v>8.0</v>
      </c>
      <c r="D218" s="25" t="s">
        <v>30</v>
      </c>
      <c r="E218" s="22" t="s">
        <v>34</v>
      </c>
      <c r="F218" s="18">
        <v>0.0</v>
      </c>
      <c r="H218" s="19">
        <v>0.0</v>
      </c>
      <c r="J218" s="19">
        <v>0.0</v>
      </c>
      <c r="L218" s="19">
        <v>0.0</v>
      </c>
      <c r="N218" s="19">
        <v>0.0</v>
      </c>
      <c r="P218" s="19">
        <v>0.0</v>
      </c>
      <c r="Q218" s="20"/>
      <c r="R218" s="18"/>
      <c r="T218" s="19"/>
      <c r="V218" s="19"/>
      <c r="X218" s="19"/>
      <c r="Z218" s="19"/>
      <c r="AB218" s="19"/>
      <c r="AC218" s="20"/>
      <c r="AD218" s="26">
        <f t="shared" si="1"/>
        <v>0</v>
      </c>
      <c r="AE218" s="25">
        <f t="shared" si="2"/>
        <v>0</v>
      </c>
      <c r="AF218" s="25">
        <f t="shared" si="3"/>
        <v>0</v>
      </c>
      <c r="AG218" s="25">
        <f t="shared" si="4"/>
        <v>0</v>
      </c>
      <c r="AH218" s="27">
        <f t="shared" si="5"/>
        <v>0</v>
      </c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ht="15.75" customHeight="1">
      <c r="A219" s="28" t="s">
        <v>28</v>
      </c>
      <c r="B219" s="29">
        <f t="shared" si="6"/>
        <v>45508</v>
      </c>
      <c r="C219" s="30">
        <v>8.0</v>
      </c>
      <c r="D219" s="30" t="s">
        <v>30</v>
      </c>
      <c r="E219" s="31" t="s">
        <v>34</v>
      </c>
      <c r="F219" s="33">
        <v>0.0</v>
      </c>
      <c r="G219" s="7"/>
      <c r="H219" s="33">
        <v>0.0</v>
      </c>
      <c r="I219" s="7"/>
      <c r="J219" s="33">
        <v>0.0</v>
      </c>
      <c r="K219" s="7"/>
      <c r="L219" s="33">
        <v>0.0</v>
      </c>
      <c r="M219" s="7"/>
      <c r="N219" s="33">
        <v>0.0</v>
      </c>
      <c r="O219" s="7"/>
      <c r="P219" s="33">
        <v>0.0</v>
      </c>
      <c r="Q219" s="34"/>
      <c r="R219" s="32"/>
      <c r="S219" s="7"/>
      <c r="T219" s="33"/>
      <c r="U219" s="7"/>
      <c r="V219" s="33"/>
      <c r="W219" s="7"/>
      <c r="X219" s="33"/>
      <c r="Y219" s="7"/>
      <c r="Z219" s="33"/>
      <c r="AA219" s="7"/>
      <c r="AB219" s="33"/>
      <c r="AC219" s="34"/>
      <c r="AD219" s="35">
        <f t="shared" si="1"/>
        <v>0</v>
      </c>
      <c r="AE219" s="30">
        <f t="shared" si="2"/>
        <v>0</v>
      </c>
      <c r="AF219" s="30">
        <f t="shared" si="3"/>
        <v>0</v>
      </c>
      <c r="AG219" s="30">
        <f t="shared" si="4"/>
        <v>0</v>
      </c>
      <c r="AH219" s="36">
        <f t="shared" si="5"/>
        <v>0</v>
      </c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ht="15.75" customHeight="1">
      <c r="A220" s="14" t="s">
        <v>21</v>
      </c>
      <c r="B220" s="15">
        <f t="shared" si="6"/>
        <v>45509</v>
      </c>
      <c r="C220" s="16">
        <v>8.0</v>
      </c>
      <c r="D220" s="16" t="s">
        <v>31</v>
      </c>
      <c r="E220" s="17" t="s">
        <v>34</v>
      </c>
      <c r="F220" s="18">
        <v>0.0</v>
      </c>
      <c r="H220" s="19">
        <v>0.0</v>
      </c>
      <c r="J220" s="19">
        <v>0.0</v>
      </c>
      <c r="L220" s="19">
        <v>0.0</v>
      </c>
      <c r="N220" s="19">
        <v>0.0</v>
      </c>
      <c r="P220" s="19">
        <v>0.0</v>
      </c>
      <c r="Q220" s="20"/>
      <c r="R220" s="18"/>
      <c r="T220" s="19"/>
      <c r="V220" s="19"/>
      <c r="X220" s="19"/>
      <c r="Z220" s="19"/>
      <c r="AB220" s="19"/>
      <c r="AC220" s="20"/>
      <c r="AD220" s="21">
        <f t="shared" si="1"/>
        <v>0</v>
      </c>
      <c r="AE220" s="16">
        <f t="shared" si="2"/>
        <v>0</v>
      </c>
      <c r="AF220" s="16">
        <f t="shared" si="3"/>
        <v>0</v>
      </c>
      <c r="AG220" s="16">
        <f t="shared" si="4"/>
        <v>0</v>
      </c>
      <c r="AH220" s="37">
        <f t="shared" si="5"/>
        <v>0</v>
      </c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ht="15.75" customHeight="1">
      <c r="A221" s="23" t="s">
        <v>23</v>
      </c>
      <c r="B221" s="24">
        <f t="shared" si="6"/>
        <v>45510</v>
      </c>
      <c r="C221" s="25">
        <v>8.0</v>
      </c>
      <c r="D221" s="25" t="s">
        <v>31</v>
      </c>
      <c r="E221" s="22" t="s">
        <v>35</v>
      </c>
      <c r="F221" s="18">
        <v>0.0</v>
      </c>
      <c r="H221" s="19">
        <v>45.0</v>
      </c>
      <c r="J221" s="19">
        <v>45.0</v>
      </c>
      <c r="L221" s="19">
        <v>0.0</v>
      </c>
      <c r="N221" s="19">
        <v>45.0</v>
      </c>
      <c r="P221" s="19">
        <v>0.0</v>
      </c>
      <c r="Q221" s="20"/>
      <c r="R221" s="18"/>
      <c r="T221" s="19"/>
      <c r="V221" s="19"/>
      <c r="X221" s="19"/>
      <c r="Z221" s="19"/>
      <c r="AB221" s="19"/>
      <c r="AC221" s="20"/>
      <c r="AD221" s="26">
        <f t="shared" si="1"/>
        <v>2520</v>
      </c>
      <c r="AE221" s="25">
        <f t="shared" si="2"/>
        <v>90</v>
      </c>
      <c r="AF221" s="25">
        <f t="shared" si="3"/>
        <v>45</v>
      </c>
      <c r="AG221" s="25">
        <f t="shared" si="4"/>
        <v>135</v>
      </c>
      <c r="AH221" s="27">
        <f t="shared" si="5"/>
        <v>18.66666667</v>
      </c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ht="15.75" customHeight="1">
      <c r="A222" s="23" t="s">
        <v>24</v>
      </c>
      <c r="B222" s="24">
        <f t="shared" si="6"/>
        <v>45511</v>
      </c>
      <c r="C222" s="25">
        <v>8.0</v>
      </c>
      <c r="D222" s="25" t="s">
        <v>31</v>
      </c>
      <c r="E222" s="22" t="s">
        <v>35</v>
      </c>
      <c r="F222" s="18">
        <v>0.0</v>
      </c>
      <c r="H222" s="19">
        <v>45.0</v>
      </c>
      <c r="J222" s="19">
        <v>45.0</v>
      </c>
      <c r="L222" s="19">
        <v>0.0</v>
      </c>
      <c r="N222" s="19">
        <v>45.0</v>
      </c>
      <c r="P222" s="19">
        <v>0.0</v>
      </c>
      <c r="Q222" s="20"/>
      <c r="R222" s="18"/>
      <c r="T222" s="19"/>
      <c r="V222" s="19"/>
      <c r="X222" s="19"/>
      <c r="Z222" s="19"/>
      <c r="AB222" s="19"/>
      <c r="AC222" s="20"/>
      <c r="AD222" s="26">
        <f t="shared" si="1"/>
        <v>2520</v>
      </c>
      <c r="AE222" s="25">
        <f t="shared" si="2"/>
        <v>90</v>
      </c>
      <c r="AF222" s="25">
        <f t="shared" si="3"/>
        <v>45</v>
      </c>
      <c r="AG222" s="25">
        <f t="shared" si="4"/>
        <v>135</v>
      </c>
      <c r="AH222" s="27">
        <f t="shared" si="5"/>
        <v>18.66666667</v>
      </c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ht="15.75" customHeight="1">
      <c r="A223" s="23" t="s">
        <v>25</v>
      </c>
      <c r="B223" s="24">
        <f t="shared" si="6"/>
        <v>45512</v>
      </c>
      <c r="C223" s="25">
        <v>8.0</v>
      </c>
      <c r="D223" s="25" t="s">
        <v>31</v>
      </c>
      <c r="E223" s="22" t="s">
        <v>35</v>
      </c>
      <c r="F223" s="18">
        <v>0.0</v>
      </c>
      <c r="H223" s="19">
        <v>45.0</v>
      </c>
      <c r="J223" s="19">
        <v>45.0</v>
      </c>
      <c r="L223" s="19">
        <v>0.0</v>
      </c>
      <c r="N223" s="19">
        <v>45.0</v>
      </c>
      <c r="P223" s="19">
        <v>0.0</v>
      </c>
      <c r="Q223" s="20"/>
      <c r="R223" s="18"/>
      <c r="T223" s="19"/>
      <c r="V223" s="19"/>
      <c r="X223" s="19"/>
      <c r="Z223" s="19"/>
      <c r="AB223" s="19"/>
      <c r="AC223" s="20"/>
      <c r="AD223" s="26">
        <f t="shared" si="1"/>
        <v>2520</v>
      </c>
      <c r="AE223" s="25">
        <f t="shared" si="2"/>
        <v>90</v>
      </c>
      <c r="AF223" s="25">
        <f t="shared" si="3"/>
        <v>45</v>
      </c>
      <c r="AG223" s="25">
        <f t="shared" si="4"/>
        <v>135</v>
      </c>
      <c r="AH223" s="27">
        <f t="shared" si="5"/>
        <v>18.66666667</v>
      </c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ht="15.75" customHeight="1">
      <c r="A224" s="23" t="s">
        <v>26</v>
      </c>
      <c r="B224" s="24">
        <f t="shared" si="6"/>
        <v>45513</v>
      </c>
      <c r="C224" s="25">
        <v>8.0</v>
      </c>
      <c r="D224" s="25" t="s">
        <v>31</v>
      </c>
      <c r="E224" s="22" t="s">
        <v>35</v>
      </c>
      <c r="F224" s="18">
        <v>0.0</v>
      </c>
      <c r="H224" s="19">
        <v>45.0</v>
      </c>
      <c r="J224" s="19">
        <v>45.0</v>
      </c>
      <c r="L224" s="19">
        <v>0.0</v>
      </c>
      <c r="N224" s="19">
        <v>45.0</v>
      </c>
      <c r="P224" s="19">
        <v>0.0</v>
      </c>
      <c r="Q224" s="20"/>
      <c r="R224" s="18"/>
      <c r="T224" s="19"/>
      <c r="V224" s="19"/>
      <c r="X224" s="19"/>
      <c r="Z224" s="19"/>
      <c r="AB224" s="19"/>
      <c r="AC224" s="20"/>
      <c r="AD224" s="26">
        <f t="shared" si="1"/>
        <v>2520</v>
      </c>
      <c r="AE224" s="25">
        <f t="shared" si="2"/>
        <v>90</v>
      </c>
      <c r="AF224" s="25">
        <f t="shared" si="3"/>
        <v>45</v>
      </c>
      <c r="AG224" s="25">
        <f t="shared" si="4"/>
        <v>135</v>
      </c>
      <c r="AH224" s="27">
        <f t="shared" si="5"/>
        <v>18.66666667</v>
      </c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ht="15.75" customHeight="1">
      <c r="A225" s="23" t="s">
        <v>27</v>
      </c>
      <c r="B225" s="24">
        <f t="shared" si="6"/>
        <v>45514</v>
      </c>
      <c r="C225" s="25">
        <v>8.0</v>
      </c>
      <c r="D225" s="25" t="s">
        <v>31</v>
      </c>
      <c r="E225" s="22" t="s">
        <v>35</v>
      </c>
      <c r="F225" s="18">
        <v>0.0</v>
      </c>
      <c r="H225" s="19">
        <v>45.0</v>
      </c>
      <c r="J225" s="19">
        <v>45.0</v>
      </c>
      <c r="L225" s="19">
        <v>0.0</v>
      </c>
      <c r="N225" s="19">
        <v>45.0</v>
      </c>
      <c r="P225" s="19">
        <v>0.0</v>
      </c>
      <c r="Q225" s="20"/>
      <c r="R225" s="18"/>
      <c r="T225" s="19"/>
      <c r="V225" s="19"/>
      <c r="X225" s="19"/>
      <c r="Z225" s="19"/>
      <c r="AB225" s="19"/>
      <c r="AC225" s="20"/>
      <c r="AD225" s="26">
        <f t="shared" si="1"/>
        <v>2520</v>
      </c>
      <c r="AE225" s="25">
        <f t="shared" si="2"/>
        <v>90</v>
      </c>
      <c r="AF225" s="25">
        <f t="shared" si="3"/>
        <v>45</v>
      </c>
      <c r="AG225" s="25">
        <f t="shared" si="4"/>
        <v>135</v>
      </c>
      <c r="AH225" s="27">
        <f t="shared" si="5"/>
        <v>18.66666667</v>
      </c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ht="15.75" customHeight="1">
      <c r="A226" s="28" t="s">
        <v>28</v>
      </c>
      <c r="B226" s="29">
        <f t="shared" si="6"/>
        <v>45515</v>
      </c>
      <c r="C226" s="30">
        <v>8.0</v>
      </c>
      <c r="D226" s="30" t="s">
        <v>31</v>
      </c>
      <c r="E226" s="31" t="s">
        <v>33</v>
      </c>
      <c r="F226" s="33">
        <v>45.0</v>
      </c>
      <c r="G226" s="7"/>
      <c r="H226" s="33">
        <v>45.0</v>
      </c>
      <c r="I226" s="7"/>
      <c r="J226" s="33">
        <v>0.0</v>
      </c>
      <c r="K226" s="7"/>
      <c r="L226" s="33">
        <v>0.0</v>
      </c>
      <c r="M226" s="7"/>
      <c r="N226" s="33">
        <v>0.0</v>
      </c>
      <c r="O226" s="7"/>
      <c r="P226" s="33">
        <v>0.0</v>
      </c>
      <c r="Q226" s="34"/>
      <c r="R226" s="32"/>
      <c r="S226" s="7"/>
      <c r="T226" s="33"/>
      <c r="U226" s="7"/>
      <c r="V226" s="33"/>
      <c r="W226" s="7"/>
      <c r="X226" s="33"/>
      <c r="Y226" s="7"/>
      <c r="Z226" s="33"/>
      <c r="AA226" s="7"/>
      <c r="AB226" s="33"/>
      <c r="AC226" s="34"/>
      <c r="AD226" s="35">
        <f t="shared" si="1"/>
        <v>2160</v>
      </c>
      <c r="AE226" s="30">
        <f t="shared" si="2"/>
        <v>90</v>
      </c>
      <c r="AF226" s="30">
        <f t="shared" si="3"/>
        <v>0</v>
      </c>
      <c r="AG226" s="30">
        <f t="shared" si="4"/>
        <v>90</v>
      </c>
      <c r="AH226" s="36">
        <f t="shared" si="5"/>
        <v>24</v>
      </c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ht="15.75" customHeight="1">
      <c r="A227" s="14" t="s">
        <v>21</v>
      </c>
      <c r="B227" s="15">
        <f t="shared" si="6"/>
        <v>45516</v>
      </c>
      <c r="C227" s="16">
        <v>9.0</v>
      </c>
      <c r="D227" s="16" t="s">
        <v>22</v>
      </c>
      <c r="E227" s="17" t="s">
        <v>34</v>
      </c>
      <c r="F227" s="18">
        <v>0.0</v>
      </c>
      <c r="H227" s="19">
        <v>0.0</v>
      </c>
      <c r="J227" s="19">
        <v>0.0</v>
      </c>
      <c r="L227" s="19">
        <v>0.0</v>
      </c>
      <c r="N227" s="19">
        <v>0.0</v>
      </c>
      <c r="P227" s="19">
        <v>0.0</v>
      </c>
      <c r="Q227" s="20"/>
      <c r="R227" s="18"/>
      <c r="T227" s="19"/>
      <c r="V227" s="19"/>
      <c r="X227" s="19"/>
      <c r="Z227" s="19"/>
      <c r="AB227" s="19"/>
      <c r="AC227" s="20"/>
      <c r="AD227" s="21">
        <f t="shared" si="1"/>
        <v>0</v>
      </c>
      <c r="AE227" s="16">
        <f t="shared" si="2"/>
        <v>0</v>
      </c>
      <c r="AF227" s="16">
        <f t="shared" si="3"/>
        <v>0</v>
      </c>
      <c r="AG227" s="16">
        <f t="shared" si="4"/>
        <v>0</v>
      </c>
      <c r="AH227" s="37">
        <f t="shared" si="5"/>
        <v>0</v>
      </c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ht="15.75" customHeight="1">
      <c r="A228" s="23" t="s">
        <v>23</v>
      </c>
      <c r="B228" s="24">
        <f t="shared" si="6"/>
        <v>45517</v>
      </c>
      <c r="C228" s="25">
        <v>9.0</v>
      </c>
      <c r="D228" s="25" t="s">
        <v>22</v>
      </c>
      <c r="E228" s="22" t="s">
        <v>34</v>
      </c>
      <c r="F228" s="18">
        <v>0.0</v>
      </c>
      <c r="H228" s="19">
        <v>0.0</v>
      </c>
      <c r="J228" s="19">
        <v>0.0</v>
      </c>
      <c r="L228" s="19">
        <v>0.0</v>
      </c>
      <c r="N228" s="19">
        <v>0.0</v>
      </c>
      <c r="P228" s="19">
        <v>0.0</v>
      </c>
      <c r="Q228" s="20"/>
      <c r="R228" s="18"/>
      <c r="T228" s="19"/>
      <c r="V228" s="19"/>
      <c r="X228" s="19"/>
      <c r="Z228" s="19"/>
      <c r="AB228" s="19"/>
      <c r="AC228" s="20"/>
      <c r="AD228" s="26">
        <f t="shared" si="1"/>
        <v>0</v>
      </c>
      <c r="AE228" s="25">
        <f t="shared" si="2"/>
        <v>0</v>
      </c>
      <c r="AF228" s="25">
        <f t="shared" si="3"/>
        <v>0</v>
      </c>
      <c r="AG228" s="25">
        <f t="shared" si="4"/>
        <v>0</v>
      </c>
      <c r="AH228" s="27">
        <f t="shared" si="5"/>
        <v>0</v>
      </c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ht="15.75" customHeight="1">
      <c r="A229" s="23" t="s">
        <v>24</v>
      </c>
      <c r="B229" s="24">
        <f t="shared" si="6"/>
        <v>45518</v>
      </c>
      <c r="C229" s="25">
        <v>9.0</v>
      </c>
      <c r="D229" s="25" t="s">
        <v>22</v>
      </c>
      <c r="E229" s="22" t="s">
        <v>34</v>
      </c>
      <c r="F229" s="18">
        <v>0.0</v>
      </c>
      <c r="H229" s="19">
        <v>0.0</v>
      </c>
      <c r="J229" s="19">
        <v>0.0</v>
      </c>
      <c r="L229" s="19">
        <v>0.0</v>
      </c>
      <c r="N229" s="19">
        <v>0.0</v>
      </c>
      <c r="P229" s="19">
        <v>0.0</v>
      </c>
      <c r="Q229" s="20"/>
      <c r="R229" s="18"/>
      <c r="T229" s="19"/>
      <c r="V229" s="19"/>
      <c r="X229" s="19"/>
      <c r="Z229" s="19"/>
      <c r="AB229" s="19"/>
      <c r="AC229" s="20"/>
      <c r="AD229" s="26">
        <f t="shared" si="1"/>
        <v>0</v>
      </c>
      <c r="AE229" s="25">
        <f t="shared" si="2"/>
        <v>0</v>
      </c>
      <c r="AF229" s="25">
        <f t="shared" si="3"/>
        <v>0</v>
      </c>
      <c r="AG229" s="25">
        <f t="shared" si="4"/>
        <v>0</v>
      </c>
      <c r="AH229" s="27">
        <f t="shared" si="5"/>
        <v>0</v>
      </c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ht="15.75" customHeight="1">
      <c r="A230" s="23" t="s">
        <v>25</v>
      </c>
      <c r="B230" s="24">
        <f t="shared" si="6"/>
        <v>45519</v>
      </c>
      <c r="C230" s="25">
        <v>9.0</v>
      </c>
      <c r="D230" s="25" t="s">
        <v>22</v>
      </c>
      <c r="E230" s="22" t="s">
        <v>34</v>
      </c>
      <c r="F230" s="18">
        <v>0.0</v>
      </c>
      <c r="H230" s="19">
        <v>0.0</v>
      </c>
      <c r="J230" s="19">
        <v>0.0</v>
      </c>
      <c r="L230" s="19">
        <v>0.0</v>
      </c>
      <c r="N230" s="19">
        <v>0.0</v>
      </c>
      <c r="P230" s="19">
        <v>0.0</v>
      </c>
      <c r="Q230" s="20"/>
      <c r="R230" s="18"/>
      <c r="T230" s="19"/>
      <c r="V230" s="19"/>
      <c r="X230" s="19"/>
      <c r="Z230" s="19"/>
      <c r="AB230" s="19"/>
      <c r="AC230" s="20"/>
      <c r="AD230" s="26">
        <f t="shared" si="1"/>
        <v>0</v>
      </c>
      <c r="AE230" s="25">
        <f t="shared" si="2"/>
        <v>0</v>
      </c>
      <c r="AF230" s="25">
        <f t="shared" si="3"/>
        <v>0</v>
      </c>
      <c r="AG230" s="25">
        <f t="shared" si="4"/>
        <v>0</v>
      </c>
      <c r="AH230" s="27">
        <f t="shared" si="5"/>
        <v>0</v>
      </c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ht="15.75" customHeight="1">
      <c r="A231" s="23" t="s">
        <v>26</v>
      </c>
      <c r="B231" s="24">
        <f t="shared" si="6"/>
        <v>45520</v>
      </c>
      <c r="C231" s="25">
        <v>9.0</v>
      </c>
      <c r="D231" s="25" t="s">
        <v>22</v>
      </c>
      <c r="E231" s="22" t="s">
        <v>34</v>
      </c>
      <c r="F231" s="18">
        <v>0.0</v>
      </c>
      <c r="H231" s="19">
        <v>0.0</v>
      </c>
      <c r="J231" s="19">
        <v>0.0</v>
      </c>
      <c r="L231" s="19">
        <v>0.0</v>
      </c>
      <c r="N231" s="19">
        <v>0.0</v>
      </c>
      <c r="P231" s="19">
        <v>0.0</v>
      </c>
      <c r="Q231" s="20"/>
      <c r="R231" s="18"/>
      <c r="T231" s="19"/>
      <c r="V231" s="19"/>
      <c r="X231" s="19"/>
      <c r="Z231" s="19"/>
      <c r="AB231" s="19"/>
      <c r="AC231" s="20"/>
      <c r="AD231" s="26">
        <f t="shared" si="1"/>
        <v>0</v>
      </c>
      <c r="AE231" s="25">
        <f t="shared" si="2"/>
        <v>0</v>
      </c>
      <c r="AF231" s="25">
        <f t="shared" si="3"/>
        <v>0</v>
      </c>
      <c r="AG231" s="25">
        <f t="shared" si="4"/>
        <v>0</v>
      </c>
      <c r="AH231" s="27">
        <f t="shared" si="5"/>
        <v>0</v>
      </c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ht="15.75" customHeight="1">
      <c r="A232" s="23" t="s">
        <v>27</v>
      </c>
      <c r="B232" s="24">
        <f t="shared" si="6"/>
        <v>45521</v>
      </c>
      <c r="C232" s="25">
        <v>9.0</v>
      </c>
      <c r="D232" s="25" t="s">
        <v>22</v>
      </c>
      <c r="E232" s="22" t="s">
        <v>34</v>
      </c>
      <c r="F232" s="18">
        <v>0.0</v>
      </c>
      <c r="H232" s="19">
        <v>0.0</v>
      </c>
      <c r="J232" s="19">
        <v>0.0</v>
      </c>
      <c r="L232" s="19">
        <v>0.0</v>
      </c>
      <c r="N232" s="19">
        <v>0.0</v>
      </c>
      <c r="P232" s="19">
        <v>0.0</v>
      </c>
      <c r="Q232" s="20"/>
      <c r="R232" s="18"/>
      <c r="T232" s="19"/>
      <c r="V232" s="19"/>
      <c r="X232" s="19"/>
      <c r="Z232" s="19"/>
      <c r="AB232" s="19"/>
      <c r="AC232" s="20"/>
      <c r="AD232" s="26">
        <f t="shared" si="1"/>
        <v>0</v>
      </c>
      <c r="AE232" s="25">
        <f t="shared" si="2"/>
        <v>0</v>
      </c>
      <c r="AF232" s="25">
        <f t="shared" si="3"/>
        <v>0</v>
      </c>
      <c r="AG232" s="25">
        <f t="shared" si="4"/>
        <v>0</v>
      </c>
      <c r="AH232" s="27">
        <f t="shared" si="5"/>
        <v>0</v>
      </c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ht="15.75" customHeight="1">
      <c r="A233" s="28" t="s">
        <v>28</v>
      </c>
      <c r="B233" s="29">
        <f t="shared" si="6"/>
        <v>45522</v>
      </c>
      <c r="C233" s="30">
        <v>9.0</v>
      </c>
      <c r="D233" s="30" t="s">
        <v>22</v>
      </c>
      <c r="E233" s="31" t="s">
        <v>34</v>
      </c>
      <c r="F233" s="33">
        <v>0.0</v>
      </c>
      <c r="G233" s="7"/>
      <c r="H233" s="33">
        <v>0.0</v>
      </c>
      <c r="I233" s="7"/>
      <c r="J233" s="33">
        <v>0.0</v>
      </c>
      <c r="K233" s="7"/>
      <c r="L233" s="33">
        <v>0.0</v>
      </c>
      <c r="M233" s="7"/>
      <c r="N233" s="33">
        <v>0.0</v>
      </c>
      <c r="O233" s="7"/>
      <c r="P233" s="33">
        <v>0.0</v>
      </c>
      <c r="Q233" s="34"/>
      <c r="R233" s="32"/>
      <c r="S233" s="7"/>
      <c r="T233" s="33"/>
      <c r="U233" s="7"/>
      <c r="V233" s="33"/>
      <c r="W233" s="7"/>
      <c r="X233" s="33"/>
      <c r="Y233" s="7"/>
      <c r="Z233" s="33"/>
      <c r="AA233" s="7"/>
      <c r="AB233" s="33"/>
      <c r="AC233" s="34"/>
      <c r="AD233" s="35">
        <f t="shared" si="1"/>
        <v>0</v>
      </c>
      <c r="AE233" s="30">
        <f t="shared" si="2"/>
        <v>0</v>
      </c>
      <c r="AF233" s="30">
        <f t="shared" si="3"/>
        <v>0</v>
      </c>
      <c r="AG233" s="30">
        <f t="shared" si="4"/>
        <v>0</v>
      </c>
      <c r="AH233" s="36">
        <f t="shared" si="5"/>
        <v>0</v>
      </c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ht="15.75" customHeight="1">
      <c r="A234" s="14" t="s">
        <v>21</v>
      </c>
      <c r="B234" s="15">
        <f t="shared" si="6"/>
        <v>45523</v>
      </c>
      <c r="C234" s="16">
        <v>9.0</v>
      </c>
      <c r="D234" s="16" t="s">
        <v>29</v>
      </c>
      <c r="E234" s="17" t="s">
        <v>34</v>
      </c>
      <c r="F234" s="18">
        <v>0.0</v>
      </c>
      <c r="H234" s="19">
        <v>0.0</v>
      </c>
      <c r="J234" s="19">
        <v>0.0</v>
      </c>
      <c r="L234" s="19">
        <v>0.0</v>
      </c>
      <c r="N234" s="19">
        <v>0.0</v>
      </c>
      <c r="P234" s="19">
        <v>0.0</v>
      </c>
      <c r="Q234" s="20"/>
      <c r="R234" s="18"/>
      <c r="T234" s="19"/>
      <c r="V234" s="19"/>
      <c r="X234" s="19"/>
      <c r="Z234" s="19"/>
      <c r="AB234" s="19"/>
      <c r="AC234" s="20"/>
      <c r="AD234" s="21">
        <f t="shared" si="1"/>
        <v>0</v>
      </c>
      <c r="AE234" s="16">
        <f t="shared" si="2"/>
        <v>0</v>
      </c>
      <c r="AF234" s="16">
        <f t="shared" si="3"/>
        <v>0</v>
      </c>
      <c r="AG234" s="16">
        <f t="shared" si="4"/>
        <v>0</v>
      </c>
      <c r="AH234" s="37">
        <f t="shared" si="5"/>
        <v>0</v>
      </c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ht="15.75" customHeight="1">
      <c r="A235" s="23" t="s">
        <v>23</v>
      </c>
      <c r="B235" s="24">
        <f t="shared" si="6"/>
        <v>45524</v>
      </c>
      <c r="C235" s="25">
        <v>9.0</v>
      </c>
      <c r="D235" s="25" t="s">
        <v>29</v>
      </c>
      <c r="E235" s="22" t="s">
        <v>35</v>
      </c>
      <c r="F235" s="18">
        <v>0.0</v>
      </c>
      <c r="H235" s="19">
        <v>45.0</v>
      </c>
      <c r="J235" s="19">
        <v>45.0</v>
      </c>
      <c r="L235" s="19">
        <v>0.0</v>
      </c>
      <c r="N235" s="19">
        <v>45.0</v>
      </c>
      <c r="P235" s="19">
        <v>0.0</v>
      </c>
      <c r="Q235" s="20"/>
      <c r="R235" s="18"/>
      <c r="T235" s="19"/>
      <c r="V235" s="19"/>
      <c r="X235" s="19"/>
      <c r="Z235" s="19"/>
      <c r="AB235" s="19"/>
      <c r="AC235" s="20"/>
      <c r="AD235" s="26">
        <f t="shared" si="1"/>
        <v>2520</v>
      </c>
      <c r="AE235" s="25">
        <f t="shared" si="2"/>
        <v>90</v>
      </c>
      <c r="AF235" s="25">
        <f t="shared" si="3"/>
        <v>45</v>
      </c>
      <c r="AG235" s="25">
        <f t="shared" si="4"/>
        <v>135</v>
      </c>
      <c r="AH235" s="27">
        <f t="shared" si="5"/>
        <v>18.66666667</v>
      </c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ht="15.75" customHeight="1">
      <c r="A236" s="23" t="s">
        <v>24</v>
      </c>
      <c r="B236" s="24">
        <f t="shared" si="6"/>
        <v>45525</v>
      </c>
      <c r="C236" s="25">
        <v>9.0</v>
      </c>
      <c r="D236" s="25" t="s">
        <v>29</v>
      </c>
      <c r="E236" s="22" t="s">
        <v>35</v>
      </c>
      <c r="F236" s="18">
        <v>0.0</v>
      </c>
      <c r="H236" s="19">
        <v>45.0</v>
      </c>
      <c r="J236" s="19">
        <v>45.0</v>
      </c>
      <c r="L236" s="19">
        <v>0.0</v>
      </c>
      <c r="N236" s="19">
        <v>45.0</v>
      </c>
      <c r="P236" s="19">
        <v>0.0</v>
      </c>
      <c r="Q236" s="20"/>
      <c r="R236" s="18"/>
      <c r="T236" s="19"/>
      <c r="V236" s="19"/>
      <c r="X236" s="19"/>
      <c r="Z236" s="19"/>
      <c r="AB236" s="19"/>
      <c r="AC236" s="20"/>
      <c r="AD236" s="26">
        <f t="shared" si="1"/>
        <v>2520</v>
      </c>
      <c r="AE236" s="25">
        <f t="shared" si="2"/>
        <v>90</v>
      </c>
      <c r="AF236" s="25">
        <f t="shared" si="3"/>
        <v>45</v>
      </c>
      <c r="AG236" s="25">
        <f t="shared" si="4"/>
        <v>135</v>
      </c>
      <c r="AH236" s="27">
        <f t="shared" si="5"/>
        <v>18.66666667</v>
      </c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ht="15.75" customHeight="1">
      <c r="A237" s="23" t="s">
        <v>25</v>
      </c>
      <c r="B237" s="24">
        <f t="shared" si="6"/>
        <v>45526</v>
      </c>
      <c r="C237" s="25">
        <v>9.0</v>
      </c>
      <c r="D237" s="25" t="s">
        <v>29</v>
      </c>
      <c r="E237" s="22" t="s">
        <v>35</v>
      </c>
      <c r="F237" s="18">
        <v>0.0</v>
      </c>
      <c r="H237" s="19">
        <v>45.0</v>
      </c>
      <c r="J237" s="19">
        <v>45.0</v>
      </c>
      <c r="L237" s="19">
        <v>0.0</v>
      </c>
      <c r="N237" s="19">
        <v>45.0</v>
      </c>
      <c r="P237" s="19">
        <v>0.0</v>
      </c>
      <c r="Q237" s="20"/>
      <c r="R237" s="18"/>
      <c r="T237" s="19"/>
      <c r="V237" s="19"/>
      <c r="X237" s="19"/>
      <c r="Z237" s="19"/>
      <c r="AB237" s="19"/>
      <c r="AC237" s="20"/>
      <c r="AD237" s="26">
        <f t="shared" si="1"/>
        <v>2520</v>
      </c>
      <c r="AE237" s="25">
        <f t="shared" si="2"/>
        <v>90</v>
      </c>
      <c r="AF237" s="25">
        <f t="shared" si="3"/>
        <v>45</v>
      </c>
      <c r="AG237" s="25">
        <f t="shared" si="4"/>
        <v>135</v>
      </c>
      <c r="AH237" s="27">
        <f t="shared" si="5"/>
        <v>18.66666667</v>
      </c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ht="15.75" customHeight="1">
      <c r="A238" s="23" t="s">
        <v>26</v>
      </c>
      <c r="B238" s="24">
        <f t="shared" si="6"/>
        <v>45527</v>
      </c>
      <c r="C238" s="25">
        <v>9.0</v>
      </c>
      <c r="D238" s="25" t="s">
        <v>29</v>
      </c>
      <c r="E238" s="22" t="s">
        <v>35</v>
      </c>
      <c r="F238" s="18">
        <v>0.0</v>
      </c>
      <c r="H238" s="19">
        <v>45.0</v>
      </c>
      <c r="J238" s="19">
        <v>45.0</v>
      </c>
      <c r="L238" s="19">
        <v>0.0</v>
      </c>
      <c r="N238" s="19">
        <v>45.0</v>
      </c>
      <c r="P238" s="19">
        <v>0.0</v>
      </c>
      <c r="Q238" s="20"/>
      <c r="R238" s="18"/>
      <c r="T238" s="19"/>
      <c r="V238" s="19"/>
      <c r="X238" s="19"/>
      <c r="Z238" s="19"/>
      <c r="AB238" s="19"/>
      <c r="AC238" s="20"/>
      <c r="AD238" s="26">
        <f t="shared" si="1"/>
        <v>2520</v>
      </c>
      <c r="AE238" s="25">
        <f t="shared" si="2"/>
        <v>90</v>
      </c>
      <c r="AF238" s="25">
        <f t="shared" si="3"/>
        <v>45</v>
      </c>
      <c r="AG238" s="25">
        <f t="shared" si="4"/>
        <v>135</v>
      </c>
      <c r="AH238" s="27">
        <f t="shared" si="5"/>
        <v>18.66666667</v>
      </c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ht="15.75" customHeight="1">
      <c r="A239" s="23" t="s">
        <v>27</v>
      </c>
      <c r="B239" s="24">
        <f t="shared" si="6"/>
        <v>45528</v>
      </c>
      <c r="C239" s="25">
        <v>9.0</v>
      </c>
      <c r="D239" s="25" t="s">
        <v>29</v>
      </c>
      <c r="E239" s="22" t="s">
        <v>35</v>
      </c>
      <c r="F239" s="18">
        <v>0.0</v>
      </c>
      <c r="H239" s="19">
        <v>45.0</v>
      </c>
      <c r="J239" s="19">
        <v>45.0</v>
      </c>
      <c r="L239" s="19">
        <v>0.0</v>
      </c>
      <c r="N239" s="19">
        <v>45.0</v>
      </c>
      <c r="P239" s="19">
        <v>0.0</v>
      </c>
      <c r="Q239" s="20"/>
      <c r="R239" s="18"/>
      <c r="T239" s="19"/>
      <c r="V239" s="19"/>
      <c r="X239" s="19"/>
      <c r="Z239" s="19"/>
      <c r="AB239" s="19"/>
      <c r="AC239" s="20"/>
      <c r="AD239" s="26">
        <f t="shared" si="1"/>
        <v>2520</v>
      </c>
      <c r="AE239" s="25">
        <f t="shared" si="2"/>
        <v>90</v>
      </c>
      <c r="AF239" s="25">
        <f t="shared" si="3"/>
        <v>45</v>
      </c>
      <c r="AG239" s="25">
        <f t="shared" si="4"/>
        <v>135</v>
      </c>
      <c r="AH239" s="27">
        <f t="shared" si="5"/>
        <v>18.66666667</v>
      </c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ht="15.75" customHeight="1">
      <c r="A240" s="28" t="s">
        <v>28</v>
      </c>
      <c r="B240" s="29">
        <f t="shared" si="6"/>
        <v>45529</v>
      </c>
      <c r="C240" s="30">
        <v>9.0</v>
      </c>
      <c r="D240" s="30" t="s">
        <v>29</v>
      </c>
      <c r="E240" s="31" t="s">
        <v>33</v>
      </c>
      <c r="F240" s="33">
        <v>45.0</v>
      </c>
      <c r="G240" s="7"/>
      <c r="H240" s="33">
        <v>45.0</v>
      </c>
      <c r="I240" s="7"/>
      <c r="J240" s="33">
        <v>0.0</v>
      </c>
      <c r="K240" s="7"/>
      <c r="L240" s="33">
        <v>0.0</v>
      </c>
      <c r="M240" s="7"/>
      <c r="N240" s="33">
        <v>0.0</v>
      </c>
      <c r="O240" s="7"/>
      <c r="P240" s="33">
        <v>0.0</v>
      </c>
      <c r="Q240" s="34"/>
      <c r="R240" s="32"/>
      <c r="S240" s="7"/>
      <c r="T240" s="33"/>
      <c r="U240" s="7"/>
      <c r="V240" s="33"/>
      <c r="W240" s="7"/>
      <c r="X240" s="33"/>
      <c r="Y240" s="7"/>
      <c r="Z240" s="33"/>
      <c r="AA240" s="7"/>
      <c r="AB240" s="33"/>
      <c r="AC240" s="34"/>
      <c r="AD240" s="35">
        <f t="shared" si="1"/>
        <v>2160</v>
      </c>
      <c r="AE240" s="30">
        <f t="shared" si="2"/>
        <v>90</v>
      </c>
      <c r="AF240" s="30">
        <f t="shared" si="3"/>
        <v>0</v>
      </c>
      <c r="AG240" s="30">
        <f t="shared" si="4"/>
        <v>90</v>
      </c>
      <c r="AH240" s="36">
        <f t="shared" si="5"/>
        <v>24</v>
      </c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ht="15.75" customHeight="1">
      <c r="A241" s="14" t="s">
        <v>21</v>
      </c>
      <c r="B241" s="15">
        <f t="shared" si="6"/>
        <v>45530</v>
      </c>
      <c r="C241" s="16">
        <v>9.0</v>
      </c>
      <c r="D241" s="16" t="s">
        <v>30</v>
      </c>
      <c r="E241" s="17" t="s">
        <v>34</v>
      </c>
      <c r="F241" s="18">
        <v>0.0</v>
      </c>
      <c r="H241" s="19">
        <v>0.0</v>
      </c>
      <c r="J241" s="19">
        <v>0.0</v>
      </c>
      <c r="L241" s="19">
        <v>0.0</v>
      </c>
      <c r="N241" s="19">
        <v>0.0</v>
      </c>
      <c r="P241" s="19">
        <v>0.0</v>
      </c>
      <c r="Q241" s="20"/>
      <c r="R241" s="18"/>
      <c r="T241" s="19"/>
      <c r="V241" s="19"/>
      <c r="X241" s="19"/>
      <c r="Z241" s="19"/>
      <c r="AB241" s="19"/>
      <c r="AC241" s="20"/>
      <c r="AD241" s="21">
        <f t="shared" si="1"/>
        <v>0</v>
      </c>
      <c r="AE241" s="16">
        <f t="shared" si="2"/>
        <v>0</v>
      </c>
      <c r="AF241" s="16">
        <f t="shared" si="3"/>
        <v>0</v>
      </c>
      <c r="AG241" s="16">
        <f t="shared" si="4"/>
        <v>0</v>
      </c>
      <c r="AH241" s="37">
        <f t="shared" si="5"/>
        <v>0</v>
      </c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ht="15.75" customHeight="1">
      <c r="A242" s="23" t="s">
        <v>23</v>
      </c>
      <c r="B242" s="24">
        <f t="shared" si="6"/>
        <v>45531</v>
      </c>
      <c r="C242" s="25">
        <v>9.0</v>
      </c>
      <c r="D242" s="25" t="s">
        <v>30</v>
      </c>
      <c r="E242" s="22" t="s">
        <v>34</v>
      </c>
      <c r="F242" s="18">
        <v>0.0</v>
      </c>
      <c r="H242" s="19">
        <v>0.0</v>
      </c>
      <c r="J242" s="19">
        <v>0.0</v>
      </c>
      <c r="L242" s="19">
        <v>0.0</v>
      </c>
      <c r="N242" s="19">
        <v>0.0</v>
      </c>
      <c r="P242" s="19">
        <v>0.0</v>
      </c>
      <c r="Q242" s="20"/>
      <c r="R242" s="18"/>
      <c r="T242" s="19"/>
      <c r="V242" s="19"/>
      <c r="X242" s="19"/>
      <c r="Z242" s="19"/>
      <c r="AB242" s="19"/>
      <c r="AC242" s="20"/>
      <c r="AD242" s="26">
        <f t="shared" si="1"/>
        <v>0</v>
      </c>
      <c r="AE242" s="25">
        <f t="shared" si="2"/>
        <v>0</v>
      </c>
      <c r="AF242" s="25">
        <f t="shared" si="3"/>
        <v>0</v>
      </c>
      <c r="AG242" s="25">
        <f t="shared" si="4"/>
        <v>0</v>
      </c>
      <c r="AH242" s="27">
        <f t="shared" si="5"/>
        <v>0</v>
      </c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ht="15.75" customHeight="1">
      <c r="A243" s="23" t="s">
        <v>24</v>
      </c>
      <c r="B243" s="24">
        <f t="shared" si="6"/>
        <v>45532</v>
      </c>
      <c r="C243" s="25">
        <v>9.0</v>
      </c>
      <c r="D243" s="25" t="s">
        <v>30</v>
      </c>
      <c r="E243" s="22" t="s">
        <v>34</v>
      </c>
      <c r="F243" s="18">
        <v>0.0</v>
      </c>
      <c r="H243" s="19">
        <v>0.0</v>
      </c>
      <c r="J243" s="19">
        <v>0.0</v>
      </c>
      <c r="L243" s="19">
        <v>0.0</v>
      </c>
      <c r="N243" s="19">
        <v>0.0</v>
      </c>
      <c r="P243" s="19">
        <v>0.0</v>
      </c>
      <c r="Q243" s="20"/>
      <c r="R243" s="18"/>
      <c r="T243" s="19"/>
      <c r="V243" s="19"/>
      <c r="X243" s="19"/>
      <c r="Z243" s="19"/>
      <c r="AB243" s="19"/>
      <c r="AC243" s="20"/>
      <c r="AD243" s="26">
        <f t="shared" si="1"/>
        <v>0</v>
      </c>
      <c r="AE243" s="25">
        <f t="shared" si="2"/>
        <v>0</v>
      </c>
      <c r="AF243" s="25">
        <f t="shared" si="3"/>
        <v>0</v>
      </c>
      <c r="AG243" s="25">
        <f t="shared" si="4"/>
        <v>0</v>
      </c>
      <c r="AH243" s="27">
        <f t="shared" si="5"/>
        <v>0</v>
      </c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ht="15.75" customHeight="1">
      <c r="A244" s="23" t="s">
        <v>25</v>
      </c>
      <c r="B244" s="24">
        <f t="shared" si="6"/>
        <v>45533</v>
      </c>
      <c r="C244" s="25">
        <v>9.0</v>
      </c>
      <c r="D244" s="25" t="s">
        <v>30</v>
      </c>
      <c r="E244" s="22" t="s">
        <v>34</v>
      </c>
      <c r="F244" s="18">
        <v>0.0</v>
      </c>
      <c r="H244" s="19">
        <v>0.0</v>
      </c>
      <c r="J244" s="19">
        <v>0.0</v>
      </c>
      <c r="L244" s="19">
        <v>0.0</v>
      </c>
      <c r="N244" s="19">
        <v>0.0</v>
      </c>
      <c r="P244" s="19">
        <v>0.0</v>
      </c>
      <c r="Q244" s="20"/>
      <c r="R244" s="18"/>
      <c r="T244" s="19"/>
      <c r="V244" s="19"/>
      <c r="X244" s="19"/>
      <c r="Z244" s="19"/>
      <c r="AB244" s="19"/>
      <c r="AC244" s="20"/>
      <c r="AD244" s="26">
        <f t="shared" si="1"/>
        <v>0</v>
      </c>
      <c r="AE244" s="25">
        <f t="shared" si="2"/>
        <v>0</v>
      </c>
      <c r="AF244" s="25">
        <f t="shared" si="3"/>
        <v>0</v>
      </c>
      <c r="AG244" s="25">
        <f t="shared" si="4"/>
        <v>0</v>
      </c>
      <c r="AH244" s="27">
        <f t="shared" si="5"/>
        <v>0</v>
      </c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ht="15.75" customHeight="1">
      <c r="A245" s="23" t="s">
        <v>26</v>
      </c>
      <c r="B245" s="24">
        <f t="shared" si="6"/>
        <v>45534</v>
      </c>
      <c r="C245" s="25">
        <v>9.0</v>
      </c>
      <c r="D245" s="25" t="s">
        <v>30</v>
      </c>
      <c r="E245" s="22" t="s">
        <v>34</v>
      </c>
      <c r="F245" s="18">
        <v>0.0</v>
      </c>
      <c r="H245" s="19">
        <v>0.0</v>
      </c>
      <c r="J245" s="19">
        <v>0.0</v>
      </c>
      <c r="L245" s="19">
        <v>0.0</v>
      </c>
      <c r="N245" s="19">
        <v>0.0</v>
      </c>
      <c r="P245" s="19">
        <v>0.0</v>
      </c>
      <c r="Q245" s="20"/>
      <c r="R245" s="18"/>
      <c r="T245" s="19"/>
      <c r="V245" s="19"/>
      <c r="X245" s="19"/>
      <c r="Z245" s="19"/>
      <c r="AB245" s="19"/>
      <c r="AC245" s="20"/>
      <c r="AD245" s="26">
        <f t="shared" si="1"/>
        <v>0</v>
      </c>
      <c r="AE245" s="25">
        <f t="shared" si="2"/>
        <v>0</v>
      </c>
      <c r="AF245" s="25">
        <f t="shared" si="3"/>
        <v>0</v>
      </c>
      <c r="AG245" s="25">
        <f t="shared" si="4"/>
        <v>0</v>
      </c>
      <c r="AH245" s="27">
        <f t="shared" si="5"/>
        <v>0</v>
      </c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ht="15.75" customHeight="1">
      <c r="A246" s="23" t="s">
        <v>27</v>
      </c>
      <c r="B246" s="24">
        <f t="shared" si="6"/>
        <v>45535</v>
      </c>
      <c r="C246" s="25">
        <v>9.0</v>
      </c>
      <c r="D246" s="25" t="s">
        <v>30</v>
      </c>
      <c r="E246" s="22" t="s">
        <v>34</v>
      </c>
      <c r="F246" s="18">
        <v>0.0</v>
      </c>
      <c r="H246" s="19">
        <v>0.0</v>
      </c>
      <c r="J246" s="19">
        <v>0.0</v>
      </c>
      <c r="L246" s="19">
        <v>0.0</v>
      </c>
      <c r="N246" s="19">
        <v>0.0</v>
      </c>
      <c r="P246" s="19">
        <v>0.0</v>
      </c>
      <c r="Q246" s="20"/>
      <c r="R246" s="18"/>
      <c r="T246" s="19"/>
      <c r="V246" s="19"/>
      <c r="X246" s="19"/>
      <c r="Z246" s="19"/>
      <c r="AB246" s="19"/>
      <c r="AC246" s="20"/>
      <c r="AD246" s="26">
        <f t="shared" si="1"/>
        <v>0</v>
      </c>
      <c r="AE246" s="25">
        <f t="shared" si="2"/>
        <v>0</v>
      </c>
      <c r="AF246" s="25">
        <f t="shared" si="3"/>
        <v>0</v>
      </c>
      <c r="AG246" s="25">
        <f t="shared" si="4"/>
        <v>0</v>
      </c>
      <c r="AH246" s="27">
        <f t="shared" si="5"/>
        <v>0</v>
      </c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ht="15.75" customHeight="1">
      <c r="A247" s="28" t="s">
        <v>28</v>
      </c>
      <c r="B247" s="29">
        <f t="shared" si="6"/>
        <v>45536</v>
      </c>
      <c r="C247" s="30">
        <v>9.0</v>
      </c>
      <c r="D247" s="30" t="s">
        <v>30</v>
      </c>
      <c r="E247" s="31" t="s">
        <v>34</v>
      </c>
      <c r="F247" s="33">
        <v>0.0</v>
      </c>
      <c r="G247" s="7"/>
      <c r="H247" s="33">
        <v>0.0</v>
      </c>
      <c r="I247" s="7"/>
      <c r="J247" s="33">
        <v>0.0</v>
      </c>
      <c r="K247" s="7"/>
      <c r="L247" s="33">
        <v>0.0</v>
      </c>
      <c r="M247" s="7"/>
      <c r="N247" s="33">
        <v>0.0</v>
      </c>
      <c r="O247" s="7"/>
      <c r="P247" s="33">
        <v>0.0</v>
      </c>
      <c r="Q247" s="34"/>
      <c r="R247" s="32"/>
      <c r="S247" s="7"/>
      <c r="T247" s="33"/>
      <c r="U247" s="7"/>
      <c r="V247" s="33"/>
      <c r="W247" s="7"/>
      <c r="X247" s="33"/>
      <c r="Y247" s="7"/>
      <c r="Z247" s="33"/>
      <c r="AA247" s="7"/>
      <c r="AB247" s="33"/>
      <c r="AC247" s="34"/>
      <c r="AD247" s="35">
        <f t="shared" si="1"/>
        <v>0</v>
      </c>
      <c r="AE247" s="30">
        <f t="shared" si="2"/>
        <v>0</v>
      </c>
      <c r="AF247" s="30">
        <f t="shared" si="3"/>
        <v>0</v>
      </c>
      <c r="AG247" s="30">
        <f t="shared" si="4"/>
        <v>0</v>
      </c>
      <c r="AH247" s="36">
        <f t="shared" si="5"/>
        <v>0</v>
      </c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ht="15.75" customHeight="1">
      <c r="A248" s="14" t="s">
        <v>21</v>
      </c>
      <c r="B248" s="15">
        <f t="shared" si="6"/>
        <v>45537</v>
      </c>
      <c r="C248" s="16">
        <v>9.0</v>
      </c>
      <c r="D248" s="16" t="s">
        <v>31</v>
      </c>
      <c r="E248" s="17" t="s">
        <v>34</v>
      </c>
      <c r="F248" s="18">
        <v>0.0</v>
      </c>
      <c r="H248" s="19">
        <v>0.0</v>
      </c>
      <c r="J248" s="19">
        <v>0.0</v>
      </c>
      <c r="L248" s="19">
        <v>0.0</v>
      </c>
      <c r="N248" s="19">
        <v>0.0</v>
      </c>
      <c r="P248" s="19">
        <v>0.0</v>
      </c>
      <c r="Q248" s="20"/>
      <c r="R248" s="18"/>
      <c r="T248" s="19"/>
      <c r="V248" s="19"/>
      <c r="X248" s="19"/>
      <c r="Z248" s="19"/>
      <c r="AB248" s="19"/>
      <c r="AC248" s="20"/>
      <c r="AD248" s="21">
        <f t="shared" si="1"/>
        <v>0</v>
      </c>
      <c r="AE248" s="16">
        <f t="shared" si="2"/>
        <v>0</v>
      </c>
      <c r="AF248" s="16">
        <f t="shared" si="3"/>
        <v>0</v>
      </c>
      <c r="AG248" s="16">
        <f t="shared" si="4"/>
        <v>0</v>
      </c>
      <c r="AH248" s="37">
        <f t="shared" si="5"/>
        <v>0</v>
      </c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ht="15.75" customHeight="1">
      <c r="A249" s="23" t="s">
        <v>23</v>
      </c>
      <c r="B249" s="24">
        <f t="shared" si="6"/>
        <v>45538</v>
      </c>
      <c r="C249" s="25">
        <v>9.0</v>
      </c>
      <c r="D249" s="25" t="s">
        <v>31</v>
      </c>
      <c r="E249" s="22" t="s">
        <v>35</v>
      </c>
      <c r="F249" s="18">
        <v>0.0</v>
      </c>
      <c r="H249" s="19">
        <v>45.0</v>
      </c>
      <c r="J249" s="19">
        <v>45.0</v>
      </c>
      <c r="L249" s="19">
        <v>0.0</v>
      </c>
      <c r="N249" s="19">
        <v>45.0</v>
      </c>
      <c r="P249" s="19">
        <v>0.0</v>
      </c>
      <c r="Q249" s="20"/>
      <c r="R249" s="18"/>
      <c r="T249" s="19"/>
      <c r="V249" s="19"/>
      <c r="X249" s="19"/>
      <c r="Z249" s="19"/>
      <c r="AB249" s="19"/>
      <c r="AC249" s="20"/>
      <c r="AD249" s="26">
        <f t="shared" si="1"/>
        <v>2520</v>
      </c>
      <c r="AE249" s="25">
        <f t="shared" si="2"/>
        <v>90</v>
      </c>
      <c r="AF249" s="25">
        <f t="shared" si="3"/>
        <v>45</v>
      </c>
      <c r="AG249" s="25">
        <f t="shared" si="4"/>
        <v>135</v>
      </c>
      <c r="AH249" s="27">
        <f t="shared" si="5"/>
        <v>18.66666667</v>
      </c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ht="15.75" customHeight="1">
      <c r="A250" s="23" t="s">
        <v>24</v>
      </c>
      <c r="B250" s="24">
        <f t="shared" si="6"/>
        <v>45539</v>
      </c>
      <c r="C250" s="25">
        <v>9.0</v>
      </c>
      <c r="D250" s="25" t="s">
        <v>31</v>
      </c>
      <c r="E250" s="22" t="s">
        <v>35</v>
      </c>
      <c r="F250" s="18">
        <v>0.0</v>
      </c>
      <c r="H250" s="19">
        <v>45.0</v>
      </c>
      <c r="J250" s="19">
        <v>45.0</v>
      </c>
      <c r="L250" s="19">
        <v>0.0</v>
      </c>
      <c r="N250" s="19">
        <v>45.0</v>
      </c>
      <c r="P250" s="19">
        <v>0.0</v>
      </c>
      <c r="Q250" s="20"/>
      <c r="R250" s="18"/>
      <c r="T250" s="19"/>
      <c r="V250" s="19"/>
      <c r="X250" s="19"/>
      <c r="Z250" s="19"/>
      <c r="AB250" s="19"/>
      <c r="AC250" s="20"/>
      <c r="AD250" s="26">
        <f t="shared" si="1"/>
        <v>2520</v>
      </c>
      <c r="AE250" s="25">
        <f t="shared" si="2"/>
        <v>90</v>
      </c>
      <c r="AF250" s="25">
        <f t="shared" si="3"/>
        <v>45</v>
      </c>
      <c r="AG250" s="25">
        <f t="shared" si="4"/>
        <v>135</v>
      </c>
      <c r="AH250" s="27">
        <f t="shared" si="5"/>
        <v>18.66666667</v>
      </c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ht="15.75" customHeight="1">
      <c r="A251" s="23" t="s">
        <v>25</v>
      </c>
      <c r="B251" s="24">
        <f t="shared" si="6"/>
        <v>45540</v>
      </c>
      <c r="C251" s="25">
        <v>9.0</v>
      </c>
      <c r="D251" s="25" t="s">
        <v>31</v>
      </c>
      <c r="E251" s="22" t="s">
        <v>35</v>
      </c>
      <c r="F251" s="18">
        <v>0.0</v>
      </c>
      <c r="H251" s="19">
        <v>45.0</v>
      </c>
      <c r="J251" s="19">
        <v>45.0</v>
      </c>
      <c r="L251" s="19">
        <v>0.0</v>
      </c>
      <c r="N251" s="19">
        <v>45.0</v>
      </c>
      <c r="P251" s="19">
        <v>0.0</v>
      </c>
      <c r="Q251" s="20"/>
      <c r="R251" s="18"/>
      <c r="T251" s="19"/>
      <c r="V251" s="19"/>
      <c r="X251" s="19"/>
      <c r="Z251" s="19"/>
      <c r="AB251" s="19"/>
      <c r="AC251" s="20"/>
      <c r="AD251" s="26">
        <f t="shared" si="1"/>
        <v>2520</v>
      </c>
      <c r="AE251" s="25">
        <f t="shared" si="2"/>
        <v>90</v>
      </c>
      <c r="AF251" s="25">
        <f t="shared" si="3"/>
        <v>45</v>
      </c>
      <c r="AG251" s="25">
        <f t="shared" si="4"/>
        <v>135</v>
      </c>
      <c r="AH251" s="27">
        <f t="shared" si="5"/>
        <v>18.66666667</v>
      </c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ht="15.75" customHeight="1">
      <c r="A252" s="23" t="s">
        <v>26</v>
      </c>
      <c r="B252" s="24">
        <f t="shared" si="6"/>
        <v>45541</v>
      </c>
      <c r="C252" s="25">
        <v>9.0</v>
      </c>
      <c r="D252" s="25" t="s">
        <v>31</v>
      </c>
      <c r="E252" s="22" t="s">
        <v>35</v>
      </c>
      <c r="F252" s="18">
        <v>0.0</v>
      </c>
      <c r="H252" s="19">
        <v>45.0</v>
      </c>
      <c r="J252" s="19">
        <v>45.0</v>
      </c>
      <c r="L252" s="19">
        <v>0.0</v>
      </c>
      <c r="N252" s="19">
        <v>45.0</v>
      </c>
      <c r="P252" s="19">
        <v>0.0</v>
      </c>
      <c r="Q252" s="20"/>
      <c r="R252" s="18"/>
      <c r="T252" s="19"/>
      <c r="V252" s="19"/>
      <c r="X252" s="19"/>
      <c r="Z252" s="19"/>
      <c r="AB252" s="19"/>
      <c r="AC252" s="20"/>
      <c r="AD252" s="26">
        <f t="shared" si="1"/>
        <v>2520</v>
      </c>
      <c r="AE252" s="25">
        <f t="shared" si="2"/>
        <v>90</v>
      </c>
      <c r="AF252" s="25">
        <f t="shared" si="3"/>
        <v>45</v>
      </c>
      <c r="AG252" s="25">
        <f t="shared" si="4"/>
        <v>135</v>
      </c>
      <c r="AH252" s="27">
        <f t="shared" si="5"/>
        <v>18.66666667</v>
      </c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ht="15.75" customHeight="1">
      <c r="A253" s="23" t="s">
        <v>27</v>
      </c>
      <c r="B253" s="24">
        <f t="shared" si="6"/>
        <v>45542</v>
      </c>
      <c r="C253" s="25">
        <v>9.0</v>
      </c>
      <c r="D253" s="25" t="s">
        <v>31</v>
      </c>
      <c r="E253" s="22" t="s">
        <v>35</v>
      </c>
      <c r="F253" s="18">
        <v>0.0</v>
      </c>
      <c r="H253" s="19">
        <v>45.0</v>
      </c>
      <c r="J253" s="19">
        <v>45.0</v>
      </c>
      <c r="L253" s="19">
        <v>0.0</v>
      </c>
      <c r="N253" s="19">
        <v>45.0</v>
      </c>
      <c r="P253" s="19">
        <v>0.0</v>
      </c>
      <c r="Q253" s="20"/>
      <c r="R253" s="18"/>
      <c r="T253" s="19"/>
      <c r="V253" s="19"/>
      <c r="X253" s="19"/>
      <c r="Z253" s="19"/>
      <c r="AB253" s="19"/>
      <c r="AC253" s="20"/>
      <c r="AD253" s="26">
        <f t="shared" si="1"/>
        <v>2520</v>
      </c>
      <c r="AE253" s="25">
        <f t="shared" si="2"/>
        <v>90</v>
      </c>
      <c r="AF253" s="25">
        <f t="shared" si="3"/>
        <v>45</v>
      </c>
      <c r="AG253" s="25">
        <f t="shared" si="4"/>
        <v>135</v>
      </c>
      <c r="AH253" s="27">
        <f t="shared" si="5"/>
        <v>18.66666667</v>
      </c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ht="15.75" customHeight="1">
      <c r="A254" s="28" t="s">
        <v>28</v>
      </c>
      <c r="B254" s="29">
        <f t="shared" si="6"/>
        <v>45543</v>
      </c>
      <c r="C254" s="30">
        <v>9.0</v>
      </c>
      <c r="D254" s="30" t="s">
        <v>31</v>
      </c>
      <c r="E254" s="31" t="s">
        <v>33</v>
      </c>
      <c r="F254" s="33">
        <v>45.0</v>
      </c>
      <c r="G254" s="7"/>
      <c r="H254" s="33">
        <v>45.0</v>
      </c>
      <c r="I254" s="7"/>
      <c r="J254" s="33">
        <v>0.0</v>
      </c>
      <c r="K254" s="7"/>
      <c r="L254" s="33">
        <v>0.0</v>
      </c>
      <c r="M254" s="7"/>
      <c r="N254" s="33">
        <v>0.0</v>
      </c>
      <c r="O254" s="7"/>
      <c r="P254" s="33">
        <v>0.0</v>
      </c>
      <c r="Q254" s="34"/>
      <c r="R254" s="32"/>
      <c r="S254" s="7"/>
      <c r="T254" s="33"/>
      <c r="U254" s="7"/>
      <c r="V254" s="33"/>
      <c r="W254" s="7"/>
      <c r="X254" s="33"/>
      <c r="Y254" s="7"/>
      <c r="Z254" s="33"/>
      <c r="AA254" s="7"/>
      <c r="AB254" s="33"/>
      <c r="AC254" s="34"/>
      <c r="AD254" s="35">
        <f t="shared" si="1"/>
        <v>2160</v>
      </c>
      <c r="AE254" s="30">
        <f t="shared" si="2"/>
        <v>90</v>
      </c>
      <c r="AF254" s="30">
        <f t="shared" si="3"/>
        <v>0</v>
      </c>
      <c r="AG254" s="30">
        <f t="shared" si="4"/>
        <v>90</v>
      </c>
      <c r="AH254" s="36">
        <f t="shared" si="5"/>
        <v>24</v>
      </c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ht="15.75" customHeight="1">
      <c r="A255" s="14" t="s">
        <v>21</v>
      </c>
      <c r="B255" s="15">
        <f t="shared" si="6"/>
        <v>45544</v>
      </c>
      <c r="C255" s="16">
        <v>10.0</v>
      </c>
      <c r="D255" s="16" t="s">
        <v>22</v>
      </c>
      <c r="E255" s="17" t="s">
        <v>34</v>
      </c>
      <c r="F255" s="18">
        <v>0.0</v>
      </c>
      <c r="H255" s="19">
        <v>0.0</v>
      </c>
      <c r="J255" s="19">
        <v>0.0</v>
      </c>
      <c r="L255" s="19">
        <v>0.0</v>
      </c>
      <c r="N255" s="19">
        <v>0.0</v>
      </c>
      <c r="P255" s="19">
        <v>0.0</v>
      </c>
      <c r="Q255" s="20"/>
      <c r="R255" s="18"/>
      <c r="T255" s="19"/>
      <c r="V255" s="19"/>
      <c r="X255" s="19"/>
      <c r="Z255" s="19"/>
      <c r="AB255" s="19"/>
      <c r="AC255" s="20"/>
      <c r="AD255" s="21">
        <f t="shared" si="1"/>
        <v>0</v>
      </c>
      <c r="AE255" s="16">
        <f t="shared" si="2"/>
        <v>0</v>
      </c>
      <c r="AF255" s="16">
        <f t="shared" si="3"/>
        <v>0</v>
      </c>
      <c r="AG255" s="16">
        <f t="shared" si="4"/>
        <v>0</v>
      </c>
      <c r="AH255" s="37">
        <f t="shared" si="5"/>
        <v>0</v>
      </c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ht="15.75" customHeight="1">
      <c r="A256" s="23" t="s">
        <v>23</v>
      </c>
      <c r="B256" s="24">
        <f t="shared" si="6"/>
        <v>45545</v>
      </c>
      <c r="C256" s="25">
        <v>10.0</v>
      </c>
      <c r="D256" s="25" t="s">
        <v>22</v>
      </c>
      <c r="E256" s="22" t="s">
        <v>34</v>
      </c>
      <c r="F256" s="18">
        <v>0.0</v>
      </c>
      <c r="H256" s="19">
        <v>0.0</v>
      </c>
      <c r="J256" s="19">
        <v>0.0</v>
      </c>
      <c r="L256" s="19">
        <v>0.0</v>
      </c>
      <c r="N256" s="19">
        <v>0.0</v>
      </c>
      <c r="P256" s="19">
        <v>0.0</v>
      </c>
      <c r="Q256" s="20"/>
      <c r="R256" s="18"/>
      <c r="T256" s="19"/>
      <c r="V256" s="19"/>
      <c r="X256" s="19"/>
      <c r="Z256" s="19"/>
      <c r="AB256" s="19"/>
      <c r="AC256" s="20"/>
      <c r="AD256" s="26">
        <f t="shared" si="1"/>
        <v>0</v>
      </c>
      <c r="AE256" s="25">
        <f t="shared" si="2"/>
        <v>0</v>
      </c>
      <c r="AF256" s="25">
        <f t="shared" si="3"/>
        <v>0</v>
      </c>
      <c r="AG256" s="25">
        <f t="shared" si="4"/>
        <v>0</v>
      </c>
      <c r="AH256" s="27">
        <f t="shared" si="5"/>
        <v>0</v>
      </c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ht="15.75" customHeight="1">
      <c r="A257" s="23" t="s">
        <v>24</v>
      </c>
      <c r="B257" s="24">
        <f t="shared" si="6"/>
        <v>45546</v>
      </c>
      <c r="C257" s="25">
        <v>10.0</v>
      </c>
      <c r="D257" s="25" t="s">
        <v>22</v>
      </c>
      <c r="E257" s="22" t="s">
        <v>34</v>
      </c>
      <c r="F257" s="18">
        <v>0.0</v>
      </c>
      <c r="H257" s="19">
        <v>0.0</v>
      </c>
      <c r="J257" s="19">
        <v>0.0</v>
      </c>
      <c r="L257" s="19">
        <v>0.0</v>
      </c>
      <c r="N257" s="19">
        <v>0.0</v>
      </c>
      <c r="P257" s="19">
        <v>0.0</v>
      </c>
      <c r="Q257" s="20"/>
      <c r="R257" s="18"/>
      <c r="T257" s="19"/>
      <c r="V257" s="19"/>
      <c r="X257" s="19"/>
      <c r="Z257" s="19"/>
      <c r="AB257" s="19"/>
      <c r="AC257" s="20"/>
      <c r="AD257" s="26">
        <f t="shared" si="1"/>
        <v>0</v>
      </c>
      <c r="AE257" s="25">
        <f t="shared" si="2"/>
        <v>0</v>
      </c>
      <c r="AF257" s="25">
        <f t="shared" si="3"/>
        <v>0</v>
      </c>
      <c r="AG257" s="25">
        <f t="shared" si="4"/>
        <v>0</v>
      </c>
      <c r="AH257" s="27">
        <f t="shared" si="5"/>
        <v>0</v>
      </c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ht="15.75" customHeight="1">
      <c r="A258" s="23" t="s">
        <v>25</v>
      </c>
      <c r="B258" s="24">
        <f t="shared" si="6"/>
        <v>45547</v>
      </c>
      <c r="C258" s="25">
        <v>10.0</v>
      </c>
      <c r="D258" s="25" t="s">
        <v>22</v>
      </c>
      <c r="E258" s="22" t="s">
        <v>34</v>
      </c>
      <c r="F258" s="18">
        <v>0.0</v>
      </c>
      <c r="H258" s="19">
        <v>0.0</v>
      </c>
      <c r="J258" s="19">
        <v>0.0</v>
      </c>
      <c r="L258" s="19">
        <v>0.0</v>
      </c>
      <c r="N258" s="19">
        <v>0.0</v>
      </c>
      <c r="P258" s="19">
        <v>0.0</v>
      </c>
      <c r="Q258" s="20"/>
      <c r="R258" s="18"/>
      <c r="T258" s="19"/>
      <c r="V258" s="19"/>
      <c r="X258" s="19"/>
      <c r="Z258" s="19"/>
      <c r="AB258" s="19"/>
      <c r="AC258" s="20"/>
      <c r="AD258" s="26">
        <f t="shared" si="1"/>
        <v>0</v>
      </c>
      <c r="AE258" s="25">
        <f t="shared" si="2"/>
        <v>0</v>
      </c>
      <c r="AF258" s="25">
        <f t="shared" si="3"/>
        <v>0</v>
      </c>
      <c r="AG258" s="25">
        <f t="shared" si="4"/>
        <v>0</v>
      </c>
      <c r="AH258" s="27">
        <f t="shared" si="5"/>
        <v>0</v>
      </c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ht="15.75" customHeight="1">
      <c r="A259" s="23" t="s">
        <v>26</v>
      </c>
      <c r="B259" s="24">
        <f t="shared" si="6"/>
        <v>45548</v>
      </c>
      <c r="C259" s="25">
        <v>10.0</v>
      </c>
      <c r="D259" s="25" t="s">
        <v>22</v>
      </c>
      <c r="E259" s="22" t="s">
        <v>34</v>
      </c>
      <c r="F259" s="18">
        <v>0.0</v>
      </c>
      <c r="H259" s="19">
        <v>0.0</v>
      </c>
      <c r="J259" s="19">
        <v>0.0</v>
      </c>
      <c r="L259" s="19">
        <v>0.0</v>
      </c>
      <c r="N259" s="19">
        <v>0.0</v>
      </c>
      <c r="P259" s="19">
        <v>0.0</v>
      </c>
      <c r="Q259" s="20"/>
      <c r="R259" s="18"/>
      <c r="T259" s="19"/>
      <c r="V259" s="19"/>
      <c r="X259" s="19"/>
      <c r="Z259" s="19"/>
      <c r="AB259" s="19"/>
      <c r="AC259" s="20"/>
      <c r="AD259" s="26">
        <f t="shared" si="1"/>
        <v>0</v>
      </c>
      <c r="AE259" s="25">
        <f t="shared" si="2"/>
        <v>0</v>
      </c>
      <c r="AF259" s="25">
        <f t="shared" si="3"/>
        <v>0</v>
      </c>
      <c r="AG259" s="25">
        <f t="shared" si="4"/>
        <v>0</v>
      </c>
      <c r="AH259" s="27">
        <f t="shared" si="5"/>
        <v>0</v>
      </c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ht="15.75" customHeight="1">
      <c r="A260" s="23" t="s">
        <v>27</v>
      </c>
      <c r="B260" s="24">
        <f t="shared" si="6"/>
        <v>45549</v>
      </c>
      <c r="C260" s="25">
        <v>10.0</v>
      </c>
      <c r="D260" s="25" t="s">
        <v>22</v>
      </c>
      <c r="E260" s="22" t="s">
        <v>34</v>
      </c>
      <c r="F260" s="18">
        <v>0.0</v>
      </c>
      <c r="H260" s="19">
        <v>0.0</v>
      </c>
      <c r="J260" s="19">
        <v>0.0</v>
      </c>
      <c r="L260" s="19">
        <v>0.0</v>
      </c>
      <c r="N260" s="19">
        <v>0.0</v>
      </c>
      <c r="P260" s="19">
        <v>0.0</v>
      </c>
      <c r="Q260" s="20"/>
      <c r="R260" s="18"/>
      <c r="T260" s="19"/>
      <c r="V260" s="19"/>
      <c r="X260" s="19"/>
      <c r="Z260" s="19"/>
      <c r="AB260" s="19"/>
      <c r="AC260" s="20"/>
      <c r="AD260" s="26">
        <f t="shared" si="1"/>
        <v>0</v>
      </c>
      <c r="AE260" s="25">
        <f t="shared" si="2"/>
        <v>0</v>
      </c>
      <c r="AF260" s="25">
        <f t="shared" si="3"/>
        <v>0</v>
      </c>
      <c r="AG260" s="25">
        <f t="shared" si="4"/>
        <v>0</v>
      </c>
      <c r="AH260" s="27">
        <f t="shared" si="5"/>
        <v>0</v>
      </c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ht="15.75" customHeight="1">
      <c r="A261" s="28" t="s">
        <v>28</v>
      </c>
      <c r="B261" s="29">
        <f t="shared" si="6"/>
        <v>45550</v>
      </c>
      <c r="C261" s="30">
        <v>10.0</v>
      </c>
      <c r="D261" s="30" t="s">
        <v>22</v>
      </c>
      <c r="E261" s="31" t="s">
        <v>34</v>
      </c>
      <c r="F261" s="33">
        <v>0.0</v>
      </c>
      <c r="G261" s="7"/>
      <c r="H261" s="33">
        <v>0.0</v>
      </c>
      <c r="I261" s="7"/>
      <c r="J261" s="33">
        <v>0.0</v>
      </c>
      <c r="K261" s="7"/>
      <c r="L261" s="33">
        <v>0.0</v>
      </c>
      <c r="M261" s="7"/>
      <c r="N261" s="33">
        <v>0.0</v>
      </c>
      <c r="O261" s="7"/>
      <c r="P261" s="33">
        <v>0.0</v>
      </c>
      <c r="Q261" s="34"/>
      <c r="R261" s="32"/>
      <c r="S261" s="7"/>
      <c r="T261" s="33"/>
      <c r="U261" s="7"/>
      <c r="V261" s="33"/>
      <c r="W261" s="7"/>
      <c r="X261" s="33"/>
      <c r="Y261" s="7"/>
      <c r="Z261" s="33"/>
      <c r="AA261" s="7"/>
      <c r="AB261" s="33"/>
      <c r="AC261" s="34"/>
      <c r="AD261" s="35">
        <f t="shared" si="1"/>
        <v>0</v>
      </c>
      <c r="AE261" s="30">
        <f t="shared" si="2"/>
        <v>0</v>
      </c>
      <c r="AF261" s="30">
        <f t="shared" si="3"/>
        <v>0</v>
      </c>
      <c r="AG261" s="30">
        <f t="shared" si="4"/>
        <v>0</v>
      </c>
      <c r="AH261" s="36">
        <f t="shared" si="5"/>
        <v>0</v>
      </c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ht="15.75" customHeight="1">
      <c r="A262" s="14" t="s">
        <v>21</v>
      </c>
      <c r="B262" s="15">
        <f t="shared" si="6"/>
        <v>45551</v>
      </c>
      <c r="C262" s="16">
        <v>10.0</v>
      </c>
      <c r="D262" s="16" t="s">
        <v>29</v>
      </c>
      <c r="E262" s="17" t="s">
        <v>34</v>
      </c>
      <c r="F262" s="18">
        <v>0.0</v>
      </c>
      <c r="H262" s="19">
        <v>0.0</v>
      </c>
      <c r="J262" s="19">
        <v>0.0</v>
      </c>
      <c r="L262" s="19">
        <v>0.0</v>
      </c>
      <c r="N262" s="19">
        <v>0.0</v>
      </c>
      <c r="P262" s="19">
        <v>0.0</v>
      </c>
      <c r="Q262" s="20"/>
      <c r="R262" s="18"/>
      <c r="T262" s="19"/>
      <c r="V262" s="19"/>
      <c r="X262" s="19"/>
      <c r="Z262" s="19"/>
      <c r="AB262" s="19"/>
      <c r="AC262" s="20"/>
      <c r="AD262" s="21">
        <f t="shared" si="1"/>
        <v>0</v>
      </c>
      <c r="AE262" s="16">
        <f t="shared" si="2"/>
        <v>0</v>
      </c>
      <c r="AF262" s="16">
        <f t="shared" si="3"/>
        <v>0</v>
      </c>
      <c r="AG262" s="16">
        <f t="shared" si="4"/>
        <v>0</v>
      </c>
      <c r="AH262" s="37">
        <f t="shared" si="5"/>
        <v>0</v>
      </c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ht="15.75" customHeight="1">
      <c r="A263" s="23" t="s">
        <v>23</v>
      </c>
      <c r="B263" s="24">
        <f t="shared" si="6"/>
        <v>45552</v>
      </c>
      <c r="C263" s="25">
        <v>10.0</v>
      </c>
      <c r="D263" s="25" t="s">
        <v>29</v>
      </c>
      <c r="E263" s="22" t="s">
        <v>35</v>
      </c>
      <c r="F263" s="18">
        <v>0.0</v>
      </c>
      <c r="H263" s="19">
        <v>45.0</v>
      </c>
      <c r="J263" s="19">
        <v>45.0</v>
      </c>
      <c r="L263" s="19">
        <v>0.0</v>
      </c>
      <c r="N263" s="19">
        <v>45.0</v>
      </c>
      <c r="P263" s="19">
        <v>0.0</v>
      </c>
      <c r="Q263" s="20"/>
      <c r="R263" s="18"/>
      <c r="T263" s="19"/>
      <c r="V263" s="19"/>
      <c r="X263" s="19"/>
      <c r="Z263" s="19"/>
      <c r="AB263" s="19"/>
      <c r="AC263" s="20"/>
      <c r="AD263" s="26">
        <f t="shared" si="1"/>
        <v>2520</v>
      </c>
      <c r="AE263" s="25">
        <f t="shared" si="2"/>
        <v>90</v>
      </c>
      <c r="AF263" s="25">
        <f t="shared" si="3"/>
        <v>45</v>
      </c>
      <c r="AG263" s="25">
        <f t="shared" si="4"/>
        <v>135</v>
      </c>
      <c r="AH263" s="27">
        <f t="shared" si="5"/>
        <v>18.66666667</v>
      </c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ht="15.75" customHeight="1">
      <c r="A264" s="23" t="s">
        <v>24</v>
      </c>
      <c r="B264" s="24">
        <f t="shared" si="6"/>
        <v>45553</v>
      </c>
      <c r="C264" s="25">
        <v>10.0</v>
      </c>
      <c r="D264" s="25" t="s">
        <v>29</v>
      </c>
      <c r="E264" s="22" t="s">
        <v>33</v>
      </c>
      <c r="F264" s="18">
        <v>45.0</v>
      </c>
      <c r="H264" s="19">
        <v>45.0</v>
      </c>
      <c r="J264" s="19">
        <v>0.0</v>
      </c>
      <c r="L264" s="19">
        <v>0.0</v>
      </c>
      <c r="N264" s="19">
        <v>0.0</v>
      </c>
      <c r="P264" s="19">
        <v>0.0</v>
      </c>
      <c r="Q264" s="20"/>
      <c r="R264" s="18"/>
      <c r="T264" s="19"/>
      <c r="V264" s="19"/>
      <c r="X264" s="19"/>
      <c r="Z264" s="19"/>
      <c r="AB264" s="19"/>
      <c r="AC264" s="20"/>
      <c r="AD264" s="26">
        <f t="shared" si="1"/>
        <v>2160</v>
      </c>
      <c r="AE264" s="25">
        <f t="shared" si="2"/>
        <v>90</v>
      </c>
      <c r="AF264" s="25">
        <f t="shared" si="3"/>
        <v>0</v>
      </c>
      <c r="AG264" s="25">
        <f t="shared" si="4"/>
        <v>90</v>
      </c>
      <c r="AH264" s="27">
        <f t="shared" si="5"/>
        <v>24</v>
      </c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ht="15.75" customHeight="1">
      <c r="A265" s="23" t="s">
        <v>25</v>
      </c>
      <c r="B265" s="24">
        <f t="shared" si="6"/>
        <v>45554</v>
      </c>
      <c r="C265" s="25">
        <v>10.0</v>
      </c>
      <c r="D265" s="25" t="s">
        <v>29</v>
      </c>
      <c r="E265" s="22" t="s">
        <v>35</v>
      </c>
      <c r="F265" s="18">
        <v>0.0</v>
      </c>
      <c r="H265" s="19">
        <v>45.0</v>
      </c>
      <c r="J265" s="19">
        <v>45.0</v>
      </c>
      <c r="L265" s="19">
        <v>0.0</v>
      </c>
      <c r="N265" s="19">
        <v>45.0</v>
      </c>
      <c r="P265" s="19">
        <v>0.0</v>
      </c>
      <c r="Q265" s="20"/>
      <c r="R265" s="18"/>
      <c r="T265" s="19"/>
      <c r="V265" s="19"/>
      <c r="X265" s="19"/>
      <c r="Z265" s="19"/>
      <c r="AB265" s="19"/>
      <c r="AC265" s="20"/>
      <c r="AD265" s="26">
        <f t="shared" si="1"/>
        <v>2520</v>
      </c>
      <c r="AE265" s="25">
        <f t="shared" si="2"/>
        <v>90</v>
      </c>
      <c r="AF265" s="25">
        <f t="shared" si="3"/>
        <v>45</v>
      </c>
      <c r="AG265" s="25">
        <f t="shared" si="4"/>
        <v>135</v>
      </c>
      <c r="AH265" s="27">
        <f t="shared" si="5"/>
        <v>18.66666667</v>
      </c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ht="15.75" customHeight="1">
      <c r="A266" s="23" t="s">
        <v>26</v>
      </c>
      <c r="B266" s="24">
        <f t="shared" si="6"/>
        <v>45555</v>
      </c>
      <c r="C266" s="25">
        <v>10.0</v>
      </c>
      <c r="D266" s="25" t="s">
        <v>29</v>
      </c>
      <c r="E266" s="22" t="s">
        <v>35</v>
      </c>
      <c r="F266" s="18">
        <v>0.0</v>
      </c>
      <c r="H266" s="19">
        <v>45.0</v>
      </c>
      <c r="J266" s="19">
        <v>45.0</v>
      </c>
      <c r="L266" s="19">
        <v>0.0</v>
      </c>
      <c r="N266" s="19">
        <v>45.0</v>
      </c>
      <c r="P266" s="19">
        <v>0.0</v>
      </c>
      <c r="Q266" s="20"/>
      <c r="R266" s="18"/>
      <c r="T266" s="19"/>
      <c r="V266" s="19"/>
      <c r="X266" s="19"/>
      <c r="Z266" s="19"/>
      <c r="AB266" s="19"/>
      <c r="AC266" s="20"/>
      <c r="AD266" s="26">
        <f t="shared" si="1"/>
        <v>2520</v>
      </c>
      <c r="AE266" s="25">
        <f t="shared" si="2"/>
        <v>90</v>
      </c>
      <c r="AF266" s="25">
        <f t="shared" si="3"/>
        <v>45</v>
      </c>
      <c r="AG266" s="25">
        <f t="shared" si="4"/>
        <v>135</v>
      </c>
      <c r="AH266" s="27">
        <f t="shared" si="5"/>
        <v>18.66666667</v>
      </c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ht="15.75" customHeight="1">
      <c r="A267" s="23" t="s">
        <v>27</v>
      </c>
      <c r="B267" s="24">
        <f t="shared" si="6"/>
        <v>45556</v>
      </c>
      <c r="C267" s="25">
        <v>10.0</v>
      </c>
      <c r="D267" s="25" t="s">
        <v>29</v>
      </c>
      <c r="E267" s="22" t="s">
        <v>35</v>
      </c>
      <c r="F267" s="18">
        <v>0.0</v>
      </c>
      <c r="H267" s="19">
        <v>45.0</v>
      </c>
      <c r="J267" s="19">
        <v>45.0</v>
      </c>
      <c r="L267" s="19">
        <v>0.0</v>
      </c>
      <c r="N267" s="19">
        <v>45.0</v>
      </c>
      <c r="P267" s="19">
        <v>0.0</v>
      </c>
      <c r="Q267" s="20"/>
      <c r="R267" s="18"/>
      <c r="T267" s="19"/>
      <c r="V267" s="19"/>
      <c r="X267" s="19"/>
      <c r="Z267" s="19"/>
      <c r="AB267" s="19"/>
      <c r="AC267" s="20"/>
      <c r="AD267" s="26">
        <f t="shared" si="1"/>
        <v>2520</v>
      </c>
      <c r="AE267" s="25">
        <f t="shared" si="2"/>
        <v>90</v>
      </c>
      <c r="AF267" s="25">
        <f t="shared" si="3"/>
        <v>45</v>
      </c>
      <c r="AG267" s="25">
        <f t="shared" si="4"/>
        <v>135</v>
      </c>
      <c r="AH267" s="27">
        <f t="shared" si="5"/>
        <v>18.66666667</v>
      </c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ht="15.75" customHeight="1">
      <c r="A268" s="28" t="s">
        <v>28</v>
      </c>
      <c r="B268" s="29">
        <f t="shared" si="6"/>
        <v>45557</v>
      </c>
      <c r="C268" s="30">
        <v>10.0</v>
      </c>
      <c r="D268" s="30" t="s">
        <v>29</v>
      </c>
      <c r="E268" s="31" t="s">
        <v>33</v>
      </c>
      <c r="F268" s="33">
        <v>45.0</v>
      </c>
      <c r="G268" s="7"/>
      <c r="H268" s="33">
        <v>45.0</v>
      </c>
      <c r="I268" s="7"/>
      <c r="J268" s="33">
        <v>0.0</v>
      </c>
      <c r="K268" s="7"/>
      <c r="L268" s="33">
        <v>0.0</v>
      </c>
      <c r="M268" s="7"/>
      <c r="N268" s="33">
        <v>0.0</v>
      </c>
      <c r="O268" s="7"/>
      <c r="P268" s="33">
        <v>0.0</v>
      </c>
      <c r="Q268" s="34"/>
      <c r="R268" s="32"/>
      <c r="S268" s="7"/>
      <c r="T268" s="33"/>
      <c r="U268" s="7"/>
      <c r="V268" s="33"/>
      <c r="W268" s="7"/>
      <c r="X268" s="33"/>
      <c r="Y268" s="7"/>
      <c r="Z268" s="33"/>
      <c r="AA268" s="7"/>
      <c r="AB268" s="33"/>
      <c r="AC268" s="34"/>
      <c r="AD268" s="35">
        <f t="shared" si="1"/>
        <v>2160</v>
      </c>
      <c r="AE268" s="30">
        <f t="shared" si="2"/>
        <v>90</v>
      </c>
      <c r="AF268" s="30">
        <f t="shared" si="3"/>
        <v>0</v>
      </c>
      <c r="AG268" s="30">
        <f t="shared" si="4"/>
        <v>90</v>
      </c>
      <c r="AH268" s="36">
        <f t="shared" si="5"/>
        <v>24</v>
      </c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ht="15.75" customHeight="1">
      <c r="A269" s="14" t="s">
        <v>21</v>
      </c>
      <c r="B269" s="15">
        <f t="shared" si="6"/>
        <v>45558</v>
      </c>
      <c r="C269" s="16">
        <v>10.0</v>
      </c>
      <c r="D269" s="16" t="s">
        <v>30</v>
      </c>
      <c r="E269" s="17" t="s">
        <v>34</v>
      </c>
      <c r="F269" s="18">
        <v>0.0</v>
      </c>
      <c r="H269" s="19">
        <v>0.0</v>
      </c>
      <c r="J269" s="19">
        <v>0.0</v>
      </c>
      <c r="L269" s="19">
        <v>0.0</v>
      </c>
      <c r="N269" s="19">
        <v>0.0</v>
      </c>
      <c r="P269" s="19">
        <v>0.0</v>
      </c>
      <c r="Q269" s="20"/>
      <c r="R269" s="18"/>
      <c r="T269" s="19"/>
      <c r="V269" s="19"/>
      <c r="X269" s="19"/>
      <c r="Z269" s="19"/>
      <c r="AB269" s="19"/>
      <c r="AC269" s="20"/>
      <c r="AD269" s="21">
        <f t="shared" si="1"/>
        <v>0</v>
      </c>
      <c r="AE269" s="16">
        <f t="shared" si="2"/>
        <v>0</v>
      </c>
      <c r="AF269" s="16">
        <f t="shared" si="3"/>
        <v>0</v>
      </c>
      <c r="AG269" s="16">
        <f t="shared" si="4"/>
        <v>0</v>
      </c>
      <c r="AH269" s="37">
        <f t="shared" si="5"/>
        <v>0</v>
      </c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ht="15.75" customHeight="1">
      <c r="A270" s="23" t="s">
        <v>23</v>
      </c>
      <c r="B270" s="24">
        <f t="shared" si="6"/>
        <v>45559</v>
      </c>
      <c r="C270" s="25">
        <v>10.0</v>
      </c>
      <c r="D270" s="25" t="s">
        <v>30</v>
      </c>
      <c r="E270" s="22" t="s">
        <v>34</v>
      </c>
      <c r="F270" s="18">
        <v>0.0</v>
      </c>
      <c r="H270" s="19">
        <v>0.0</v>
      </c>
      <c r="J270" s="19">
        <v>0.0</v>
      </c>
      <c r="L270" s="19">
        <v>0.0</v>
      </c>
      <c r="N270" s="19">
        <v>0.0</v>
      </c>
      <c r="P270" s="19">
        <v>0.0</v>
      </c>
      <c r="Q270" s="20"/>
      <c r="R270" s="18"/>
      <c r="T270" s="19"/>
      <c r="V270" s="19"/>
      <c r="X270" s="19"/>
      <c r="Z270" s="19"/>
      <c r="AB270" s="19"/>
      <c r="AC270" s="20"/>
      <c r="AD270" s="26">
        <f t="shared" si="1"/>
        <v>0</v>
      </c>
      <c r="AE270" s="25">
        <f t="shared" si="2"/>
        <v>0</v>
      </c>
      <c r="AF270" s="25">
        <f t="shared" si="3"/>
        <v>0</v>
      </c>
      <c r="AG270" s="25">
        <f t="shared" si="4"/>
        <v>0</v>
      </c>
      <c r="AH270" s="27">
        <f t="shared" si="5"/>
        <v>0</v>
      </c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ht="15.75" customHeight="1">
      <c r="A271" s="23" t="s">
        <v>24</v>
      </c>
      <c r="B271" s="24">
        <f t="shared" si="6"/>
        <v>45560</v>
      </c>
      <c r="C271" s="25">
        <v>10.0</v>
      </c>
      <c r="D271" s="25" t="s">
        <v>30</v>
      </c>
      <c r="E271" s="22" t="s">
        <v>34</v>
      </c>
      <c r="F271" s="18">
        <v>0.0</v>
      </c>
      <c r="H271" s="19">
        <v>0.0</v>
      </c>
      <c r="J271" s="19">
        <v>0.0</v>
      </c>
      <c r="L271" s="19">
        <v>0.0</v>
      </c>
      <c r="N271" s="19">
        <v>0.0</v>
      </c>
      <c r="P271" s="19">
        <v>0.0</v>
      </c>
      <c r="Q271" s="20"/>
      <c r="R271" s="18"/>
      <c r="T271" s="19"/>
      <c r="V271" s="19"/>
      <c r="X271" s="19"/>
      <c r="Z271" s="19"/>
      <c r="AB271" s="19"/>
      <c r="AC271" s="20"/>
      <c r="AD271" s="26">
        <f t="shared" si="1"/>
        <v>0</v>
      </c>
      <c r="AE271" s="25">
        <f t="shared" si="2"/>
        <v>0</v>
      </c>
      <c r="AF271" s="25">
        <f t="shared" si="3"/>
        <v>0</v>
      </c>
      <c r="AG271" s="25">
        <f t="shared" si="4"/>
        <v>0</v>
      </c>
      <c r="AH271" s="27">
        <f t="shared" si="5"/>
        <v>0</v>
      </c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ht="15.75" customHeight="1">
      <c r="A272" s="23" t="s">
        <v>25</v>
      </c>
      <c r="B272" s="24">
        <f t="shared" si="6"/>
        <v>45561</v>
      </c>
      <c r="C272" s="25">
        <v>10.0</v>
      </c>
      <c r="D272" s="25" t="s">
        <v>30</v>
      </c>
      <c r="E272" s="22" t="s">
        <v>34</v>
      </c>
      <c r="F272" s="18">
        <v>0.0</v>
      </c>
      <c r="H272" s="19">
        <v>0.0</v>
      </c>
      <c r="J272" s="19">
        <v>0.0</v>
      </c>
      <c r="L272" s="19">
        <v>0.0</v>
      </c>
      <c r="N272" s="19">
        <v>0.0</v>
      </c>
      <c r="P272" s="19">
        <v>0.0</v>
      </c>
      <c r="Q272" s="20"/>
      <c r="R272" s="18"/>
      <c r="T272" s="19"/>
      <c r="V272" s="19"/>
      <c r="X272" s="19"/>
      <c r="Z272" s="19"/>
      <c r="AB272" s="19"/>
      <c r="AC272" s="20"/>
      <c r="AD272" s="26">
        <f t="shared" si="1"/>
        <v>0</v>
      </c>
      <c r="AE272" s="25">
        <f t="shared" si="2"/>
        <v>0</v>
      </c>
      <c r="AF272" s="25">
        <f t="shared" si="3"/>
        <v>0</v>
      </c>
      <c r="AG272" s="25">
        <f t="shared" si="4"/>
        <v>0</v>
      </c>
      <c r="AH272" s="27">
        <f t="shared" si="5"/>
        <v>0</v>
      </c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ht="15.75" customHeight="1">
      <c r="A273" s="23" t="s">
        <v>26</v>
      </c>
      <c r="B273" s="24">
        <f t="shared" si="6"/>
        <v>45562</v>
      </c>
      <c r="C273" s="25">
        <v>10.0</v>
      </c>
      <c r="D273" s="25" t="s">
        <v>30</v>
      </c>
      <c r="E273" s="22" t="s">
        <v>34</v>
      </c>
      <c r="F273" s="18">
        <v>0.0</v>
      </c>
      <c r="H273" s="19">
        <v>0.0</v>
      </c>
      <c r="J273" s="19">
        <v>0.0</v>
      </c>
      <c r="L273" s="19">
        <v>0.0</v>
      </c>
      <c r="N273" s="19">
        <v>0.0</v>
      </c>
      <c r="P273" s="19">
        <v>0.0</v>
      </c>
      <c r="Q273" s="20"/>
      <c r="R273" s="18"/>
      <c r="T273" s="19"/>
      <c r="V273" s="19"/>
      <c r="X273" s="19"/>
      <c r="Z273" s="19"/>
      <c r="AB273" s="19"/>
      <c r="AC273" s="20"/>
      <c r="AD273" s="26">
        <f t="shared" si="1"/>
        <v>0</v>
      </c>
      <c r="AE273" s="25">
        <f t="shared" si="2"/>
        <v>0</v>
      </c>
      <c r="AF273" s="25">
        <f t="shared" si="3"/>
        <v>0</v>
      </c>
      <c r="AG273" s="25">
        <f t="shared" si="4"/>
        <v>0</v>
      </c>
      <c r="AH273" s="27">
        <f t="shared" si="5"/>
        <v>0</v>
      </c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ht="15.75" customHeight="1">
      <c r="A274" s="23" t="s">
        <v>27</v>
      </c>
      <c r="B274" s="24">
        <f t="shared" si="6"/>
        <v>45563</v>
      </c>
      <c r="C274" s="25">
        <v>10.0</v>
      </c>
      <c r="D274" s="25" t="s">
        <v>30</v>
      </c>
      <c r="E274" s="22" t="s">
        <v>34</v>
      </c>
      <c r="F274" s="18">
        <v>0.0</v>
      </c>
      <c r="H274" s="19">
        <v>0.0</v>
      </c>
      <c r="J274" s="19">
        <v>0.0</v>
      </c>
      <c r="L274" s="19">
        <v>0.0</v>
      </c>
      <c r="N274" s="19">
        <v>0.0</v>
      </c>
      <c r="P274" s="19">
        <v>0.0</v>
      </c>
      <c r="Q274" s="20"/>
      <c r="R274" s="18"/>
      <c r="T274" s="19"/>
      <c r="V274" s="19"/>
      <c r="X274" s="19"/>
      <c r="Z274" s="19"/>
      <c r="AB274" s="19"/>
      <c r="AC274" s="20"/>
      <c r="AD274" s="26">
        <f t="shared" si="1"/>
        <v>0</v>
      </c>
      <c r="AE274" s="25">
        <f t="shared" si="2"/>
        <v>0</v>
      </c>
      <c r="AF274" s="25">
        <f t="shared" si="3"/>
        <v>0</v>
      </c>
      <c r="AG274" s="25">
        <f t="shared" si="4"/>
        <v>0</v>
      </c>
      <c r="AH274" s="27">
        <f t="shared" si="5"/>
        <v>0</v>
      </c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ht="15.75" customHeight="1">
      <c r="A275" s="28" t="s">
        <v>28</v>
      </c>
      <c r="B275" s="29">
        <f t="shared" si="6"/>
        <v>45564</v>
      </c>
      <c r="C275" s="30">
        <v>10.0</v>
      </c>
      <c r="D275" s="30" t="s">
        <v>30</v>
      </c>
      <c r="E275" s="31" t="s">
        <v>34</v>
      </c>
      <c r="F275" s="33">
        <v>0.0</v>
      </c>
      <c r="G275" s="7"/>
      <c r="H275" s="33">
        <v>0.0</v>
      </c>
      <c r="I275" s="7"/>
      <c r="J275" s="33">
        <v>0.0</v>
      </c>
      <c r="K275" s="7"/>
      <c r="L275" s="33">
        <v>0.0</v>
      </c>
      <c r="M275" s="7"/>
      <c r="N275" s="33">
        <v>0.0</v>
      </c>
      <c r="O275" s="7"/>
      <c r="P275" s="33">
        <v>0.0</v>
      </c>
      <c r="Q275" s="34"/>
      <c r="R275" s="32"/>
      <c r="S275" s="7"/>
      <c r="T275" s="33"/>
      <c r="U275" s="7"/>
      <c r="V275" s="33"/>
      <c r="W275" s="7"/>
      <c r="X275" s="33"/>
      <c r="Y275" s="7"/>
      <c r="Z275" s="33"/>
      <c r="AA275" s="7"/>
      <c r="AB275" s="33"/>
      <c r="AC275" s="34"/>
      <c r="AD275" s="35">
        <f t="shared" si="1"/>
        <v>0</v>
      </c>
      <c r="AE275" s="30">
        <f t="shared" si="2"/>
        <v>0</v>
      </c>
      <c r="AF275" s="30">
        <f t="shared" si="3"/>
        <v>0</v>
      </c>
      <c r="AG275" s="30">
        <f t="shared" si="4"/>
        <v>0</v>
      </c>
      <c r="AH275" s="36">
        <f t="shared" si="5"/>
        <v>0</v>
      </c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ht="15.75" customHeight="1">
      <c r="A276" s="14" t="s">
        <v>21</v>
      </c>
      <c r="B276" s="15">
        <f t="shared" si="6"/>
        <v>45565</v>
      </c>
      <c r="C276" s="16">
        <v>10.0</v>
      </c>
      <c r="D276" s="16" t="s">
        <v>31</v>
      </c>
      <c r="E276" s="17"/>
      <c r="F276" s="18"/>
      <c r="H276" s="19"/>
      <c r="J276" s="19"/>
      <c r="L276" s="19"/>
      <c r="N276" s="19"/>
      <c r="P276" s="19"/>
      <c r="Q276" s="20"/>
      <c r="R276" s="18"/>
      <c r="T276" s="19"/>
      <c r="V276" s="19"/>
      <c r="X276" s="19"/>
      <c r="Z276" s="19"/>
      <c r="AB276" s="19"/>
      <c r="AC276" s="20"/>
      <c r="AD276" s="21">
        <f t="shared" si="1"/>
        <v>0</v>
      </c>
      <c r="AE276" s="16">
        <f t="shared" si="2"/>
        <v>0</v>
      </c>
      <c r="AF276" s="16">
        <f t="shared" si="3"/>
        <v>0</v>
      </c>
      <c r="AG276" s="16">
        <f t="shared" si="4"/>
        <v>0</v>
      </c>
      <c r="AH276" s="37">
        <f t="shared" si="5"/>
        <v>0</v>
      </c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ht="15.75" customHeight="1">
      <c r="A277" s="23" t="s">
        <v>23</v>
      </c>
      <c r="B277" s="24">
        <f t="shared" si="6"/>
        <v>45566</v>
      </c>
      <c r="C277" s="25">
        <v>10.0</v>
      </c>
      <c r="D277" s="25" t="s">
        <v>31</v>
      </c>
      <c r="E277" s="22"/>
      <c r="F277" s="18"/>
      <c r="H277" s="19"/>
      <c r="J277" s="19"/>
      <c r="L277" s="19"/>
      <c r="N277" s="19"/>
      <c r="P277" s="19"/>
      <c r="Q277" s="20"/>
      <c r="R277" s="18"/>
      <c r="T277" s="19"/>
      <c r="V277" s="19"/>
      <c r="X277" s="19"/>
      <c r="Z277" s="19"/>
      <c r="AB277" s="19"/>
      <c r="AC277" s="20"/>
      <c r="AD277" s="26">
        <f t="shared" si="1"/>
        <v>0</v>
      </c>
      <c r="AE277" s="25">
        <f t="shared" si="2"/>
        <v>0</v>
      </c>
      <c r="AF277" s="25">
        <f t="shared" si="3"/>
        <v>0</v>
      </c>
      <c r="AG277" s="25">
        <f t="shared" si="4"/>
        <v>0</v>
      </c>
      <c r="AH277" s="27">
        <f t="shared" si="5"/>
        <v>0</v>
      </c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ht="15.75" customHeight="1">
      <c r="A278" s="23" t="s">
        <v>24</v>
      </c>
      <c r="B278" s="24">
        <f t="shared" si="6"/>
        <v>45567</v>
      </c>
      <c r="C278" s="25">
        <v>10.0</v>
      </c>
      <c r="D278" s="25" t="s">
        <v>31</v>
      </c>
      <c r="E278" s="22"/>
      <c r="F278" s="18"/>
      <c r="H278" s="19"/>
      <c r="J278" s="19"/>
      <c r="L278" s="19"/>
      <c r="N278" s="19"/>
      <c r="P278" s="19"/>
      <c r="Q278" s="20"/>
      <c r="R278" s="18"/>
      <c r="T278" s="19"/>
      <c r="V278" s="19"/>
      <c r="X278" s="19"/>
      <c r="Z278" s="19"/>
      <c r="AB278" s="19"/>
      <c r="AC278" s="20"/>
      <c r="AD278" s="26">
        <f t="shared" si="1"/>
        <v>0</v>
      </c>
      <c r="AE278" s="25">
        <f t="shared" si="2"/>
        <v>0</v>
      </c>
      <c r="AF278" s="25">
        <f t="shared" si="3"/>
        <v>0</v>
      </c>
      <c r="AG278" s="25">
        <f t="shared" si="4"/>
        <v>0</v>
      </c>
      <c r="AH278" s="27">
        <f t="shared" si="5"/>
        <v>0</v>
      </c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ht="15.75" customHeight="1">
      <c r="A279" s="23" t="s">
        <v>25</v>
      </c>
      <c r="B279" s="24">
        <f t="shared" si="6"/>
        <v>45568</v>
      </c>
      <c r="C279" s="25">
        <v>10.0</v>
      </c>
      <c r="D279" s="25" t="s">
        <v>31</v>
      </c>
      <c r="E279" s="22"/>
      <c r="F279" s="18"/>
      <c r="H279" s="19"/>
      <c r="J279" s="19"/>
      <c r="L279" s="19"/>
      <c r="N279" s="19"/>
      <c r="P279" s="19"/>
      <c r="Q279" s="20"/>
      <c r="R279" s="18"/>
      <c r="T279" s="19"/>
      <c r="V279" s="19"/>
      <c r="X279" s="19"/>
      <c r="Z279" s="19"/>
      <c r="AB279" s="19"/>
      <c r="AC279" s="20"/>
      <c r="AD279" s="26">
        <f t="shared" si="1"/>
        <v>0</v>
      </c>
      <c r="AE279" s="25">
        <f t="shared" si="2"/>
        <v>0</v>
      </c>
      <c r="AF279" s="25">
        <f t="shared" si="3"/>
        <v>0</v>
      </c>
      <c r="AG279" s="25">
        <f t="shared" si="4"/>
        <v>0</v>
      </c>
      <c r="AH279" s="27">
        <f t="shared" si="5"/>
        <v>0</v>
      </c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ht="15.75" customHeight="1">
      <c r="A280" s="23" t="s">
        <v>26</v>
      </c>
      <c r="B280" s="24">
        <f t="shared" si="6"/>
        <v>45569</v>
      </c>
      <c r="C280" s="25">
        <v>10.0</v>
      </c>
      <c r="D280" s="25" t="s">
        <v>31</v>
      </c>
      <c r="E280" s="22"/>
      <c r="F280" s="18"/>
      <c r="H280" s="19"/>
      <c r="J280" s="19"/>
      <c r="L280" s="19"/>
      <c r="N280" s="19"/>
      <c r="P280" s="19"/>
      <c r="Q280" s="20"/>
      <c r="R280" s="18"/>
      <c r="T280" s="19"/>
      <c r="V280" s="19"/>
      <c r="X280" s="19"/>
      <c r="Z280" s="19"/>
      <c r="AB280" s="19"/>
      <c r="AC280" s="20"/>
      <c r="AD280" s="26">
        <f t="shared" si="1"/>
        <v>0</v>
      </c>
      <c r="AE280" s="25">
        <f t="shared" si="2"/>
        <v>0</v>
      </c>
      <c r="AF280" s="25">
        <f t="shared" si="3"/>
        <v>0</v>
      </c>
      <c r="AG280" s="25">
        <f t="shared" si="4"/>
        <v>0</v>
      </c>
      <c r="AH280" s="27">
        <f t="shared" si="5"/>
        <v>0</v>
      </c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ht="15.75" customHeight="1">
      <c r="A281" s="23" t="s">
        <v>27</v>
      </c>
      <c r="B281" s="24">
        <f t="shared" si="6"/>
        <v>45570</v>
      </c>
      <c r="C281" s="25">
        <v>10.0</v>
      </c>
      <c r="D281" s="25" t="s">
        <v>31</v>
      </c>
      <c r="E281" s="22"/>
      <c r="F281" s="18"/>
      <c r="H281" s="19"/>
      <c r="J281" s="19"/>
      <c r="L281" s="19"/>
      <c r="N281" s="19"/>
      <c r="P281" s="19"/>
      <c r="Q281" s="20"/>
      <c r="R281" s="18"/>
      <c r="T281" s="19"/>
      <c r="V281" s="19"/>
      <c r="X281" s="19"/>
      <c r="Z281" s="19"/>
      <c r="AB281" s="19"/>
      <c r="AC281" s="20"/>
      <c r="AD281" s="26">
        <f t="shared" si="1"/>
        <v>0</v>
      </c>
      <c r="AE281" s="25">
        <f t="shared" si="2"/>
        <v>0</v>
      </c>
      <c r="AF281" s="25">
        <f t="shared" si="3"/>
        <v>0</v>
      </c>
      <c r="AG281" s="25">
        <f t="shared" si="4"/>
        <v>0</v>
      </c>
      <c r="AH281" s="27">
        <f t="shared" si="5"/>
        <v>0</v>
      </c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ht="15.75" customHeight="1">
      <c r="A282" s="28" t="s">
        <v>28</v>
      </c>
      <c r="B282" s="29">
        <f t="shared" si="6"/>
        <v>45571</v>
      </c>
      <c r="C282" s="30">
        <v>10.0</v>
      </c>
      <c r="D282" s="30" t="s">
        <v>31</v>
      </c>
      <c r="E282" s="31"/>
      <c r="F282" s="32"/>
      <c r="G282" s="7"/>
      <c r="H282" s="33"/>
      <c r="I282" s="7"/>
      <c r="J282" s="33"/>
      <c r="K282" s="7"/>
      <c r="L282" s="33"/>
      <c r="M282" s="7"/>
      <c r="N282" s="33"/>
      <c r="O282" s="7"/>
      <c r="P282" s="33"/>
      <c r="Q282" s="34"/>
      <c r="R282" s="32"/>
      <c r="S282" s="7"/>
      <c r="T282" s="33"/>
      <c r="U282" s="7"/>
      <c r="V282" s="33"/>
      <c r="W282" s="7"/>
      <c r="X282" s="33"/>
      <c r="Y282" s="7"/>
      <c r="Z282" s="33"/>
      <c r="AA282" s="7"/>
      <c r="AB282" s="33"/>
      <c r="AC282" s="34"/>
      <c r="AD282" s="35">
        <f t="shared" si="1"/>
        <v>0</v>
      </c>
      <c r="AE282" s="30">
        <f t="shared" si="2"/>
        <v>0</v>
      </c>
      <c r="AF282" s="30">
        <f t="shared" si="3"/>
        <v>0</v>
      </c>
      <c r="AG282" s="30">
        <f t="shared" si="4"/>
        <v>0</v>
      </c>
      <c r="AH282" s="36">
        <f t="shared" si="5"/>
        <v>0</v>
      </c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ht="15.75" customHeight="1">
      <c r="A283" s="14" t="s">
        <v>21</v>
      </c>
      <c r="B283" s="15">
        <f t="shared" si="6"/>
        <v>45572</v>
      </c>
      <c r="C283" s="16">
        <v>11.0</v>
      </c>
      <c r="D283" s="16" t="s">
        <v>22</v>
      </c>
      <c r="E283" s="17"/>
      <c r="F283" s="18"/>
      <c r="H283" s="19"/>
      <c r="J283" s="19"/>
      <c r="L283" s="19"/>
      <c r="N283" s="19"/>
      <c r="P283" s="19"/>
      <c r="Q283" s="20"/>
      <c r="R283" s="18"/>
      <c r="T283" s="19"/>
      <c r="V283" s="19"/>
      <c r="X283" s="19"/>
      <c r="Z283" s="19"/>
      <c r="AB283" s="19"/>
      <c r="AC283" s="20"/>
      <c r="AD283" s="21">
        <f t="shared" si="1"/>
        <v>0</v>
      </c>
      <c r="AE283" s="16">
        <f t="shared" si="2"/>
        <v>0</v>
      </c>
      <c r="AF283" s="16">
        <f t="shared" si="3"/>
        <v>0</v>
      </c>
      <c r="AG283" s="16">
        <f t="shared" si="4"/>
        <v>0</v>
      </c>
      <c r="AH283" s="37">
        <f t="shared" si="5"/>
        <v>0</v>
      </c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ht="15.75" customHeight="1">
      <c r="A284" s="23" t="s">
        <v>23</v>
      </c>
      <c r="B284" s="24">
        <f t="shared" si="6"/>
        <v>45573</v>
      </c>
      <c r="C284" s="25">
        <v>11.0</v>
      </c>
      <c r="D284" s="25" t="s">
        <v>22</v>
      </c>
      <c r="E284" s="22"/>
      <c r="F284" s="18"/>
      <c r="H284" s="19"/>
      <c r="J284" s="19"/>
      <c r="L284" s="19"/>
      <c r="N284" s="19"/>
      <c r="P284" s="19"/>
      <c r="Q284" s="20"/>
      <c r="R284" s="18"/>
      <c r="T284" s="19"/>
      <c r="V284" s="19"/>
      <c r="X284" s="19"/>
      <c r="Z284" s="19"/>
      <c r="AB284" s="19"/>
      <c r="AC284" s="20"/>
      <c r="AD284" s="26">
        <f t="shared" si="1"/>
        <v>0</v>
      </c>
      <c r="AE284" s="25">
        <f t="shared" si="2"/>
        <v>0</v>
      </c>
      <c r="AF284" s="25">
        <f t="shared" si="3"/>
        <v>0</v>
      </c>
      <c r="AG284" s="25">
        <f t="shared" si="4"/>
        <v>0</v>
      </c>
      <c r="AH284" s="27">
        <f t="shared" si="5"/>
        <v>0</v>
      </c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ht="15.75" customHeight="1">
      <c r="A285" s="23" t="s">
        <v>24</v>
      </c>
      <c r="B285" s="24">
        <f t="shared" si="6"/>
        <v>45574</v>
      </c>
      <c r="C285" s="25">
        <v>11.0</v>
      </c>
      <c r="D285" s="25" t="s">
        <v>22</v>
      </c>
      <c r="E285" s="22"/>
      <c r="F285" s="18"/>
      <c r="H285" s="19"/>
      <c r="J285" s="19"/>
      <c r="L285" s="19"/>
      <c r="N285" s="19"/>
      <c r="P285" s="19"/>
      <c r="Q285" s="20"/>
      <c r="R285" s="18"/>
      <c r="T285" s="19"/>
      <c r="V285" s="19"/>
      <c r="X285" s="19"/>
      <c r="Z285" s="19"/>
      <c r="AB285" s="19"/>
      <c r="AC285" s="20"/>
      <c r="AD285" s="26">
        <f t="shared" si="1"/>
        <v>0</v>
      </c>
      <c r="AE285" s="25">
        <f t="shared" si="2"/>
        <v>0</v>
      </c>
      <c r="AF285" s="25">
        <f t="shared" si="3"/>
        <v>0</v>
      </c>
      <c r="AG285" s="25">
        <f t="shared" si="4"/>
        <v>0</v>
      </c>
      <c r="AH285" s="27">
        <f t="shared" si="5"/>
        <v>0</v>
      </c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ht="15.75" customHeight="1">
      <c r="A286" s="23" t="s">
        <v>25</v>
      </c>
      <c r="B286" s="24">
        <f t="shared" si="6"/>
        <v>45575</v>
      </c>
      <c r="C286" s="25">
        <v>11.0</v>
      </c>
      <c r="D286" s="25" t="s">
        <v>22</v>
      </c>
      <c r="E286" s="22"/>
      <c r="F286" s="18"/>
      <c r="H286" s="19"/>
      <c r="J286" s="19"/>
      <c r="L286" s="19"/>
      <c r="N286" s="19"/>
      <c r="P286" s="19"/>
      <c r="Q286" s="20"/>
      <c r="R286" s="18"/>
      <c r="T286" s="19"/>
      <c r="V286" s="19"/>
      <c r="X286" s="19"/>
      <c r="Z286" s="19"/>
      <c r="AB286" s="19"/>
      <c r="AC286" s="20"/>
      <c r="AD286" s="26">
        <f t="shared" si="1"/>
        <v>0</v>
      </c>
      <c r="AE286" s="25">
        <f t="shared" si="2"/>
        <v>0</v>
      </c>
      <c r="AF286" s="25">
        <f t="shared" si="3"/>
        <v>0</v>
      </c>
      <c r="AG286" s="25">
        <f t="shared" si="4"/>
        <v>0</v>
      </c>
      <c r="AH286" s="27">
        <f t="shared" si="5"/>
        <v>0</v>
      </c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ht="15.75" customHeight="1">
      <c r="A287" s="23" t="s">
        <v>26</v>
      </c>
      <c r="B287" s="24">
        <f t="shared" si="6"/>
        <v>45576</v>
      </c>
      <c r="C287" s="25">
        <v>11.0</v>
      </c>
      <c r="D287" s="25" t="s">
        <v>22</v>
      </c>
      <c r="E287" s="22"/>
      <c r="F287" s="18"/>
      <c r="H287" s="19"/>
      <c r="J287" s="19"/>
      <c r="L287" s="19"/>
      <c r="N287" s="19"/>
      <c r="P287" s="19"/>
      <c r="Q287" s="20"/>
      <c r="R287" s="18"/>
      <c r="T287" s="19"/>
      <c r="V287" s="19"/>
      <c r="X287" s="19"/>
      <c r="Z287" s="19"/>
      <c r="AB287" s="19"/>
      <c r="AC287" s="20"/>
      <c r="AD287" s="26">
        <f t="shared" si="1"/>
        <v>0</v>
      </c>
      <c r="AE287" s="25">
        <f t="shared" si="2"/>
        <v>0</v>
      </c>
      <c r="AF287" s="25">
        <f t="shared" si="3"/>
        <v>0</v>
      </c>
      <c r="AG287" s="25">
        <f t="shared" si="4"/>
        <v>0</v>
      </c>
      <c r="AH287" s="27">
        <f t="shared" si="5"/>
        <v>0</v>
      </c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ht="15.75" customHeight="1">
      <c r="A288" s="23" t="s">
        <v>27</v>
      </c>
      <c r="B288" s="24">
        <f t="shared" si="6"/>
        <v>45577</v>
      </c>
      <c r="C288" s="25">
        <v>11.0</v>
      </c>
      <c r="D288" s="25" t="s">
        <v>22</v>
      </c>
      <c r="E288" s="22"/>
      <c r="F288" s="18"/>
      <c r="H288" s="19"/>
      <c r="J288" s="19"/>
      <c r="L288" s="19"/>
      <c r="N288" s="19"/>
      <c r="P288" s="19"/>
      <c r="Q288" s="20"/>
      <c r="R288" s="18"/>
      <c r="T288" s="19"/>
      <c r="V288" s="19"/>
      <c r="X288" s="19"/>
      <c r="Z288" s="19"/>
      <c r="AB288" s="19"/>
      <c r="AC288" s="20"/>
      <c r="AD288" s="26">
        <f t="shared" si="1"/>
        <v>0</v>
      </c>
      <c r="AE288" s="25">
        <f t="shared" si="2"/>
        <v>0</v>
      </c>
      <c r="AF288" s="25">
        <f t="shared" si="3"/>
        <v>0</v>
      </c>
      <c r="AG288" s="25">
        <f t="shared" si="4"/>
        <v>0</v>
      </c>
      <c r="AH288" s="27">
        <f t="shared" si="5"/>
        <v>0</v>
      </c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ht="15.75" customHeight="1">
      <c r="A289" s="28" t="s">
        <v>28</v>
      </c>
      <c r="B289" s="29">
        <f t="shared" si="6"/>
        <v>45578</v>
      </c>
      <c r="C289" s="30">
        <v>11.0</v>
      </c>
      <c r="D289" s="30" t="s">
        <v>22</v>
      </c>
      <c r="E289" s="31"/>
      <c r="F289" s="32"/>
      <c r="G289" s="7"/>
      <c r="H289" s="33"/>
      <c r="I289" s="7"/>
      <c r="J289" s="33"/>
      <c r="K289" s="7"/>
      <c r="L289" s="33"/>
      <c r="M289" s="7"/>
      <c r="N289" s="33"/>
      <c r="O289" s="7"/>
      <c r="P289" s="33"/>
      <c r="Q289" s="34"/>
      <c r="R289" s="32"/>
      <c r="S289" s="7"/>
      <c r="T289" s="33"/>
      <c r="U289" s="7"/>
      <c r="V289" s="33"/>
      <c r="W289" s="7"/>
      <c r="X289" s="33"/>
      <c r="Y289" s="7"/>
      <c r="Z289" s="33"/>
      <c r="AA289" s="7"/>
      <c r="AB289" s="33"/>
      <c r="AC289" s="34"/>
      <c r="AD289" s="35">
        <f t="shared" si="1"/>
        <v>0</v>
      </c>
      <c r="AE289" s="30">
        <f t="shared" si="2"/>
        <v>0</v>
      </c>
      <c r="AF289" s="30">
        <f t="shared" si="3"/>
        <v>0</v>
      </c>
      <c r="AG289" s="30">
        <f t="shared" si="4"/>
        <v>0</v>
      </c>
      <c r="AH289" s="36">
        <f t="shared" si="5"/>
        <v>0</v>
      </c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ht="15.75" customHeight="1">
      <c r="A290" s="14" t="s">
        <v>21</v>
      </c>
      <c r="B290" s="15">
        <f t="shared" si="6"/>
        <v>45579</v>
      </c>
      <c r="C290" s="16">
        <v>11.0</v>
      </c>
      <c r="D290" s="16" t="s">
        <v>29</v>
      </c>
      <c r="E290" s="17"/>
      <c r="F290" s="18"/>
      <c r="H290" s="19"/>
      <c r="J290" s="19"/>
      <c r="L290" s="19"/>
      <c r="N290" s="19"/>
      <c r="P290" s="19"/>
      <c r="Q290" s="20"/>
      <c r="R290" s="18"/>
      <c r="T290" s="19"/>
      <c r="V290" s="19"/>
      <c r="X290" s="19"/>
      <c r="Z290" s="19"/>
      <c r="AB290" s="19"/>
      <c r="AC290" s="20"/>
      <c r="AD290" s="21">
        <f t="shared" si="1"/>
        <v>0</v>
      </c>
      <c r="AE290" s="16">
        <f t="shared" si="2"/>
        <v>0</v>
      </c>
      <c r="AF290" s="16">
        <f t="shared" si="3"/>
        <v>0</v>
      </c>
      <c r="AG290" s="16">
        <f t="shared" si="4"/>
        <v>0</v>
      </c>
      <c r="AH290" s="37">
        <f t="shared" si="5"/>
        <v>0</v>
      </c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ht="15.75" customHeight="1">
      <c r="A291" s="23" t="s">
        <v>23</v>
      </c>
      <c r="B291" s="24">
        <f t="shared" si="6"/>
        <v>45580</v>
      </c>
      <c r="C291" s="25">
        <v>11.0</v>
      </c>
      <c r="D291" s="25" t="s">
        <v>29</v>
      </c>
      <c r="E291" s="22"/>
      <c r="F291" s="18"/>
      <c r="H291" s="19"/>
      <c r="J291" s="19"/>
      <c r="L291" s="19"/>
      <c r="N291" s="19"/>
      <c r="P291" s="19"/>
      <c r="Q291" s="20"/>
      <c r="R291" s="18"/>
      <c r="T291" s="19"/>
      <c r="V291" s="19"/>
      <c r="X291" s="19"/>
      <c r="Z291" s="19"/>
      <c r="AB291" s="19"/>
      <c r="AC291" s="20"/>
      <c r="AD291" s="26">
        <f t="shared" si="1"/>
        <v>0</v>
      </c>
      <c r="AE291" s="25">
        <f t="shared" si="2"/>
        <v>0</v>
      </c>
      <c r="AF291" s="25">
        <f t="shared" si="3"/>
        <v>0</v>
      </c>
      <c r="AG291" s="25">
        <f t="shared" si="4"/>
        <v>0</v>
      </c>
      <c r="AH291" s="27">
        <f t="shared" si="5"/>
        <v>0</v>
      </c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ht="15.75" customHeight="1">
      <c r="A292" s="23" t="s">
        <v>24</v>
      </c>
      <c r="B292" s="24">
        <f t="shared" si="6"/>
        <v>45581</v>
      </c>
      <c r="C292" s="25">
        <v>11.0</v>
      </c>
      <c r="D292" s="25" t="s">
        <v>29</v>
      </c>
      <c r="E292" s="22"/>
      <c r="F292" s="18"/>
      <c r="H292" s="19"/>
      <c r="J292" s="19"/>
      <c r="L292" s="19"/>
      <c r="N292" s="19"/>
      <c r="P292" s="19"/>
      <c r="Q292" s="20"/>
      <c r="R292" s="18"/>
      <c r="T292" s="19"/>
      <c r="V292" s="19"/>
      <c r="X292" s="19"/>
      <c r="Z292" s="19"/>
      <c r="AB292" s="19"/>
      <c r="AC292" s="20"/>
      <c r="AD292" s="26">
        <f t="shared" si="1"/>
        <v>0</v>
      </c>
      <c r="AE292" s="25">
        <f t="shared" si="2"/>
        <v>0</v>
      </c>
      <c r="AF292" s="25">
        <f t="shared" si="3"/>
        <v>0</v>
      </c>
      <c r="AG292" s="25">
        <f t="shared" si="4"/>
        <v>0</v>
      </c>
      <c r="AH292" s="27">
        <f t="shared" si="5"/>
        <v>0</v>
      </c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ht="15.75" customHeight="1">
      <c r="A293" s="23" t="s">
        <v>25</v>
      </c>
      <c r="B293" s="24">
        <f t="shared" si="6"/>
        <v>45582</v>
      </c>
      <c r="C293" s="25">
        <v>11.0</v>
      </c>
      <c r="D293" s="25" t="s">
        <v>29</v>
      </c>
      <c r="E293" s="22"/>
      <c r="F293" s="18"/>
      <c r="H293" s="19"/>
      <c r="J293" s="19"/>
      <c r="L293" s="19"/>
      <c r="N293" s="19"/>
      <c r="P293" s="19"/>
      <c r="Q293" s="20"/>
      <c r="R293" s="18"/>
      <c r="T293" s="19"/>
      <c r="V293" s="19"/>
      <c r="X293" s="19"/>
      <c r="Z293" s="19"/>
      <c r="AB293" s="19"/>
      <c r="AC293" s="20"/>
      <c r="AD293" s="26">
        <f t="shared" si="1"/>
        <v>0</v>
      </c>
      <c r="AE293" s="25">
        <f t="shared" si="2"/>
        <v>0</v>
      </c>
      <c r="AF293" s="25">
        <f t="shared" si="3"/>
        <v>0</v>
      </c>
      <c r="AG293" s="25">
        <f t="shared" si="4"/>
        <v>0</v>
      </c>
      <c r="AH293" s="27">
        <f t="shared" si="5"/>
        <v>0</v>
      </c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ht="15.75" customHeight="1">
      <c r="A294" s="23" t="s">
        <v>26</v>
      </c>
      <c r="B294" s="24">
        <f t="shared" si="6"/>
        <v>45583</v>
      </c>
      <c r="C294" s="25">
        <v>11.0</v>
      </c>
      <c r="D294" s="25" t="s">
        <v>29</v>
      </c>
      <c r="E294" s="22"/>
      <c r="F294" s="18"/>
      <c r="H294" s="19"/>
      <c r="J294" s="19"/>
      <c r="L294" s="19"/>
      <c r="N294" s="19"/>
      <c r="P294" s="19"/>
      <c r="Q294" s="20"/>
      <c r="R294" s="18"/>
      <c r="T294" s="19"/>
      <c r="V294" s="19"/>
      <c r="X294" s="19"/>
      <c r="Z294" s="19"/>
      <c r="AB294" s="19"/>
      <c r="AC294" s="20"/>
      <c r="AD294" s="26">
        <f t="shared" si="1"/>
        <v>0</v>
      </c>
      <c r="AE294" s="25">
        <f t="shared" si="2"/>
        <v>0</v>
      </c>
      <c r="AF294" s="25">
        <f t="shared" si="3"/>
        <v>0</v>
      </c>
      <c r="AG294" s="25">
        <f t="shared" si="4"/>
        <v>0</v>
      </c>
      <c r="AH294" s="27">
        <f t="shared" si="5"/>
        <v>0</v>
      </c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ht="15.75" customHeight="1">
      <c r="A295" s="23" t="s">
        <v>27</v>
      </c>
      <c r="B295" s="24">
        <f t="shared" si="6"/>
        <v>45584</v>
      </c>
      <c r="C295" s="25">
        <v>11.0</v>
      </c>
      <c r="D295" s="25" t="s">
        <v>29</v>
      </c>
      <c r="E295" s="22"/>
      <c r="F295" s="18"/>
      <c r="H295" s="19"/>
      <c r="J295" s="19"/>
      <c r="L295" s="19"/>
      <c r="N295" s="19"/>
      <c r="P295" s="19"/>
      <c r="Q295" s="20"/>
      <c r="R295" s="18"/>
      <c r="T295" s="19"/>
      <c r="V295" s="19"/>
      <c r="X295" s="19"/>
      <c r="Z295" s="19"/>
      <c r="AB295" s="19"/>
      <c r="AC295" s="20"/>
      <c r="AD295" s="26">
        <f t="shared" si="1"/>
        <v>0</v>
      </c>
      <c r="AE295" s="25">
        <f t="shared" si="2"/>
        <v>0</v>
      </c>
      <c r="AF295" s="25">
        <f t="shared" si="3"/>
        <v>0</v>
      </c>
      <c r="AG295" s="25">
        <f t="shared" si="4"/>
        <v>0</v>
      </c>
      <c r="AH295" s="27">
        <f t="shared" si="5"/>
        <v>0</v>
      </c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ht="15.75" customHeight="1">
      <c r="A296" s="28" t="s">
        <v>28</v>
      </c>
      <c r="B296" s="29">
        <f t="shared" si="6"/>
        <v>45585</v>
      </c>
      <c r="C296" s="30">
        <v>11.0</v>
      </c>
      <c r="D296" s="30" t="s">
        <v>29</v>
      </c>
      <c r="E296" s="31"/>
      <c r="F296" s="32"/>
      <c r="G296" s="7"/>
      <c r="H296" s="33"/>
      <c r="I296" s="7"/>
      <c r="J296" s="33"/>
      <c r="K296" s="7"/>
      <c r="L296" s="33"/>
      <c r="M296" s="7"/>
      <c r="N296" s="33"/>
      <c r="O296" s="7"/>
      <c r="P296" s="33"/>
      <c r="Q296" s="34"/>
      <c r="R296" s="32"/>
      <c r="S296" s="7"/>
      <c r="T296" s="33"/>
      <c r="U296" s="7"/>
      <c r="V296" s="33"/>
      <c r="W296" s="7"/>
      <c r="X296" s="33"/>
      <c r="Y296" s="7"/>
      <c r="Z296" s="33"/>
      <c r="AA296" s="7"/>
      <c r="AB296" s="33"/>
      <c r="AC296" s="34"/>
      <c r="AD296" s="35">
        <f t="shared" si="1"/>
        <v>0</v>
      </c>
      <c r="AE296" s="30">
        <f t="shared" si="2"/>
        <v>0</v>
      </c>
      <c r="AF296" s="30">
        <f t="shared" si="3"/>
        <v>0</v>
      </c>
      <c r="AG296" s="30">
        <f t="shared" si="4"/>
        <v>0</v>
      </c>
      <c r="AH296" s="36">
        <f t="shared" si="5"/>
        <v>0</v>
      </c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ht="15.75" customHeight="1">
      <c r="A297" s="14" t="s">
        <v>21</v>
      </c>
      <c r="B297" s="15">
        <f t="shared" si="6"/>
        <v>45586</v>
      </c>
      <c r="C297" s="16">
        <v>11.0</v>
      </c>
      <c r="D297" s="16" t="s">
        <v>30</v>
      </c>
      <c r="E297" s="17"/>
      <c r="F297" s="18"/>
      <c r="H297" s="19"/>
      <c r="J297" s="19"/>
      <c r="L297" s="19"/>
      <c r="N297" s="19"/>
      <c r="P297" s="19"/>
      <c r="Q297" s="20"/>
      <c r="R297" s="18"/>
      <c r="T297" s="19"/>
      <c r="V297" s="19"/>
      <c r="X297" s="19"/>
      <c r="Z297" s="19"/>
      <c r="AB297" s="19"/>
      <c r="AC297" s="20"/>
      <c r="AD297" s="21">
        <f t="shared" si="1"/>
        <v>0</v>
      </c>
      <c r="AE297" s="16">
        <f t="shared" si="2"/>
        <v>0</v>
      </c>
      <c r="AF297" s="16">
        <f t="shared" si="3"/>
        <v>0</v>
      </c>
      <c r="AG297" s="16">
        <f t="shared" si="4"/>
        <v>0</v>
      </c>
      <c r="AH297" s="37">
        <f t="shared" si="5"/>
        <v>0</v>
      </c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ht="15.75" customHeight="1">
      <c r="A298" s="23" t="s">
        <v>23</v>
      </c>
      <c r="B298" s="24">
        <f t="shared" si="6"/>
        <v>45587</v>
      </c>
      <c r="C298" s="25">
        <v>11.0</v>
      </c>
      <c r="D298" s="25" t="s">
        <v>30</v>
      </c>
      <c r="E298" s="22"/>
      <c r="F298" s="18"/>
      <c r="H298" s="19"/>
      <c r="J298" s="19"/>
      <c r="L298" s="19"/>
      <c r="N298" s="19"/>
      <c r="P298" s="19"/>
      <c r="Q298" s="20"/>
      <c r="R298" s="18"/>
      <c r="T298" s="19"/>
      <c r="V298" s="19"/>
      <c r="X298" s="19"/>
      <c r="Z298" s="19"/>
      <c r="AB298" s="19"/>
      <c r="AC298" s="20"/>
      <c r="AD298" s="26">
        <f t="shared" si="1"/>
        <v>0</v>
      </c>
      <c r="AE298" s="25">
        <f t="shared" si="2"/>
        <v>0</v>
      </c>
      <c r="AF298" s="25">
        <f t="shared" si="3"/>
        <v>0</v>
      </c>
      <c r="AG298" s="25">
        <f t="shared" si="4"/>
        <v>0</v>
      </c>
      <c r="AH298" s="27">
        <f t="shared" si="5"/>
        <v>0</v>
      </c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ht="15.75" customHeight="1">
      <c r="A299" s="23" t="s">
        <v>24</v>
      </c>
      <c r="B299" s="24">
        <f t="shared" si="6"/>
        <v>45588</v>
      </c>
      <c r="C299" s="25">
        <v>11.0</v>
      </c>
      <c r="D299" s="25" t="s">
        <v>30</v>
      </c>
      <c r="E299" s="22"/>
      <c r="F299" s="18"/>
      <c r="H299" s="19"/>
      <c r="J299" s="19"/>
      <c r="L299" s="19"/>
      <c r="N299" s="19"/>
      <c r="P299" s="19"/>
      <c r="Q299" s="20"/>
      <c r="R299" s="18"/>
      <c r="T299" s="19"/>
      <c r="V299" s="19"/>
      <c r="X299" s="19"/>
      <c r="Z299" s="19"/>
      <c r="AB299" s="19"/>
      <c r="AC299" s="20"/>
      <c r="AD299" s="26">
        <f t="shared" si="1"/>
        <v>0</v>
      </c>
      <c r="AE299" s="25">
        <f t="shared" si="2"/>
        <v>0</v>
      </c>
      <c r="AF299" s="25">
        <f t="shared" si="3"/>
        <v>0</v>
      </c>
      <c r="AG299" s="25">
        <f t="shared" si="4"/>
        <v>0</v>
      </c>
      <c r="AH299" s="27">
        <f t="shared" si="5"/>
        <v>0</v>
      </c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ht="15.75" customHeight="1">
      <c r="A300" s="23" t="s">
        <v>25</v>
      </c>
      <c r="B300" s="24">
        <f t="shared" si="6"/>
        <v>45589</v>
      </c>
      <c r="C300" s="25">
        <v>11.0</v>
      </c>
      <c r="D300" s="25" t="s">
        <v>30</v>
      </c>
      <c r="E300" s="22"/>
      <c r="F300" s="18"/>
      <c r="H300" s="19"/>
      <c r="J300" s="19"/>
      <c r="L300" s="19"/>
      <c r="N300" s="19"/>
      <c r="P300" s="19"/>
      <c r="Q300" s="20"/>
      <c r="R300" s="18"/>
      <c r="T300" s="19"/>
      <c r="V300" s="19"/>
      <c r="X300" s="19"/>
      <c r="Z300" s="19"/>
      <c r="AB300" s="19"/>
      <c r="AC300" s="20"/>
      <c r="AD300" s="26">
        <f t="shared" si="1"/>
        <v>0</v>
      </c>
      <c r="AE300" s="25">
        <f t="shared" si="2"/>
        <v>0</v>
      </c>
      <c r="AF300" s="25">
        <f t="shared" si="3"/>
        <v>0</v>
      </c>
      <c r="AG300" s="25">
        <f t="shared" si="4"/>
        <v>0</v>
      </c>
      <c r="AH300" s="27">
        <f t="shared" si="5"/>
        <v>0</v>
      </c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ht="15.75" customHeight="1">
      <c r="A301" s="23" t="s">
        <v>26</v>
      </c>
      <c r="B301" s="24">
        <f t="shared" si="6"/>
        <v>45590</v>
      </c>
      <c r="C301" s="25">
        <v>11.0</v>
      </c>
      <c r="D301" s="25" t="s">
        <v>30</v>
      </c>
      <c r="E301" s="22"/>
      <c r="F301" s="18"/>
      <c r="H301" s="19"/>
      <c r="J301" s="19"/>
      <c r="L301" s="19"/>
      <c r="N301" s="19"/>
      <c r="P301" s="19"/>
      <c r="Q301" s="20"/>
      <c r="R301" s="18"/>
      <c r="T301" s="19"/>
      <c r="V301" s="19"/>
      <c r="X301" s="19"/>
      <c r="Z301" s="19"/>
      <c r="AB301" s="19"/>
      <c r="AC301" s="20"/>
      <c r="AD301" s="26">
        <f t="shared" si="1"/>
        <v>0</v>
      </c>
      <c r="AE301" s="25">
        <f t="shared" si="2"/>
        <v>0</v>
      </c>
      <c r="AF301" s="25">
        <f t="shared" si="3"/>
        <v>0</v>
      </c>
      <c r="AG301" s="25">
        <f t="shared" si="4"/>
        <v>0</v>
      </c>
      <c r="AH301" s="27">
        <f t="shared" si="5"/>
        <v>0</v>
      </c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ht="15.75" customHeight="1">
      <c r="A302" s="23" t="s">
        <v>27</v>
      </c>
      <c r="B302" s="24">
        <f t="shared" si="6"/>
        <v>45591</v>
      </c>
      <c r="C302" s="25">
        <v>11.0</v>
      </c>
      <c r="D302" s="25" t="s">
        <v>30</v>
      </c>
      <c r="E302" s="22"/>
      <c r="F302" s="18"/>
      <c r="H302" s="19"/>
      <c r="J302" s="19"/>
      <c r="L302" s="19"/>
      <c r="N302" s="19"/>
      <c r="P302" s="19"/>
      <c r="Q302" s="20"/>
      <c r="R302" s="18"/>
      <c r="T302" s="19"/>
      <c r="V302" s="19"/>
      <c r="X302" s="19"/>
      <c r="Z302" s="19"/>
      <c r="AB302" s="19"/>
      <c r="AC302" s="20"/>
      <c r="AD302" s="26">
        <f t="shared" si="1"/>
        <v>0</v>
      </c>
      <c r="AE302" s="25">
        <f t="shared" si="2"/>
        <v>0</v>
      </c>
      <c r="AF302" s="25">
        <f t="shared" si="3"/>
        <v>0</v>
      </c>
      <c r="AG302" s="25">
        <f t="shared" si="4"/>
        <v>0</v>
      </c>
      <c r="AH302" s="27">
        <f t="shared" si="5"/>
        <v>0</v>
      </c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ht="15.75" customHeight="1">
      <c r="A303" s="28" t="s">
        <v>28</v>
      </c>
      <c r="B303" s="29">
        <f t="shared" si="6"/>
        <v>45592</v>
      </c>
      <c r="C303" s="30">
        <v>11.0</v>
      </c>
      <c r="D303" s="30" t="s">
        <v>30</v>
      </c>
      <c r="E303" s="31"/>
      <c r="F303" s="32"/>
      <c r="G303" s="7"/>
      <c r="H303" s="33"/>
      <c r="I303" s="7"/>
      <c r="J303" s="33"/>
      <c r="K303" s="7"/>
      <c r="L303" s="33"/>
      <c r="M303" s="7"/>
      <c r="N303" s="33"/>
      <c r="O303" s="7"/>
      <c r="P303" s="33"/>
      <c r="Q303" s="34"/>
      <c r="R303" s="32"/>
      <c r="S303" s="7"/>
      <c r="T303" s="33"/>
      <c r="U303" s="7"/>
      <c r="V303" s="33"/>
      <c r="W303" s="7"/>
      <c r="X303" s="33"/>
      <c r="Y303" s="7"/>
      <c r="Z303" s="33"/>
      <c r="AA303" s="7"/>
      <c r="AB303" s="33"/>
      <c r="AC303" s="34"/>
      <c r="AD303" s="35">
        <f t="shared" si="1"/>
        <v>0</v>
      </c>
      <c r="AE303" s="30">
        <f t="shared" si="2"/>
        <v>0</v>
      </c>
      <c r="AF303" s="30">
        <f t="shared" si="3"/>
        <v>0</v>
      </c>
      <c r="AG303" s="30">
        <f t="shared" si="4"/>
        <v>0</v>
      </c>
      <c r="AH303" s="36">
        <f t="shared" si="5"/>
        <v>0</v>
      </c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ht="15.75" customHeight="1">
      <c r="A304" s="14" t="s">
        <v>21</v>
      </c>
      <c r="B304" s="15">
        <f t="shared" si="6"/>
        <v>45593</v>
      </c>
      <c r="C304" s="16">
        <v>11.0</v>
      </c>
      <c r="D304" s="16" t="s">
        <v>31</v>
      </c>
      <c r="E304" s="17"/>
      <c r="F304" s="18"/>
      <c r="H304" s="19"/>
      <c r="J304" s="19"/>
      <c r="L304" s="19"/>
      <c r="N304" s="19"/>
      <c r="P304" s="19"/>
      <c r="Q304" s="20"/>
      <c r="R304" s="18"/>
      <c r="T304" s="19"/>
      <c r="V304" s="19"/>
      <c r="X304" s="19"/>
      <c r="Z304" s="19"/>
      <c r="AB304" s="19"/>
      <c r="AC304" s="20"/>
      <c r="AD304" s="21">
        <f t="shared" si="1"/>
        <v>0</v>
      </c>
      <c r="AE304" s="16">
        <f t="shared" si="2"/>
        <v>0</v>
      </c>
      <c r="AF304" s="16">
        <f t="shared" si="3"/>
        <v>0</v>
      </c>
      <c r="AG304" s="16">
        <f t="shared" si="4"/>
        <v>0</v>
      </c>
      <c r="AH304" s="37">
        <f t="shared" si="5"/>
        <v>0</v>
      </c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ht="15.75" customHeight="1">
      <c r="A305" s="23" t="s">
        <v>23</v>
      </c>
      <c r="B305" s="24">
        <f t="shared" si="6"/>
        <v>45594</v>
      </c>
      <c r="C305" s="25">
        <v>11.0</v>
      </c>
      <c r="D305" s="25" t="s">
        <v>31</v>
      </c>
      <c r="E305" s="22"/>
      <c r="F305" s="18"/>
      <c r="H305" s="19"/>
      <c r="J305" s="19"/>
      <c r="L305" s="19"/>
      <c r="N305" s="19"/>
      <c r="P305" s="19"/>
      <c r="Q305" s="20"/>
      <c r="R305" s="18"/>
      <c r="T305" s="19"/>
      <c r="V305" s="19"/>
      <c r="X305" s="19"/>
      <c r="Z305" s="19"/>
      <c r="AB305" s="19"/>
      <c r="AC305" s="20"/>
      <c r="AD305" s="26">
        <f t="shared" si="1"/>
        <v>0</v>
      </c>
      <c r="AE305" s="25">
        <f t="shared" si="2"/>
        <v>0</v>
      </c>
      <c r="AF305" s="25">
        <f t="shared" si="3"/>
        <v>0</v>
      </c>
      <c r="AG305" s="25">
        <f t="shared" si="4"/>
        <v>0</v>
      </c>
      <c r="AH305" s="27">
        <f t="shared" si="5"/>
        <v>0</v>
      </c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ht="15.75" customHeight="1">
      <c r="A306" s="23" t="s">
        <v>24</v>
      </c>
      <c r="B306" s="24">
        <f t="shared" si="6"/>
        <v>45595</v>
      </c>
      <c r="C306" s="25">
        <v>11.0</v>
      </c>
      <c r="D306" s="25" t="s">
        <v>31</v>
      </c>
      <c r="E306" s="22"/>
      <c r="F306" s="18"/>
      <c r="H306" s="19"/>
      <c r="J306" s="19"/>
      <c r="L306" s="19"/>
      <c r="N306" s="19"/>
      <c r="P306" s="19"/>
      <c r="Q306" s="20"/>
      <c r="R306" s="18"/>
      <c r="T306" s="19"/>
      <c r="V306" s="19"/>
      <c r="X306" s="19"/>
      <c r="Z306" s="19"/>
      <c r="AB306" s="19"/>
      <c r="AC306" s="20"/>
      <c r="AD306" s="26">
        <f t="shared" si="1"/>
        <v>0</v>
      </c>
      <c r="AE306" s="25">
        <f t="shared" si="2"/>
        <v>0</v>
      </c>
      <c r="AF306" s="25">
        <f t="shared" si="3"/>
        <v>0</v>
      </c>
      <c r="AG306" s="25">
        <f t="shared" si="4"/>
        <v>0</v>
      </c>
      <c r="AH306" s="27">
        <f t="shared" si="5"/>
        <v>0</v>
      </c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ht="15.75" customHeight="1">
      <c r="A307" s="23" t="s">
        <v>25</v>
      </c>
      <c r="B307" s="24">
        <f t="shared" si="6"/>
        <v>45596</v>
      </c>
      <c r="C307" s="25">
        <v>11.0</v>
      </c>
      <c r="D307" s="25" t="s">
        <v>31</v>
      </c>
      <c r="E307" s="22"/>
      <c r="F307" s="18"/>
      <c r="H307" s="19"/>
      <c r="J307" s="19"/>
      <c r="L307" s="19"/>
      <c r="N307" s="19"/>
      <c r="P307" s="19"/>
      <c r="Q307" s="20"/>
      <c r="R307" s="18"/>
      <c r="T307" s="19"/>
      <c r="V307" s="19"/>
      <c r="X307" s="19"/>
      <c r="Z307" s="19"/>
      <c r="AB307" s="19"/>
      <c r="AC307" s="20"/>
      <c r="AD307" s="26">
        <f t="shared" si="1"/>
        <v>0</v>
      </c>
      <c r="AE307" s="25">
        <f t="shared" si="2"/>
        <v>0</v>
      </c>
      <c r="AF307" s="25">
        <f t="shared" si="3"/>
        <v>0</v>
      </c>
      <c r="AG307" s="25">
        <f t="shared" si="4"/>
        <v>0</v>
      </c>
      <c r="AH307" s="27">
        <f t="shared" si="5"/>
        <v>0</v>
      </c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ht="15.75" customHeight="1">
      <c r="A308" s="23" t="s">
        <v>26</v>
      </c>
      <c r="B308" s="24">
        <f t="shared" si="6"/>
        <v>45597</v>
      </c>
      <c r="C308" s="25">
        <v>11.0</v>
      </c>
      <c r="D308" s="25" t="s">
        <v>31</v>
      </c>
      <c r="E308" s="22"/>
      <c r="F308" s="18"/>
      <c r="H308" s="19"/>
      <c r="J308" s="19"/>
      <c r="L308" s="19"/>
      <c r="N308" s="19"/>
      <c r="P308" s="19"/>
      <c r="Q308" s="20"/>
      <c r="R308" s="18"/>
      <c r="T308" s="19"/>
      <c r="V308" s="19"/>
      <c r="X308" s="19"/>
      <c r="Z308" s="19"/>
      <c r="AB308" s="19"/>
      <c r="AC308" s="20"/>
      <c r="AD308" s="26">
        <f t="shared" si="1"/>
        <v>0</v>
      </c>
      <c r="AE308" s="25">
        <f t="shared" si="2"/>
        <v>0</v>
      </c>
      <c r="AF308" s="25">
        <f t="shared" si="3"/>
        <v>0</v>
      </c>
      <c r="AG308" s="25">
        <f t="shared" si="4"/>
        <v>0</v>
      </c>
      <c r="AH308" s="27">
        <f t="shared" si="5"/>
        <v>0</v>
      </c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ht="15.75" customHeight="1">
      <c r="A309" s="23" t="s">
        <v>27</v>
      </c>
      <c r="B309" s="24">
        <f t="shared" si="6"/>
        <v>45598</v>
      </c>
      <c r="C309" s="25">
        <v>11.0</v>
      </c>
      <c r="D309" s="25" t="s">
        <v>31</v>
      </c>
      <c r="E309" s="22"/>
      <c r="F309" s="18"/>
      <c r="H309" s="19"/>
      <c r="J309" s="19"/>
      <c r="L309" s="19"/>
      <c r="N309" s="19"/>
      <c r="P309" s="19"/>
      <c r="Q309" s="20"/>
      <c r="R309" s="18"/>
      <c r="T309" s="19"/>
      <c r="V309" s="19"/>
      <c r="X309" s="19"/>
      <c r="Z309" s="19"/>
      <c r="AB309" s="19"/>
      <c r="AC309" s="20"/>
      <c r="AD309" s="26">
        <f t="shared" si="1"/>
        <v>0</v>
      </c>
      <c r="AE309" s="25">
        <f t="shared" si="2"/>
        <v>0</v>
      </c>
      <c r="AF309" s="25">
        <f t="shared" si="3"/>
        <v>0</v>
      </c>
      <c r="AG309" s="25">
        <f t="shared" si="4"/>
        <v>0</v>
      </c>
      <c r="AH309" s="27">
        <f t="shared" si="5"/>
        <v>0</v>
      </c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ht="15.75" customHeight="1">
      <c r="A310" s="28" t="s">
        <v>28</v>
      </c>
      <c r="B310" s="29">
        <f t="shared" si="6"/>
        <v>45599</v>
      </c>
      <c r="C310" s="30">
        <v>11.0</v>
      </c>
      <c r="D310" s="30" t="s">
        <v>31</v>
      </c>
      <c r="E310" s="31"/>
      <c r="F310" s="32"/>
      <c r="G310" s="7"/>
      <c r="H310" s="33"/>
      <c r="I310" s="7"/>
      <c r="J310" s="33"/>
      <c r="K310" s="7"/>
      <c r="L310" s="33"/>
      <c r="M310" s="7"/>
      <c r="N310" s="33"/>
      <c r="O310" s="7"/>
      <c r="P310" s="33"/>
      <c r="Q310" s="34"/>
      <c r="R310" s="32"/>
      <c r="S310" s="7"/>
      <c r="T310" s="33"/>
      <c r="U310" s="7"/>
      <c r="V310" s="33"/>
      <c r="W310" s="7"/>
      <c r="X310" s="33"/>
      <c r="Y310" s="7"/>
      <c r="Z310" s="33"/>
      <c r="AA310" s="7"/>
      <c r="AB310" s="33"/>
      <c r="AC310" s="34"/>
      <c r="AD310" s="35">
        <f t="shared" si="1"/>
        <v>0</v>
      </c>
      <c r="AE310" s="30">
        <f t="shared" si="2"/>
        <v>0</v>
      </c>
      <c r="AF310" s="30">
        <f t="shared" si="3"/>
        <v>0</v>
      </c>
      <c r="AG310" s="30">
        <f t="shared" si="4"/>
        <v>0</v>
      </c>
      <c r="AH310" s="36">
        <f t="shared" si="5"/>
        <v>0</v>
      </c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ht="15.75" customHeight="1">
      <c r="A311" s="14" t="s">
        <v>21</v>
      </c>
      <c r="B311" s="15">
        <f t="shared" si="6"/>
        <v>45600</v>
      </c>
      <c r="C311" s="16">
        <v>12.0</v>
      </c>
      <c r="D311" s="16" t="s">
        <v>22</v>
      </c>
      <c r="E311" s="17"/>
      <c r="F311" s="18"/>
      <c r="H311" s="19"/>
      <c r="J311" s="19"/>
      <c r="L311" s="19"/>
      <c r="N311" s="19"/>
      <c r="P311" s="19"/>
      <c r="Q311" s="20"/>
      <c r="R311" s="18"/>
      <c r="T311" s="19"/>
      <c r="V311" s="19"/>
      <c r="X311" s="19"/>
      <c r="Z311" s="19"/>
      <c r="AB311" s="19"/>
      <c r="AC311" s="20"/>
      <c r="AD311" s="21">
        <f t="shared" si="1"/>
        <v>0</v>
      </c>
      <c r="AE311" s="16">
        <f t="shared" si="2"/>
        <v>0</v>
      </c>
      <c r="AF311" s="16">
        <f t="shared" si="3"/>
        <v>0</v>
      </c>
      <c r="AG311" s="16">
        <f t="shared" si="4"/>
        <v>0</v>
      </c>
      <c r="AH311" s="37">
        <f t="shared" si="5"/>
        <v>0</v>
      </c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ht="15.75" customHeight="1">
      <c r="A312" s="23" t="s">
        <v>23</v>
      </c>
      <c r="B312" s="24">
        <f t="shared" si="6"/>
        <v>45601</v>
      </c>
      <c r="C312" s="25">
        <v>12.0</v>
      </c>
      <c r="D312" s="25" t="s">
        <v>22</v>
      </c>
      <c r="E312" s="22"/>
      <c r="F312" s="18"/>
      <c r="H312" s="19"/>
      <c r="J312" s="19"/>
      <c r="L312" s="19"/>
      <c r="N312" s="19"/>
      <c r="P312" s="19"/>
      <c r="Q312" s="20"/>
      <c r="R312" s="18"/>
      <c r="T312" s="19"/>
      <c r="V312" s="19"/>
      <c r="X312" s="19"/>
      <c r="Z312" s="19"/>
      <c r="AB312" s="19"/>
      <c r="AC312" s="20"/>
      <c r="AD312" s="26">
        <f t="shared" si="1"/>
        <v>0</v>
      </c>
      <c r="AE312" s="25">
        <f t="shared" si="2"/>
        <v>0</v>
      </c>
      <c r="AF312" s="25">
        <f t="shared" si="3"/>
        <v>0</v>
      </c>
      <c r="AG312" s="25">
        <f t="shared" si="4"/>
        <v>0</v>
      </c>
      <c r="AH312" s="27">
        <f t="shared" si="5"/>
        <v>0</v>
      </c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ht="15.75" customHeight="1">
      <c r="A313" s="23" t="s">
        <v>24</v>
      </c>
      <c r="B313" s="24">
        <f t="shared" si="6"/>
        <v>45602</v>
      </c>
      <c r="C313" s="25">
        <v>12.0</v>
      </c>
      <c r="D313" s="25" t="s">
        <v>22</v>
      </c>
      <c r="E313" s="22"/>
      <c r="F313" s="38"/>
      <c r="G313" s="39"/>
      <c r="H313" s="40"/>
      <c r="I313" s="39"/>
      <c r="J313" s="40"/>
      <c r="K313" s="39"/>
      <c r="L313" s="40"/>
      <c r="M313" s="39"/>
      <c r="N313" s="40"/>
      <c r="O313" s="39"/>
      <c r="P313" s="40"/>
      <c r="Q313" s="41"/>
      <c r="R313" s="38"/>
      <c r="S313" s="39"/>
      <c r="T313" s="40"/>
      <c r="U313" s="39"/>
      <c r="V313" s="40"/>
      <c r="W313" s="39"/>
      <c r="X313" s="40"/>
      <c r="Y313" s="39"/>
      <c r="Z313" s="40"/>
      <c r="AA313" s="39"/>
      <c r="AB313" s="40"/>
      <c r="AC313" s="41"/>
      <c r="AD313" s="42">
        <f t="shared" si="1"/>
        <v>0</v>
      </c>
      <c r="AE313" s="43">
        <f t="shared" si="2"/>
        <v>0</v>
      </c>
      <c r="AF313" s="25">
        <f t="shared" si="3"/>
        <v>0</v>
      </c>
      <c r="AG313" s="25">
        <f t="shared" si="4"/>
        <v>0</v>
      </c>
      <c r="AH313" s="27">
        <f t="shared" si="5"/>
        <v>0</v>
      </c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ht="15.75" customHeight="1">
      <c r="A314" s="23" t="s">
        <v>25</v>
      </c>
      <c r="B314" s="24">
        <f t="shared" si="6"/>
        <v>45603</v>
      </c>
      <c r="C314" s="25">
        <v>12.0</v>
      </c>
      <c r="D314" s="25" t="s">
        <v>22</v>
      </c>
      <c r="E314" s="22"/>
      <c r="F314" s="38"/>
      <c r="G314" s="39"/>
      <c r="H314" s="40"/>
      <c r="I314" s="39"/>
      <c r="J314" s="40"/>
      <c r="K314" s="39"/>
      <c r="L314" s="40"/>
      <c r="M314" s="39"/>
      <c r="N314" s="40"/>
      <c r="O314" s="39"/>
      <c r="P314" s="40"/>
      <c r="Q314" s="41"/>
      <c r="R314" s="38"/>
      <c r="S314" s="39"/>
      <c r="T314" s="40"/>
      <c r="U314" s="39"/>
      <c r="V314" s="40"/>
      <c r="W314" s="39"/>
      <c r="X314" s="40"/>
      <c r="Y314" s="39"/>
      <c r="Z314" s="40"/>
      <c r="AA314" s="39"/>
      <c r="AB314" s="40"/>
      <c r="AC314" s="41"/>
      <c r="AD314" s="42">
        <f t="shared" si="1"/>
        <v>0</v>
      </c>
      <c r="AE314" s="43">
        <f t="shared" si="2"/>
        <v>0</v>
      </c>
      <c r="AF314" s="25">
        <f t="shared" si="3"/>
        <v>0</v>
      </c>
      <c r="AG314" s="25">
        <f t="shared" si="4"/>
        <v>0</v>
      </c>
      <c r="AH314" s="27">
        <f t="shared" si="5"/>
        <v>0</v>
      </c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ht="15.75" customHeight="1">
      <c r="A315" s="23" t="s">
        <v>26</v>
      </c>
      <c r="B315" s="24">
        <f t="shared" si="6"/>
        <v>45604</v>
      </c>
      <c r="C315" s="25">
        <v>12.0</v>
      </c>
      <c r="D315" s="25" t="s">
        <v>22</v>
      </c>
      <c r="E315" s="22"/>
      <c r="F315" s="38"/>
      <c r="G315" s="39"/>
      <c r="H315" s="40"/>
      <c r="I315" s="39"/>
      <c r="J315" s="40"/>
      <c r="K315" s="39"/>
      <c r="L315" s="40"/>
      <c r="M315" s="39"/>
      <c r="N315" s="40"/>
      <c r="O315" s="39"/>
      <c r="P315" s="40"/>
      <c r="Q315" s="41"/>
      <c r="R315" s="38"/>
      <c r="S315" s="39"/>
      <c r="T315" s="40"/>
      <c r="U315" s="39"/>
      <c r="V315" s="40"/>
      <c r="W315" s="39"/>
      <c r="X315" s="40"/>
      <c r="Y315" s="39"/>
      <c r="Z315" s="40"/>
      <c r="AA315" s="39"/>
      <c r="AB315" s="40"/>
      <c r="AC315" s="41"/>
      <c r="AD315" s="42">
        <f t="shared" si="1"/>
        <v>0</v>
      </c>
      <c r="AE315" s="43">
        <f t="shared" si="2"/>
        <v>0</v>
      </c>
      <c r="AF315" s="25">
        <f t="shared" si="3"/>
        <v>0</v>
      </c>
      <c r="AG315" s="25">
        <f t="shared" si="4"/>
        <v>0</v>
      </c>
      <c r="AH315" s="27">
        <f t="shared" si="5"/>
        <v>0</v>
      </c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ht="15.75" customHeight="1">
      <c r="A316" s="23" t="s">
        <v>27</v>
      </c>
      <c r="B316" s="24">
        <f t="shared" si="6"/>
        <v>45605</v>
      </c>
      <c r="C316" s="25">
        <v>12.0</v>
      </c>
      <c r="D316" s="25" t="s">
        <v>22</v>
      </c>
      <c r="E316" s="22"/>
      <c r="F316" s="38"/>
      <c r="G316" s="39"/>
      <c r="H316" s="40"/>
      <c r="I316" s="39"/>
      <c r="J316" s="40"/>
      <c r="K316" s="39"/>
      <c r="L316" s="40"/>
      <c r="M316" s="39"/>
      <c r="N316" s="40"/>
      <c r="O316" s="39"/>
      <c r="P316" s="40"/>
      <c r="Q316" s="41"/>
      <c r="R316" s="38"/>
      <c r="S316" s="39"/>
      <c r="T316" s="40"/>
      <c r="U316" s="39"/>
      <c r="V316" s="40"/>
      <c r="W316" s="39"/>
      <c r="X316" s="40"/>
      <c r="Y316" s="39"/>
      <c r="Z316" s="40"/>
      <c r="AA316" s="39"/>
      <c r="AB316" s="40"/>
      <c r="AC316" s="41"/>
      <c r="AD316" s="42">
        <f t="shared" si="1"/>
        <v>0</v>
      </c>
      <c r="AE316" s="43">
        <f t="shared" si="2"/>
        <v>0</v>
      </c>
      <c r="AF316" s="25">
        <f t="shared" si="3"/>
        <v>0</v>
      </c>
      <c r="AG316" s="25">
        <f t="shared" si="4"/>
        <v>0</v>
      </c>
      <c r="AH316" s="27">
        <f t="shared" si="5"/>
        <v>0</v>
      </c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ht="15.75" customHeight="1">
      <c r="A317" s="28" t="s">
        <v>28</v>
      </c>
      <c r="B317" s="29">
        <f t="shared" si="6"/>
        <v>45606</v>
      </c>
      <c r="C317" s="30">
        <v>12.0</v>
      </c>
      <c r="D317" s="30" t="s">
        <v>22</v>
      </c>
      <c r="E317" s="31"/>
      <c r="F317" s="44"/>
      <c r="G317" s="45"/>
      <c r="H317" s="46"/>
      <c r="I317" s="45"/>
      <c r="J317" s="46"/>
      <c r="K317" s="45"/>
      <c r="L317" s="46"/>
      <c r="M317" s="45"/>
      <c r="N317" s="46"/>
      <c r="O317" s="45"/>
      <c r="P317" s="46"/>
      <c r="Q317" s="47"/>
      <c r="R317" s="44"/>
      <c r="S317" s="45"/>
      <c r="T317" s="46"/>
      <c r="U317" s="45"/>
      <c r="V317" s="46"/>
      <c r="W317" s="45"/>
      <c r="X317" s="46"/>
      <c r="Y317" s="45"/>
      <c r="Z317" s="46"/>
      <c r="AA317" s="45"/>
      <c r="AB317" s="46"/>
      <c r="AC317" s="47"/>
      <c r="AD317" s="48">
        <f t="shared" si="1"/>
        <v>0</v>
      </c>
      <c r="AE317" s="49">
        <f t="shared" si="2"/>
        <v>0</v>
      </c>
      <c r="AF317" s="30">
        <f t="shared" si="3"/>
        <v>0</v>
      </c>
      <c r="AG317" s="30">
        <f t="shared" si="4"/>
        <v>0</v>
      </c>
      <c r="AH317" s="36">
        <f t="shared" si="5"/>
        <v>0</v>
      </c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ht="15.75" customHeight="1">
      <c r="A318" s="14" t="s">
        <v>21</v>
      </c>
      <c r="B318" s="15">
        <f t="shared" si="6"/>
        <v>45607</v>
      </c>
      <c r="C318" s="16">
        <v>12.0</v>
      </c>
      <c r="D318" s="16" t="s">
        <v>29</v>
      </c>
      <c r="E318" s="17"/>
      <c r="F318" s="38"/>
      <c r="G318" s="39"/>
      <c r="H318" s="40"/>
      <c r="I318" s="39"/>
      <c r="J318" s="40"/>
      <c r="K318" s="39"/>
      <c r="L318" s="40"/>
      <c r="M318" s="39"/>
      <c r="N318" s="40"/>
      <c r="O318" s="39"/>
      <c r="P318" s="40"/>
      <c r="Q318" s="41"/>
      <c r="R318" s="38"/>
      <c r="S318" s="39"/>
      <c r="T318" s="40"/>
      <c r="U318" s="39"/>
      <c r="V318" s="40"/>
      <c r="W318" s="39"/>
      <c r="X318" s="40"/>
      <c r="Y318" s="39"/>
      <c r="Z318" s="40"/>
      <c r="AA318" s="39"/>
      <c r="AB318" s="40"/>
      <c r="AC318" s="41"/>
      <c r="AD318" s="50">
        <f t="shared" si="1"/>
        <v>0</v>
      </c>
      <c r="AE318" s="51">
        <f t="shared" si="2"/>
        <v>0</v>
      </c>
      <c r="AF318" s="16">
        <f t="shared" si="3"/>
        <v>0</v>
      </c>
      <c r="AG318" s="16">
        <f t="shared" si="4"/>
        <v>0</v>
      </c>
      <c r="AH318" s="37">
        <f t="shared" si="5"/>
        <v>0</v>
      </c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ht="15.75" customHeight="1">
      <c r="A319" s="23" t="s">
        <v>23</v>
      </c>
      <c r="B319" s="24">
        <f t="shared" si="6"/>
        <v>45608</v>
      </c>
      <c r="C319" s="25">
        <v>12.0</v>
      </c>
      <c r="D319" s="25" t="s">
        <v>29</v>
      </c>
      <c r="E319" s="22"/>
      <c r="F319" s="38"/>
      <c r="G319" s="39"/>
      <c r="H319" s="40"/>
      <c r="I319" s="39"/>
      <c r="J319" s="40"/>
      <c r="K319" s="39"/>
      <c r="L319" s="40"/>
      <c r="M319" s="39"/>
      <c r="N319" s="40"/>
      <c r="O319" s="39"/>
      <c r="P319" s="40"/>
      <c r="Q319" s="41"/>
      <c r="R319" s="38"/>
      <c r="S319" s="39"/>
      <c r="T319" s="40"/>
      <c r="U319" s="39"/>
      <c r="V319" s="40"/>
      <c r="W319" s="39"/>
      <c r="X319" s="40"/>
      <c r="Y319" s="39"/>
      <c r="Z319" s="40"/>
      <c r="AA319" s="39"/>
      <c r="AB319" s="40"/>
      <c r="AC319" s="41"/>
      <c r="AD319" s="42">
        <f t="shared" si="1"/>
        <v>0</v>
      </c>
      <c r="AE319" s="43">
        <f t="shared" si="2"/>
        <v>0</v>
      </c>
      <c r="AF319" s="25">
        <f t="shared" si="3"/>
        <v>0</v>
      </c>
      <c r="AG319" s="25">
        <f t="shared" si="4"/>
        <v>0</v>
      </c>
      <c r="AH319" s="27">
        <f t="shared" si="5"/>
        <v>0</v>
      </c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ht="15.75" customHeight="1">
      <c r="A320" s="23" t="s">
        <v>24</v>
      </c>
      <c r="B320" s="24">
        <f t="shared" si="6"/>
        <v>45609</v>
      </c>
      <c r="C320" s="25">
        <v>12.0</v>
      </c>
      <c r="D320" s="25" t="s">
        <v>29</v>
      </c>
      <c r="E320" s="22"/>
      <c r="F320" s="38"/>
      <c r="G320" s="39"/>
      <c r="H320" s="40"/>
      <c r="I320" s="39"/>
      <c r="J320" s="40"/>
      <c r="K320" s="39"/>
      <c r="L320" s="40"/>
      <c r="M320" s="39"/>
      <c r="N320" s="40"/>
      <c r="O320" s="39"/>
      <c r="P320" s="40"/>
      <c r="Q320" s="41"/>
      <c r="R320" s="38"/>
      <c r="S320" s="39"/>
      <c r="T320" s="40"/>
      <c r="U320" s="39"/>
      <c r="V320" s="40"/>
      <c r="W320" s="39"/>
      <c r="X320" s="40"/>
      <c r="Y320" s="39"/>
      <c r="Z320" s="40"/>
      <c r="AA320" s="39"/>
      <c r="AB320" s="40"/>
      <c r="AC320" s="41"/>
      <c r="AD320" s="42">
        <f t="shared" si="1"/>
        <v>0</v>
      </c>
      <c r="AE320" s="43">
        <f t="shared" si="2"/>
        <v>0</v>
      </c>
      <c r="AF320" s="25">
        <f t="shared" si="3"/>
        <v>0</v>
      </c>
      <c r="AG320" s="25">
        <f t="shared" si="4"/>
        <v>0</v>
      </c>
      <c r="AH320" s="27">
        <f t="shared" si="5"/>
        <v>0</v>
      </c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ht="15.75" customHeight="1">
      <c r="A321" s="23" t="s">
        <v>25</v>
      </c>
      <c r="B321" s="24">
        <f t="shared" si="6"/>
        <v>45610</v>
      </c>
      <c r="C321" s="25">
        <v>12.0</v>
      </c>
      <c r="D321" s="25" t="s">
        <v>29</v>
      </c>
      <c r="E321" s="22"/>
      <c r="F321" s="38"/>
      <c r="G321" s="39"/>
      <c r="H321" s="40"/>
      <c r="I321" s="39"/>
      <c r="J321" s="40"/>
      <c r="K321" s="39"/>
      <c r="L321" s="40"/>
      <c r="M321" s="39"/>
      <c r="N321" s="40"/>
      <c r="O321" s="39"/>
      <c r="P321" s="40"/>
      <c r="Q321" s="41"/>
      <c r="R321" s="38"/>
      <c r="S321" s="39"/>
      <c r="T321" s="40"/>
      <c r="U321" s="39"/>
      <c r="V321" s="40"/>
      <c r="W321" s="39"/>
      <c r="X321" s="40"/>
      <c r="Y321" s="39"/>
      <c r="Z321" s="40"/>
      <c r="AA321" s="39"/>
      <c r="AB321" s="40"/>
      <c r="AC321" s="41"/>
      <c r="AD321" s="42">
        <f t="shared" si="1"/>
        <v>0</v>
      </c>
      <c r="AE321" s="43">
        <f t="shared" si="2"/>
        <v>0</v>
      </c>
      <c r="AF321" s="25">
        <f t="shared" si="3"/>
        <v>0</v>
      </c>
      <c r="AG321" s="25">
        <f t="shared" si="4"/>
        <v>0</v>
      </c>
      <c r="AH321" s="27">
        <f t="shared" si="5"/>
        <v>0</v>
      </c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ht="15.75" customHeight="1">
      <c r="A322" s="23" t="s">
        <v>26</v>
      </c>
      <c r="B322" s="24">
        <f t="shared" si="6"/>
        <v>45611</v>
      </c>
      <c r="C322" s="25">
        <v>12.0</v>
      </c>
      <c r="D322" s="25" t="s">
        <v>29</v>
      </c>
      <c r="E322" s="22"/>
      <c r="F322" s="38"/>
      <c r="G322" s="39"/>
      <c r="H322" s="40"/>
      <c r="I322" s="39"/>
      <c r="J322" s="40"/>
      <c r="K322" s="39"/>
      <c r="L322" s="40"/>
      <c r="M322" s="39"/>
      <c r="N322" s="40"/>
      <c r="O322" s="39"/>
      <c r="P322" s="40"/>
      <c r="Q322" s="41"/>
      <c r="R322" s="38"/>
      <c r="S322" s="39"/>
      <c r="T322" s="40"/>
      <c r="U322" s="39"/>
      <c r="V322" s="40"/>
      <c r="W322" s="39"/>
      <c r="X322" s="40"/>
      <c r="Y322" s="39"/>
      <c r="Z322" s="40"/>
      <c r="AA322" s="39"/>
      <c r="AB322" s="40"/>
      <c r="AC322" s="41"/>
      <c r="AD322" s="42">
        <f t="shared" si="1"/>
        <v>0</v>
      </c>
      <c r="AE322" s="43">
        <f t="shared" si="2"/>
        <v>0</v>
      </c>
      <c r="AF322" s="25">
        <f t="shared" si="3"/>
        <v>0</v>
      </c>
      <c r="AG322" s="25">
        <f t="shared" si="4"/>
        <v>0</v>
      </c>
      <c r="AH322" s="27">
        <f t="shared" si="5"/>
        <v>0</v>
      </c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ht="15.75" customHeight="1">
      <c r="A323" s="23" t="s">
        <v>27</v>
      </c>
      <c r="B323" s="24">
        <f t="shared" si="6"/>
        <v>45612</v>
      </c>
      <c r="C323" s="25">
        <v>12.0</v>
      </c>
      <c r="D323" s="25" t="s">
        <v>29</v>
      </c>
      <c r="E323" s="22"/>
      <c r="F323" s="38"/>
      <c r="G323" s="39"/>
      <c r="H323" s="40"/>
      <c r="I323" s="39"/>
      <c r="J323" s="40"/>
      <c r="K323" s="39"/>
      <c r="L323" s="40"/>
      <c r="M323" s="39"/>
      <c r="N323" s="40"/>
      <c r="O323" s="39"/>
      <c r="P323" s="40"/>
      <c r="Q323" s="41"/>
      <c r="R323" s="38"/>
      <c r="S323" s="39"/>
      <c r="T323" s="40"/>
      <c r="U323" s="39"/>
      <c r="V323" s="40"/>
      <c r="W323" s="39"/>
      <c r="X323" s="40"/>
      <c r="Y323" s="39"/>
      <c r="Z323" s="40"/>
      <c r="AA323" s="39"/>
      <c r="AB323" s="40"/>
      <c r="AC323" s="41"/>
      <c r="AD323" s="42">
        <f t="shared" si="1"/>
        <v>0</v>
      </c>
      <c r="AE323" s="43">
        <f t="shared" si="2"/>
        <v>0</v>
      </c>
      <c r="AF323" s="25">
        <f t="shared" si="3"/>
        <v>0</v>
      </c>
      <c r="AG323" s="25">
        <f t="shared" si="4"/>
        <v>0</v>
      </c>
      <c r="AH323" s="27">
        <f t="shared" si="5"/>
        <v>0</v>
      </c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ht="15.75" customHeight="1">
      <c r="A324" s="28" t="s">
        <v>28</v>
      </c>
      <c r="B324" s="29">
        <f t="shared" si="6"/>
        <v>45613</v>
      </c>
      <c r="C324" s="30">
        <v>12.0</v>
      </c>
      <c r="D324" s="30" t="s">
        <v>29</v>
      </c>
      <c r="E324" s="31"/>
      <c r="F324" s="44"/>
      <c r="G324" s="45"/>
      <c r="H324" s="46"/>
      <c r="I324" s="45"/>
      <c r="J324" s="46"/>
      <c r="K324" s="45"/>
      <c r="L324" s="46"/>
      <c r="M324" s="45"/>
      <c r="N324" s="46"/>
      <c r="O324" s="45"/>
      <c r="P324" s="46"/>
      <c r="Q324" s="47"/>
      <c r="R324" s="44"/>
      <c r="S324" s="45"/>
      <c r="T324" s="46"/>
      <c r="U324" s="45"/>
      <c r="V324" s="46"/>
      <c r="W324" s="45"/>
      <c r="X324" s="46"/>
      <c r="Y324" s="45"/>
      <c r="Z324" s="46"/>
      <c r="AA324" s="45"/>
      <c r="AB324" s="46"/>
      <c r="AC324" s="47"/>
      <c r="AD324" s="48">
        <f t="shared" si="1"/>
        <v>0</v>
      </c>
      <c r="AE324" s="49">
        <f t="shared" si="2"/>
        <v>0</v>
      </c>
      <c r="AF324" s="30">
        <f t="shared" si="3"/>
        <v>0</v>
      </c>
      <c r="AG324" s="30">
        <f t="shared" si="4"/>
        <v>0</v>
      </c>
      <c r="AH324" s="36">
        <f t="shared" si="5"/>
        <v>0</v>
      </c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ht="15.75" customHeight="1">
      <c r="A325" s="14" t="s">
        <v>21</v>
      </c>
      <c r="B325" s="15">
        <f t="shared" si="6"/>
        <v>45614</v>
      </c>
      <c r="C325" s="16">
        <v>12.0</v>
      </c>
      <c r="D325" s="16" t="s">
        <v>30</v>
      </c>
      <c r="E325" s="17"/>
      <c r="F325" s="38"/>
      <c r="G325" s="39"/>
      <c r="H325" s="40"/>
      <c r="I325" s="39"/>
      <c r="J325" s="40"/>
      <c r="K325" s="39"/>
      <c r="L325" s="40"/>
      <c r="M325" s="39"/>
      <c r="N325" s="40"/>
      <c r="O325" s="39"/>
      <c r="P325" s="40"/>
      <c r="Q325" s="41"/>
      <c r="R325" s="38"/>
      <c r="S325" s="39"/>
      <c r="T325" s="40"/>
      <c r="U325" s="39"/>
      <c r="V325" s="40"/>
      <c r="W325" s="39"/>
      <c r="X325" s="40"/>
      <c r="Y325" s="39"/>
      <c r="Z325" s="40"/>
      <c r="AA325" s="39"/>
      <c r="AB325" s="40"/>
      <c r="AC325" s="41"/>
      <c r="AD325" s="50">
        <f t="shared" si="1"/>
        <v>0</v>
      </c>
      <c r="AE325" s="51">
        <f t="shared" si="2"/>
        <v>0</v>
      </c>
      <c r="AF325" s="16">
        <f t="shared" si="3"/>
        <v>0</v>
      </c>
      <c r="AG325" s="16">
        <f t="shared" si="4"/>
        <v>0</v>
      </c>
      <c r="AH325" s="37">
        <f t="shared" si="5"/>
        <v>0</v>
      </c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ht="15.75" customHeight="1">
      <c r="A326" s="23" t="s">
        <v>23</v>
      </c>
      <c r="B326" s="24">
        <f t="shared" si="6"/>
        <v>45615</v>
      </c>
      <c r="C326" s="25">
        <v>12.0</v>
      </c>
      <c r="D326" s="25" t="s">
        <v>30</v>
      </c>
      <c r="E326" s="22"/>
      <c r="F326" s="38"/>
      <c r="G326" s="39"/>
      <c r="H326" s="40"/>
      <c r="I326" s="39"/>
      <c r="J326" s="40"/>
      <c r="K326" s="39"/>
      <c r="L326" s="40"/>
      <c r="M326" s="39"/>
      <c r="N326" s="40"/>
      <c r="O326" s="39"/>
      <c r="P326" s="40"/>
      <c r="Q326" s="41"/>
      <c r="R326" s="38"/>
      <c r="S326" s="39"/>
      <c r="T326" s="40"/>
      <c r="U326" s="39"/>
      <c r="V326" s="40"/>
      <c r="W326" s="39"/>
      <c r="X326" s="40"/>
      <c r="Y326" s="39"/>
      <c r="Z326" s="40"/>
      <c r="AA326" s="39"/>
      <c r="AB326" s="40"/>
      <c r="AC326" s="41"/>
      <c r="AD326" s="42">
        <f t="shared" si="1"/>
        <v>0</v>
      </c>
      <c r="AE326" s="43">
        <f t="shared" si="2"/>
        <v>0</v>
      </c>
      <c r="AF326" s="25">
        <f t="shared" si="3"/>
        <v>0</v>
      </c>
      <c r="AG326" s="25">
        <f t="shared" si="4"/>
        <v>0</v>
      </c>
      <c r="AH326" s="27">
        <f t="shared" si="5"/>
        <v>0</v>
      </c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ht="15.75" customHeight="1">
      <c r="A327" s="23" t="s">
        <v>24</v>
      </c>
      <c r="B327" s="24">
        <f t="shared" si="6"/>
        <v>45616</v>
      </c>
      <c r="C327" s="25">
        <v>12.0</v>
      </c>
      <c r="D327" s="25" t="s">
        <v>30</v>
      </c>
      <c r="E327" s="22"/>
      <c r="F327" s="38"/>
      <c r="G327" s="39"/>
      <c r="H327" s="40"/>
      <c r="I327" s="39"/>
      <c r="J327" s="40"/>
      <c r="K327" s="39"/>
      <c r="L327" s="40"/>
      <c r="M327" s="39"/>
      <c r="N327" s="40"/>
      <c r="O327" s="39"/>
      <c r="P327" s="40"/>
      <c r="Q327" s="41"/>
      <c r="R327" s="38"/>
      <c r="S327" s="39"/>
      <c r="T327" s="40"/>
      <c r="U327" s="39"/>
      <c r="V327" s="40"/>
      <c r="W327" s="39"/>
      <c r="X327" s="40"/>
      <c r="Y327" s="39"/>
      <c r="Z327" s="40"/>
      <c r="AA327" s="39"/>
      <c r="AB327" s="40"/>
      <c r="AC327" s="41"/>
      <c r="AD327" s="42">
        <f t="shared" si="1"/>
        <v>0</v>
      </c>
      <c r="AE327" s="43">
        <f t="shared" si="2"/>
        <v>0</v>
      </c>
      <c r="AF327" s="25">
        <f t="shared" si="3"/>
        <v>0</v>
      </c>
      <c r="AG327" s="25">
        <f t="shared" si="4"/>
        <v>0</v>
      </c>
      <c r="AH327" s="27">
        <f t="shared" si="5"/>
        <v>0</v>
      </c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ht="15.75" customHeight="1">
      <c r="A328" s="23" t="s">
        <v>25</v>
      </c>
      <c r="B328" s="24">
        <f t="shared" si="6"/>
        <v>45617</v>
      </c>
      <c r="C328" s="25">
        <v>12.0</v>
      </c>
      <c r="D328" s="25" t="s">
        <v>30</v>
      </c>
      <c r="E328" s="22"/>
      <c r="F328" s="18"/>
      <c r="H328" s="19"/>
      <c r="J328" s="19"/>
      <c r="L328" s="19"/>
      <c r="N328" s="19"/>
      <c r="P328" s="19"/>
      <c r="Q328" s="20"/>
      <c r="R328" s="18"/>
      <c r="T328" s="19"/>
      <c r="V328" s="19"/>
      <c r="X328" s="19"/>
      <c r="Z328" s="19"/>
      <c r="AB328" s="19"/>
      <c r="AC328" s="20"/>
      <c r="AD328" s="26">
        <f t="shared" si="1"/>
        <v>0</v>
      </c>
      <c r="AE328" s="25">
        <f t="shared" si="2"/>
        <v>0</v>
      </c>
      <c r="AF328" s="25">
        <f t="shared" si="3"/>
        <v>0</v>
      </c>
      <c r="AG328" s="25">
        <f t="shared" si="4"/>
        <v>0</v>
      </c>
      <c r="AH328" s="27">
        <f t="shared" si="5"/>
        <v>0</v>
      </c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ht="15.75" customHeight="1">
      <c r="A329" s="23" t="s">
        <v>26</v>
      </c>
      <c r="B329" s="24">
        <f t="shared" si="6"/>
        <v>45618</v>
      </c>
      <c r="C329" s="25">
        <v>12.0</v>
      </c>
      <c r="D329" s="25" t="s">
        <v>30</v>
      </c>
      <c r="E329" s="22"/>
      <c r="F329" s="18"/>
      <c r="H329" s="19"/>
      <c r="J329" s="19"/>
      <c r="L329" s="19"/>
      <c r="N329" s="19"/>
      <c r="P329" s="19"/>
      <c r="Q329" s="20"/>
      <c r="R329" s="18"/>
      <c r="T329" s="19"/>
      <c r="V329" s="19"/>
      <c r="X329" s="19"/>
      <c r="Z329" s="19"/>
      <c r="AB329" s="19"/>
      <c r="AC329" s="20"/>
      <c r="AD329" s="26">
        <f t="shared" si="1"/>
        <v>0</v>
      </c>
      <c r="AE329" s="25">
        <f t="shared" si="2"/>
        <v>0</v>
      </c>
      <c r="AF329" s="25">
        <f t="shared" si="3"/>
        <v>0</v>
      </c>
      <c r="AG329" s="25">
        <f t="shared" si="4"/>
        <v>0</v>
      </c>
      <c r="AH329" s="27">
        <f t="shared" si="5"/>
        <v>0</v>
      </c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ht="15.75" customHeight="1">
      <c r="A330" s="23" t="s">
        <v>27</v>
      </c>
      <c r="B330" s="24">
        <f t="shared" si="6"/>
        <v>45619</v>
      </c>
      <c r="C330" s="25">
        <v>12.0</v>
      </c>
      <c r="D330" s="25" t="s">
        <v>30</v>
      </c>
      <c r="E330" s="22"/>
      <c r="F330" s="18"/>
      <c r="H330" s="19"/>
      <c r="J330" s="19"/>
      <c r="L330" s="19"/>
      <c r="N330" s="19"/>
      <c r="P330" s="19"/>
      <c r="Q330" s="20"/>
      <c r="R330" s="18"/>
      <c r="T330" s="19"/>
      <c r="V330" s="19"/>
      <c r="X330" s="19"/>
      <c r="Z330" s="19"/>
      <c r="AB330" s="19"/>
      <c r="AC330" s="20"/>
      <c r="AD330" s="26">
        <f t="shared" si="1"/>
        <v>0</v>
      </c>
      <c r="AE330" s="25">
        <f t="shared" si="2"/>
        <v>0</v>
      </c>
      <c r="AF330" s="25">
        <f t="shared" si="3"/>
        <v>0</v>
      </c>
      <c r="AG330" s="25">
        <f t="shared" si="4"/>
        <v>0</v>
      </c>
      <c r="AH330" s="27">
        <f t="shared" si="5"/>
        <v>0</v>
      </c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ht="15.75" customHeight="1">
      <c r="A331" s="28" t="s">
        <v>28</v>
      </c>
      <c r="B331" s="29">
        <f t="shared" si="6"/>
        <v>45620</v>
      </c>
      <c r="C331" s="30">
        <v>12.0</v>
      </c>
      <c r="D331" s="30" t="s">
        <v>30</v>
      </c>
      <c r="E331" s="31"/>
      <c r="F331" s="32"/>
      <c r="G331" s="7"/>
      <c r="H331" s="33"/>
      <c r="I331" s="7"/>
      <c r="J331" s="33"/>
      <c r="K331" s="7"/>
      <c r="L331" s="33"/>
      <c r="M331" s="7"/>
      <c r="N331" s="33"/>
      <c r="O331" s="7"/>
      <c r="P331" s="33"/>
      <c r="Q331" s="34"/>
      <c r="R331" s="32"/>
      <c r="S331" s="7"/>
      <c r="T331" s="33"/>
      <c r="U331" s="7"/>
      <c r="V331" s="33"/>
      <c r="W331" s="7"/>
      <c r="X331" s="33"/>
      <c r="Y331" s="7"/>
      <c r="Z331" s="33"/>
      <c r="AA331" s="7"/>
      <c r="AB331" s="33"/>
      <c r="AC331" s="34"/>
      <c r="AD331" s="35">
        <f t="shared" si="1"/>
        <v>0</v>
      </c>
      <c r="AE331" s="30">
        <f t="shared" si="2"/>
        <v>0</v>
      </c>
      <c r="AF331" s="30">
        <f t="shared" si="3"/>
        <v>0</v>
      </c>
      <c r="AG331" s="30">
        <f t="shared" si="4"/>
        <v>0</v>
      </c>
      <c r="AH331" s="36">
        <f t="shared" si="5"/>
        <v>0</v>
      </c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ht="15.75" customHeight="1">
      <c r="A332" s="14" t="s">
        <v>21</v>
      </c>
      <c r="B332" s="15">
        <f t="shared" si="6"/>
        <v>45621</v>
      </c>
      <c r="C332" s="16">
        <v>12.0</v>
      </c>
      <c r="D332" s="16" t="s">
        <v>31</v>
      </c>
      <c r="E332" s="17"/>
      <c r="F332" s="18"/>
      <c r="H332" s="19"/>
      <c r="J332" s="19"/>
      <c r="L332" s="19"/>
      <c r="N332" s="19"/>
      <c r="P332" s="19"/>
      <c r="Q332" s="20"/>
      <c r="R332" s="18"/>
      <c r="T332" s="19"/>
      <c r="V332" s="19"/>
      <c r="X332" s="19"/>
      <c r="Z332" s="19"/>
      <c r="AB332" s="19"/>
      <c r="AC332" s="20"/>
      <c r="AD332" s="21">
        <f t="shared" si="1"/>
        <v>0</v>
      </c>
      <c r="AE332" s="16">
        <f t="shared" si="2"/>
        <v>0</v>
      </c>
      <c r="AF332" s="16">
        <f t="shared" si="3"/>
        <v>0</v>
      </c>
      <c r="AG332" s="16">
        <f t="shared" si="4"/>
        <v>0</v>
      </c>
      <c r="AH332" s="37">
        <f t="shared" si="5"/>
        <v>0</v>
      </c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ht="15.75" customHeight="1">
      <c r="A333" s="23" t="s">
        <v>23</v>
      </c>
      <c r="B333" s="24">
        <f t="shared" si="6"/>
        <v>45622</v>
      </c>
      <c r="C333" s="25">
        <v>12.0</v>
      </c>
      <c r="D333" s="25" t="s">
        <v>31</v>
      </c>
      <c r="E333" s="22"/>
      <c r="F333" s="18"/>
      <c r="H333" s="19"/>
      <c r="J333" s="19"/>
      <c r="L333" s="19"/>
      <c r="N333" s="19"/>
      <c r="P333" s="19"/>
      <c r="Q333" s="20"/>
      <c r="R333" s="18"/>
      <c r="T333" s="19"/>
      <c r="V333" s="19"/>
      <c r="X333" s="19"/>
      <c r="Z333" s="19"/>
      <c r="AB333" s="19"/>
      <c r="AC333" s="20"/>
      <c r="AD333" s="26">
        <f t="shared" si="1"/>
        <v>0</v>
      </c>
      <c r="AE333" s="25">
        <f t="shared" si="2"/>
        <v>0</v>
      </c>
      <c r="AF333" s="25">
        <f t="shared" si="3"/>
        <v>0</v>
      </c>
      <c r="AG333" s="25">
        <f t="shared" si="4"/>
        <v>0</v>
      </c>
      <c r="AH333" s="27">
        <f t="shared" si="5"/>
        <v>0</v>
      </c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ht="15.75" customHeight="1">
      <c r="A334" s="23" t="s">
        <v>24</v>
      </c>
      <c r="B334" s="24">
        <f t="shared" si="6"/>
        <v>45623</v>
      </c>
      <c r="C334" s="25">
        <v>12.0</v>
      </c>
      <c r="D334" s="25" t="s">
        <v>31</v>
      </c>
      <c r="E334" s="22"/>
      <c r="F334" s="18"/>
      <c r="H334" s="19"/>
      <c r="J334" s="19"/>
      <c r="L334" s="19"/>
      <c r="N334" s="19"/>
      <c r="P334" s="19"/>
      <c r="Q334" s="20"/>
      <c r="R334" s="18"/>
      <c r="T334" s="19"/>
      <c r="V334" s="19"/>
      <c r="X334" s="19"/>
      <c r="Z334" s="19"/>
      <c r="AB334" s="19"/>
      <c r="AC334" s="20"/>
      <c r="AD334" s="26">
        <f t="shared" si="1"/>
        <v>0</v>
      </c>
      <c r="AE334" s="25">
        <f t="shared" si="2"/>
        <v>0</v>
      </c>
      <c r="AF334" s="25">
        <f t="shared" si="3"/>
        <v>0</v>
      </c>
      <c r="AG334" s="25">
        <f t="shared" si="4"/>
        <v>0</v>
      </c>
      <c r="AH334" s="27">
        <f t="shared" si="5"/>
        <v>0</v>
      </c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ht="15.75" customHeight="1">
      <c r="A335" s="23" t="s">
        <v>25</v>
      </c>
      <c r="B335" s="24">
        <f t="shared" si="6"/>
        <v>45624</v>
      </c>
      <c r="C335" s="25">
        <v>12.0</v>
      </c>
      <c r="D335" s="25" t="s">
        <v>31</v>
      </c>
      <c r="E335" s="22"/>
      <c r="F335" s="18"/>
      <c r="H335" s="19"/>
      <c r="J335" s="19"/>
      <c r="L335" s="19"/>
      <c r="N335" s="19"/>
      <c r="P335" s="19"/>
      <c r="Q335" s="20"/>
      <c r="R335" s="18"/>
      <c r="T335" s="19"/>
      <c r="V335" s="19"/>
      <c r="X335" s="19"/>
      <c r="Z335" s="19"/>
      <c r="AB335" s="19"/>
      <c r="AC335" s="20"/>
      <c r="AD335" s="26">
        <f t="shared" si="1"/>
        <v>0</v>
      </c>
      <c r="AE335" s="25">
        <f t="shared" si="2"/>
        <v>0</v>
      </c>
      <c r="AF335" s="25">
        <f t="shared" si="3"/>
        <v>0</v>
      </c>
      <c r="AG335" s="25">
        <f t="shared" si="4"/>
        <v>0</v>
      </c>
      <c r="AH335" s="27">
        <f t="shared" si="5"/>
        <v>0</v>
      </c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ht="15.75" customHeight="1">
      <c r="A336" s="23" t="s">
        <v>26</v>
      </c>
      <c r="B336" s="24">
        <f t="shared" si="6"/>
        <v>45625</v>
      </c>
      <c r="C336" s="25">
        <v>12.0</v>
      </c>
      <c r="D336" s="25" t="s">
        <v>31</v>
      </c>
      <c r="E336" s="22"/>
      <c r="F336" s="18"/>
      <c r="H336" s="19"/>
      <c r="J336" s="19"/>
      <c r="L336" s="19"/>
      <c r="N336" s="19"/>
      <c r="P336" s="19"/>
      <c r="Q336" s="20"/>
      <c r="R336" s="18"/>
      <c r="T336" s="19"/>
      <c r="V336" s="19"/>
      <c r="X336" s="19"/>
      <c r="Z336" s="19"/>
      <c r="AB336" s="19"/>
      <c r="AC336" s="20"/>
      <c r="AD336" s="26">
        <f t="shared" si="1"/>
        <v>0</v>
      </c>
      <c r="AE336" s="25">
        <f t="shared" si="2"/>
        <v>0</v>
      </c>
      <c r="AF336" s="25">
        <f t="shared" si="3"/>
        <v>0</v>
      </c>
      <c r="AG336" s="25">
        <f t="shared" si="4"/>
        <v>0</v>
      </c>
      <c r="AH336" s="27">
        <f t="shared" si="5"/>
        <v>0</v>
      </c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ht="15.75" customHeight="1">
      <c r="A337" s="23" t="s">
        <v>27</v>
      </c>
      <c r="B337" s="24">
        <f t="shared" si="6"/>
        <v>45626</v>
      </c>
      <c r="C337" s="25">
        <v>12.0</v>
      </c>
      <c r="D337" s="25" t="s">
        <v>31</v>
      </c>
      <c r="E337" s="22"/>
      <c r="F337" s="18"/>
      <c r="H337" s="19"/>
      <c r="J337" s="19"/>
      <c r="L337" s="19"/>
      <c r="N337" s="19"/>
      <c r="P337" s="19"/>
      <c r="Q337" s="20"/>
      <c r="R337" s="18"/>
      <c r="T337" s="19"/>
      <c r="V337" s="19"/>
      <c r="X337" s="19"/>
      <c r="Z337" s="19"/>
      <c r="AB337" s="19"/>
      <c r="AC337" s="20"/>
      <c r="AD337" s="26">
        <f t="shared" si="1"/>
        <v>0</v>
      </c>
      <c r="AE337" s="25">
        <f t="shared" si="2"/>
        <v>0</v>
      </c>
      <c r="AF337" s="25">
        <f t="shared" si="3"/>
        <v>0</v>
      </c>
      <c r="AG337" s="25">
        <f t="shared" si="4"/>
        <v>0</v>
      </c>
      <c r="AH337" s="27">
        <f t="shared" si="5"/>
        <v>0</v>
      </c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ht="15.75" customHeight="1">
      <c r="A338" s="28" t="s">
        <v>28</v>
      </c>
      <c r="B338" s="29">
        <f t="shared" si="6"/>
        <v>45627</v>
      </c>
      <c r="C338" s="30">
        <v>12.0</v>
      </c>
      <c r="D338" s="30" t="s">
        <v>31</v>
      </c>
      <c r="E338" s="31"/>
      <c r="F338" s="32"/>
      <c r="G338" s="7"/>
      <c r="H338" s="33"/>
      <c r="I338" s="7"/>
      <c r="J338" s="33"/>
      <c r="K338" s="7"/>
      <c r="L338" s="33"/>
      <c r="M338" s="7"/>
      <c r="N338" s="33"/>
      <c r="O338" s="7"/>
      <c r="P338" s="33"/>
      <c r="Q338" s="34"/>
      <c r="R338" s="32"/>
      <c r="S338" s="7"/>
      <c r="T338" s="33"/>
      <c r="U338" s="7"/>
      <c r="V338" s="33"/>
      <c r="W338" s="7"/>
      <c r="X338" s="33"/>
      <c r="Y338" s="7"/>
      <c r="Z338" s="33"/>
      <c r="AA338" s="7"/>
      <c r="AB338" s="33"/>
      <c r="AC338" s="34"/>
      <c r="AD338" s="35">
        <f t="shared" si="1"/>
        <v>0</v>
      </c>
      <c r="AE338" s="30">
        <f t="shared" si="2"/>
        <v>0</v>
      </c>
      <c r="AF338" s="30">
        <f t="shared" si="3"/>
        <v>0</v>
      </c>
      <c r="AG338" s="30">
        <f t="shared" si="4"/>
        <v>0</v>
      </c>
      <c r="AH338" s="36">
        <f t="shared" si="5"/>
        <v>0</v>
      </c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ht="15.75" customHeight="1">
      <c r="A339" s="14" t="s">
        <v>21</v>
      </c>
      <c r="B339" s="15">
        <f t="shared" si="6"/>
        <v>45628</v>
      </c>
      <c r="C339" s="16">
        <v>13.0</v>
      </c>
      <c r="D339" s="16" t="s">
        <v>29</v>
      </c>
      <c r="E339" s="17"/>
      <c r="F339" s="18"/>
      <c r="H339" s="19"/>
      <c r="J339" s="19"/>
      <c r="L339" s="19"/>
      <c r="N339" s="19"/>
      <c r="P339" s="19"/>
      <c r="Q339" s="20"/>
      <c r="R339" s="18"/>
      <c r="T339" s="19"/>
      <c r="V339" s="19"/>
      <c r="X339" s="19"/>
      <c r="Z339" s="19"/>
      <c r="AB339" s="19"/>
      <c r="AC339" s="20"/>
      <c r="AD339" s="21">
        <f t="shared" si="1"/>
        <v>0</v>
      </c>
      <c r="AE339" s="16">
        <f t="shared" si="2"/>
        <v>0</v>
      </c>
      <c r="AF339" s="16">
        <f t="shared" si="3"/>
        <v>0</v>
      </c>
      <c r="AG339" s="16">
        <f t="shared" si="4"/>
        <v>0</v>
      </c>
      <c r="AH339" s="37">
        <f t="shared" si="5"/>
        <v>0</v>
      </c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ht="15.75" customHeight="1">
      <c r="A340" s="23" t="s">
        <v>23</v>
      </c>
      <c r="B340" s="24">
        <f t="shared" si="6"/>
        <v>45629</v>
      </c>
      <c r="C340" s="25">
        <v>13.0</v>
      </c>
      <c r="D340" s="25" t="s">
        <v>29</v>
      </c>
      <c r="E340" s="22"/>
      <c r="F340" s="18"/>
      <c r="H340" s="19"/>
      <c r="J340" s="19"/>
      <c r="L340" s="19"/>
      <c r="N340" s="19"/>
      <c r="P340" s="19"/>
      <c r="Q340" s="20"/>
      <c r="R340" s="18"/>
      <c r="T340" s="19"/>
      <c r="V340" s="19"/>
      <c r="X340" s="19"/>
      <c r="Z340" s="19"/>
      <c r="AB340" s="19"/>
      <c r="AC340" s="20"/>
      <c r="AD340" s="26">
        <f t="shared" si="1"/>
        <v>0</v>
      </c>
      <c r="AE340" s="25">
        <f t="shared" si="2"/>
        <v>0</v>
      </c>
      <c r="AF340" s="25">
        <f t="shared" si="3"/>
        <v>0</v>
      </c>
      <c r="AG340" s="25">
        <f t="shared" si="4"/>
        <v>0</v>
      </c>
      <c r="AH340" s="27">
        <f t="shared" si="5"/>
        <v>0</v>
      </c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ht="15.75" customHeight="1">
      <c r="A341" s="23" t="s">
        <v>24</v>
      </c>
      <c r="B341" s="24">
        <f t="shared" si="6"/>
        <v>45630</v>
      </c>
      <c r="C341" s="25">
        <v>13.0</v>
      </c>
      <c r="D341" s="25" t="s">
        <v>29</v>
      </c>
      <c r="E341" s="22"/>
      <c r="F341" s="18"/>
      <c r="H341" s="19"/>
      <c r="J341" s="19"/>
      <c r="L341" s="19"/>
      <c r="N341" s="19"/>
      <c r="P341" s="19"/>
      <c r="Q341" s="20"/>
      <c r="R341" s="18"/>
      <c r="T341" s="19"/>
      <c r="V341" s="19"/>
      <c r="X341" s="19"/>
      <c r="Z341" s="19"/>
      <c r="AB341" s="19"/>
      <c r="AC341" s="20"/>
      <c r="AD341" s="26">
        <f t="shared" si="1"/>
        <v>0</v>
      </c>
      <c r="AE341" s="25">
        <f t="shared" si="2"/>
        <v>0</v>
      </c>
      <c r="AF341" s="25">
        <f t="shared" si="3"/>
        <v>0</v>
      </c>
      <c r="AG341" s="25">
        <f t="shared" si="4"/>
        <v>0</v>
      </c>
      <c r="AH341" s="27">
        <f t="shared" si="5"/>
        <v>0</v>
      </c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ht="15.75" customHeight="1">
      <c r="A342" s="23" t="s">
        <v>25</v>
      </c>
      <c r="B342" s="24">
        <f t="shared" si="6"/>
        <v>45631</v>
      </c>
      <c r="C342" s="25">
        <v>13.0</v>
      </c>
      <c r="D342" s="25" t="s">
        <v>29</v>
      </c>
      <c r="E342" s="22"/>
      <c r="F342" s="18"/>
      <c r="H342" s="19"/>
      <c r="J342" s="19"/>
      <c r="L342" s="19"/>
      <c r="N342" s="19"/>
      <c r="P342" s="19"/>
      <c r="Q342" s="20"/>
      <c r="R342" s="18"/>
      <c r="T342" s="19"/>
      <c r="V342" s="19"/>
      <c r="X342" s="19"/>
      <c r="Z342" s="19"/>
      <c r="AB342" s="19"/>
      <c r="AC342" s="20"/>
      <c r="AD342" s="26">
        <f t="shared" si="1"/>
        <v>0</v>
      </c>
      <c r="AE342" s="25">
        <f t="shared" si="2"/>
        <v>0</v>
      </c>
      <c r="AF342" s="25">
        <f t="shared" si="3"/>
        <v>0</v>
      </c>
      <c r="AG342" s="25">
        <f t="shared" si="4"/>
        <v>0</v>
      </c>
      <c r="AH342" s="27">
        <f t="shared" si="5"/>
        <v>0</v>
      </c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ht="15.75" customHeight="1">
      <c r="A343" s="23" t="s">
        <v>26</v>
      </c>
      <c r="B343" s="24">
        <f t="shared" si="6"/>
        <v>45632</v>
      </c>
      <c r="C343" s="25">
        <v>13.0</v>
      </c>
      <c r="D343" s="25" t="s">
        <v>29</v>
      </c>
      <c r="E343" s="22"/>
      <c r="F343" s="18"/>
      <c r="H343" s="19"/>
      <c r="J343" s="19"/>
      <c r="L343" s="19"/>
      <c r="N343" s="19"/>
      <c r="P343" s="19"/>
      <c r="Q343" s="20"/>
      <c r="R343" s="18"/>
      <c r="T343" s="19"/>
      <c r="V343" s="19"/>
      <c r="X343" s="19"/>
      <c r="Z343" s="19"/>
      <c r="AB343" s="19"/>
      <c r="AC343" s="20"/>
      <c r="AD343" s="26">
        <f t="shared" si="1"/>
        <v>0</v>
      </c>
      <c r="AE343" s="25">
        <f t="shared" si="2"/>
        <v>0</v>
      </c>
      <c r="AF343" s="25">
        <f t="shared" si="3"/>
        <v>0</v>
      </c>
      <c r="AG343" s="25">
        <f t="shared" si="4"/>
        <v>0</v>
      </c>
      <c r="AH343" s="27">
        <f t="shared" si="5"/>
        <v>0</v>
      </c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ht="15.75" customHeight="1">
      <c r="A344" s="23" t="s">
        <v>27</v>
      </c>
      <c r="B344" s="24">
        <f t="shared" si="6"/>
        <v>45633</v>
      </c>
      <c r="C344" s="25">
        <v>13.0</v>
      </c>
      <c r="D344" s="25" t="s">
        <v>29</v>
      </c>
      <c r="E344" s="22"/>
      <c r="F344" s="18"/>
      <c r="H344" s="19"/>
      <c r="J344" s="19"/>
      <c r="L344" s="19"/>
      <c r="N344" s="19"/>
      <c r="P344" s="19"/>
      <c r="Q344" s="20"/>
      <c r="R344" s="18"/>
      <c r="T344" s="19"/>
      <c r="V344" s="19"/>
      <c r="X344" s="19"/>
      <c r="Z344" s="19"/>
      <c r="AB344" s="19"/>
      <c r="AC344" s="20"/>
      <c r="AD344" s="26">
        <f t="shared" si="1"/>
        <v>0</v>
      </c>
      <c r="AE344" s="25">
        <f t="shared" si="2"/>
        <v>0</v>
      </c>
      <c r="AF344" s="25">
        <f t="shared" si="3"/>
        <v>0</v>
      </c>
      <c r="AG344" s="25">
        <f t="shared" si="4"/>
        <v>0</v>
      </c>
      <c r="AH344" s="27">
        <f t="shared" si="5"/>
        <v>0</v>
      </c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ht="15.75" customHeight="1">
      <c r="A345" s="28" t="s">
        <v>28</v>
      </c>
      <c r="B345" s="29">
        <f t="shared" si="6"/>
        <v>45634</v>
      </c>
      <c r="C345" s="30">
        <v>13.0</v>
      </c>
      <c r="D345" s="30" t="s">
        <v>29</v>
      </c>
      <c r="E345" s="31"/>
      <c r="F345" s="32"/>
      <c r="G345" s="7"/>
      <c r="H345" s="33"/>
      <c r="I345" s="7"/>
      <c r="J345" s="33"/>
      <c r="K345" s="7"/>
      <c r="L345" s="33"/>
      <c r="M345" s="7"/>
      <c r="N345" s="33"/>
      <c r="O345" s="7"/>
      <c r="P345" s="33"/>
      <c r="Q345" s="34"/>
      <c r="R345" s="32"/>
      <c r="S345" s="7"/>
      <c r="T345" s="33"/>
      <c r="U345" s="7"/>
      <c r="V345" s="33"/>
      <c r="W345" s="7"/>
      <c r="X345" s="33"/>
      <c r="Y345" s="7"/>
      <c r="Z345" s="33"/>
      <c r="AA345" s="7"/>
      <c r="AB345" s="33"/>
      <c r="AC345" s="34"/>
      <c r="AD345" s="35">
        <f t="shared" si="1"/>
        <v>0</v>
      </c>
      <c r="AE345" s="30">
        <f t="shared" si="2"/>
        <v>0</v>
      </c>
      <c r="AF345" s="30">
        <f t="shared" si="3"/>
        <v>0</v>
      </c>
      <c r="AG345" s="30">
        <f t="shared" si="4"/>
        <v>0</v>
      </c>
      <c r="AH345" s="36">
        <f t="shared" si="5"/>
        <v>0</v>
      </c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ht="15.75" customHeight="1">
      <c r="A346" s="14" t="s">
        <v>21</v>
      </c>
      <c r="B346" s="15">
        <f t="shared" si="6"/>
        <v>45635</v>
      </c>
      <c r="C346" s="16">
        <v>13.0</v>
      </c>
      <c r="D346" s="16" t="s">
        <v>30</v>
      </c>
      <c r="E346" s="17"/>
      <c r="F346" s="18"/>
      <c r="H346" s="19"/>
      <c r="J346" s="19"/>
      <c r="L346" s="19"/>
      <c r="N346" s="19"/>
      <c r="P346" s="19"/>
      <c r="Q346" s="20"/>
      <c r="R346" s="18"/>
      <c r="T346" s="19"/>
      <c r="V346" s="19"/>
      <c r="X346" s="19"/>
      <c r="Z346" s="19"/>
      <c r="AB346" s="19"/>
      <c r="AC346" s="20"/>
      <c r="AD346" s="21">
        <f t="shared" si="1"/>
        <v>0</v>
      </c>
      <c r="AE346" s="16">
        <f t="shared" si="2"/>
        <v>0</v>
      </c>
      <c r="AF346" s="16">
        <f t="shared" si="3"/>
        <v>0</v>
      </c>
      <c r="AG346" s="16">
        <f t="shared" si="4"/>
        <v>0</v>
      </c>
      <c r="AH346" s="37">
        <f t="shared" si="5"/>
        <v>0</v>
      </c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ht="15.75" customHeight="1">
      <c r="A347" s="23" t="s">
        <v>23</v>
      </c>
      <c r="B347" s="24">
        <f t="shared" si="6"/>
        <v>45636</v>
      </c>
      <c r="C347" s="25">
        <v>13.0</v>
      </c>
      <c r="D347" s="25" t="s">
        <v>30</v>
      </c>
      <c r="E347" s="22"/>
      <c r="F347" s="18"/>
      <c r="H347" s="19"/>
      <c r="J347" s="19"/>
      <c r="L347" s="19"/>
      <c r="N347" s="19"/>
      <c r="P347" s="19"/>
      <c r="Q347" s="20"/>
      <c r="R347" s="18"/>
      <c r="T347" s="19"/>
      <c r="V347" s="19"/>
      <c r="X347" s="19"/>
      <c r="Z347" s="19"/>
      <c r="AB347" s="19"/>
      <c r="AC347" s="20"/>
      <c r="AD347" s="26">
        <f t="shared" si="1"/>
        <v>0</v>
      </c>
      <c r="AE347" s="25">
        <f t="shared" si="2"/>
        <v>0</v>
      </c>
      <c r="AF347" s="25">
        <f t="shared" si="3"/>
        <v>0</v>
      </c>
      <c r="AG347" s="25">
        <f t="shared" si="4"/>
        <v>0</v>
      </c>
      <c r="AH347" s="27">
        <f t="shared" si="5"/>
        <v>0</v>
      </c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ht="15.75" customHeight="1">
      <c r="A348" s="23" t="s">
        <v>24</v>
      </c>
      <c r="B348" s="24">
        <f t="shared" si="6"/>
        <v>45637</v>
      </c>
      <c r="C348" s="25">
        <v>13.0</v>
      </c>
      <c r="D348" s="25" t="s">
        <v>30</v>
      </c>
      <c r="E348" s="22"/>
      <c r="F348" s="18"/>
      <c r="H348" s="19"/>
      <c r="J348" s="19"/>
      <c r="L348" s="19"/>
      <c r="N348" s="19"/>
      <c r="P348" s="19"/>
      <c r="Q348" s="20"/>
      <c r="R348" s="18"/>
      <c r="T348" s="19"/>
      <c r="V348" s="19"/>
      <c r="X348" s="19"/>
      <c r="Z348" s="19"/>
      <c r="AB348" s="19"/>
      <c r="AC348" s="20"/>
      <c r="AD348" s="26">
        <f t="shared" si="1"/>
        <v>0</v>
      </c>
      <c r="AE348" s="25">
        <f t="shared" si="2"/>
        <v>0</v>
      </c>
      <c r="AF348" s="25">
        <f t="shared" si="3"/>
        <v>0</v>
      </c>
      <c r="AG348" s="25">
        <f t="shared" si="4"/>
        <v>0</v>
      </c>
      <c r="AH348" s="27">
        <f t="shared" si="5"/>
        <v>0</v>
      </c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ht="15.75" customHeight="1">
      <c r="A349" s="23" t="s">
        <v>25</v>
      </c>
      <c r="B349" s="24">
        <f t="shared" si="6"/>
        <v>45638</v>
      </c>
      <c r="C349" s="25">
        <v>13.0</v>
      </c>
      <c r="D349" s="25" t="s">
        <v>30</v>
      </c>
      <c r="E349" s="22"/>
      <c r="F349" s="18"/>
      <c r="H349" s="19"/>
      <c r="J349" s="19"/>
      <c r="L349" s="19"/>
      <c r="N349" s="19"/>
      <c r="P349" s="19"/>
      <c r="Q349" s="20"/>
      <c r="R349" s="18"/>
      <c r="T349" s="19"/>
      <c r="V349" s="19"/>
      <c r="X349" s="19"/>
      <c r="Z349" s="19"/>
      <c r="AB349" s="19"/>
      <c r="AC349" s="20"/>
      <c r="AD349" s="26">
        <f t="shared" si="1"/>
        <v>0</v>
      </c>
      <c r="AE349" s="25">
        <f t="shared" si="2"/>
        <v>0</v>
      </c>
      <c r="AF349" s="25">
        <f t="shared" si="3"/>
        <v>0</v>
      </c>
      <c r="AG349" s="25">
        <f t="shared" si="4"/>
        <v>0</v>
      </c>
      <c r="AH349" s="27">
        <f t="shared" si="5"/>
        <v>0</v>
      </c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ht="15.75" customHeight="1">
      <c r="A350" s="23" t="s">
        <v>26</v>
      </c>
      <c r="B350" s="24">
        <f t="shared" si="6"/>
        <v>45639</v>
      </c>
      <c r="C350" s="25">
        <v>13.0</v>
      </c>
      <c r="D350" s="25" t="s">
        <v>30</v>
      </c>
      <c r="E350" s="22"/>
      <c r="F350" s="18"/>
      <c r="H350" s="19"/>
      <c r="J350" s="19"/>
      <c r="L350" s="19"/>
      <c r="N350" s="19"/>
      <c r="P350" s="19"/>
      <c r="Q350" s="20"/>
      <c r="R350" s="18"/>
      <c r="T350" s="19"/>
      <c r="V350" s="19"/>
      <c r="X350" s="19"/>
      <c r="Z350" s="19"/>
      <c r="AB350" s="19"/>
      <c r="AC350" s="20"/>
      <c r="AD350" s="26">
        <f t="shared" si="1"/>
        <v>0</v>
      </c>
      <c r="AE350" s="25">
        <f t="shared" si="2"/>
        <v>0</v>
      </c>
      <c r="AF350" s="25">
        <f t="shared" si="3"/>
        <v>0</v>
      </c>
      <c r="AG350" s="25">
        <f t="shared" si="4"/>
        <v>0</v>
      </c>
      <c r="AH350" s="27">
        <f t="shared" si="5"/>
        <v>0</v>
      </c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ht="15.75" customHeight="1">
      <c r="A351" s="23" t="s">
        <v>27</v>
      </c>
      <c r="B351" s="24">
        <f t="shared" si="6"/>
        <v>45640</v>
      </c>
      <c r="C351" s="25">
        <v>13.0</v>
      </c>
      <c r="D351" s="25" t="s">
        <v>30</v>
      </c>
      <c r="E351" s="22"/>
      <c r="F351" s="18"/>
      <c r="H351" s="19"/>
      <c r="J351" s="19"/>
      <c r="L351" s="19"/>
      <c r="N351" s="19"/>
      <c r="P351" s="19"/>
      <c r="Q351" s="20"/>
      <c r="R351" s="18"/>
      <c r="T351" s="19"/>
      <c r="V351" s="19"/>
      <c r="X351" s="19"/>
      <c r="Z351" s="19"/>
      <c r="AB351" s="19"/>
      <c r="AC351" s="20"/>
      <c r="AD351" s="26">
        <f t="shared" si="1"/>
        <v>0</v>
      </c>
      <c r="AE351" s="25">
        <f t="shared" si="2"/>
        <v>0</v>
      </c>
      <c r="AF351" s="25">
        <f t="shared" si="3"/>
        <v>0</v>
      </c>
      <c r="AG351" s="25">
        <f t="shared" si="4"/>
        <v>0</v>
      </c>
      <c r="AH351" s="27">
        <f t="shared" si="5"/>
        <v>0</v>
      </c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ht="15.75" customHeight="1">
      <c r="A352" s="28" t="s">
        <v>28</v>
      </c>
      <c r="B352" s="29">
        <f t="shared" si="6"/>
        <v>45641</v>
      </c>
      <c r="C352" s="30">
        <v>13.0</v>
      </c>
      <c r="D352" s="30" t="s">
        <v>30</v>
      </c>
      <c r="E352" s="31"/>
      <c r="F352" s="32"/>
      <c r="G352" s="7"/>
      <c r="H352" s="33"/>
      <c r="I352" s="7"/>
      <c r="J352" s="33"/>
      <c r="K352" s="7"/>
      <c r="L352" s="33"/>
      <c r="M352" s="7"/>
      <c r="N352" s="33"/>
      <c r="O352" s="7"/>
      <c r="P352" s="33"/>
      <c r="Q352" s="34"/>
      <c r="R352" s="32"/>
      <c r="S352" s="7"/>
      <c r="T352" s="33"/>
      <c r="U352" s="7"/>
      <c r="V352" s="33"/>
      <c r="W352" s="7"/>
      <c r="X352" s="33"/>
      <c r="Y352" s="7"/>
      <c r="Z352" s="33"/>
      <c r="AA352" s="7"/>
      <c r="AB352" s="33"/>
      <c r="AC352" s="34"/>
      <c r="AD352" s="35">
        <f t="shared" si="1"/>
        <v>0</v>
      </c>
      <c r="AE352" s="30">
        <f t="shared" si="2"/>
        <v>0</v>
      </c>
      <c r="AF352" s="30">
        <f t="shared" si="3"/>
        <v>0</v>
      </c>
      <c r="AG352" s="30">
        <f t="shared" si="4"/>
        <v>0</v>
      </c>
      <c r="AH352" s="36">
        <f t="shared" si="5"/>
        <v>0</v>
      </c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ht="15.75" customHeight="1">
      <c r="A353" s="14" t="s">
        <v>21</v>
      </c>
      <c r="B353" s="15">
        <f t="shared" si="6"/>
        <v>45642</v>
      </c>
      <c r="C353" s="16">
        <v>13.0</v>
      </c>
      <c r="D353" s="16" t="s">
        <v>31</v>
      </c>
      <c r="E353" s="17"/>
      <c r="F353" s="18"/>
      <c r="H353" s="19"/>
      <c r="J353" s="19"/>
      <c r="L353" s="19"/>
      <c r="N353" s="19"/>
      <c r="P353" s="19"/>
      <c r="Q353" s="20"/>
      <c r="R353" s="18"/>
      <c r="T353" s="19"/>
      <c r="V353" s="19"/>
      <c r="X353" s="19"/>
      <c r="Z353" s="19"/>
      <c r="AB353" s="19"/>
      <c r="AC353" s="20"/>
      <c r="AD353" s="21">
        <f t="shared" si="1"/>
        <v>0</v>
      </c>
      <c r="AE353" s="16">
        <f t="shared" si="2"/>
        <v>0</v>
      </c>
      <c r="AF353" s="16">
        <f t="shared" si="3"/>
        <v>0</v>
      </c>
      <c r="AG353" s="16">
        <f t="shared" si="4"/>
        <v>0</v>
      </c>
      <c r="AH353" s="37">
        <f t="shared" si="5"/>
        <v>0</v>
      </c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ht="15.75" customHeight="1">
      <c r="A354" s="23" t="s">
        <v>23</v>
      </c>
      <c r="B354" s="24">
        <f t="shared" si="6"/>
        <v>45643</v>
      </c>
      <c r="C354" s="25">
        <v>13.0</v>
      </c>
      <c r="D354" s="25" t="s">
        <v>31</v>
      </c>
      <c r="E354" s="22"/>
      <c r="F354" s="18"/>
      <c r="H354" s="19"/>
      <c r="J354" s="19"/>
      <c r="L354" s="19"/>
      <c r="N354" s="19"/>
      <c r="P354" s="19"/>
      <c r="Q354" s="20"/>
      <c r="R354" s="18"/>
      <c r="T354" s="19"/>
      <c r="V354" s="19"/>
      <c r="X354" s="19"/>
      <c r="Z354" s="19"/>
      <c r="AB354" s="19"/>
      <c r="AC354" s="20"/>
      <c r="AD354" s="26">
        <f t="shared" si="1"/>
        <v>0</v>
      </c>
      <c r="AE354" s="25">
        <f t="shared" si="2"/>
        <v>0</v>
      </c>
      <c r="AF354" s="25">
        <f t="shared" si="3"/>
        <v>0</v>
      </c>
      <c r="AG354" s="25">
        <f t="shared" si="4"/>
        <v>0</v>
      </c>
      <c r="AH354" s="27">
        <f t="shared" si="5"/>
        <v>0</v>
      </c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ht="15.75" customHeight="1">
      <c r="A355" s="23" t="s">
        <v>24</v>
      </c>
      <c r="B355" s="24">
        <f t="shared" si="6"/>
        <v>45644</v>
      </c>
      <c r="C355" s="25">
        <v>13.0</v>
      </c>
      <c r="D355" s="25" t="s">
        <v>31</v>
      </c>
      <c r="E355" s="22"/>
      <c r="F355" s="18"/>
      <c r="H355" s="19"/>
      <c r="J355" s="19"/>
      <c r="L355" s="19"/>
      <c r="N355" s="19"/>
      <c r="P355" s="19"/>
      <c r="Q355" s="20"/>
      <c r="R355" s="18"/>
      <c r="T355" s="19"/>
      <c r="V355" s="19"/>
      <c r="X355" s="19"/>
      <c r="Z355" s="19"/>
      <c r="AB355" s="19"/>
      <c r="AC355" s="20"/>
      <c r="AD355" s="26">
        <f t="shared" si="1"/>
        <v>0</v>
      </c>
      <c r="AE355" s="25">
        <f t="shared" si="2"/>
        <v>0</v>
      </c>
      <c r="AF355" s="25">
        <f t="shared" si="3"/>
        <v>0</v>
      </c>
      <c r="AG355" s="25">
        <f t="shared" si="4"/>
        <v>0</v>
      </c>
      <c r="AH355" s="27">
        <f t="shared" si="5"/>
        <v>0</v>
      </c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ht="15.75" customHeight="1">
      <c r="A356" s="23" t="s">
        <v>25</v>
      </c>
      <c r="B356" s="24">
        <f t="shared" si="6"/>
        <v>45645</v>
      </c>
      <c r="C356" s="25">
        <v>13.0</v>
      </c>
      <c r="D356" s="25" t="s">
        <v>31</v>
      </c>
      <c r="E356" s="22"/>
      <c r="F356" s="18"/>
      <c r="H356" s="19"/>
      <c r="J356" s="19"/>
      <c r="L356" s="19"/>
      <c r="N356" s="19"/>
      <c r="P356" s="19"/>
      <c r="Q356" s="20"/>
      <c r="R356" s="18"/>
      <c r="T356" s="19"/>
      <c r="V356" s="19"/>
      <c r="X356" s="19"/>
      <c r="Z356" s="19"/>
      <c r="AB356" s="19"/>
      <c r="AC356" s="20"/>
      <c r="AD356" s="26">
        <f t="shared" si="1"/>
        <v>0</v>
      </c>
      <c r="AE356" s="25">
        <f t="shared" si="2"/>
        <v>0</v>
      </c>
      <c r="AF356" s="25">
        <f t="shared" si="3"/>
        <v>0</v>
      </c>
      <c r="AG356" s="25">
        <f t="shared" si="4"/>
        <v>0</v>
      </c>
      <c r="AH356" s="27">
        <f t="shared" si="5"/>
        <v>0</v>
      </c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ht="15.75" customHeight="1">
      <c r="A357" s="23" t="s">
        <v>26</v>
      </c>
      <c r="B357" s="24">
        <f t="shared" si="6"/>
        <v>45646</v>
      </c>
      <c r="C357" s="25">
        <v>13.0</v>
      </c>
      <c r="D357" s="25" t="s">
        <v>31</v>
      </c>
      <c r="E357" s="22"/>
      <c r="F357" s="18"/>
      <c r="H357" s="19"/>
      <c r="J357" s="19"/>
      <c r="L357" s="19"/>
      <c r="N357" s="19"/>
      <c r="P357" s="19"/>
      <c r="Q357" s="20"/>
      <c r="R357" s="18"/>
      <c r="T357" s="19"/>
      <c r="V357" s="19"/>
      <c r="X357" s="19"/>
      <c r="Z357" s="19"/>
      <c r="AB357" s="19"/>
      <c r="AC357" s="20"/>
      <c r="AD357" s="26">
        <f t="shared" si="1"/>
        <v>0</v>
      </c>
      <c r="AE357" s="25">
        <f t="shared" si="2"/>
        <v>0</v>
      </c>
      <c r="AF357" s="25">
        <f t="shared" si="3"/>
        <v>0</v>
      </c>
      <c r="AG357" s="25">
        <f t="shared" si="4"/>
        <v>0</v>
      </c>
      <c r="AH357" s="27">
        <f t="shared" si="5"/>
        <v>0</v>
      </c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ht="15.75" customHeight="1">
      <c r="A358" s="23" t="s">
        <v>27</v>
      </c>
      <c r="B358" s="24">
        <f t="shared" si="6"/>
        <v>45647</v>
      </c>
      <c r="C358" s="25">
        <v>13.0</v>
      </c>
      <c r="D358" s="25" t="s">
        <v>31</v>
      </c>
      <c r="E358" s="22"/>
      <c r="F358" s="18"/>
      <c r="H358" s="19"/>
      <c r="J358" s="19"/>
      <c r="L358" s="19"/>
      <c r="N358" s="19"/>
      <c r="P358" s="19"/>
      <c r="Q358" s="20"/>
      <c r="R358" s="18"/>
      <c r="T358" s="19"/>
      <c r="V358" s="19"/>
      <c r="X358" s="19"/>
      <c r="Z358" s="19"/>
      <c r="AB358" s="19"/>
      <c r="AC358" s="20"/>
      <c r="AD358" s="26">
        <f t="shared" si="1"/>
        <v>0</v>
      </c>
      <c r="AE358" s="25">
        <f t="shared" si="2"/>
        <v>0</v>
      </c>
      <c r="AF358" s="25">
        <f t="shared" si="3"/>
        <v>0</v>
      </c>
      <c r="AG358" s="25">
        <f t="shared" si="4"/>
        <v>0</v>
      </c>
      <c r="AH358" s="27">
        <f t="shared" si="5"/>
        <v>0</v>
      </c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ht="15.75" customHeight="1">
      <c r="A359" s="28" t="s">
        <v>28</v>
      </c>
      <c r="B359" s="29">
        <f t="shared" si="6"/>
        <v>45648</v>
      </c>
      <c r="C359" s="30">
        <v>13.0</v>
      </c>
      <c r="D359" s="30" t="s">
        <v>31</v>
      </c>
      <c r="E359" s="31"/>
      <c r="F359" s="32"/>
      <c r="G359" s="7"/>
      <c r="H359" s="33"/>
      <c r="I359" s="7"/>
      <c r="J359" s="33"/>
      <c r="K359" s="7"/>
      <c r="L359" s="33"/>
      <c r="M359" s="7"/>
      <c r="N359" s="33"/>
      <c r="O359" s="7"/>
      <c r="P359" s="33"/>
      <c r="Q359" s="34"/>
      <c r="R359" s="32"/>
      <c r="S359" s="7"/>
      <c r="T359" s="33"/>
      <c r="U359" s="7"/>
      <c r="V359" s="33"/>
      <c r="W359" s="7"/>
      <c r="X359" s="33"/>
      <c r="Y359" s="7"/>
      <c r="Z359" s="33"/>
      <c r="AA359" s="7"/>
      <c r="AB359" s="33"/>
      <c r="AC359" s="34"/>
      <c r="AD359" s="35">
        <f t="shared" si="1"/>
        <v>0</v>
      </c>
      <c r="AE359" s="30">
        <f t="shared" si="2"/>
        <v>0</v>
      </c>
      <c r="AF359" s="30">
        <f t="shared" si="3"/>
        <v>0</v>
      </c>
      <c r="AG359" s="30">
        <f t="shared" si="4"/>
        <v>0</v>
      </c>
      <c r="AH359" s="36">
        <f t="shared" si="5"/>
        <v>0</v>
      </c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ht="15.75" customHeight="1">
      <c r="A360" s="52"/>
      <c r="B360" s="53"/>
      <c r="C360" s="19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5" t="s">
        <v>36</v>
      </c>
      <c r="AJ360" s="55">
        <v>1.0</v>
      </c>
      <c r="AK360" s="55">
        <v>2.0</v>
      </c>
      <c r="AL360" s="55">
        <v>3.0</v>
      </c>
      <c r="AM360" s="55">
        <v>4.0</v>
      </c>
      <c r="AN360" s="55">
        <v>5.0</v>
      </c>
      <c r="AO360" s="55">
        <v>6.0</v>
      </c>
      <c r="AP360" s="55">
        <v>7.0</v>
      </c>
      <c r="AQ360" s="55">
        <v>8.0</v>
      </c>
      <c r="AR360" s="55">
        <v>9.0</v>
      </c>
      <c r="AS360" s="55">
        <v>10.0</v>
      </c>
      <c r="AT360" s="55">
        <v>11.0</v>
      </c>
      <c r="AU360" s="55">
        <v>12.0</v>
      </c>
      <c r="AV360" s="55">
        <v>13.0</v>
      </c>
      <c r="AW360" s="55" t="s">
        <v>37</v>
      </c>
      <c r="AX360" s="56"/>
    </row>
    <row r="361" ht="15.75" customHeight="1">
      <c r="A361" s="52"/>
      <c r="B361" s="53"/>
      <c r="C361" s="19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7">
        <f>SUM(AD3:AD359)</f>
        <v>182880</v>
      </c>
      <c r="AE361" s="54"/>
      <c r="AF361" s="54"/>
      <c r="AG361" s="58">
        <f>SUM(AG3:AG359)</f>
        <v>9360</v>
      </c>
      <c r="AH361" s="54"/>
      <c r="AI361" s="55" t="s">
        <v>38</v>
      </c>
      <c r="AJ361" s="56">
        <f t="shared" ref="AJ361:AV361" si="7">SUMIF($C$3:$C$359, AJ360, $AE$3:$AE$359)</f>
        <v>0</v>
      </c>
      <c r="AK361" s="56">
        <f t="shared" si="7"/>
        <v>0</v>
      </c>
      <c r="AL361" s="56">
        <f t="shared" si="7"/>
        <v>0</v>
      </c>
      <c r="AM361" s="56">
        <f t="shared" si="7"/>
        <v>810</v>
      </c>
      <c r="AN361" s="56">
        <f t="shared" si="7"/>
        <v>1080</v>
      </c>
      <c r="AO361" s="56">
        <f t="shared" si="7"/>
        <v>1620</v>
      </c>
      <c r="AP361" s="56">
        <f t="shared" si="7"/>
        <v>810</v>
      </c>
      <c r="AQ361" s="56">
        <f t="shared" si="7"/>
        <v>810</v>
      </c>
      <c r="AR361" s="56">
        <f t="shared" si="7"/>
        <v>1080</v>
      </c>
      <c r="AS361" s="56">
        <f t="shared" si="7"/>
        <v>540</v>
      </c>
      <c r="AT361" s="56">
        <f t="shared" si="7"/>
        <v>0</v>
      </c>
      <c r="AU361" s="56">
        <f t="shared" si="7"/>
        <v>0</v>
      </c>
      <c r="AV361" s="56">
        <f t="shared" si="7"/>
        <v>0</v>
      </c>
      <c r="AW361" s="55">
        <f>SUM(AJ361:AV361)</f>
        <v>6750</v>
      </c>
      <c r="AX361" s="56"/>
    </row>
    <row r="362" ht="15.75" customHeight="1">
      <c r="A362" s="52"/>
      <c r="B362" s="53"/>
      <c r="C362" s="19"/>
      <c r="D362" s="54"/>
      <c r="E362" s="59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5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5"/>
      <c r="AX362" s="56"/>
    </row>
    <row r="363" ht="15.75" customHeight="1">
      <c r="A363" s="52"/>
      <c r="B363" s="53"/>
      <c r="C363" s="19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5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5"/>
      <c r="AX363" s="56"/>
    </row>
    <row r="364" ht="15.75" customHeight="1">
      <c r="A364" s="52"/>
      <c r="B364" s="53"/>
      <c r="C364" s="19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5" t="s">
        <v>39</v>
      </c>
      <c r="AJ364" s="60">
        <f t="shared" ref="AJ364:AV364" si="8">SUMIF($C$3:$C$359, AJ360, $AD$3:$AD$359)</f>
        <v>0</v>
      </c>
      <c r="AK364" s="60">
        <f t="shared" si="8"/>
        <v>0</v>
      </c>
      <c r="AL364" s="60">
        <f t="shared" si="8"/>
        <v>0</v>
      </c>
      <c r="AM364" s="60">
        <f t="shared" si="8"/>
        <v>21240</v>
      </c>
      <c r="AN364" s="60">
        <f t="shared" si="8"/>
        <v>28800</v>
      </c>
      <c r="AO364" s="60">
        <f t="shared" si="8"/>
        <v>44280</v>
      </c>
      <c r="AP364" s="60">
        <f t="shared" si="8"/>
        <v>22320</v>
      </c>
      <c r="AQ364" s="60">
        <f t="shared" si="8"/>
        <v>22320</v>
      </c>
      <c r="AR364" s="60">
        <f t="shared" si="8"/>
        <v>29520</v>
      </c>
      <c r="AS364" s="60">
        <f t="shared" si="8"/>
        <v>14400</v>
      </c>
      <c r="AT364" s="60">
        <f t="shared" si="8"/>
        <v>0</v>
      </c>
      <c r="AU364" s="60">
        <f t="shared" si="8"/>
        <v>0</v>
      </c>
      <c r="AV364" s="60">
        <f t="shared" si="8"/>
        <v>0</v>
      </c>
      <c r="AW364" s="61">
        <f>SUM(AJ364:AV364)</f>
        <v>182880</v>
      </c>
      <c r="AX364" s="56"/>
    </row>
    <row r="365" ht="15.75" customHeight="1">
      <c r="A365" s="52"/>
      <c r="B365" s="53"/>
      <c r="C365" s="19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5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1"/>
      <c r="AX365" s="56"/>
    </row>
    <row r="366" ht="15.75" customHeight="1">
      <c r="A366" s="62"/>
      <c r="B366" s="54"/>
      <c r="C366" s="19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5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1"/>
      <c r="AX366" s="56"/>
    </row>
    <row r="367" ht="15.75" customHeight="1">
      <c r="A367" s="62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5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61"/>
      <c r="AX367" s="56"/>
    </row>
    <row r="368" ht="15.75" customHeight="1">
      <c r="A368" s="62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5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61"/>
      <c r="AX368" s="56"/>
    </row>
    <row r="369" ht="15.75" customHeight="1">
      <c r="A369" s="62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63" t="s">
        <v>40</v>
      </c>
      <c r="AJ369" s="64">
        <v>0.26</v>
      </c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61"/>
      <c r="AX369" s="56"/>
    </row>
    <row r="370" ht="15.75" customHeight="1">
      <c r="A370" s="62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5"/>
      <c r="AJ370" s="60">
        <f t="shared" ref="AJ370:AV370" si="9">SUM(AJ364:AJ366)*$AJ$369</f>
        <v>0</v>
      </c>
      <c r="AK370" s="60">
        <f t="shared" si="9"/>
        <v>0</v>
      </c>
      <c r="AL370" s="60">
        <f t="shared" si="9"/>
        <v>0</v>
      </c>
      <c r="AM370" s="60">
        <f t="shared" si="9"/>
        <v>5522.4</v>
      </c>
      <c r="AN370" s="60">
        <f t="shared" si="9"/>
        <v>7488</v>
      </c>
      <c r="AO370" s="60">
        <f t="shared" si="9"/>
        <v>11512.8</v>
      </c>
      <c r="AP370" s="60">
        <f t="shared" si="9"/>
        <v>5803.2</v>
      </c>
      <c r="AQ370" s="60">
        <f t="shared" si="9"/>
        <v>5803.2</v>
      </c>
      <c r="AR370" s="60">
        <f t="shared" si="9"/>
        <v>7675.2</v>
      </c>
      <c r="AS370" s="60">
        <f t="shared" si="9"/>
        <v>3744</v>
      </c>
      <c r="AT370" s="60">
        <f t="shared" si="9"/>
        <v>0</v>
      </c>
      <c r="AU370" s="60">
        <f t="shared" si="9"/>
        <v>0</v>
      </c>
      <c r="AV370" s="60">
        <f t="shared" si="9"/>
        <v>0</v>
      </c>
      <c r="AW370" s="61">
        <f>SUM(AJ370:AV370)</f>
        <v>47548.8</v>
      </c>
      <c r="AX370" s="65">
        <f>AW370/AW364</f>
        <v>0.26</v>
      </c>
    </row>
    <row r="371" ht="15.75" customHeight="1">
      <c r="A371" s="62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5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61"/>
      <c r="AX371" s="56"/>
    </row>
    <row r="372" ht="15.75" customHeight="1">
      <c r="A372" s="62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63" t="s">
        <v>41</v>
      </c>
      <c r="AJ372" s="64">
        <v>0.0</v>
      </c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61"/>
      <c r="AX372" s="56"/>
    </row>
    <row r="373" ht="15.75" customHeight="1">
      <c r="A373" s="62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5"/>
      <c r="AJ373" s="60">
        <f t="shared" ref="AJ373:AV373" si="10">$BB$372*SUM(AJ364:AJ366)</f>
        <v>0</v>
      </c>
      <c r="AK373" s="60">
        <f t="shared" si="10"/>
        <v>0</v>
      </c>
      <c r="AL373" s="60">
        <f t="shared" si="10"/>
        <v>0</v>
      </c>
      <c r="AM373" s="60">
        <f t="shared" si="10"/>
        <v>0</v>
      </c>
      <c r="AN373" s="60">
        <f t="shared" si="10"/>
        <v>0</v>
      </c>
      <c r="AO373" s="60">
        <f t="shared" si="10"/>
        <v>0</v>
      </c>
      <c r="AP373" s="60">
        <f t="shared" si="10"/>
        <v>0</v>
      </c>
      <c r="AQ373" s="60">
        <f t="shared" si="10"/>
        <v>0</v>
      </c>
      <c r="AR373" s="60">
        <f t="shared" si="10"/>
        <v>0</v>
      </c>
      <c r="AS373" s="60">
        <f t="shared" si="10"/>
        <v>0</v>
      </c>
      <c r="AT373" s="60">
        <f t="shared" si="10"/>
        <v>0</v>
      </c>
      <c r="AU373" s="60">
        <f t="shared" si="10"/>
        <v>0</v>
      </c>
      <c r="AV373" s="60">
        <f t="shared" si="10"/>
        <v>0</v>
      </c>
      <c r="AW373" s="61">
        <f>SUM(AJ373:AV373)</f>
        <v>0</v>
      </c>
      <c r="AX373" s="56"/>
    </row>
    <row r="374" ht="15.75" customHeight="1">
      <c r="A374" s="62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5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1"/>
      <c r="AX374" s="56"/>
    </row>
    <row r="375" ht="15.75" customHeight="1">
      <c r="A375" s="62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5" t="s">
        <v>42</v>
      </c>
      <c r="AJ375" s="60">
        <f>SUM(AJ376:AJ378)</f>
        <v>42000</v>
      </c>
      <c r="AK375" s="66" t="s">
        <v>43</v>
      </c>
      <c r="AL375" s="67">
        <f>SUM(AJ376:AJ378)/SUM(AM376:AM378)-1</f>
        <v>0.05</v>
      </c>
      <c r="AM375" s="68" t="s">
        <v>44</v>
      </c>
      <c r="AN375" s="56"/>
      <c r="AO375" s="56"/>
      <c r="AP375" s="56"/>
      <c r="AQ375" s="56"/>
      <c r="AR375" s="56"/>
      <c r="AS375" s="56"/>
      <c r="AT375" s="56"/>
      <c r="AU375" s="56"/>
      <c r="AV375" s="56"/>
      <c r="AW375" s="61"/>
      <c r="AX375" s="56"/>
    </row>
    <row r="376" ht="15.75" customHeight="1">
      <c r="A376" s="62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5" t="s">
        <v>45</v>
      </c>
      <c r="AJ376" s="60">
        <v>42000.0</v>
      </c>
      <c r="AK376" s="56"/>
      <c r="AL376" s="56"/>
      <c r="AM376" s="60">
        <v>40000.0</v>
      </c>
      <c r="AN376" s="56"/>
      <c r="AO376" s="56"/>
      <c r="AP376" s="56"/>
      <c r="AQ376" s="56"/>
      <c r="AR376" s="56"/>
      <c r="AS376" s="56"/>
      <c r="AT376" s="56"/>
      <c r="AU376" s="56"/>
      <c r="AV376" s="56"/>
      <c r="AW376" s="61"/>
      <c r="AX376" s="56"/>
    </row>
    <row r="377" ht="15.75" customHeight="1">
      <c r="A377" s="62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5" t="s">
        <v>46</v>
      </c>
      <c r="AJ377" s="60">
        <v>0.0</v>
      </c>
      <c r="AK377" s="56"/>
      <c r="AL377" s="56"/>
      <c r="AM377" s="60">
        <v>0.0</v>
      </c>
      <c r="AN377" s="56"/>
      <c r="AO377" s="56"/>
      <c r="AP377" s="56"/>
      <c r="AQ377" s="56"/>
      <c r="AR377" s="56"/>
      <c r="AS377" s="56"/>
      <c r="AT377" s="56"/>
      <c r="AU377" s="56"/>
      <c r="AV377" s="56"/>
      <c r="AW377" s="61"/>
      <c r="AX377" s="56"/>
    </row>
    <row r="378" ht="15.75" customHeight="1">
      <c r="A378" s="62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5" t="s">
        <v>47</v>
      </c>
      <c r="AJ378" s="60">
        <v>0.0</v>
      </c>
      <c r="AK378" s="56"/>
      <c r="AL378" s="56"/>
      <c r="AM378" s="60">
        <v>0.0</v>
      </c>
      <c r="AN378" s="56"/>
      <c r="AO378" s="56"/>
      <c r="AP378" s="56"/>
      <c r="AQ378" s="56"/>
      <c r="AR378" s="56"/>
      <c r="AS378" s="56"/>
      <c r="AT378" s="56"/>
      <c r="AU378" s="56"/>
      <c r="AV378" s="56"/>
      <c r="AW378" s="61"/>
      <c r="AX378" s="56"/>
    </row>
    <row r="379" ht="15.75" customHeight="1">
      <c r="A379" s="62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5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61"/>
      <c r="AX379" s="56"/>
    </row>
    <row r="380" ht="15.75" customHeight="1">
      <c r="A380" s="62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69" t="s">
        <v>48</v>
      </c>
      <c r="AJ380" s="70">
        <v>0.025</v>
      </c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61"/>
      <c r="AX380" s="56"/>
    </row>
    <row r="381" ht="15.75" customHeight="1">
      <c r="A381" s="62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69"/>
      <c r="AJ381" s="60">
        <f t="shared" ref="AJ381:AV381" si="11">$AJ$380 * AJ364</f>
        <v>0</v>
      </c>
      <c r="AK381" s="60">
        <f t="shared" si="11"/>
        <v>0</v>
      </c>
      <c r="AL381" s="60">
        <f t="shared" si="11"/>
        <v>0</v>
      </c>
      <c r="AM381" s="60">
        <f t="shared" si="11"/>
        <v>531</v>
      </c>
      <c r="AN381" s="60">
        <f t="shared" si="11"/>
        <v>720</v>
      </c>
      <c r="AO381" s="60">
        <f t="shared" si="11"/>
        <v>1107</v>
      </c>
      <c r="AP381" s="60">
        <f t="shared" si="11"/>
        <v>558</v>
      </c>
      <c r="AQ381" s="60">
        <f t="shared" si="11"/>
        <v>558</v>
      </c>
      <c r="AR381" s="60">
        <f t="shared" si="11"/>
        <v>738</v>
      </c>
      <c r="AS381" s="60">
        <f t="shared" si="11"/>
        <v>360</v>
      </c>
      <c r="AT381" s="60">
        <f t="shared" si="11"/>
        <v>0</v>
      </c>
      <c r="AU381" s="60">
        <f t="shared" si="11"/>
        <v>0</v>
      </c>
      <c r="AV381" s="60">
        <f t="shared" si="11"/>
        <v>0</v>
      </c>
      <c r="AW381" s="61">
        <f>SUM(AJ381:AV381)</f>
        <v>4572</v>
      </c>
      <c r="AX381" s="56"/>
    </row>
    <row r="382" ht="15.75" customHeight="1">
      <c r="A382" s="62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5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5"/>
      <c r="AX382" s="56"/>
    </row>
    <row r="383" ht="15.75" customHeight="1">
      <c r="A383" s="62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69" t="s">
        <v>49</v>
      </c>
      <c r="AJ383" s="70">
        <v>0.015</v>
      </c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61"/>
      <c r="AX383" s="56"/>
    </row>
    <row r="384" ht="15.75" customHeight="1">
      <c r="A384" s="62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5"/>
      <c r="AJ384" s="60">
        <f t="shared" ref="AJ384:AV384" si="12">$AJ$383 * AJ364</f>
        <v>0</v>
      </c>
      <c r="AK384" s="60">
        <f t="shared" si="12"/>
        <v>0</v>
      </c>
      <c r="AL384" s="60">
        <f t="shared" si="12"/>
        <v>0</v>
      </c>
      <c r="AM384" s="60">
        <f t="shared" si="12"/>
        <v>318.6</v>
      </c>
      <c r="AN384" s="60">
        <f t="shared" si="12"/>
        <v>432</v>
      </c>
      <c r="AO384" s="60">
        <f t="shared" si="12"/>
        <v>664.2</v>
      </c>
      <c r="AP384" s="60">
        <f t="shared" si="12"/>
        <v>334.8</v>
      </c>
      <c r="AQ384" s="60">
        <f t="shared" si="12"/>
        <v>334.8</v>
      </c>
      <c r="AR384" s="60">
        <f t="shared" si="12"/>
        <v>442.8</v>
      </c>
      <c r="AS384" s="60">
        <f t="shared" si="12"/>
        <v>216</v>
      </c>
      <c r="AT384" s="60">
        <f t="shared" si="12"/>
        <v>0</v>
      </c>
      <c r="AU384" s="60">
        <f t="shared" si="12"/>
        <v>0</v>
      </c>
      <c r="AV384" s="60">
        <f t="shared" si="12"/>
        <v>0</v>
      </c>
      <c r="AW384" s="61">
        <f>SUM(AJ384:AV384)</f>
        <v>2743.2</v>
      </c>
      <c r="AX384" s="56"/>
    </row>
    <row r="385" ht="15.75" customHeight="1">
      <c r="A385" s="62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5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5"/>
      <c r="AX385" s="56"/>
    </row>
    <row r="386" ht="15.75" customHeight="1">
      <c r="A386" s="62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5" t="s">
        <v>50</v>
      </c>
      <c r="AJ386" s="60">
        <v>0.0</v>
      </c>
      <c r="AK386" s="60">
        <v>0.0</v>
      </c>
      <c r="AL386" s="60">
        <v>0.0</v>
      </c>
      <c r="AM386" s="60">
        <v>500.0</v>
      </c>
      <c r="AN386" s="60">
        <v>20.0</v>
      </c>
      <c r="AO386" s="60">
        <v>20.0</v>
      </c>
      <c r="AP386" s="60">
        <v>20.0</v>
      </c>
      <c r="AQ386" s="60">
        <v>20.0</v>
      </c>
      <c r="AR386" s="60">
        <v>20.0</v>
      </c>
      <c r="AS386" s="60">
        <v>20.0</v>
      </c>
      <c r="AT386" s="60">
        <v>0.0</v>
      </c>
      <c r="AU386" s="60">
        <v>0.0</v>
      </c>
      <c r="AV386" s="60">
        <v>0.0</v>
      </c>
      <c r="AW386" s="61">
        <f>SUM(AJ386:AV386)</f>
        <v>620</v>
      </c>
      <c r="AX386" s="56"/>
    </row>
    <row r="387" ht="15.75" customHeight="1">
      <c r="A387" s="62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61"/>
      <c r="AX387" s="56"/>
    </row>
    <row r="388" ht="15.75" customHeight="1">
      <c r="A388" s="62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71" t="s">
        <v>51</v>
      </c>
      <c r="AJ388" s="72"/>
      <c r="AK388" s="72"/>
      <c r="AL388" s="73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61"/>
      <c r="AX388" s="56"/>
    </row>
    <row r="389" ht="15.75" customHeight="1">
      <c r="A389" s="62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74" t="s">
        <v>52</v>
      </c>
      <c r="AJ389" s="56"/>
      <c r="AK389" s="56"/>
      <c r="AL389" s="75">
        <v>1000.0</v>
      </c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61"/>
      <c r="AX389" s="56"/>
    </row>
    <row r="390" ht="15.75" customHeight="1">
      <c r="A390" s="62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76" t="s">
        <v>53</v>
      </c>
      <c r="AJ390" s="56"/>
      <c r="AK390" s="56"/>
      <c r="AL390" s="75">
        <v>5000.0</v>
      </c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61"/>
      <c r="AX390" s="56"/>
    </row>
    <row r="391" ht="15.75" customHeight="1">
      <c r="A391" s="62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77" t="s">
        <v>54</v>
      </c>
      <c r="AJ391" s="56"/>
      <c r="AK391" s="56"/>
      <c r="AL391" s="78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61"/>
      <c r="AX391" s="56"/>
    </row>
    <row r="392" ht="15.75" customHeight="1">
      <c r="A392" s="62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74"/>
      <c r="AJ392" s="56"/>
      <c r="AK392" s="56"/>
      <c r="AL392" s="79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61"/>
      <c r="AX392" s="56"/>
    </row>
    <row r="393" ht="15.75" customHeight="1">
      <c r="A393" s="62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71" t="s">
        <v>55</v>
      </c>
      <c r="AJ393" s="56"/>
      <c r="AK393" s="56"/>
      <c r="AL393" s="79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61"/>
      <c r="AX393" s="56"/>
    </row>
    <row r="394" ht="15.75" customHeight="1">
      <c r="A394" s="62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74" t="s">
        <v>56</v>
      </c>
      <c r="AJ394" s="56"/>
      <c r="AK394" s="56"/>
      <c r="AL394" s="75"/>
      <c r="AM394" s="56"/>
      <c r="AN394" s="56" t="s">
        <v>57</v>
      </c>
      <c r="AO394" s="70">
        <v>0.05</v>
      </c>
      <c r="AP394" s="56"/>
      <c r="AQ394" s="56"/>
      <c r="AR394" s="56"/>
      <c r="AS394" s="56"/>
      <c r="AT394" s="56"/>
      <c r="AU394" s="56"/>
      <c r="AV394" s="56"/>
      <c r="AW394" s="61"/>
      <c r="AX394" s="56"/>
    </row>
    <row r="395" ht="15.75" customHeight="1">
      <c r="A395" s="62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76" t="s">
        <v>58</v>
      </c>
      <c r="AJ395" s="56"/>
      <c r="AK395" s="56"/>
      <c r="AL395" s="75"/>
      <c r="AM395" s="56"/>
      <c r="AN395" s="56" t="s">
        <v>59</v>
      </c>
      <c r="AO395" s="70">
        <v>0.072</v>
      </c>
      <c r="AP395" s="56"/>
      <c r="AQ395" s="56"/>
      <c r="AR395" s="56"/>
      <c r="AS395" s="56"/>
      <c r="AT395" s="56"/>
      <c r="AU395" s="56"/>
      <c r="AV395" s="56"/>
      <c r="AW395" s="55"/>
      <c r="AX395" s="56"/>
    </row>
    <row r="396" ht="15.75" customHeight="1">
      <c r="A396" s="62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77" t="s">
        <v>60</v>
      </c>
      <c r="AJ396" s="56"/>
      <c r="AK396" s="56"/>
      <c r="AL396" s="78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5"/>
      <c r="AX396" s="56"/>
    </row>
    <row r="397" ht="15.75" customHeight="1">
      <c r="A397" s="62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74"/>
      <c r="AJ397" s="56"/>
      <c r="AK397" s="56"/>
      <c r="AL397" s="79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5"/>
      <c r="AX397" s="56"/>
    </row>
    <row r="398" ht="15.75" customHeight="1">
      <c r="A398" s="62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71" t="s">
        <v>61</v>
      </c>
      <c r="AJ398" s="56"/>
      <c r="AK398" s="56"/>
      <c r="AL398" s="79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5"/>
      <c r="AX398" s="56"/>
    </row>
    <row r="399" ht="15.75" customHeight="1">
      <c r="A399" s="62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74" t="s">
        <v>62</v>
      </c>
      <c r="AJ399" s="56"/>
      <c r="AK399" s="56"/>
      <c r="AL399" s="75">
        <v>12000.0</v>
      </c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5"/>
      <c r="AX399" s="56"/>
    </row>
    <row r="400" ht="15.75" customHeight="1">
      <c r="A400" s="62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76" t="s">
        <v>63</v>
      </c>
      <c r="AJ400" s="56"/>
      <c r="AK400" s="56"/>
      <c r="AL400" s="75">
        <v>0.0</v>
      </c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5"/>
      <c r="AX400" s="56"/>
    </row>
    <row r="401" ht="15.75" customHeight="1">
      <c r="A401" s="62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77" t="s">
        <v>64</v>
      </c>
      <c r="AJ401" s="56"/>
      <c r="AK401" s="56"/>
      <c r="AL401" s="78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5"/>
      <c r="AX401" s="56"/>
    </row>
    <row r="402" ht="15.75" customHeight="1">
      <c r="A402" s="62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74"/>
      <c r="AJ402" s="56"/>
      <c r="AK402" s="56"/>
      <c r="AL402" s="79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5"/>
      <c r="AX402" s="56"/>
    </row>
    <row r="403" ht="15.75" customHeight="1">
      <c r="A403" s="62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71" t="s">
        <v>65</v>
      </c>
      <c r="AJ403" s="56"/>
      <c r="AK403" s="56"/>
      <c r="AL403" s="80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5"/>
      <c r="AX403" s="56"/>
    </row>
    <row r="404" ht="15.75" customHeight="1">
      <c r="A404" s="62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74" t="s">
        <v>66</v>
      </c>
      <c r="AJ404" s="56"/>
      <c r="AK404" s="56"/>
      <c r="AL404" s="75">
        <f>60*7</f>
        <v>420</v>
      </c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5"/>
      <c r="AX404" s="56"/>
    </row>
    <row r="405" ht="15.75" customHeight="1">
      <c r="A405" s="62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74" t="s">
        <v>67</v>
      </c>
      <c r="AJ405" s="56"/>
      <c r="AK405" s="56"/>
      <c r="AL405" s="75">
        <v>0.0</v>
      </c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5"/>
      <c r="AX405" s="56"/>
    </row>
    <row r="406" ht="15.75" customHeight="1">
      <c r="A406" s="62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76" t="s">
        <v>68</v>
      </c>
      <c r="AJ406" s="56"/>
      <c r="AK406" s="56"/>
      <c r="AL406" s="75">
        <v>0.0</v>
      </c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5"/>
      <c r="AX406" s="56"/>
    </row>
    <row r="407" ht="15.75" customHeight="1">
      <c r="A407" s="62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77" t="s">
        <v>69</v>
      </c>
      <c r="AJ407" s="56"/>
      <c r="AK407" s="56"/>
      <c r="AL407" s="78">
        <v>0.0</v>
      </c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5"/>
      <c r="AX407" s="56"/>
    </row>
    <row r="408" ht="15.75" customHeight="1">
      <c r="A408" s="62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74"/>
      <c r="AJ408" s="56"/>
      <c r="AK408" s="56"/>
      <c r="AL408" s="79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5"/>
      <c r="AX408" s="56"/>
    </row>
    <row r="409" ht="15.75" customHeight="1">
      <c r="A409" s="62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71" t="s">
        <v>70</v>
      </c>
      <c r="AJ409" s="56"/>
      <c r="AK409" s="56"/>
      <c r="AL409" s="75">
        <v>0.0</v>
      </c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5"/>
      <c r="AX409" s="56"/>
    </row>
    <row r="410" ht="15.75" customHeight="1">
      <c r="A410" s="62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74" t="s">
        <v>71</v>
      </c>
      <c r="AJ410" s="56"/>
      <c r="AK410" s="56"/>
      <c r="AL410" s="75">
        <v>2600.0</v>
      </c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5"/>
      <c r="AX410" s="56"/>
    </row>
    <row r="411" ht="15.75" customHeight="1">
      <c r="A411" s="62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76" t="s">
        <v>72</v>
      </c>
      <c r="AJ411" s="56"/>
      <c r="AK411" s="56"/>
      <c r="AL411" s="75">
        <v>7500.0</v>
      </c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5"/>
      <c r="AX411" s="56"/>
    </row>
    <row r="412" ht="15.75" customHeight="1">
      <c r="A412" s="62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77" t="s">
        <v>73</v>
      </c>
      <c r="AJ412" s="56"/>
      <c r="AK412" s="56"/>
      <c r="AL412" s="75">
        <v>0.0</v>
      </c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5"/>
      <c r="AX412" s="56"/>
    </row>
    <row r="413" ht="15.75" customHeight="1">
      <c r="A413" s="62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74"/>
      <c r="AJ413" s="56"/>
      <c r="AK413" s="56"/>
      <c r="AL413" s="78">
        <v>0.0</v>
      </c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5"/>
      <c r="AX413" s="56"/>
    </row>
    <row r="414" ht="15.75" customHeight="1">
      <c r="A414" s="62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71" t="s">
        <v>74</v>
      </c>
      <c r="AJ414" s="56"/>
      <c r="AK414" s="56"/>
      <c r="AL414" s="79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5"/>
      <c r="AX414" s="56"/>
    </row>
    <row r="415" ht="15.75" customHeight="1">
      <c r="A415" s="62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74" t="s">
        <v>75</v>
      </c>
      <c r="AJ415" s="56"/>
      <c r="AK415" s="56"/>
      <c r="AL415" s="75">
        <v>0.0</v>
      </c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5"/>
      <c r="AX415" s="56"/>
    </row>
    <row r="416" ht="15.75" customHeight="1">
      <c r="A416" s="62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76" t="s">
        <v>76</v>
      </c>
      <c r="AJ416" s="56"/>
      <c r="AK416" s="56"/>
      <c r="AL416" s="75">
        <v>500.0</v>
      </c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5"/>
      <c r="AX416" s="56"/>
    </row>
    <row r="417" ht="15.75" customHeight="1">
      <c r="A417" s="62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77" t="s">
        <v>77</v>
      </c>
      <c r="AJ417" s="56"/>
      <c r="AK417" s="56"/>
      <c r="AL417" s="78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5"/>
      <c r="AX417" s="56"/>
    </row>
    <row r="418" ht="15.75" customHeight="1">
      <c r="A418" s="62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74"/>
      <c r="AJ418" s="56"/>
      <c r="AK418" s="56"/>
      <c r="AL418" s="80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5"/>
      <c r="AX418" s="56"/>
    </row>
    <row r="419" ht="15.75" customHeight="1">
      <c r="A419" s="62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71" t="s">
        <v>78</v>
      </c>
      <c r="AJ419" s="56"/>
      <c r="AK419" s="56"/>
      <c r="AL419" s="75">
        <v>0.0</v>
      </c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5"/>
      <c r="AX419" s="56"/>
    </row>
    <row r="420" ht="15.75" customHeight="1">
      <c r="A420" s="62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74" t="s">
        <v>79</v>
      </c>
      <c r="AJ420" s="56"/>
      <c r="AK420" s="56"/>
      <c r="AL420" s="75">
        <v>350.0</v>
      </c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5"/>
      <c r="AX420" s="56"/>
    </row>
    <row r="421" ht="15.75" customHeight="1">
      <c r="A421" s="62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74" t="s">
        <v>80</v>
      </c>
      <c r="AJ421" s="56"/>
      <c r="AK421" s="56"/>
      <c r="AL421" s="75">
        <v>350.0</v>
      </c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5"/>
      <c r="AX421" s="56"/>
    </row>
    <row r="422" ht="15.75" customHeight="1">
      <c r="A422" s="62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76" t="s">
        <v>81</v>
      </c>
      <c r="AJ422" s="56"/>
      <c r="AK422" s="56"/>
      <c r="AL422" s="75">
        <v>0.0</v>
      </c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5"/>
      <c r="AX422" s="56"/>
    </row>
    <row r="423" ht="15.75" customHeight="1">
      <c r="A423" s="62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77" t="s">
        <v>82</v>
      </c>
      <c r="AJ423" s="56"/>
      <c r="AK423" s="56"/>
      <c r="AL423" s="75">
        <v>0.0</v>
      </c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5"/>
      <c r="AX423" s="56"/>
    </row>
    <row r="424" ht="15.75" customHeight="1">
      <c r="A424" s="62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74"/>
      <c r="AJ424" s="56"/>
      <c r="AK424" s="56"/>
      <c r="AL424" s="75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5"/>
      <c r="AX424" s="56"/>
    </row>
    <row r="425" ht="15.75" customHeight="1">
      <c r="A425" s="62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81" t="s">
        <v>83</v>
      </c>
      <c r="AJ425" s="56"/>
      <c r="AK425" s="56"/>
      <c r="AL425" s="78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5"/>
      <c r="AX425" s="56"/>
    </row>
    <row r="426" ht="15.75" customHeight="1">
      <c r="A426" s="62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82"/>
      <c r="AJ426" s="56"/>
      <c r="AK426" s="56"/>
      <c r="AL426" s="79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5"/>
      <c r="AX426" s="56"/>
    </row>
    <row r="427" ht="15.75" customHeight="1">
      <c r="A427" s="62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83"/>
      <c r="AJ427" s="56"/>
      <c r="AK427" s="56"/>
      <c r="AL427" s="78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5"/>
      <c r="AX427" s="56"/>
    </row>
    <row r="428" ht="15.75" customHeight="1">
      <c r="A428" s="62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84"/>
      <c r="AJ428" s="56"/>
      <c r="AK428" s="56"/>
      <c r="AL428" s="80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5"/>
      <c r="AX428" s="56"/>
    </row>
    <row r="429" ht="15.75" customHeight="1">
      <c r="A429" s="62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85"/>
      <c r="AJ429" s="86"/>
      <c r="AK429" s="86"/>
      <c r="AL429" s="87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5"/>
      <c r="AX429" s="56"/>
    </row>
    <row r="430" ht="15.75" customHeight="1">
      <c r="A430" s="62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ht="15.75" customHeight="1">
      <c r="A431" s="62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ht="15.75" customHeight="1">
      <c r="A432" s="62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ht="15.75" customHeight="1">
      <c r="A433" s="62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ht="15.75" customHeight="1">
      <c r="A434" s="62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ht="15.75" customHeight="1">
      <c r="A435" s="62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ht="15.75" customHeight="1">
      <c r="A436" s="62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ht="15.75" customHeight="1">
      <c r="A437" s="62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ht="15.75" customHeight="1">
      <c r="A438" s="62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ht="15.75" customHeight="1">
      <c r="A439" s="62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ht="15.75" customHeight="1">
      <c r="A440" s="62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ht="15.75" customHeight="1">
      <c r="A441" s="62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ht="15.75" customHeight="1">
      <c r="A442" s="62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ht="15.75" customHeight="1">
      <c r="A443" s="62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ht="15.75" customHeight="1">
      <c r="A444" s="62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ht="15.75" customHeight="1">
      <c r="A445" s="62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ht="15.75" customHeight="1">
      <c r="A446" s="62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ht="15.75" customHeight="1">
      <c r="A447" s="62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ht="15.75" customHeight="1">
      <c r="A448" s="62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ht="15.75" customHeight="1">
      <c r="A449" s="62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ht="15.75" customHeight="1">
      <c r="A450" s="62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ht="15.75" customHeight="1">
      <c r="A451" s="62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ht="15.75" customHeight="1">
      <c r="A452" s="62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ht="15.75" customHeight="1">
      <c r="A453" s="62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ht="15.75" customHeight="1">
      <c r="A454" s="62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ht="15.75" customHeight="1">
      <c r="A455" s="62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ht="15.75" customHeight="1">
      <c r="A456" s="62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ht="15.75" customHeight="1">
      <c r="A457" s="62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ht="15.75" customHeight="1">
      <c r="A458" s="62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ht="15.75" customHeight="1">
      <c r="A459" s="62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ht="15.75" customHeight="1">
      <c r="A460" s="62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ht="15.75" customHeight="1">
      <c r="A461" s="62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ht="15.75" customHeight="1">
      <c r="A462" s="62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ht="15.75" customHeight="1">
      <c r="A463" s="62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ht="15.75" customHeight="1">
      <c r="A464" s="62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ht="15.75" customHeight="1">
      <c r="A465" s="62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ht="15.75" customHeight="1">
      <c r="A466" s="62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ht="15.75" customHeight="1">
      <c r="A467" s="62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ht="15.75" customHeight="1">
      <c r="A468" s="62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ht="15.75" customHeight="1">
      <c r="A469" s="62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ht="15.75" customHeight="1">
      <c r="A470" s="62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ht="15.75" customHeight="1">
      <c r="A471" s="62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ht="15.75" customHeight="1">
      <c r="A472" s="62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ht="15.75" customHeight="1">
      <c r="A473" s="62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ht="15.75" customHeight="1">
      <c r="A474" s="62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ht="15.75" customHeight="1">
      <c r="A475" s="62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ht="15.75" customHeight="1">
      <c r="A476" s="62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ht="15.75" customHeight="1">
      <c r="A477" s="62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ht="15.75" customHeight="1">
      <c r="A478" s="62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ht="15.75" customHeight="1">
      <c r="A479" s="62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ht="15.75" customHeight="1">
      <c r="A480" s="62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ht="15.75" customHeight="1">
      <c r="A481" s="62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ht="15.75" customHeight="1">
      <c r="A482" s="62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ht="15.75" customHeight="1">
      <c r="A483" s="62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ht="15.75" customHeight="1">
      <c r="A484" s="62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ht="15.75" customHeight="1">
      <c r="A485" s="62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ht="15.75" customHeight="1">
      <c r="A486" s="62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ht="15.75" customHeight="1">
      <c r="A487" s="62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ht="15.75" customHeight="1">
      <c r="A488" s="62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ht="15.75" customHeight="1">
      <c r="A489" s="62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ht="15.75" customHeight="1">
      <c r="A490" s="62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ht="15.75" customHeight="1">
      <c r="A491" s="62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ht="15.75" customHeight="1">
      <c r="A492" s="62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ht="15.75" customHeight="1">
      <c r="A493" s="62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ht="15.75" customHeight="1">
      <c r="A494" s="62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ht="15.75" customHeight="1">
      <c r="A495" s="62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ht="15.75" customHeight="1">
      <c r="A496" s="62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ht="15.75" customHeight="1">
      <c r="A497" s="62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ht="15.75" customHeight="1">
      <c r="A498" s="62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ht="15.75" customHeight="1">
      <c r="A499" s="62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ht="15.75" customHeight="1">
      <c r="A500" s="62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  <row r="501" ht="15.75" customHeight="1">
      <c r="A501" s="62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</row>
    <row r="502" ht="15.75" customHeight="1">
      <c r="A502" s="62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</row>
    <row r="503" ht="15.75" customHeight="1">
      <c r="A503" s="62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</row>
    <row r="504" ht="15.75" customHeight="1">
      <c r="A504" s="62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</row>
    <row r="505" ht="15.75" customHeight="1">
      <c r="A505" s="62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</row>
    <row r="506" ht="15.75" customHeight="1">
      <c r="A506" s="62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</row>
    <row r="507" ht="15.75" customHeight="1">
      <c r="A507" s="62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</row>
    <row r="508" ht="15.75" customHeight="1">
      <c r="A508" s="62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</row>
    <row r="509" ht="15.75" customHeight="1">
      <c r="A509" s="62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</row>
    <row r="510" ht="15.75" customHeight="1">
      <c r="A510" s="62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</row>
    <row r="511" ht="15.75" customHeight="1">
      <c r="A511" s="62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</row>
    <row r="512" ht="15.75" customHeight="1">
      <c r="A512" s="62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</row>
    <row r="513" ht="15.75" customHeight="1">
      <c r="A513" s="62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</row>
    <row r="514" ht="15.75" customHeight="1">
      <c r="A514" s="62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</row>
    <row r="515" ht="15.75" customHeight="1">
      <c r="A515" s="62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</row>
    <row r="516" ht="15.75" customHeight="1">
      <c r="A516" s="62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</row>
    <row r="517" ht="15.75" customHeight="1">
      <c r="A517" s="62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</row>
    <row r="518" ht="15.75" customHeight="1">
      <c r="A518" s="62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</row>
    <row r="519" ht="15.75" customHeight="1">
      <c r="A519" s="62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</row>
    <row r="520" ht="15.75" customHeight="1">
      <c r="A520" s="62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</row>
    <row r="521" ht="15.75" customHeight="1">
      <c r="A521" s="62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</row>
    <row r="522" ht="15.75" customHeight="1">
      <c r="A522" s="62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</row>
    <row r="523" ht="15.75" customHeight="1">
      <c r="A523" s="62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</row>
    <row r="524" ht="15.75" customHeight="1">
      <c r="A524" s="62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</row>
    <row r="525" ht="15.75" customHeight="1">
      <c r="A525" s="62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</row>
    <row r="526" ht="15.75" customHeight="1">
      <c r="A526" s="62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</row>
    <row r="527" ht="15.75" customHeight="1">
      <c r="A527" s="62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</row>
    <row r="528" ht="15.75" customHeight="1">
      <c r="A528" s="62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</row>
    <row r="529" ht="15.75" customHeight="1">
      <c r="A529" s="62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</row>
    <row r="530" ht="15.75" customHeight="1">
      <c r="A530" s="62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</row>
    <row r="531" ht="15.75" customHeight="1">
      <c r="A531" s="62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</row>
    <row r="532" ht="15.75" customHeight="1">
      <c r="A532" s="62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</row>
    <row r="533" ht="15.75" customHeight="1">
      <c r="A533" s="62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</row>
    <row r="534" ht="15.75" customHeight="1">
      <c r="A534" s="62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</row>
    <row r="535" ht="15.75" customHeight="1">
      <c r="A535" s="62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</row>
    <row r="536" ht="15.75" customHeight="1">
      <c r="A536" s="62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</row>
    <row r="537" ht="15.75" customHeight="1">
      <c r="A537" s="62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</row>
    <row r="538" ht="15.75" customHeight="1">
      <c r="A538" s="62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</row>
    <row r="539" ht="15.75" customHeight="1">
      <c r="A539" s="62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</row>
    <row r="540" ht="15.75" customHeight="1">
      <c r="A540" s="62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</row>
    <row r="541" ht="15.75" customHeight="1">
      <c r="A541" s="62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</row>
    <row r="542" ht="15.75" customHeight="1">
      <c r="A542" s="62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</row>
    <row r="543" ht="15.75" customHeight="1">
      <c r="A543" s="62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</row>
    <row r="544" ht="15.75" customHeight="1">
      <c r="A544" s="62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</row>
    <row r="545" ht="15.75" customHeight="1">
      <c r="A545" s="62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</row>
    <row r="546" ht="15.75" customHeight="1">
      <c r="A546" s="62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</row>
    <row r="547" ht="15.75" customHeight="1">
      <c r="A547" s="62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</row>
    <row r="548" ht="15.75" customHeight="1">
      <c r="A548" s="62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</row>
    <row r="549" ht="15.75" customHeight="1">
      <c r="A549" s="62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</row>
    <row r="550" ht="15.75" customHeight="1">
      <c r="A550" s="62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</row>
    <row r="551" ht="15.75" customHeight="1">
      <c r="A551" s="62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</row>
    <row r="552" ht="15.75" customHeight="1">
      <c r="A552" s="62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</row>
    <row r="553" ht="15.75" customHeight="1">
      <c r="A553" s="62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</row>
    <row r="554" ht="15.75" customHeight="1">
      <c r="A554" s="62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</row>
    <row r="555" ht="15.75" customHeight="1">
      <c r="A555" s="62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</row>
    <row r="556" ht="15.75" customHeight="1">
      <c r="A556" s="62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</row>
    <row r="557" ht="15.75" customHeight="1">
      <c r="A557" s="62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</row>
    <row r="558" ht="15.75" customHeight="1">
      <c r="A558" s="62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</row>
    <row r="559" ht="15.75" customHeight="1">
      <c r="A559" s="62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</row>
    <row r="560" ht="15.75" customHeight="1">
      <c r="A560" s="62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</row>
    <row r="561" ht="15.75" customHeight="1">
      <c r="A561" s="62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</row>
    <row r="562" ht="15.75" customHeight="1">
      <c r="A562" s="62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</row>
    <row r="563" ht="15.75" customHeight="1">
      <c r="A563" s="62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</row>
    <row r="564" ht="15.75" customHeight="1">
      <c r="A564" s="62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</row>
    <row r="565" ht="15.75" customHeight="1">
      <c r="A565" s="62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</row>
    <row r="566" ht="15.75" customHeight="1">
      <c r="A566" s="62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</row>
    <row r="567" ht="15.75" customHeight="1">
      <c r="A567" s="62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</row>
    <row r="568" ht="15.75" customHeight="1">
      <c r="A568" s="62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</row>
    <row r="569" ht="15.75" customHeight="1">
      <c r="A569" s="62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</row>
    <row r="570" ht="15.75" customHeight="1">
      <c r="A570" s="62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</row>
    <row r="571" ht="15.75" customHeight="1">
      <c r="A571" s="62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</row>
    <row r="572" ht="15.75" customHeight="1">
      <c r="A572" s="62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</row>
    <row r="573" ht="15.75" customHeight="1">
      <c r="A573" s="62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</row>
    <row r="574" ht="15.75" customHeight="1">
      <c r="A574" s="62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</row>
    <row r="575" ht="15.75" customHeight="1">
      <c r="A575" s="62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</row>
    <row r="576" ht="15.75" customHeight="1">
      <c r="A576" s="62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</row>
    <row r="577" ht="15.75" customHeight="1">
      <c r="A577" s="62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</row>
    <row r="578" ht="15.75" customHeight="1">
      <c r="A578" s="62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</row>
    <row r="579" ht="15.75" customHeight="1">
      <c r="A579" s="62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</row>
    <row r="580" ht="15.75" customHeight="1">
      <c r="A580" s="62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</row>
    <row r="581" ht="15.75" customHeight="1">
      <c r="A581" s="62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</row>
    <row r="582" ht="15.75" customHeight="1">
      <c r="A582" s="62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</row>
    <row r="583" ht="15.75" customHeight="1">
      <c r="A583" s="62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</row>
    <row r="584" ht="15.75" customHeight="1">
      <c r="A584" s="62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</row>
    <row r="585" ht="15.75" customHeight="1">
      <c r="A585" s="62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</row>
    <row r="586" ht="15.75" customHeight="1">
      <c r="A586" s="62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</row>
    <row r="587" ht="15.75" customHeight="1">
      <c r="A587" s="62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</row>
    <row r="588" ht="15.75" customHeight="1">
      <c r="A588" s="62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</row>
    <row r="589" ht="15.75" customHeight="1">
      <c r="A589" s="62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</row>
    <row r="590" ht="15.75" customHeight="1">
      <c r="A590" s="62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</row>
    <row r="591" ht="15.75" customHeight="1">
      <c r="A591" s="62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</row>
    <row r="592" ht="15.75" customHeight="1">
      <c r="A592" s="62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</row>
    <row r="593" ht="15.75" customHeight="1">
      <c r="A593" s="62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</row>
    <row r="594" ht="15.75" customHeight="1">
      <c r="A594" s="62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</row>
    <row r="595" ht="15.75" customHeight="1">
      <c r="A595" s="62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</row>
    <row r="596" ht="15.75" customHeight="1">
      <c r="A596" s="62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</row>
    <row r="597" ht="15.75" customHeight="1">
      <c r="A597" s="62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</row>
    <row r="598" ht="15.75" customHeight="1">
      <c r="A598" s="62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</row>
    <row r="599" ht="15.75" customHeight="1">
      <c r="A599" s="62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</row>
    <row r="600" ht="15.75" customHeight="1">
      <c r="A600" s="62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</row>
    <row r="601" ht="15.75" customHeight="1">
      <c r="A601" s="62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</row>
    <row r="602" ht="15.75" customHeight="1">
      <c r="A602" s="62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</row>
    <row r="603" ht="15.75" customHeight="1">
      <c r="A603" s="62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</row>
    <row r="604" ht="15.75" customHeight="1">
      <c r="A604" s="62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</row>
    <row r="605" ht="15.75" customHeight="1">
      <c r="A605" s="62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</row>
    <row r="606" ht="15.75" customHeight="1">
      <c r="A606" s="62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</row>
    <row r="607" ht="15.75" customHeight="1">
      <c r="A607" s="62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</row>
    <row r="608" ht="15.75" customHeight="1">
      <c r="A608" s="62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</row>
    <row r="609" ht="15.75" customHeight="1">
      <c r="A609" s="62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</row>
    <row r="610" ht="15.75" customHeight="1">
      <c r="A610" s="62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</row>
    <row r="611" ht="15.75" customHeight="1">
      <c r="A611" s="62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</row>
    <row r="612" ht="15.75" customHeight="1">
      <c r="A612" s="62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</row>
    <row r="613" ht="15.75" customHeight="1">
      <c r="A613" s="62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</row>
    <row r="614" ht="15.75" customHeight="1">
      <c r="A614" s="62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</row>
    <row r="615" ht="15.75" customHeight="1">
      <c r="A615" s="62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</row>
    <row r="616" ht="15.75" customHeight="1">
      <c r="A616" s="62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</row>
    <row r="617" ht="15.75" customHeight="1">
      <c r="A617" s="62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</row>
    <row r="618" ht="15.75" customHeight="1">
      <c r="A618" s="62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</row>
    <row r="619" ht="15.75" customHeight="1">
      <c r="A619" s="62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</row>
    <row r="620" ht="15.75" customHeight="1">
      <c r="A620" s="62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</row>
    <row r="621" ht="15.75" customHeight="1">
      <c r="A621" s="62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</row>
    <row r="622" ht="15.75" customHeight="1">
      <c r="A622" s="62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</row>
    <row r="623" ht="15.75" customHeight="1">
      <c r="A623" s="62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</row>
    <row r="624" ht="15.75" customHeight="1">
      <c r="A624" s="62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</row>
    <row r="625" ht="15.75" customHeight="1">
      <c r="A625" s="62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</row>
  </sheetData>
  <mergeCells count="4288">
    <mergeCell ref="P3:Q3"/>
    <mergeCell ref="R3:S3"/>
    <mergeCell ref="P4:Q4"/>
    <mergeCell ref="R4:S4"/>
    <mergeCell ref="T3:U3"/>
    <mergeCell ref="V3:W3"/>
    <mergeCell ref="T4:U4"/>
    <mergeCell ref="V4:W4"/>
    <mergeCell ref="X3:Y3"/>
    <mergeCell ref="Z3:AA3"/>
    <mergeCell ref="X4:Y4"/>
    <mergeCell ref="Z4:AA4"/>
    <mergeCell ref="AB4:AC4"/>
    <mergeCell ref="A1:E1"/>
    <mergeCell ref="F1:Q1"/>
    <mergeCell ref="R1:AC1"/>
    <mergeCell ref="AD1:AH1"/>
    <mergeCell ref="F3:G3"/>
    <mergeCell ref="H3:I3"/>
    <mergeCell ref="J3:K3"/>
    <mergeCell ref="AB3:AC3"/>
    <mergeCell ref="L3:M3"/>
    <mergeCell ref="N3:O3"/>
    <mergeCell ref="F4:G4"/>
    <mergeCell ref="H4:I4"/>
    <mergeCell ref="J4:K4"/>
    <mergeCell ref="L4:M4"/>
    <mergeCell ref="N4:O4"/>
    <mergeCell ref="T5:U5"/>
    <mergeCell ref="V5:W5"/>
    <mergeCell ref="X5:Y5"/>
    <mergeCell ref="Z5:AA5"/>
    <mergeCell ref="AB5:AC5"/>
    <mergeCell ref="F5:G5"/>
    <mergeCell ref="H5:I5"/>
    <mergeCell ref="J5:K5"/>
    <mergeCell ref="L5:M5"/>
    <mergeCell ref="N5:O5"/>
    <mergeCell ref="P5:Q5"/>
    <mergeCell ref="R5:S5"/>
    <mergeCell ref="T9:U9"/>
    <mergeCell ref="V9:W9"/>
    <mergeCell ref="X9:Y9"/>
    <mergeCell ref="Z9:AA9"/>
    <mergeCell ref="AB9:AC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F301:G301"/>
    <mergeCell ref="H301:I301"/>
    <mergeCell ref="J301:K301"/>
    <mergeCell ref="L301:M301"/>
    <mergeCell ref="N301:O301"/>
    <mergeCell ref="P301:Q301"/>
    <mergeCell ref="R301:S301"/>
    <mergeCell ref="T358:U358"/>
    <mergeCell ref="V358:W358"/>
    <mergeCell ref="X358:Y358"/>
    <mergeCell ref="Z358:AA358"/>
    <mergeCell ref="AB358:AC358"/>
    <mergeCell ref="F358:G358"/>
    <mergeCell ref="H358:I358"/>
    <mergeCell ref="J358:K358"/>
    <mergeCell ref="L358:M358"/>
    <mergeCell ref="N358:O358"/>
    <mergeCell ref="P358:Q358"/>
    <mergeCell ref="R358:S358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F8:G8"/>
    <mergeCell ref="H8:I8"/>
    <mergeCell ref="J8:K8"/>
    <mergeCell ref="L8:M8"/>
    <mergeCell ref="N8:O8"/>
    <mergeCell ref="P8:Q8"/>
    <mergeCell ref="R8:S8"/>
    <mergeCell ref="T359:U359"/>
    <mergeCell ref="V359:W359"/>
    <mergeCell ref="X359:Y359"/>
    <mergeCell ref="Z359:AA359"/>
    <mergeCell ref="AB359:AC359"/>
    <mergeCell ref="F359:G359"/>
    <mergeCell ref="H359:I359"/>
    <mergeCell ref="J359:K359"/>
    <mergeCell ref="L359:M359"/>
    <mergeCell ref="N359:O359"/>
    <mergeCell ref="P359:Q359"/>
    <mergeCell ref="R359:S359"/>
    <mergeCell ref="T351:U351"/>
    <mergeCell ref="V351:W351"/>
    <mergeCell ref="X351:Y351"/>
    <mergeCell ref="Z351:AA351"/>
    <mergeCell ref="AB351:AC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F357:G357"/>
    <mergeCell ref="H357:I357"/>
    <mergeCell ref="J357:K357"/>
    <mergeCell ref="L357:M357"/>
    <mergeCell ref="N357:O357"/>
    <mergeCell ref="P357:Q357"/>
    <mergeCell ref="R357:S357"/>
    <mergeCell ref="T302:U302"/>
    <mergeCell ref="V302:W302"/>
    <mergeCell ref="X302:Y302"/>
    <mergeCell ref="Z302:AA302"/>
    <mergeCell ref="AB302:AC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F350:G350"/>
    <mergeCell ref="H350:I350"/>
    <mergeCell ref="J350:K350"/>
    <mergeCell ref="L350:M350"/>
    <mergeCell ref="N350:O350"/>
    <mergeCell ref="P350:Q350"/>
    <mergeCell ref="R350:S35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5" width="11.78"/>
    <col customWidth="1" min="6" max="17" width="3.67"/>
    <col customWidth="1" hidden="1" min="18" max="28" width="3.67"/>
    <col customWidth="1" hidden="1" min="29" max="29" width="14.0"/>
    <col customWidth="1" min="30" max="30" width="10.78"/>
    <col customWidth="1" min="31" max="32" width="8.0"/>
    <col customWidth="1" min="33" max="33" width="11.44"/>
    <col customWidth="1" min="34" max="34" width="8.0"/>
    <col customWidth="1" min="35" max="37" width="11.11"/>
    <col customWidth="1" min="38" max="38" width="11.44"/>
    <col customWidth="1" min="39" max="50" width="11.11"/>
  </cols>
  <sheetData>
    <row r="1" ht="22.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7"/>
      <c r="AF1" s="7"/>
      <c r="AG1" s="7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ht="130.5" customHeight="1">
      <c r="A2" s="9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1" t="s">
        <v>9</v>
      </c>
      <c r="G2" s="12">
        <v>24.0</v>
      </c>
      <c r="H2" s="11" t="s">
        <v>10</v>
      </c>
      <c r="I2" s="12">
        <v>24.0</v>
      </c>
      <c r="J2" s="11" t="s">
        <v>11</v>
      </c>
      <c r="K2" s="12">
        <v>24.0</v>
      </c>
      <c r="L2" s="11" t="s">
        <v>12</v>
      </c>
      <c r="M2" s="12">
        <v>24.0</v>
      </c>
      <c r="N2" s="11" t="s">
        <v>13</v>
      </c>
      <c r="O2" s="12">
        <v>8.0</v>
      </c>
      <c r="P2" s="11" t="s">
        <v>14</v>
      </c>
      <c r="Q2" s="12">
        <v>0.0</v>
      </c>
      <c r="R2" s="12" t="s">
        <v>15</v>
      </c>
      <c r="S2" s="12">
        <v>0.0</v>
      </c>
      <c r="T2" s="12" t="s">
        <v>15</v>
      </c>
      <c r="U2" s="12">
        <v>0.0</v>
      </c>
      <c r="V2" s="12" t="s">
        <v>15</v>
      </c>
      <c r="W2" s="12">
        <v>0.0</v>
      </c>
      <c r="X2" s="12" t="s">
        <v>15</v>
      </c>
      <c r="Y2" s="12">
        <v>0.0</v>
      </c>
      <c r="Z2" s="12" t="s">
        <v>15</v>
      </c>
      <c r="AA2" s="12">
        <v>0.0</v>
      </c>
      <c r="AB2" s="12" t="s">
        <v>15</v>
      </c>
      <c r="AC2" s="12">
        <v>0.0</v>
      </c>
      <c r="AD2" s="13" t="s">
        <v>16</v>
      </c>
      <c r="AE2" s="13" t="s">
        <v>17</v>
      </c>
      <c r="AF2" s="13" t="s">
        <v>18</v>
      </c>
      <c r="AG2" s="13" t="s">
        <v>19</v>
      </c>
      <c r="AH2" s="13" t="s">
        <v>20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ht="15.75" customHeight="1">
      <c r="A3" s="14" t="s">
        <v>21</v>
      </c>
      <c r="B3" s="15">
        <v>45292.0</v>
      </c>
      <c r="C3" s="16">
        <v>1.0</v>
      </c>
      <c r="D3" s="16" t="s">
        <v>22</v>
      </c>
      <c r="E3" s="17"/>
      <c r="F3" s="18"/>
      <c r="H3" s="19"/>
      <c r="J3" s="19"/>
      <c r="L3" s="19"/>
      <c r="N3" s="19"/>
      <c r="P3" s="19"/>
      <c r="Q3" s="20"/>
      <c r="R3" s="18"/>
      <c r="T3" s="19"/>
      <c r="V3" s="19"/>
      <c r="X3" s="19"/>
      <c r="Z3" s="19"/>
      <c r="AB3" s="19"/>
      <c r="AC3" s="20"/>
      <c r="AD3" s="21">
        <f t="shared" ref="AD3:AD359" si="1">(F3*G$2)+(H3*I$2)+(J3*K$2)+(L3*M$2)+(N3*O$2)+(P3*Q$2)+(R3*S$2)+(T3*U$2)+(V3*W$2)+(X3*Y$2)+(Z3*AA$2)+(AB3*AC$2)</f>
        <v>0</v>
      </c>
      <c r="AE3" s="16">
        <f t="shared" ref="AE3:AE359" si="2">SUM(F3:M3)</f>
        <v>0</v>
      </c>
      <c r="AF3" s="16">
        <f t="shared" ref="AF3:AF359" si="3">SUM(N3:Q3)</f>
        <v>0</v>
      </c>
      <c r="AG3" s="16">
        <f t="shared" ref="AG3:AG359" si="4">SUM(F3:AC3)</f>
        <v>0</v>
      </c>
      <c r="AH3" s="22">
        <f t="shared" ref="AH3:AH359" si="5">IFERROR(AD3/AG3,0)</f>
        <v>0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ht="15.75" customHeight="1">
      <c r="A4" s="23" t="s">
        <v>23</v>
      </c>
      <c r="B4" s="24">
        <f t="shared" ref="B4:B359" si="6">B3+1</f>
        <v>45293</v>
      </c>
      <c r="C4" s="25">
        <v>1.0</v>
      </c>
      <c r="D4" s="25" t="s">
        <v>22</v>
      </c>
      <c r="E4" s="22"/>
      <c r="F4" s="18"/>
      <c r="H4" s="19"/>
      <c r="J4" s="19"/>
      <c r="L4" s="19"/>
      <c r="N4" s="19"/>
      <c r="P4" s="19"/>
      <c r="Q4" s="20"/>
      <c r="R4" s="18"/>
      <c r="T4" s="19"/>
      <c r="V4" s="19"/>
      <c r="X4" s="19"/>
      <c r="Z4" s="19"/>
      <c r="AB4" s="19"/>
      <c r="AC4" s="20"/>
      <c r="AD4" s="26">
        <f t="shared" si="1"/>
        <v>0</v>
      </c>
      <c r="AE4" s="25">
        <f t="shared" si="2"/>
        <v>0</v>
      </c>
      <c r="AF4" s="25">
        <f t="shared" si="3"/>
        <v>0</v>
      </c>
      <c r="AG4" s="25">
        <f t="shared" si="4"/>
        <v>0</v>
      </c>
      <c r="AH4" s="27">
        <f t="shared" si="5"/>
        <v>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ht="15.75" customHeight="1">
      <c r="A5" s="23" t="s">
        <v>24</v>
      </c>
      <c r="B5" s="24">
        <f t="shared" si="6"/>
        <v>45294</v>
      </c>
      <c r="C5" s="25">
        <v>1.0</v>
      </c>
      <c r="D5" s="25" t="s">
        <v>22</v>
      </c>
      <c r="E5" s="22"/>
      <c r="F5" s="18"/>
      <c r="H5" s="19"/>
      <c r="J5" s="19"/>
      <c r="L5" s="19"/>
      <c r="N5" s="19"/>
      <c r="P5" s="19"/>
      <c r="Q5" s="20"/>
      <c r="R5" s="18"/>
      <c r="T5" s="19"/>
      <c r="V5" s="19"/>
      <c r="X5" s="19"/>
      <c r="Z5" s="19"/>
      <c r="AB5" s="19"/>
      <c r="AC5" s="20"/>
      <c r="AD5" s="26">
        <f t="shared" si="1"/>
        <v>0</v>
      </c>
      <c r="AE5" s="25">
        <f t="shared" si="2"/>
        <v>0</v>
      </c>
      <c r="AF5" s="25">
        <f t="shared" si="3"/>
        <v>0</v>
      </c>
      <c r="AG5" s="25">
        <f t="shared" si="4"/>
        <v>0</v>
      </c>
      <c r="AH5" s="27">
        <f t="shared" si="5"/>
        <v>0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ht="15.75" customHeight="1">
      <c r="A6" s="23" t="s">
        <v>25</v>
      </c>
      <c r="B6" s="24">
        <f t="shared" si="6"/>
        <v>45295</v>
      </c>
      <c r="C6" s="25">
        <v>1.0</v>
      </c>
      <c r="D6" s="25" t="s">
        <v>22</v>
      </c>
      <c r="E6" s="22"/>
      <c r="F6" s="18"/>
      <c r="H6" s="19"/>
      <c r="J6" s="19"/>
      <c r="L6" s="19"/>
      <c r="N6" s="19"/>
      <c r="P6" s="19"/>
      <c r="Q6" s="20"/>
      <c r="R6" s="18"/>
      <c r="T6" s="19"/>
      <c r="V6" s="19"/>
      <c r="X6" s="19"/>
      <c r="Z6" s="19"/>
      <c r="AB6" s="19"/>
      <c r="AC6" s="20"/>
      <c r="AD6" s="26">
        <f t="shared" si="1"/>
        <v>0</v>
      </c>
      <c r="AE6" s="25">
        <f t="shared" si="2"/>
        <v>0</v>
      </c>
      <c r="AF6" s="25">
        <f t="shared" si="3"/>
        <v>0</v>
      </c>
      <c r="AG6" s="25">
        <f t="shared" si="4"/>
        <v>0</v>
      </c>
      <c r="AH6" s="27">
        <f t="shared" si="5"/>
        <v>0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ht="15.75" customHeight="1">
      <c r="A7" s="23" t="s">
        <v>26</v>
      </c>
      <c r="B7" s="24">
        <f t="shared" si="6"/>
        <v>45296</v>
      </c>
      <c r="C7" s="25">
        <v>1.0</v>
      </c>
      <c r="D7" s="25" t="s">
        <v>22</v>
      </c>
      <c r="E7" s="22"/>
      <c r="F7" s="18"/>
      <c r="H7" s="19"/>
      <c r="J7" s="19"/>
      <c r="L7" s="19"/>
      <c r="N7" s="19"/>
      <c r="P7" s="19"/>
      <c r="Q7" s="20"/>
      <c r="R7" s="18"/>
      <c r="T7" s="19"/>
      <c r="V7" s="19"/>
      <c r="X7" s="19"/>
      <c r="Z7" s="19"/>
      <c r="AB7" s="19"/>
      <c r="AC7" s="20"/>
      <c r="AD7" s="26">
        <f t="shared" si="1"/>
        <v>0</v>
      </c>
      <c r="AE7" s="25">
        <f t="shared" si="2"/>
        <v>0</v>
      </c>
      <c r="AF7" s="25">
        <f t="shared" si="3"/>
        <v>0</v>
      </c>
      <c r="AG7" s="25">
        <f t="shared" si="4"/>
        <v>0</v>
      </c>
      <c r="AH7" s="27">
        <f t="shared" si="5"/>
        <v>0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ht="15.75" customHeight="1">
      <c r="A8" s="23" t="s">
        <v>27</v>
      </c>
      <c r="B8" s="24">
        <f t="shared" si="6"/>
        <v>45297</v>
      </c>
      <c r="C8" s="25">
        <v>1.0</v>
      </c>
      <c r="D8" s="25" t="s">
        <v>22</v>
      </c>
      <c r="E8" s="22"/>
      <c r="F8" s="18"/>
      <c r="H8" s="19"/>
      <c r="J8" s="19"/>
      <c r="L8" s="19"/>
      <c r="N8" s="19"/>
      <c r="P8" s="19"/>
      <c r="Q8" s="20"/>
      <c r="R8" s="18"/>
      <c r="T8" s="19"/>
      <c r="V8" s="19"/>
      <c r="X8" s="19"/>
      <c r="Z8" s="19"/>
      <c r="AB8" s="19"/>
      <c r="AC8" s="20"/>
      <c r="AD8" s="26">
        <f t="shared" si="1"/>
        <v>0</v>
      </c>
      <c r="AE8" s="25">
        <f t="shared" si="2"/>
        <v>0</v>
      </c>
      <c r="AF8" s="25">
        <f t="shared" si="3"/>
        <v>0</v>
      </c>
      <c r="AG8" s="25">
        <f t="shared" si="4"/>
        <v>0</v>
      </c>
      <c r="AH8" s="27">
        <f t="shared" si="5"/>
        <v>0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ht="15.75" customHeight="1">
      <c r="A9" s="28" t="s">
        <v>28</v>
      </c>
      <c r="B9" s="29">
        <f t="shared" si="6"/>
        <v>45298</v>
      </c>
      <c r="C9" s="30">
        <v>1.0</v>
      </c>
      <c r="D9" s="30" t="s">
        <v>22</v>
      </c>
      <c r="E9" s="31"/>
      <c r="F9" s="32"/>
      <c r="G9" s="7"/>
      <c r="H9" s="33"/>
      <c r="I9" s="7"/>
      <c r="J9" s="33"/>
      <c r="K9" s="7"/>
      <c r="L9" s="33"/>
      <c r="M9" s="7"/>
      <c r="N9" s="33"/>
      <c r="O9" s="7"/>
      <c r="P9" s="33"/>
      <c r="Q9" s="34"/>
      <c r="R9" s="32"/>
      <c r="S9" s="7"/>
      <c r="T9" s="33"/>
      <c r="U9" s="7"/>
      <c r="V9" s="33"/>
      <c r="W9" s="7"/>
      <c r="X9" s="33"/>
      <c r="Y9" s="7"/>
      <c r="Z9" s="33"/>
      <c r="AA9" s="7"/>
      <c r="AB9" s="33"/>
      <c r="AC9" s="34"/>
      <c r="AD9" s="35">
        <f t="shared" si="1"/>
        <v>0</v>
      </c>
      <c r="AE9" s="30">
        <f t="shared" si="2"/>
        <v>0</v>
      </c>
      <c r="AF9" s="30">
        <f t="shared" si="3"/>
        <v>0</v>
      </c>
      <c r="AG9" s="30">
        <f t="shared" si="4"/>
        <v>0</v>
      </c>
      <c r="AH9" s="36">
        <f t="shared" si="5"/>
        <v>0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ht="15.75" customHeight="1">
      <c r="A10" s="14" t="s">
        <v>21</v>
      </c>
      <c r="B10" s="15">
        <f t="shared" si="6"/>
        <v>45299</v>
      </c>
      <c r="C10" s="16">
        <v>1.0</v>
      </c>
      <c r="D10" s="16" t="s">
        <v>29</v>
      </c>
      <c r="E10" s="17"/>
      <c r="F10" s="18"/>
      <c r="H10" s="19"/>
      <c r="J10" s="19"/>
      <c r="L10" s="19"/>
      <c r="N10" s="19"/>
      <c r="P10" s="19"/>
      <c r="Q10" s="20"/>
      <c r="R10" s="18"/>
      <c r="T10" s="19"/>
      <c r="V10" s="19"/>
      <c r="X10" s="19"/>
      <c r="Z10" s="19"/>
      <c r="AB10" s="19"/>
      <c r="AC10" s="20"/>
      <c r="AD10" s="21">
        <f t="shared" si="1"/>
        <v>0</v>
      </c>
      <c r="AE10" s="16">
        <f t="shared" si="2"/>
        <v>0</v>
      </c>
      <c r="AF10" s="16">
        <f t="shared" si="3"/>
        <v>0</v>
      </c>
      <c r="AG10" s="16">
        <f t="shared" si="4"/>
        <v>0</v>
      </c>
      <c r="AH10" s="37">
        <f t="shared" si="5"/>
        <v>0</v>
      </c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ht="15.75" customHeight="1">
      <c r="A11" s="23" t="s">
        <v>23</v>
      </c>
      <c r="B11" s="24">
        <f t="shared" si="6"/>
        <v>45300</v>
      </c>
      <c r="C11" s="25">
        <v>1.0</v>
      </c>
      <c r="D11" s="25" t="s">
        <v>29</v>
      </c>
      <c r="E11" s="22"/>
      <c r="F11" s="18"/>
      <c r="H11" s="19"/>
      <c r="J11" s="19"/>
      <c r="L11" s="19"/>
      <c r="N11" s="19"/>
      <c r="P11" s="19"/>
      <c r="Q11" s="20"/>
      <c r="R11" s="18"/>
      <c r="T11" s="19"/>
      <c r="V11" s="19"/>
      <c r="X11" s="19"/>
      <c r="Z11" s="19"/>
      <c r="AB11" s="19"/>
      <c r="AC11" s="20"/>
      <c r="AD11" s="26">
        <f t="shared" si="1"/>
        <v>0</v>
      </c>
      <c r="AE11" s="25">
        <f t="shared" si="2"/>
        <v>0</v>
      </c>
      <c r="AF11" s="25">
        <f t="shared" si="3"/>
        <v>0</v>
      </c>
      <c r="AG11" s="25">
        <f t="shared" si="4"/>
        <v>0</v>
      </c>
      <c r="AH11" s="27">
        <f t="shared" si="5"/>
        <v>0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ht="15.75" customHeight="1">
      <c r="A12" s="23" t="s">
        <v>24</v>
      </c>
      <c r="B12" s="24">
        <f t="shared" si="6"/>
        <v>45301</v>
      </c>
      <c r="C12" s="25">
        <v>1.0</v>
      </c>
      <c r="D12" s="25" t="s">
        <v>29</v>
      </c>
      <c r="E12" s="22"/>
      <c r="F12" s="18"/>
      <c r="H12" s="19"/>
      <c r="J12" s="19"/>
      <c r="L12" s="19"/>
      <c r="N12" s="19"/>
      <c r="P12" s="19"/>
      <c r="Q12" s="20"/>
      <c r="R12" s="18"/>
      <c r="T12" s="19"/>
      <c r="V12" s="19"/>
      <c r="X12" s="19"/>
      <c r="Z12" s="19"/>
      <c r="AB12" s="19"/>
      <c r="AC12" s="20"/>
      <c r="AD12" s="26">
        <f t="shared" si="1"/>
        <v>0</v>
      </c>
      <c r="AE12" s="25">
        <f t="shared" si="2"/>
        <v>0</v>
      </c>
      <c r="AF12" s="25">
        <f t="shared" si="3"/>
        <v>0</v>
      </c>
      <c r="AG12" s="25">
        <f t="shared" si="4"/>
        <v>0</v>
      </c>
      <c r="AH12" s="27">
        <f t="shared" si="5"/>
        <v>0</v>
      </c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ht="15.75" customHeight="1">
      <c r="A13" s="23" t="s">
        <v>25</v>
      </c>
      <c r="B13" s="24">
        <f t="shared" si="6"/>
        <v>45302</v>
      </c>
      <c r="C13" s="25">
        <v>1.0</v>
      </c>
      <c r="D13" s="25" t="s">
        <v>29</v>
      </c>
      <c r="E13" s="22"/>
      <c r="F13" s="18"/>
      <c r="H13" s="19"/>
      <c r="J13" s="19"/>
      <c r="L13" s="19"/>
      <c r="N13" s="19"/>
      <c r="P13" s="19"/>
      <c r="Q13" s="20"/>
      <c r="R13" s="18"/>
      <c r="T13" s="19"/>
      <c r="V13" s="19"/>
      <c r="X13" s="19"/>
      <c r="Z13" s="19"/>
      <c r="AB13" s="19"/>
      <c r="AC13" s="20"/>
      <c r="AD13" s="26">
        <f t="shared" si="1"/>
        <v>0</v>
      </c>
      <c r="AE13" s="25">
        <f t="shared" si="2"/>
        <v>0</v>
      </c>
      <c r="AF13" s="25">
        <f t="shared" si="3"/>
        <v>0</v>
      </c>
      <c r="AG13" s="25">
        <f t="shared" si="4"/>
        <v>0</v>
      </c>
      <c r="AH13" s="27">
        <f t="shared" si="5"/>
        <v>0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ht="15.75" customHeight="1">
      <c r="A14" s="23" t="s">
        <v>26</v>
      </c>
      <c r="B14" s="24">
        <f t="shared" si="6"/>
        <v>45303</v>
      </c>
      <c r="C14" s="25">
        <v>1.0</v>
      </c>
      <c r="D14" s="25" t="s">
        <v>29</v>
      </c>
      <c r="E14" s="22"/>
      <c r="F14" s="18"/>
      <c r="H14" s="19"/>
      <c r="J14" s="19"/>
      <c r="L14" s="19"/>
      <c r="N14" s="19"/>
      <c r="P14" s="19"/>
      <c r="Q14" s="20"/>
      <c r="R14" s="18"/>
      <c r="T14" s="19"/>
      <c r="V14" s="19"/>
      <c r="X14" s="19"/>
      <c r="Z14" s="19"/>
      <c r="AB14" s="19"/>
      <c r="AC14" s="20"/>
      <c r="AD14" s="26">
        <f t="shared" si="1"/>
        <v>0</v>
      </c>
      <c r="AE14" s="25">
        <f t="shared" si="2"/>
        <v>0</v>
      </c>
      <c r="AF14" s="25">
        <f t="shared" si="3"/>
        <v>0</v>
      </c>
      <c r="AG14" s="25">
        <f t="shared" si="4"/>
        <v>0</v>
      </c>
      <c r="AH14" s="27">
        <f t="shared" si="5"/>
        <v>0</v>
      </c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ht="15.75" customHeight="1">
      <c r="A15" s="23" t="s">
        <v>27</v>
      </c>
      <c r="B15" s="24">
        <f t="shared" si="6"/>
        <v>45304</v>
      </c>
      <c r="C15" s="25">
        <v>1.0</v>
      </c>
      <c r="D15" s="25" t="s">
        <v>29</v>
      </c>
      <c r="E15" s="22"/>
      <c r="F15" s="18"/>
      <c r="H15" s="19"/>
      <c r="J15" s="19"/>
      <c r="L15" s="19"/>
      <c r="N15" s="19"/>
      <c r="P15" s="19"/>
      <c r="Q15" s="20"/>
      <c r="R15" s="18"/>
      <c r="T15" s="19"/>
      <c r="V15" s="19"/>
      <c r="X15" s="19"/>
      <c r="Z15" s="19"/>
      <c r="AB15" s="19"/>
      <c r="AC15" s="20"/>
      <c r="AD15" s="26">
        <f t="shared" si="1"/>
        <v>0</v>
      </c>
      <c r="AE15" s="25">
        <f t="shared" si="2"/>
        <v>0</v>
      </c>
      <c r="AF15" s="25">
        <f t="shared" si="3"/>
        <v>0</v>
      </c>
      <c r="AG15" s="25">
        <f t="shared" si="4"/>
        <v>0</v>
      </c>
      <c r="AH15" s="27">
        <f t="shared" si="5"/>
        <v>0</v>
      </c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ht="15.75" customHeight="1">
      <c r="A16" s="28" t="s">
        <v>28</v>
      </c>
      <c r="B16" s="29">
        <f t="shared" si="6"/>
        <v>45305</v>
      </c>
      <c r="C16" s="30">
        <v>1.0</v>
      </c>
      <c r="D16" s="30" t="s">
        <v>29</v>
      </c>
      <c r="E16" s="31"/>
      <c r="F16" s="32"/>
      <c r="G16" s="7"/>
      <c r="H16" s="33"/>
      <c r="I16" s="7"/>
      <c r="J16" s="33"/>
      <c r="K16" s="7"/>
      <c r="L16" s="33"/>
      <c r="M16" s="7"/>
      <c r="N16" s="33"/>
      <c r="O16" s="7"/>
      <c r="P16" s="33"/>
      <c r="Q16" s="34"/>
      <c r="R16" s="32"/>
      <c r="S16" s="7"/>
      <c r="T16" s="33"/>
      <c r="U16" s="7"/>
      <c r="V16" s="33"/>
      <c r="W16" s="7"/>
      <c r="X16" s="33"/>
      <c r="Y16" s="7"/>
      <c r="Z16" s="33"/>
      <c r="AA16" s="7"/>
      <c r="AB16" s="33"/>
      <c r="AC16" s="34"/>
      <c r="AD16" s="35">
        <f t="shared" si="1"/>
        <v>0</v>
      </c>
      <c r="AE16" s="30">
        <f t="shared" si="2"/>
        <v>0</v>
      </c>
      <c r="AF16" s="30">
        <f t="shared" si="3"/>
        <v>0</v>
      </c>
      <c r="AG16" s="30">
        <f t="shared" si="4"/>
        <v>0</v>
      </c>
      <c r="AH16" s="36">
        <f t="shared" si="5"/>
        <v>0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ht="15.75" customHeight="1">
      <c r="A17" s="14" t="s">
        <v>21</v>
      </c>
      <c r="B17" s="15">
        <f t="shared" si="6"/>
        <v>45306</v>
      </c>
      <c r="C17" s="16">
        <v>1.0</v>
      </c>
      <c r="D17" s="16" t="s">
        <v>30</v>
      </c>
      <c r="E17" s="17"/>
      <c r="F17" s="18"/>
      <c r="H17" s="19"/>
      <c r="J17" s="19"/>
      <c r="L17" s="19"/>
      <c r="N17" s="19"/>
      <c r="P17" s="19"/>
      <c r="Q17" s="20"/>
      <c r="R17" s="18"/>
      <c r="T17" s="19"/>
      <c r="V17" s="19"/>
      <c r="X17" s="19"/>
      <c r="Z17" s="19"/>
      <c r="AB17" s="19"/>
      <c r="AC17" s="20"/>
      <c r="AD17" s="21">
        <f t="shared" si="1"/>
        <v>0</v>
      </c>
      <c r="AE17" s="16">
        <f t="shared" si="2"/>
        <v>0</v>
      </c>
      <c r="AF17" s="16">
        <f t="shared" si="3"/>
        <v>0</v>
      </c>
      <c r="AG17" s="16">
        <f t="shared" si="4"/>
        <v>0</v>
      </c>
      <c r="AH17" s="37">
        <f t="shared" si="5"/>
        <v>0</v>
      </c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ht="15.75" customHeight="1">
      <c r="A18" s="23" t="s">
        <v>23</v>
      </c>
      <c r="B18" s="24">
        <f t="shared" si="6"/>
        <v>45307</v>
      </c>
      <c r="C18" s="25">
        <v>1.0</v>
      </c>
      <c r="D18" s="25" t="s">
        <v>30</v>
      </c>
      <c r="E18" s="22"/>
      <c r="F18" s="18"/>
      <c r="H18" s="19"/>
      <c r="J18" s="19"/>
      <c r="L18" s="19"/>
      <c r="N18" s="19"/>
      <c r="P18" s="19"/>
      <c r="Q18" s="20"/>
      <c r="R18" s="18"/>
      <c r="T18" s="19"/>
      <c r="V18" s="19"/>
      <c r="X18" s="19"/>
      <c r="Z18" s="19"/>
      <c r="AB18" s="19"/>
      <c r="AC18" s="20"/>
      <c r="AD18" s="26">
        <f t="shared" si="1"/>
        <v>0</v>
      </c>
      <c r="AE18" s="25">
        <f t="shared" si="2"/>
        <v>0</v>
      </c>
      <c r="AF18" s="25">
        <f t="shared" si="3"/>
        <v>0</v>
      </c>
      <c r="AG18" s="25">
        <f t="shared" si="4"/>
        <v>0</v>
      </c>
      <c r="AH18" s="27">
        <f t="shared" si="5"/>
        <v>0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ht="15.75" customHeight="1">
      <c r="A19" s="23" t="s">
        <v>24</v>
      </c>
      <c r="B19" s="24">
        <f t="shared" si="6"/>
        <v>45308</v>
      </c>
      <c r="C19" s="25">
        <v>1.0</v>
      </c>
      <c r="D19" s="25" t="s">
        <v>30</v>
      </c>
      <c r="E19" s="22"/>
      <c r="F19" s="18"/>
      <c r="H19" s="19"/>
      <c r="J19" s="19"/>
      <c r="L19" s="19"/>
      <c r="N19" s="19"/>
      <c r="P19" s="19"/>
      <c r="Q19" s="20"/>
      <c r="R19" s="18"/>
      <c r="T19" s="19"/>
      <c r="V19" s="19"/>
      <c r="X19" s="19"/>
      <c r="Z19" s="19"/>
      <c r="AB19" s="19"/>
      <c r="AC19" s="20"/>
      <c r="AD19" s="26">
        <f t="shared" si="1"/>
        <v>0</v>
      </c>
      <c r="AE19" s="25">
        <f t="shared" si="2"/>
        <v>0</v>
      </c>
      <c r="AF19" s="25">
        <f t="shared" si="3"/>
        <v>0</v>
      </c>
      <c r="AG19" s="25">
        <f t="shared" si="4"/>
        <v>0</v>
      </c>
      <c r="AH19" s="27">
        <f t="shared" si="5"/>
        <v>0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ht="15.75" customHeight="1">
      <c r="A20" s="23" t="s">
        <v>25</v>
      </c>
      <c r="B20" s="24">
        <f t="shared" si="6"/>
        <v>45309</v>
      </c>
      <c r="C20" s="25">
        <v>1.0</v>
      </c>
      <c r="D20" s="25" t="s">
        <v>30</v>
      </c>
      <c r="E20" s="22"/>
      <c r="F20" s="18"/>
      <c r="H20" s="19"/>
      <c r="J20" s="19"/>
      <c r="L20" s="19"/>
      <c r="N20" s="19"/>
      <c r="P20" s="19"/>
      <c r="Q20" s="20"/>
      <c r="R20" s="18"/>
      <c r="T20" s="19"/>
      <c r="V20" s="19"/>
      <c r="X20" s="19"/>
      <c r="Z20" s="19"/>
      <c r="AB20" s="19"/>
      <c r="AC20" s="20"/>
      <c r="AD20" s="26">
        <f t="shared" si="1"/>
        <v>0</v>
      </c>
      <c r="AE20" s="25">
        <f t="shared" si="2"/>
        <v>0</v>
      </c>
      <c r="AF20" s="25">
        <f t="shared" si="3"/>
        <v>0</v>
      </c>
      <c r="AG20" s="25">
        <f t="shared" si="4"/>
        <v>0</v>
      </c>
      <c r="AH20" s="27">
        <f t="shared" si="5"/>
        <v>0</v>
      </c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ht="15.75" customHeight="1">
      <c r="A21" s="23" t="s">
        <v>26</v>
      </c>
      <c r="B21" s="24">
        <f t="shared" si="6"/>
        <v>45310</v>
      </c>
      <c r="C21" s="25">
        <v>1.0</v>
      </c>
      <c r="D21" s="25" t="s">
        <v>30</v>
      </c>
      <c r="E21" s="22"/>
      <c r="F21" s="18"/>
      <c r="H21" s="19"/>
      <c r="J21" s="19"/>
      <c r="L21" s="19"/>
      <c r="N21" s="19"/>
      <c r="P21" s="19"/>
      <c r="Q21" s="20"/>
      <c r="R21" s="18"/>
      <c r="T21" s="19"/>
      <c r="V21" s="19"/>
      <c r="X21" s="19"/>
      <c r="Z21" s="19"/>
      <c r="AB21" s="19"/>
      <c r="AC21" s="20"/>
      <c r="AD21" s="26">
        <f t="shared" si="1"/>
        <v>0</v>
      </c>
      <c r="AE21" s="25">
        <f t="shared" si="2"/>
        <v>0</v>
      </c>
      <c r="AF21" s="25">
        <f t="shared" si="3"/>
        <v>0</v>
      </c>
      <c r="AG21" s="25">
        <f t="shared" si="4"/>
        <v>0</v>
      </c>
      <c r="AH21" s="27">
        <f t="shared" si="5"/>
        <v>0</v>
      </c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ht="15.75" customHeight="1">
      <c r="A22" s="23" t="s">
        <v>27</v>
      </c>
      <c r="B22" s="24">
        <f t="shared" si="6"/>
        <v>45311</v>
      </c>
      <c r="C22" s="25">
        <v>1.0</v>
      </c>
      <c r="D22" s="25" t="s">
        <v>30</v>
      </c>
      <c r="E22" s="22"/>
      <c r="F22" s="18"/>
      <c r="H22" s="19"/>
      <c r="J22" s="19"/>
      <c r="L22" s="19"/>
      <c r="N22" s="19"/>
      <c r="P22" s="19"/>
      <c r="Q22" s="20"/>
      <c r="R22" s="18"/>
      <c r="T22" s="19"/>
      <c r="V22" s="19"/>
      <c r="X22" s="19"/>
      <c r="Z22" s="19"/>
      <c r="AB22" s="19"/>
      <c r="AC22" s="20"/>
      <c r="AD22" s="26">
        <f t="shared" si="1"/>
        <v>0</v>
      </c>
      <c r="AE22" s="25">
        <f t="shared" si="2"/>
        <v>0</v>
      </c>
      <c r="AF22" s="25">
        <f t="shared" si="3"/>
        <v>0</v>
      </c>
      <c r="AG22" s="25">
        <f t="shared" si="4"/>
        <v>0</v>
      </c>
      <c r="AH22" s="27">
        <f t="shared" si="5"/>
        <v>0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ht="15.75" customHeight="1">
      <c r="A23" s="28" t="s">
        <v>28</v>
      </c>
      <c r="B23" s="29">
        <f t="shared" si="6"/>
        <v>45312</v>
      </c>
      <c r="C23" s="30">
        <v>1.0</v>
      </c>
      <c r="D23" s="30" t="s">
        <v>30</v>
      </c>
      <c r="E23" s="31"/>
      <c r="F23" s="32"/>
      <c r="G23" s="7"/>
      <c r="H23" s="33"/>
      <c r="I23" s="7"/>
      <c r="J23" s="33"/>
      <c r="K23" s="7"/>
      <c r="L23" s="33"/>
      <c r="M23" s="7"/>
      <c r="N23" s="33"/>
      <c r="O23" s="7"/>
      <c r="P23" s="33"/>
      <c r="Q23" s="34"/>
      <c r="R23" s="32"/>
      <c r="S23" s="7"/>
      <c r="T23" s="33"/>
      <c r="U23" s="7"/>
      <c r="V23" s="33"/>
      <c r="W23" s="7"/>
      <c r="X23" s="33"/>
      <c r="Y23" s="7"/>
      <c r="Z23" s="33"/>
      <c r="AA23" s="7"/>
      <c r="AB23" s="33"/>
      <c r="AC23" s="34"/>
      <c r="AD23" s="35">
        <f t="shared" si="1"/>
        <v>0</v>
      </c>
      <c r="AE23" s="30">
        <f t="shared" si="2"/>
        <v>0</v>
      </c>
      <c r="AF23" s="30">
        <f t="shared" si="3"/>
        <v>0</v>
      </c>
      <c r="AG23" s="30">
        <f t="shared" si="4"/>
        <v>0</v>
      </c>
      <c r="AH23" s="36">
        <f t="shared" si="5"/>
        <v>0</v>
      </c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ht="15.75" customHeight="1">
      <c r="A24" s="14" t="s">
        <v>21</v>
      </c>
      <c r="B24" s="15">
        <f t="shared" si="6"/>
        <v>45313</v>
      </c>
      <c r="C24" s="16">
        <v>1.0</v>
      </c>
      <c r="D24" s="16" t="s">
        <v>31</v>
      </c>
      <c r="E24" s="17"/>
      <c r="F24" s="18"/>
      <c r="H24" s="19"/>
      <c r="J24" s="19"/>
      <c r="L24" s="19"/>
      <c r="N24" s="19"/>
      <c r="P24" s="19"/>
      <c r="Q24" s="20"/>
      <c r="R24" s="18"/>
      <c r="T24" s="19"/>
      <c r="V24" s="19"/>
      <c r="X24" s="19"/>
      <c r="Z24" s="19"/>
      <c r="AB24" s="19"/>
      <c r="AC24" s="20"/>
      <c r="AD24" s="21">
        <f t="shared" si="1"/>
        <v>0</v>
      </c>
      <c r="AE24" s="16">
        <f t="shared" si="2"/>
        <v>0</v>
      </c>
      <c r="AF24" s="16">
        <f t="shared" si="3"/>
        <v>0</v>
      </c>
      <c r="AG24" s="16">
        <f t="shared" si="4"/>
        <v>0</v>
      </c>
      <c r="AH24" s="37">
        <f t="shared" si="5"/>
        <v>0</v>
      </c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ht="15.75" customHeight="1">
      <c r="A25" s="23" t="s">
        <v>23</v>
      </c>
      <c r="B25" s="24">
        <f t="shared" si="6"/>
        <v>45314</v>
      </c>
      <c r="C25" s="25">
        <v>1.0</v>
      </c>
      <c r="D25" s="25" t="s">
        <v>31</v>
      </c>
      <c r="E25" s="22"/>
      <c r="F25" s="18"/>
      <c r="H25" s="19"/>
      <c r="J25" s="19"/>
      <c r="L25" s="19"/>
      <c r="N25" s="19"/>
      <c r="P25" s="19"/>
      <c r="Q25" s="20"/>
      <c r="R25" s="18"/>
      <c r="T25" s="19"/>
      <c r="V25" s="19"/>
      <c r="X25" s="19"/>
      <c r="Z25" s="19"/>
      <c r="AB25" s="19"/>
      <c r="AC25" s="20"/>
      <c r="AD25" s="26">
        <f t="shared" si="1"/>
        <v>0</v>
      </c>
      <c r="AE25" s="25">
        <f t="shared" si="2"/>
        <v>0</v>
      </c>
      <c r="AF25" s="25">
        <f t="shared" si="3"/>
        <v>0</v>
      </c>
      <c r="AG25" s="25">
        <f t="shared" si="4"/>
        <v>0</v>
      </c>
      <c r="AH25" s="27">
        <f t="shared" si="5"/>
        <v>0</v>
      </c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ht="15.75" customHeight="1">
      <c r="A26" s="23" t="s">
        <v>24</v>
      </c>
      <c r="B26" s="24">
        <f t="shared" si="6"/>
        <v>45315</v>
      </c>
      <c r="C26" s="25">
        <v>1.0</v>
      </c>
      <c r="D26" s="25" t="s">
        <v>31</v>
      </c>
      <c r="E26" s="22"/>
      <c r="F26" s="18"/>
      <c r="H26" s="19"/>
      <c r="J26" s="19"/>
      <c r="L26" s="19"/>
      <c r="N26" s="19"/>
      <c r="P26" s="19"/>
      <c r="Q26" s="20"/>
      <c r="R26" s="18"/>
      <c r="T26" s="19"/>
      <c r="V26" s="19"/>
      <c r="X26" s="19"/>
      <c r="Z26" s="19"/>
      <c r="AB26" s="19"/>
      <c r="AC26" s="20"/>
      <c r="AD26" s="26">
        <f t="shared" si="1"/>
        <v>0</v>
      </c>
      <c r="AE26" s="25">
        <f t="shared" si="2"/>
        <v>0</v>
      </c>
      <c r="AF26" s="25">
        <f t="shared" si="3"/>
        <v>0</v>
      </c>
      <c r="AG26" s="25">
        <f t="shared" si="4"/>
        <v>0</v>
      </c>
      <c r="AH26" s="27">
        <f t="shared" si="5"/>
        <v>0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ht="15.75" customHeight="1">
      <c r="A27" s="23" t="s">
        <v>25</v>
      </c>
      <c r="B27" s="24">
        <f t="shared" si="6"/>
        <v>45316</v>
      </c>
      <c r="C27" s="25">
        <v>1.0</v>
      </c>
      <c r="D27" s="25" t="s">
        <v>31</v>
      </c>
      <c r="E27" s="22"/>
      <c r="F27" s="18"/>
      <c r="H27" s="19"/>
      <c r="J27" s="19"/>
      <c r="L27" s="19"/>
      <c r="N27" s="19"/>
      <c r="P27" s="19"/>
      <c r="Q27" s="20"/>
      <c r="R27" s="18"/>
      <c r="T27" s="19"/>
      <c r="V27" s="19"/>
      <c r="X27" s="19"/>
      <c r="Z27" s="19"/>
      <c r="AB27" s="19"/>
      <c r="AC27" s="20"/>
      <c r="AD27" s="26">
        <f t="shared" si="1"/>
        <v>0</v>
      </c>
      <c r="AE27" s="25">
        <f t="shared" si="2"/>
        <v>0</v>
      </c>
      <c r="AF27" s="25">
        <f t="shared" si="3"/>
        <v>0</v>
      </c>
      <c r="AG27" s="25">
        <f t="shared" si="4"/>
        <v>0</v>
      </c>
      <c r="AH27" s="27">
        <f t="shared" si="5"/>
        <v>0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ht="15.75" customHeight="1">
      <c r="A28" s="23" t="s">
        <v>26</v>
      </c>
      <c r="B28" s="24">
        <f t="shared" si="6"/>
        <v>45317</v>
      </c>
      <c r="C28" s="25">
        <v>1.0</v>
      </c>
      <c r="D28" s="25" t="s">
        <v>31</v>
      </c>
      <c r="E28" s="22"/>
      <c r="F28" s="18"/>
      <c r="H28" s="19"/>
      <c r="J28" s="19"/>
      <c r="L28" s="19"/>
      <c r="N28" s="19"/>
      <c r="P28" s="19"/>
      <c r="Q28" s="20"/>
      <c r="R28" s="18"/>
      <c r="T28" s="19"/>
      <c r="V28" s="19"/>
      <c r="X28" s="19"/>
      <c r="Z28" s="19"/>
      <c r="AB28" s="19"/>
      <c r="AC28" s="20"/>
      <c r="AD28" s="26">
        <f t="shared" si="1"/>
        <v>0</v>
      </c>
      <c r="AE28" s="25">
        <f t="shared" si="2"/>
        <v>0</v>
      </c>
      <c r="AF28" s="25">
        <f t="shared" si="3"/>
        <v>0</v>
      </c>
      <c r="AG28" s="25">
        <f t="shared" si="4"/>
        <v>0</v>
      </c>
      <c r="AH28" s="27">
        <f t="shared" si="5"/>
        <v>0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ht="15.75" customHeight="1">
      <c r="A29" s="23" t="s">
        <v>27</v>
      </c>
      <c r="B29" s="24">
        <f t="shared" si="6"/>
        <v>45318</v>
      </c>
      <c r="C29" s="25">
        <v>1.0</v>
      </c>
      <c r="D29" s="25" t="s">
        <v>31</v>
      </c>
      <c r="E29" s="22"/>
      <c r="F29" s="18"/>
      <c r="H29" s="19"/>
      <c r="J29" s="19"/>
      <c r="L29" s="19"/>
      <c r="N29" s="19"/>
      <c r="P29" s="19"/>
      <c r="Q29" s="20"/>
      <c r="R29" s="18"/>
      <c r="T29" s="19"/>
      <c r="V29" s="19"/>
      <c r="X29" s="19"/>
      <c r="Z29" s="19"/>
      <c r="AB29" s="19"/>
      <c r="AC29" s="20"/>
      <c r="AD29" s="26">
        <f t="shared" si="1"/>
        <v>0</v>
      </c>
      <c r="AE29" s="25">
        <f t="shared" si="2"/>
        <v>0</v>
      </c>
      <c r="AF29" s="25">
        <f t="shared" si="3"/>
        <v>0</v>
      </c>
      <c r="AG29" s="25">
        <f t="shared" si="4"/>
        <v>0</v>
      </c>
      <c r="AH29" s="27">
        <f t="shared" si="5"/>
        <v>0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ht="15.75" customHeight="1">
      <c r="A30" s="28" t="s">
        <v>28</v>
      </c>
      <c r="B30" s="29">
        <f t="shared" si="6"/>
        <v>45319</v>
      </c>
      <c r="C30" s="30">
        <v>1.0</v>
      </c>
      <c r="D30" s="30" t="s">
        <v>31</v>
      </c>
      <c r="E30" s="31"/>
      <c r="F30" s="32"/>
      <c r="G30" s="7"/>
      <c r="H30" s="33"/>
      <c r="I30" s="7"/>
      <c r="J30" s="33"/>
      <c r="K30" s="7"/>
      <c r="L30" s="33"/>
      <c r="M30" s="7"/>
      <c r="N30" s="33"/>
      <c r="O30" s="7"/>
      <c r="P30" s="33"/>
      <c r="Q30" s="34"/>
      <c r="R30" s="32"/>
      <c r="S30" s="7"/>
      <c r="T30" s="33"/>
      <c r="U30" s="7"/>
      <c r="V30" s="33"/>
      <c r="W30" s="7"/>
      <c r="X30" s="33"/>
      <c r="Y30" s="7"/>
      <c r="Z30" s="33"/>
      <c r="AA30" s="7"/>
      <c r="AB30" s="33"/>
      <c r="AC30" s="34"/>
      <c r="AD30" s="35">
        <f t="shared" si="1"/>
        <v>0</v>
      </c>
      <c r="AE30" s="30">
        <f t="shared" si="2"/>
        <v>0</v>
      </c>
      <c r="AF30" s="30">
        <f t="shared" si="3"/>
        <v>0</v>
      </c>
      <c r="AG30" s="30">
        <f t="shared" si="4"/>
        <v>0</v>
      </c>
      <c r="AH30" s="36">
        <f t="shared" si="5"/>
        <v>0</v>
      </c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ht="15.75" customHeight="1">
      <c r="A31" s="14" t="s">
        <v>21</v>
      </c>
      <c r="B31" s="15">
        <f t="shared" si="6"/>
        <v>45320</v>
      </c>
      <c r="C31" s="16">
        <v>2.0</v>
      </c>
      <c r="D31" s="16" t="s">
        <v>22</v>
      </c>
      <c r="E31" s="17"/>
      <c r="F31" s="18"/>
      <c r="H31" s="19"/>
      <c r="J31" s="19"/>
      <c r="L31" s="19"/>
      <c r="N31" s="19"/>
      <c r="P31" s="19"/>
      <c r="Q31" s="20"/>
      <c r="R31" s="18"/>
      <c r="T31" s="19"/>
      <c r="V31" s="19"/>
      <c r="X31" s="19"/>
      <c r="Z31" s="19"/>
      <c r="AB31" s="19"/>
      <c r="AC31" s="20"/>
      <c r="AD31" s="21">
        <f t="shared" si="1"/>
        <v>0</v>
      </c>
      <c r="AE31" s="16">
        <f t="shared" si="2"/>
        <v>0</v>
      </c>
      <c r="AF31" s="16">
        <f t="shared" si="3"/>
        <v>0</v>
      </c>
      <c r="AG31" s="16">
        <f t="shared" si="4"/>
        <v>0</v>
      </c>
      <c r="AH31" s="37">
        <f t="shared" si="5"/>
        <v>0</v>
      </c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ht="15.75" customHeight="1">
      <c r="A32" s="23" t="s">
        <v>23</v>
      </c>
      <c r="B32" s="24">
        <f t="shared" si="6"/>
        <v>45321</v>
      </c>
      <c r="C32" s="25">
        <v>2.0</v>
      </c>
      <c r="D32" s="25" t="s">
        <v>22</v>
      </c>
      <c r="E32" s="22"/>
      <c r="F32" s="18"/>
      <c r="H32" s="19"/>
      <c r="J32" s="19"/>
      <c r="L32" s="19"/>
      <c r="N32" s="19"/>
      <c r="P32" s="19"/>
      <c r="Q32" s="20"/>
      <c r="R32" s="18"/>
      <c r="T32" s="19"/>
      <c r="V32" s="19"/>
      <c r="X32" s="19"/>
      <c r="Z32" s="19"/>
      <c r="AB32" s="19"/>
      <c r="AC32" s="20"/>
      <c r="AD32" s="26">
        <f t="shared" si="1"/>
        <v>0</v>
      </c>
      <c r="AE32" s="25">
        <f t="shared" si="2"/>
        <v>0</v>
      </c>
      <c r="AF32" s="25">
        <f t="shared" si="3"/>
        <v>0</v>
      </c>
      <c r="AG32" s="25">
        <f t="shared" si="4"/>
        <v>0</v>
      </c>
      <c r="AH32" s="27">
        <f t="shared" si="5"/>
        <v>0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ht="15.75" customHeight="1">
      <c r="A33" s="23" t="s">
        <v>24</v>
      </c>
      <c r="B33" s="24">
        <f t="shared" si="6"/>
        <v>45322</v>
      </c>
      <c r="C33" s="25">
        <v>2.0</v>
      </c>
      <c r="D33" s="25" t="s">
        <v>22</v>
      </c>
      <c r="E33" s="22"/>
      <c r="F33" s="18"/>
      <c r="H33" s="19"/>
      <c r="J33" s="19"/>
      <c r="L33" s="19"/>
      <c r="N33" s="19"/>
      <c r="P33" s="19"/>
      <c r="Q33" s="20"/>
      <c r="R33" s="18"/>
      <c r="T33" s="19"/>
      <c r="V33" s="19"/>
      <c r="X33" s="19"/>
      <c r="Z33" s="19"/>
      <c r="AB33" s="19"/>
      <c r="AC33" s="20"/>
      <c r="AD33" s="26">
        <f t="shared" si="1"/>
        <v>0</v>
      </c>
      <c r="AE33" s="25">
        <f t="shared" si="2"/>
        <v>0</v>
      </c>
      <c r="AF33" s="25">
        <f t="shared" si="3"/>
        <v>0</v>
      </c>
      <c r="AG33" s="25">
        <f t="shared" si="4"/>
        <v>0</v>
      </c>
      <c r="AH33" s="27">
        <f t="shared" si="5"/>
        <v>0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ht="15.75" customHeight="1">
      <c r="A34" s="23" t="s">
        <v>25</v>
      </c>
      <c r="B34" s="24">
        <f t="shared" si="6"/>
        <v>45323</v>
      </c>
      <c r="C34" s="25">
        <v>2.0</v>
      </c>
      <c r="D34" s="25" t="s">
        <v>22</v>
      </c>
      <c r="E34" s="22"/>
      <c r="F34" s="18"/>
      <c r="H34" s="19"/>
      <c r="J34" s="19"/>
      <c r="L34" s="19"/>
      <c r="N34" s="19"/>
      <c r="P34" s="19"/>
      <c r="Q34" s="20"/>
      <c r="R34" s="18"/>
      <c r="T34" s="19"/>
      <c r="V34" s="19"/>
      <c r="X34" s="19"/>
      <c r="Z34" s="19"/>
      <c r="AB34" s="19"/>
      <c r="AC34" s="20"/>
      <c r="AD34" s="26">
        <f t="shared" si="1"/>
        <v>0</v>
      </c>
      <c r="AE34" s="25">
        <f t="shared" si="2"/>
        <v>0</v>
      </c>
      <c r="AF34" s="25">
        <f t="shared" si="3"/>
        <v>0</v>
      </c>
      <c r="AG34" s="25">
        <f t="shared" si="4"/>
        <v>0</v>
      </c>
      <c r="AH34" s="27">
        <f t="shared" si="5"/>
        <v>0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ht="15.75" customHeight="1">
      <c r="A35" s="23" t="s">
        <v>26</v>
      </c>
      <c r="B35" s="24">
        <f t="shared" si="6"/>
        <v>45324</v>
      </c>
      <c r="C35" s="25">
        <v>2.0</v>
      </c>
      <c r="D35" s="25" t="s">
        <v>22</v>
      </c>
      <c r="E35" s="22"/>
      <c r="F35" s="18"/>
      <c r="H35" s="19"/>
      <c r="J35" s="19"/>
      <c r="L35" s="19"/>
      <c r="N35" s="19"/>
      <c r="P35" s="19"/>
      <c r="Q35" s="20"/>
      <c r="R35" s="18"/>
      <c r="T35" s="19"/>
      <c r="V35" s="19"/>
      <c r="X35" s="19"/>
      <c r="Z35" s="19"/>
      <c r="AB35" s="19"/>
      <c r="AC35" s="20"/>
      <c r="AD35" s="26">
        <f t="shared" si="1"/>
        <v>0</v>
      </c>
      <c r="AE35" s="25">
        <f t="shared" si="2"/>
        <v>0</v>
      </c>
      <c r="AF35" s="25">
        <f t="shared" si="3"/>
        <v>0</v>
      </c>
      <c r="AG35" s="25">
        <f t="shared" si="4"/>
        <v>0</v>
      </c>
      <c r="AH35" s="27">
        <f t="shared" si="5"/>
        <v>0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ht="15.75" customHeight="1">
      <c r="A36" s="23" t="s">
        <v>27</v>
      </c>
      <c r="B36" s="24">
        <f t="shared" si="6"/>
        <v>45325</v>
      </c>
      <c r="C36" s="25">
        <v>2.0</v>
      </c>
      <c r="D36" s="25" t="s">
        <v>22</v>
      </c>
      <c r="E36" s="22"/>
      <c r="F36" s="18"/>
      <c r="H36" s="19"/>
      <c r="J36" s="19"/>
      <c r="L36" s="19"/>
      <c r="N36" s="19"/>
      <c r="P36" s="19"/>
      <c r="Q36" s="20"/>
      <c r="R36" s="18"/>
      <c r="T36" s="19"/>
      <c r="V36" s="19"/>
      <c r="X36" s="19"/>
      <c r="Z36" s="19"/>
      <c r="AB36" s="19"/>
      <c r="AC36" s="20"/>
      <c r="AD36" s="26">
        <f t="shared" si="1"/>
        <v>0</v>
      </c>
      <c r="AE36" s="25">
        <f t="shared" si="2"/>
        <v>0</v>
      </c>
      <c r="AF36" s="25">
        <f t="shared" si="3"/>
        <v>0</v>
      </c>
      <c r="AG36" s="25">
        <f t="shared" si="4"/>
        <v>0</v>
      </c>
      <c r="AH36" s="27">
        <f t="shared" si="5"/>
        <v>0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ht="15.75" customHeight="1">
      <c r="A37" s="28" t="s">
        <v>28</v>
      </c>
      <c r="B37" s="29">
        <f t="shared" si="6"/>
        <v>45326</v>
      </c>
      <c r="C37" s="30">
        <v>2.0</v>
      </c>
      <c r="D37" s="30" t="s">
        <v>22</v>
      </c>
      <c r="E37" s="31"/>
      <c r="F37" s="32"/>
      <c r="G37" s="7"/>
      <c r="H37" s="33"/>
      <c r="I37" s="7"/>
      <c r="J37" s="33"/>
      <c r="K37" s="7"/>
      <c r="L37" s="33"/>
      <c r="M37" s="7"/>
      <c r="N37" s="33"/>
      <c r="O37" s="7"/>
      <c r="P37" s="33"/>
      <c r="Q37" s="34"/>
      <c r="R37" s="32"/>
      <c r="S37" s="7"/>
      <c r="T37" s="33"/>
      <c r="U37" s="7"/>
      <c r="V37" s="33"/>
      <c r="W37" s="7"/>
      <c r="X37" s="33"/>
      <c r="Y37" s="7"/>
      <c r="Z37" s="33"/>
      <c r="AA37" s="7"/>
      <c r="AB37" s="33"/>
      <c r="AC37" s="34"/>
      <c r="AD37" s="35">
        <f t="shared" si="1"/>
        <v>0</v>
      </c>
      <c r="AE37" s="30">
        <f t="shared" si="2"/>
        <v>0</v>
      </c>
      <c r="AF37" s="30">
        <f t="shared" si="3"/>
        <v>0</v>
      </c>
      <c r="AG37" s="30">
        <f t="shared" si="4"/>
        <v>0</v>
      </c>
      <c r="AH37" s="36">
        <f t="shared" si="5"/>
        <v>0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ht="15.75" customHeight="1">
      <c r="A38" s="14" t="s">
        <v>21</v>
      </c>
      <c r="B38" s="15">
        <f t="shared" si="6"/>
        <v>45327</v>
      </c>
      <c r="C38" s="16">
        <v>2.0</v>
      </c>
      <c r="D38" s="16" t="s">
        <v>29</v>
      </c>
      <c r="E38" s="17"/>
      <c r="F38" s="18"/>
      <c r="H38" s="19"/>
      <c r="J38" s="19"/>
      <c r="L38" s="19"/>
      <c r="N38" s="19"/>
      <c r="P38" s="19"/>
      <c r="Q38" s="20"/>
      <c r="R38" s="18"/>
      <c r="T38" s="19"/>
      <c r="V38" s="19"/>
      <c r="X38" s="19"/>
      <c r="Z38" s="19"/>
      <c r="AB38" s="19"/>
      <c r="AC38" s="20"/>
      <c r="AD38" s="21">
        <f t="shared" si="1"/>
        <v>0</v>
      </c>
      <c r="AE38" s="16">
        <f t="shared" si="2"/>
        <v>0</v>
      </c>
      <c r="AF38" s="16">
        <f t="shared" si="3"/>
        <v>0</v>
      </c>
      <c r="AG38" s="16">
        <f t="shared" si="4"/>
        <v>0</v>
      </c>
      <c r="AH38" s="37">
        <f t="shared" si="5"/>
        <v>0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ht="15.75" customHeight="1">
      <c r="A39" s="23" t="s">
        <v>23</v>
      </c>
      <c r="B39" s="24">
        <f t="shared" si="6"/>
        <v>45328</v>
      </c>
      <c r="C39" s="25">
        <v>2.0</v>
      </c>
      <c r="D39" s="25" t="s">
        <v>29</v>
      </c>
      <c r="E39" s="22"/>
      <c r="F39" s="18"/>
      <c r="H39" s="19"/>
      <c r="J39" s="19"/>
      <c r="L39" s="19"/>
      <c r="N39" s="19"/>
      <c r="P39" s="19"/>
      <c r="Q39" s="20"/>
      <c r="R39" s="18"/>
      <c r="T39" s="19"/>
      <c r="V39" s="19"/>
      <c r="X39" s="19"/>
      <c r="Z39" s="19"/>
      <c r="AB39" s="19"/>
      <c r="AC39" s="20"/>
      <c r="AD39" s="26">
        <f t="shared" si="1"/>
        <v>0</v>
      </c>
      <c r="AE39" s="25">
        <f t="shared" si="2"/>
        <v>0</v>
      </c>
      <c r="AF39" s="25">
        <f t="shared" si="3"/>
        <v>0</v>
      </c>
      <c r="AG39" s="25">
        <f t="shared" si="4"/>
        <v>0</v>
      </c>
      <c r="AH39" s="27">
        <f t="shared" si="5"/>
        <v>0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ht="15.75" customHeight="1">
      <c r="A40" s="23" t="s">
        <v>24</v>
      </c>
      <c r="B40" s="24">
        <f t="shared" si="6"/>
        <v>45329</v>
      </c>
      <c r="C40" s="25">
        <v>2.0</v>
      </c>
      <c r="D40" s="25" t="s">
        <v>29</v>
      </c>
      <c r="E40" s="22"/>
      <c r="F40" s="18"/>
      <c r="H40" s="19"/>
      <c r="J40" s="19"/>
      <c r="L40" s="19"/>
      <c r="N40" s="19"/>
      <c r="P40" s="19"/>
      <c r="Q40" s="20"/>
      <c r="R40" s="18"/>
      <c r="T40" s="19"/>
      <c r="V40" s="19"/>
      <c r="X40" s="19"/>
      <c r="Z40" s="19"/>
      <c r="AB40" s="19"/>
      <c r="AC40" s="20"/>
      <c r="AD40" s="26">
        <f t="shared" si="1"/>
        <v>0</v>
      </c>
      <c r="AE40" s="25">
        <f t="shared" si="2"/>
        <v>0</v>
      </c>
      <c r="AF40" s="25">
        <f t="shared" si="3"/>
        <v>0</v>
      </c>
      <c r="AG40" s="25">
        <f t="shared" si="4"/>
        <v>0</v>
      </c>
      <c r="AH40" s="27">
        <f t="shared" si="5"/>
        <v>0</v>
      </c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ht="15.75" customHeight="1">
      <c r="A41" s="23" t="s">
        <v>25</v>
      </c>
      <c r="B41" s="24">
        <f t="shared" si="6"/>
        <v>45330</v>
      </c>
      <c r="C41" s="25">
        <v>2.0</v>
      </c>
      <c r="D41" s="25" t="s">
        <v>29</v>
      </c>
      <c r="E41" s="22"/>
      <c r="F41" s="18"/>
      <c r="H41" s="19"/>
      <c r="J41" s="19"/>
      <c r="L41" s="19"/>
      <c r="N41" s="19"/>
      <c r="P41" s="19"/>
      <c r="Q41" s="20"/>
      <c r="R41" s="18"/>
      <c r="T41" s="19"/>
      <c r="V41" s="19"/>
      <c r="X41" s="19"/>
      <c r="Z41" s="19"/>
      <c r="AB41" s="19"/>
      <c r="AC41" s="20"/>
      <c r="AD41" s="26">
        <f t="shared" si="1"/>
        <v>0</v>
      </c>
      <c r="AE41" s="25">
        <f t="shared" si="2"/>
        <v>0</v>
      </c>
      <c r="AF41" s="25">
        <f t="shared" si="3"/>
        <v>0</v>
      </c>
      <c r="AG41" s="25">
        <f t="shared" si="4"/>
        <v>0</v>
      </c>
      <c r="AH41" s="27">
        <f t="shared" si="5"/>
        <v>0</v>
      </c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ht="15.75" customHeight="1">
      <c r="A42" s="23" t="s">
        <v>26</v>
      </c>
      <c r="B42" s="24">
        <f t="shared" si="6"/>
        <v>45331</v>
      </c>
      <c r="C42" s="25">
        <v>2.0</v>
      </c>
      <c r="D42" s="25" t="s">
        <v>29</v>
      </c>
      <c r="E42" s="22"/>
      <c r="F42" s="18"/>
      <c r="H42" s="19"/>
      <c r="J42" s="19"/>
      <c r="L42" s="19"/>
      <c r="N42" s="19"/>
      <c r="P42" s="19"/>
      <c r="Q42" s="20"/>
      <c r="R42" s="18"/>
      <c r="T42" s="19"/>
      <c r="V42" s="19"/>
      <c r="X42" s="19"/>
      <c r="Z42" s="19"/>
      <c r="AB42" s="19"/>
      <c r="AC42" s="20"/>
      <c r="AD42" s="26">
        <f t="shared" si="1"/>
        <v>0</v>
      </c>
      <c r="AE42" s="25">
        <f t="shared" si="2"/>
        <v>0</v>
      </c>
      <c r="AF42" s="25">
        <f t="shared" si="3"/>
        <v>0</v>
      </c>
      <c r="AG42" s="25">
        <f t="shared" si="4"/>
        <v>0</v>
      </c>
      <c r="AH42" s="27">
        <f t="shared" si="5"/>
        <v>0</v>
      </c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ht="15.75" customHeight="1">
      <c r="A43" s="23" t="s">
        <v>27</v>
      </c>
      <c r="B43" s="24">
        <f t="shared" si="6"/>
        <v>45332</v>
      </c>
      <c r="C43" s="25">
        <v>2.0</v>
      </c>
      <c r="D43" s="25" t="s">
        <v>29</v>
      </c>
      <c r="E43" s="22"/>
      <c r="F43" s="18"/>
      <c r="H43" s="19"/>
      <c r="J43" s="19"/>
      <c r="L43" s="19"/>
      <c r="N43" s="19"/>
      <c r="P43" s="19"/>
      <c r="Q43" s="20"/>
      <c r="R43" s="18"/>
      <c r="T43" s="19"/>
      <c r="V43" s="19"/>
      <c r="X43" s="19"/>
      <c r="Z43" s="19"/>
      <c r="AB43" s="19"/>
      <c r="AC43" s="20"/>
      <c r="AD43" s="26">
        <f t="shared" si="1"/>
        <v>0</v>
      </c>
      <c r="AE43" s="25">
        <f t="shared" si="2"/>
        <v>0</v>
      </c>
      <c r="AF43" s="25">
        <f t="shared" si="3"/>
        <v>0</v>
      </c>
      <c r="AG43" s="25">
        <f t="shared" si="4"/>
        <v>0</v>
      </c>
      <c r="AH43" s="27">
        <f t="shared" si="5"/>
        <v>0</v>
      </c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ht="15.75" customHeight="1">
      <c r="A44" s="28" t="s">
        <v>28</v>
      </c>
      <c r="B44" s="29">
        <f t="shared" si="6"/>
        <v>45333</v>
      </c>
      <c r="C44" s="30">
        <v>2.0</v>
      </c>
      <c r="D44" s="30" t="s">
        <v>29</v>
      </c>
      <c r="E44" s="31"/>
      <c r="F44" s="32"/>
      <c r="G44" s="7"/>
      <c r="H44" s="33"/>
      <c r="I44" s="7"/>
      <c r="J44" s="33"/>
      <c r="K44" s="7"/>
      <c r="L44" s="33"/>
      <c r="M44" s="7"/>
      <c r="N44" s="33"/>
      <c r="O44" s="7"/>
      <c r="P44" s="33"/>
      <c r="Q44" s="34"/>
      <c r="R44" s="32"/>
      <c r="S44" s="7"/>
      <c r="T44" s="33"/>
      <c r="U44" s="7"/>
      <c r="V44" s="33"/>
      <c r="W44" s="7"/>
      <c r="X44" s="33"/>
      <c r="Y44" s="7"/>
      <c r="Z44" s="33"/>
      <c r="AA44" s="7"/>
      <c r="AB44" s="33"/>
      <c r="AC44" s="34"/>
      <c r="AD44" s="35">
        <f t="shared" si="1"/>
        <v>0</v>
      </c>
      <c r="AE44" s="30">
        <f t="shared" si="2"/>
        <v>0</v>
      </c>
      <c r="AF44" s="30">
        <f t="shared" si="3"/>
        <v>0</v>
      </c>
      <c r="AG44" s="30">
        <f t="shared" si="4"/>
        <v>0</v>
      </c>
      <c r="AH44" s="36">
        <f t="shared" si="5"/>
        <v>0</v>
      </c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ht="15.75" customHeight="1">
      <c r="A45" s="14" t="s">
        <v>21</v>
      </c>
      <c r="B45" s="15">
        <f t="shared" si="6"/>
        <v>45334</v>
      </c>
      <c r="C45" s="16">
        <v>2.0</v>
      </c>
      <c r="D45" s="16" t="s">
        <v>30</v>
      </c>
      <c r="E45" s="17"/>
      <c r="F45" s="18"/>
      <c r="H45" s="19"/>
      <c r="J45" s="19"/>
      <c r="L45" s="19"/>
      <c r="N45" s="19"/>
      <c r="P45" s="19"/>
      <c r="Q45" s="20"/>
      <c r="R45" s="18"/>
      <c r="T45" s="19"/>
      <c r="V45" s="19"/>
      <c r="X45" s="19"/>
      <c r="Z45" s="19"/>
      <c r="AB45" s="19"/>
      <c r="AC45" s="20"/>
      <c r="AD45" s="21">
        <f t="shared" si="1"/>
        <v>0</v>
      </c>
      <c r="AE45" s="16">
        <f t="shared" si="2"/>
        <v>0</v>
      </c>
      <c r="AF45" s="16">
        <f t="shared" si="3"/>
        <v>0</v>
      </c>
      <c r="AG45" s="16">
        <f t="shared" si="4"/>
        <v>0</v>
      </c>
      <c r="AH45" s="37">
        <f t="shared" si="5"/>
        <v>0</v>
      </c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ht="15.75" customHeight="1">
      <c r="A46" s="23" t="s">
        <v>23</v>
      </c>
      <c r="B46" s="24">
        <f t="shared" si="6"/>
        <v>45335</v>
      </c>
      <c r="C46" s="25">
        <v>2.0</v>
      </c>
      <c r="D46" s="25" t="s">
        <v>30</v>
      </c>
      <c r="E46" s="22"/>
      <c r="F46" s="18"/>
      <c r="H46" s="19"/>
      <c r="J46" s="19"/>
      <c r="L46" s="19"/>
      <c r="N46" s="19"/>
      <c r="P46" s="19"/>
      <c r="Q46" s="20"/>
      <c r="R46" s="18"/>
      <c r="T46" s="19"/>
      <c r="V46" s="19"/>
      <c r="X46" s="19"/>
      <c r="Z46" s="19"/>
      <c r="AB46" s="19"/>
      <c r="AC46" s="20"/>
      <c r="AD46" s="26">
        <f t="shared" si="1"/>
        <v>0</v>
      </c>
      <c r="AE46" s="25">
        <f t="shared" si="2"/>
        <v>0</v>
      </c>
      <c r="AF46" s="25">
        <f t="shared" si="3"/>
        <v>0</v>
      </c>
      <c r="AG46" s="25">
        <f t="shared" si="4"/>
        <v>0</v>
      </c>
      <c r="AH46" s="27">
        <f t="shared" si="5"/>
        <v>0</v>
      </c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ht="15.75" customHeight="1">
      <c r="A47" s="23" t="s">
        <v>24</v>
      </c>
      <c r="B47" s="24">
        <f t="shared" si="6"/>
        <v>45336</v>
      </c>
      <c r="C47" s="25">
        <v>2.0</v>
      </c>
      <c r="D47" s="25" t="s">
        <v>30</v>
      </c>
      <c r="E47" s="22"/>
      <c r="F47" s="18"/>
      <c r="H47" s="19"/>
      <c r="J47" s="19"/>
      <c r="L47" s="19"/>
      <c r="N47" s="19"/>
      <c r="P47" s="19"/>
      <c r="Q47" s="20"/>
      <c r="R47" s="18"/>
      <c r="T47" s="19"/>
      <c r="V47" s="19"/>
      <c r="X47" s="19"/>
      <c r="Z47" s="19"/>
      <c r="AB47" s="19"/>
      <c r="AC47" s="20"/>
      <c r="AD47" s="26">
        <f t="shared" si="1"/>
        <v>0</v>
      </c>
      <c r="AE47" s="25">
        <f t="shared" si="2"/>
        <v>0</v>
      </c>
      <c r="AF47" s="25">
        <f t="shared" si="3"/>
        <v>0</v>
      </c>
      <c r="AG47" s="25">
        <f t="shared" si="4"/>
        <v>0</v>
      </c>
      <c r="AH47" s="27">
        <f t="shared" si="5"/>
        <v>0</v>
      </c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ht="15.75" customHeight="1">
      <c r="A48" s="23" t="s">
        <v>25</v>
      </c>
      <c r="B48" s="24">
        <f t="shared" si="6"/>
        <v>45337</v>
      </c>
      <c r="C48" s="25">
        <v>2.0</v>
      </c>
      <c r="D48" s="25" t="s">
        <v>30</v>
      </c>
      <c r="E48" s="22"/>
      <c r="F48" s="18"/>
      <c r="H48" s="19"/>
      <c r="J48" s="19"/>
      <c r="L48" s="19"/>
      <c r="N48" s="19"/>
      <c r="P48" s="19"/>
      <c r="Q48" s="20"/>
      <c r="R48" s="18"/>
      <c r="T48" s="19"/>
      <c r="V48" s="19"/>
      <c r="X48" s="19"/>
      <c r="Z48" s="19"/>
      <c r="AB48" s="19"/>
      <c r="AC48" s="20"/>
      <c r="AD48" s="26">
        <f t="shared" si="1"/>
        <v>0</v>
      </c>
      <c r="AE48" s="25">
        <f t="shared" si="2"/>
        <v>0</v>
      </c>
      <c r="AF48" s="25">
        <f t="shared" si="3"/>
        <v>0</v>
      </c>
      <c r="AG48" s="25">
        <f t="shared" si="4"/>
        <v>0</v>
      </c>
      <c r="AH48" s="27">
        <f t="shared" si="5"/>
        <v>0</v>
      </c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ht="15.75" customHeight="1">
      <c r="A49" s="23" t="s">
        <v>26</v>
      </c>
      <c r="B49" s="24">
        <f t="shared" si="6"/>
        <v>45338</v>
      </c>
      <c r="C49" s="25">
        <v>2.0</v>
      </c>
      <c r="D49" s="25" t="s">
        <v>30</v>
      </c>
      <c r="E49" s="22"/>
      <c r="F49" s="18"/>
      <c r="H49" s="19"/>
      <c r="J49" s="19"/>
      <c r="L49" s="19"/>
      <c r="N49" s="19"/>
      <c r="P49" s="19"/>
      <c r="Q49" s="20"/>
      <c r="R49" s="18"/>
      <c r="T49" s="19"/>
      <c r="V49" s="19"/>
      <c r="X49" s="19"/>
      <c r="Z49" s="19"/>
      <c r="AB49" s="19"/>
      <c r="AC49" s="20"/>
      <c r="AD49" s="26">
        <f t="shared" si="1"/>
        <v>0</v>
      </c>
      <c r="AE49" s="25">
        <f t="shared" si="2"/>
        <v>0</v>
      </c>
      <c r="AF49" s="25">
        <f t="shared" si="3"/>
        <v>0</v>
      </c>
      <c r="AG49" s="25">
        <f t="shared" si="4"/>
        <v>0</v>
      </c>
      <c r="AH49" s="27">
        <f t="shared" si="5"/>
        <v>0</v>
      </c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ht="15.75" customHeight="1">
      <c r="A50" s="23" t="s">
        <v>27</v>
      </c>
      <c r="B50" s="24">
        <f t="shared" si="6"/>
        <v>45339</v>
      </c>
      <c r="C50" s="25">
        <v>2.0</v>
      </c>
      <c r="D50" s="25" t="s">
        <v>30</v>
      </c>
      <c r="E50" s="22"/>
      <c r="F50" s="18"/>
      <c r="H50" s="19"/>
      <c r="J50" s="19"/>
      <c r="L50" s="19"/>
      <c r="N50" s="19"/>
      <c r="P50" s="19"/>
      <c r="Q50" s="20"/>
      <c r="R50" s="18"/>
      <c r="T50" s="19"/>
      <c r="V50" s="19"/>
      <c r="X50" s="19"/>
      <c r="Z50" s="19"/>
      <c r="AB50" s="19"/>
      <c r="AC50" s="20"/>
      <c r="AD50" s="26">
        <f t="shared" si="1"/>
        <v>0</v>
      </c>
      <c r="AE50" s="25">
        <f t="shared" si="2"/>
        <v>0</v>
      </c>
      <c r="AF50" s="25">
        <f t="shared" si="3"/>
        <v>0</v>
      </c>
      <c r="AG50" s="25">
        <f t="shared" si="4"/>
        <v>0</v>
      </c>
      <c r="AH50" s="27">
        <f t="shared" si="5"/>
        <v>0</v>
      </c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ht="15.75" customHeight="1">
      <c r="A51" s="28" t="s">
        <v>28</v>
      </c>
      <c r="B51" s="29">
        <f t="shared" si="6"/>
        <v>45340</v>
      </c>
      <c r="C51" s="30">
        <v>2.0</v>
      </c>
      <c r="D51" s="30" t="s">
        <v>30</v>
      </c>
      <c r="E51" s="31"/>
      <c r="F51" s="32"/>
      <c r="G51" s="7"/>
      <c r="H51" s="33"/>
      <c r="I51" s="7"/>
      <c r="J51" s="33"/>
      <c r="K51" s="7"/>
      <c r="L51" s="33"/>
      <c r="M51" s="7"/>
      <c r="N51" s="33"/>
      <c r="O51" s="7"/>
      <c r="P51" s="33"/>
      <c r="Q51" s="34"/>
      <c r="R51" s="32"/>
      <c r="S51" s="7"/>
      <c r="T51" s="33"/>
      <c r="U51" s="7"/>
      <c r="V51" s="33"/>
      <c r="W51" s="7"/>
      <c r="X51" s="33"/>
      <c r="Y51" s="7"/>
      <c r="Z51" s="33"/>
      <c r="AA51" s="7"/>
      <c r="AB51" s="33"/>
      <c r="AC51" s="34"/>
      <c r="AD51" s="35">
        <f t="shared" si="1"/>
        <v>0</v>
      </c>
      <c r="AE51" s="30">
        <f t="shared" si="2"/>
        <v>0</v>
      </c>
      <c r="AF51" s="30">
        <f t="shared" si="3"/>
        <v>0</v>
      </c>
      <c r="AG51" s="30">
        <f t="shared" si="4"/>
        <v>0</v>
      </c>
      <c r="AH51" s="36">
        <f t="shared" si="5"/>
        <v>0</v>
      </c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ht="15.75" customHeight="1">
      <c r="A52" s="14" t="s">
        <v>21</v>
      </c>
      <c r="B52" s="15">
        <f t="shared" si="6"/>
        <v>45341</v>
      </c>
      <c r="C52" s="16">
        <v>2.0</v>
      </c>
      <c r="D52" s="16" t="s">
        <v>31</v>
      </c>
      <c r="E52" s="17"/>
      <c r="F52" s="18"/>
      <c r="H52" s="19"/>
      <c r="J52" s="19"/>
      <c r="L52" s="19"/>
      <c r="N52" s="19"/>
      <c r="P52" s="19"/>
      <c r="Q52" s="20"/>
      <c r="R52" s="18"/>
      <c r="T52" s="19"/>
      <c r="V52" s="19"/>
      <c r="X52" s="19"/>
      <c r="Z52" s="19"/>
      <c r="AB52" s="19"/>
      <c r="AC52" s="20"/>
      <c r="AD52" s="21">
        <f t="shared" si="1"/>
        <v>0</v>
      </c>
      <c r="AE52" s="16">
        <f t="shared" si="2"/>
        <v>0</v>
      </c>
      <c r="AF52" s="16">
        <f t="shared" si="3"/>
        <v>0</v>
      </c>
      <c r="AG52" s="16">
        <f t="shared" si="4"/>
        <v>0</v>
      </c>
      <c r="AH52" s="37">
        <f t="shared" si="5"/>
        <v>0</v>
      </c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ht="15.75" customHeight="1">
      <c r="A53" s="23" t="s">
        <v>23</v>
      </c>
      <c r="B53" s="24">
        <f t="shared" si="6"/>
        <v>45342</v>
      </c>
      <c r="C53" s="25">
        <v>2.0</v>
      </c>
      <c r="D53" s="25" t="s">
        <v>31</v>
      </c>
      <c r="E53" s="22"/>
      <c r="F53" s="18"/>
      <c r="H53" s="19"/>
      <c r="J53" s="19"/>
      <c r="L53" s="19"/>
      <c r="N53" s="19"/>
      <c r="P53" s="19"/>
      <c r="Q53" s="20"/>
      <c r="R53" s="18"/>
      <c r="T53" s="19"/>
      <c r="V53" s="19"/>
      <c r="X53" s="19"/>
      <c r="Z53" s="19"/>
      <c r="AB53" s="19"/>
      <c r="AC53" s="20"/>
      <c r="AD53" s="26">
        <f t="shared" si="1"/>
        <v>0</v>
      </c>
      <c r="AE53" s="25">
        <f t="shared" si="2"/>
        <v>0</v>
      </c>
      <c r="AF53" s="25">
        <f t="shared" si="3"/>
        <v>0</v>
      </c>
      <c r="AG53" s="25">
        <f t="shared" si="4"/>
        <v>0</v>
      </c>
      <c r="AH53" s="27">
        <f t="shared" si="5"/>
        <v>0</v>
      </c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ht="15.75" customHeight="1">
      <c r="A54" s="23" t="s">
        <v>24</v>
      </c>
      <c r="B54" s="24">
        <f t="shared" si="6"/>
        <v>45343</v>
      </c>
      <c r="C54" s="25">
        <v>2.0</v>
      </c>
      <c r="D54" s="25" t="s">
        <v>31</v>
      </c>
      <c r="E54" s="22"/>
      <c r="F54" s="18"/>
      <c r="H54" s="19"/>
      <c r="J54" s="19"/>
      <c r="L54" s="19"/>
      <c r="N54" s="19"/>
      <c r="P54" s="19"/>
      <c r="Q54" s="20"/>
      <c r="R54" s="18"/>
      <c r="T54" s="19"/>
      <c r="V54" s="19"/>
      <c r="X54" s="19"/>
      <c r="Z54" s="19"/>
      <c r="AB54" s="19"/>
      <c r="AC54" s="20"/>
      <c r="AD54" s="26">
        <f t="shared" si="1"/>
        <v>0</v>
      </c>
      <c r="AE54" s="25">
        <f t="shared" si="2"/>
        <v>0</v>
      </c>
      <c r="AF54" s="25">
        <f t="shared" si="3"/>
        <v>0</v>
      </c>
      <c r="AG54" s="25">
        <f t="shared" si="4"/>
        <v>0</v>
      </c>
      <c r="AH54" s="27">
        <f t="shared" si="5"/>
        <v>0</v>
      </c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ht="15.75" customHeight="1">
      <c r="A55" s="23" t="s">
        <v>25</v>
      </c>
      <c r="B55" s="24">
        <f t="shared" si="6"/>
        <v>45344</v>
      </c>
      <c r="C55" s="25">
        <v>2.0</v>
      </c>
      <c r="D55" s="25" t="s">
        <v>31</v>
      </c>
      <c r="E55" s="22"/>
      <c r="F55" s="18"/>
      <c r="H55" s="19"/>
      <c r="J55" s="19"/>
      <c r="L55" s="19"/>
      <c r="N55" s="19"/>
      <c r="P55" s="19"/>
      <c r="Q55" s="20"/>
      <c r="R55" s="18"/>
      <c r="T55" s="19"/>
      <c r="V55" s="19"/>
      <c r="X55" s="19"/>
      <c r="Z55" s="19"/>
      <c r="AB55" s="19"/>
      <c r="AC55" s="20"/>
      <c r="AD55" s="26">
        <f t="shared" si="1"/>
        <v>0</v>
      </c>
      <c r="AE55" s="25">
        <f t="shared" si="2"/>
        <v>0</v>
      </c>
      <c r="AF55" s="25">
        <f t="shared" si="3"/>
        <v>0</v>
      </c>
      <c r="AG55" s="25">
        <f t="shared" si="4"/>
        <v>0</v>
      </c>
      <c r="AH55" s="27">
        <f t="shared" si="5"/>
        <v>0</v>
      </c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ht="15.75" customHeight="1">
      <c r="A56" s="23" t="s">
        <v>26</v>
      </c>
      <c r="B56" s="24">
        <f t="shared" si="6"/>
        <v>45345</v>
      </c>
      <c r="C56" s="25">
        <v>2.0</v>
      </c>
      <c r="D56" s="25" t="s">
        <v>31</v>
      </c>
      <c r="E56" s="22"/>
      <c r="F56" s="18"/>
      <c r="H56" s="19"/>
      <c r="J56" s="19"/>
      <c r="L56" s="19"/>
      <c r="N56" s="19"/>
      <c r="P56" s="19"/>
      <c r="Q56" s="20"/>
      <c r="R56" s="18"/>
      <c r="T56" s="19"/>
      <c r="V56" s="19"/>
      <c r="X56" s="19"/>
      <c r="Z56" s="19"/>
      <c r="AB56" s="19"/>
      <c r="AC56" s="20"/>
      <c r="AD56" s="26">
        <f t="shared" si="1"/>
        <v>0</v>
      </c>
      <c r="AE56" s="25">
        <f t="shared" si="2"/>
        <v>0</v>
      </c>
      <c r="AF56" s="25">
        <f t="shared" si="3"/>
        <v>0</v>
      </c>
      <c r="AG56" s="25">
        <f t="shared" si="4"/>
        <v>0</v>
      </c>
      <c r="AH56" s="27">
        <f t="shared" si="5"/>
        <v>0</v>
      </c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ht="15.75" customHeight="1">
      <c r="A57" s="23" t="s">
        <v>27</v>
      </c>
      <c r="B57" s="24">
        <f t="shared" si="6"/>
        <v>45346</v>
      </c>
      <c r="C57" s="25">
        <v>2.0</v>
      </c>
      <c r="D57" s="25" t="s">
        <v>31</v>
      </c>
      <c r="E57" s="22"/>
      <c r="F57" s="18"/>
      <c r="H57" s="19"/>
      <c r="J57" s="19"/>
      <c r="L57" s="19"/>
      <c r="N57" s="19"/>
      <c r="P57" s="19"/>
      <c r="Q57" s="20"/>
      <c r="R57" s="18"/>
      <c r="T57" s="19"/>
      <c r="V57" s="19"/>
      <c r="X57" s="19"/>
      <c r="Z57" s="19"/>
      <c r="AB57" s="19"/>
      <c r="AC57" s="20"/>
      <c r="AD57" s="26">
        <f t="shared" si="1"/>
        <v>0</v>
      </c>
      <c r="AE57" s="25">
        <f t="shared" si="2"/>
        <v>0</v>
      </c>
      <c r="AF57" s="25">
        <f t="shared" si="3"/>
        <v>0</v>
      </c>
      <c r="AG57" s="25">
        <f t="shared" si="4"/>
        <v>0</v>
      </c>
      <c r="AH57" s="27">
        <f t="shared" si="5"/>
        <v>0</v>
      </c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ht="15.75" customHeight="1">
      <c r="A58" s="28" t="s">
        <v>28</v>
      </c>
      <c r="B58" s="29">
        <f t="shared" si="6"/>
        <v>45347</v>
      </c>
      <c r="C58" s="30">
        <v>2.0</v>
      </c>
      <c r="D58" s="30" t="s">
        <v>31</v>
      </c>
      <c r="E58" s="31"/>
      <c r="F58" s="32"/>
      <c r="G58" s="7"/>
      <c r="H58" s="33"/>
      <c r="I58" s="7"/>
      <c r="J58" s="33"/>
      <c r="K58" s="7"/>
      <c r="L58" s="33"/>
      <c r="M58" s="7"/>
      <c r="N58" s="33"/>
      <c r="O58" s="7"/>
      <c r="P58" s="33"/>
      <c r="Q58" s="34"/>
      <c r="R58" s="32"/>
      <c r="S58" s="7"/>
      <c r="T58" s="33"/>
      <c r="U58" s="7"/>
      <c r="V58" s="33"/>
      <c r="W58" s="7"/>
      <c r="X58" s="33"/>
      <c r="Y58" s="7"/>
      <c r="Z58" s="33"/>
      <c r="AA58" s="7"/>
      <c r="AB58" s="33"/>
      <c r="AC58" s="34"/>
      <c r="AD58" s="35">
        <f t="shared" si="1"/>
        <v>0</v>
      </c>
      <c r="AE58" s="30">
        <f t="shared" si="2"/>
        <v>0</v>
      </c>
      <c r="AF58" s="30">
        <f t="shared" si="3"/>
        <v>0</v>
      </c>
      <c r="AG58" s="30">
        <f t="shared" si="4"/>
        <v>0</v>
      </c>
      <c r="AH58" s="36">
        <f t="shared" si="5"/>
        <v>0</v>
      </c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ht="15.75" customHeight="1">
      <c r="A59" s="14" t="s">
        <v>21</v>
      </c>
      <c r="B59" s="15">
        <f t="shared" si="6"/>
        <v>45348</v>
      </c>
      <c r="C59" s="16">
        <v>3.0</v>
      </c>
      <c r="D59" s="16" t="s">
        <v>22</v>
      </c>
      <c r="E59" s="17"/>
      <c r="F59" s="18"/>
      <c r="H59" s="19"/>
      <c r="J59" s="19"/>
      <c r="L59" s="19"/>
      <c r="N59" s="19"/>
      <c r="P59" s="19"/>
      <c r="Q59" s="20"/>
      <c r="R59" s="18"/>
      <c r="T59" s="19"/>
      <c r="V59" s="19"/>
      <c r="X59" s="19"/>
      <c r="Z59" s="19"/>
      <c r="AB59" s="19"/>
      <c r="AC59" s="20"/>
      <c r="AD59" s="21">
        <f t="shared" si="1"/>
        <v>0</v>
      </c>
      <c r="AE59" s="16">
        <f t="shared" si="2"/>
        <v>0</v>
      </c>
      <c r="AF59" s="16">
        <f t="shared" si="3"/>
        <v>0</v>
      </c>
      <c r="AG59" s="16">
        <f t="shared" si="4"/>
        <v>0</v>
      </c>
      <c r="AH59" s="37">
        <f t="shared" si="5"/>
        <v>0</v>
      </c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ht="15.75" customHeight="1">
      <c r="A60" s="23" t="s">
        <v>23</v>
      </c>
      <c r="B60" s="24">
        <f t="shared" si="6"/>
        <v>45349</v>
      </c>
      <c r="C60" s="25">
        <v>3.0</v>
      </c>
      <c r="D60" s="25" t="s">
        <v>22</v>
      </c>
      <c r="E60" s="22"/>
      <c r="F60" s="18"/>
      <c r="H60" s="19"/>
      <c r="J60" s="19"/>
      <c r="L60" s="19"/>
      <c r="N60" s="19"/>
      <c r="P60" s="19"/>
      <c r="Q60" s="20"/>
      <c r="R60" s="18"/>
      <c r="T60" s="19"/>
      <c r="V60" s="19"/>
      <c r="X60" s="19"/>
      <c r="Z60" s="19"/>
      <c r="AB60" s="19"/>
      <c r="AC60" s="20"/>
      <c r="AD60" s="26">
        <f t="shared" si="1"/>
        <v>0</v>
      </c>
      <c r="AE60" s="25">
        <f t="shared" si="2"/>
        <v>0</v>
      </c>
      <c r="AF60" s="25">
        <f t="shared" si="3"/>
        <v>0</v>
      </c>
      <c r="AG60" s="25">
        <f t="shared" si="4"/>
        <v>0</v>
      </c>
      <c r="AH60" s="27">
        <f t="shared" si="5"/>
        <v>0</v>
      </c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ht="15.75" customHeight="1">
      <c r="A61" s="23" t="s">
        <v>24</v>
      </c>
      <c r="B61" s="24">
        <f t="shared" si="6"/>
        <v>45350</v>
      </c>
      <c r="C61" s="25">
        <v>3.0</v>
      </c>
      <c r="D61" s="25" t="s">
        <v>22</v>
      </c>
      <c r="E61" s="22"/>
      <c r="F61" s="18"/>
      <c r="H61" s="19"/>
      <c r="J61" s="19"/>
      <c r="L61" s="19"/>
      <c r="N61" s="19"/>
      <c r="P61" s="19"/>
      <c r="Q61" s="20"/>
      <c r="R61" s="18"/>
      <c r="T61" s="19"/>
      <c r="V61" s="19"/>
      <c r="X61" s="19"/>
      <c r="Z61" s="19"/>
      <c r="AB61" s="19"/>
      <c r="AC61" s="20"/>
      <c r="AD61" s="26">
        <f t="shared" si="1"/>
        <v>0</v>
      </c>
      <c r="AE61" s="25">
        <f t="shared" si="2"/>
        <v>0</v>
      </c>
      <c r="AF61" s="25">
        <f t="shared" si="3"/>
        <v>0</v>
      </c>
      <c r="AG61" s="25">
        <f t="shared" si="4"/>
        <v>0</v>
      </c>
      <c r="AH61" s="27">
        <f t="shared" si="5"/>
        <v>0</v>
      </c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ht="15.75" customHeight="1">
      <c r="A62" s="23" t="s">
        <v>25</v>
      </c>
      <c r="B62" s="24">
        <f t="shared" si="6"/>
        <v>45351</v>
      </c>
      <c r="C62" s="25">
        <v>3.0</v>
      </c>
      <c r="D62" s="25" t="s">
        <v>22</v>
      </c>
      <c r="E62" s="22"/>
      <c r="F62" s="18"/>
      <c r="H62" s="19"/>
      <c r="J62" s="19"/>
      <c r="L62" s="19"/>
      <c r="N62" s="19"/>
      <c r="P62" s="19"/>
      <c r="Q62" s="20"/>
      <c r="R62" s="18"/>
      <c r="T62" s="19"/>
      <c r="V62" s="19"/>
      <c r="X62" s="19"/>
      <c r="Z62" s="19"/>
      <c r="AB62" s="19"/>
      <c r="AC62" s="20"/>
      <c r="AD62" s="26">
        <f t="shared" si="1"/>
        <v>0</v>
      </c>
      <c r="AE62" s="25">
        <f t="shared" si="2"/>
        <v>0</v>
      </c>
      <c r="AF62" s="25">
        <f t="shared" si="3"/>
        <v>0</v>
      </c>
      <c r="AG62" s="25">
        <f t="shared" si="4"/>
        <v>0</v>
      </c>
      <c r="AH62" s="27">
        <f t="shared" si="5"/>
        <v>0</v>
      </c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ht="15.75" customHeight="1">
      <c r="A63" s="23" t="s">
        <v>26</v>
      </c>
      <c r="B63" s="24">
        <f t="shared" si="6"/>
        <v>45352</v>
      </c>
      <c r="C63" s="25">
        <v>3.0</v>
      </c>
      <c r="D63" s="25" t="s">
        <v>22</v>
      </c>
      <c r="E63" s="22"/>
      <c r="F63" s="18"/>
      <c r="H63" s="19"/>
      <c r="J63" s="19"/>
      <c r="L63" s="19"/>
      <c r="N63" s="19"/>
      <c r="P63" s="19"/>
      <c r="Q63" s="20"/>
      <c r="R63" s="18"/>
      <c r="T63" s="19"/>
      <c r="V63" s="19"/>
      <c r="X63" s="19"/>
      <c r="Z63" s="19"/>
      <c r="AB63" s="19"/>
      <c r="AC63" s="20"/>
      <c r="AD63" s="26">
        <f t="shared" si="1"/>
        <v>0</v>
      </c>
      <c r="AE63" s="25">
        <f t="shared" si="2"/>
        <v>0</v>
      </c>
      <c r="AF63" s="25">
        <f t="shared" si="3"/>
        <v>0</v>
      </c>
      <c r="AG63" s="25">
        <f t="shared" si="4"/>
        <v>0</v>
      </c>
      <c r="AH63" s="27">
        <f t="shared" si="5"/>
        <v>0</v>
      </c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ht="15.75" customHeight="1">
      <c r="A64" s="23" t="s">
        <v>27</v>
      </c>
      <c r="B64" s="24">
        <f t="shared" si="6"/>
        <v>45353</v>
      </c>
      <c r="C64" s="25">
        <v>3.0</v>
      </c>
      <c r="D64" s="25" t="s">
        <v>22</v>
      </c>
      <c r="E64" s="22"/>
      <c r="F64" s="18"/>
      <c r="H64" s="19"/>
      <c r="J64" s="19"/>
      <c r="L64" s="19"/>
      <c r="N64" s="19"/>
      <c r="P64" s="19"/>
      <c r="Q64" s="20"/>
      <c r="R64" s="18"/>
      <c r="T64" s="19"/>
      <c r="V64" s="19"/>
      <c r="X64" s="19"/>
      <c r="Z64" s="19"/>
      <c r="AB64" s="19"/>
      <c r="AC64" s="20"/>
      <c r="AD64" s="26">
        <f t="shared" si="1"/>
        <v>0</v>
      </c>
      <c r="AE64" s="25">
        <f t="shared" si="2"/>
        <v>0</v>
      </c>
      <c r="AF64" s="25">
        <f t="shared" si="3"/>
        <v>0</v>
      </c>
      <c r="AG64" s="25">
        <f t="shared" si="4"/>
        <v>0</v>
      </c>
      <c r="AH64" s="27">
        <f t="shared" si="5"/>
        <v>0</v>
      </c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ht="15.75" customHeight="1">
      <c r="A65" s="28" t="s">
        <v>28</v>
      </c>
      <c r="B65" s="29">
        <f t="shared" si="6"/>
        <v>45354</v>
      </c>
      <c r="C65" s="30">
        <v>3.0</v>
      </c>
      <c r="D65" s="30" t="s">
        <v>22</v>
      </c>
      <c r="E65" s="31"/>
      <c r="F65" s="32"/>
      <c r="G65" s="7"/>
      <c r="H65" s="33"/>
      <c r="I65" s="7"/>
      <c r="J65" s="33"/>
      <c r="K65" s="7"/>
      <c r="L65" s="33"/>
      <c r="M65" s="7"/>
      <c r="N65" s="33"/>
      <c r="O65" s="7"/>
      <c r="P65" s="33"/>
      <c r="Q65" s="34"/>
      <c r="R65" s="32"/>
      <c r="S65" s="7"/>
      <c r="T65" s="33"/>
      <c r="U65" s="7"/>
      <c r="V65" s="33"/>
      <c r="W65" s="7"/>
      <c r="X65" s="33"/>
      <c r="Y65" s="7"/>
      <c r="Z65" s="33"/>
      <c r="AA65" s="7"/>
      <c r="AB65" s="33"/>
      <c r="AC65" s="34"/>
      <c r="AD65" s="35">
        <f t="shared" si="1"/>
        <v>0</v>
      </c>
      <c r="AE65" s="30">
        <f t="shared" si="2"/>
        <v>0</v>
      </c>
      <c r="AF65" s="30">
        <f t="shared" si="3"/>
        <v>0</v>
      </c>
      <c r="AG65" s="30">
        <f t="shared" si="4"/>
        <v>0</v>
      </c>
      <c r="AH65" s="36">
        <f t="shared" si="5"/>
        <v>0</v>
      </c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ht="15.75" customHeight="1">
      <c r="A66" s="14" t="s">
        <v>21</v>
      </c>
      <c r="B66" s="15">
        <f t="shared" si="6"/>
        <v>45355</v>
      </c>
      <c r="C66" s="16">
        <v>3.0</v>
      </c>
      <c r="D66" s="16" t="s">
        <v>29</v>
      </c>
      <c r="E66" s="17"/>
      <c r="F66" s="18"/>
      <c r="H66" s="19"/>
      <c r="J66" s="19"/>
      <c r="L66" s="19"/>
      <c r="N66" s="19"/>
      <c r="P66" s="19"/>
      <c r="Q66" s="20"/>
      <c r="R66" s="18"/>
      <c r="T66" s="19"/>
      <c r="V66" s="19"/>
      <c r="X66" s="19"/>
      <c r="Z66" s="19"/>
      <c r="AB66" s="19"/>
      <c r="AC66" s="20"/>
      <c r="AD66" s="21">
        <f t="shared" si="1"/>
        <v>0</v>
      </c>
      <c r="AE66" s="16">
        <f t="shared" si="2"/>
        <v>0</v>
      </c>
      <c r="AF66" s="16">
        <f t="shared" si="3"/>
        <v>0</v>
      </c>
      <c r="AG66" s="16">
        <f t="shared" si="4"/>
        <v>0</v>
      </c>
      <c r="AH66" s="37">
        <f t="shared" si="5"/>
        <v>0</v>
      </c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ht="15.75" customHeight="1">
      <c r="A67" s="23" t="s">
        <v>23</v>
      </c>
      <c r="B67" s="24">
        <f t="shared" si="6"/>
        <v>45356</v>
      </c>
      <c r="C67" s="25">
        <v>3.0</v>
      </c>
      <c r="D67" s="25" t="s">
        <v>29</v>
      </c>
      <c r="E67" s="22"/>
      <c r="F67" s="18"/>
      <c r="H67" s="19"/>
      <c r="J67" s="19"/>
      <c r="L67" s="19"/>
      <c r="N67" s="19"/>
      <c r="P67" s="19"/>
      <c r="Q67" s="20"/>
      <c r="R67" s="18"/>
      <c r="T67" s="19"/>
      <c r="V67" s="19"/>
      <c r="X67" s="19"/>
      <c r="Z67" s="19"/>
      <c r="AB67" s="19"/>
      <c r="AC67" s="20"/>
      <c r="AD67" s="26">
        <f t="shared" si="1"/>
        <v>0</v>
      </c>
      <c r="AE67" s="25">
        <f t="shared" si="2"/>
        <v>0</v>
      </c>
      <c r="AF67" s="25">
        <f t="shared" si="3"/>
        <v>0</v>
      </c>
      <c r="AG67" s="25">
        <f t="shared" si="4"/>
        <v>0</v>
      </c>
      <c r="AH67" s="27">
        <f t="shared" si="5"/>
        <v>0</v>
      </c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ht="15.75" customHeight="1">
      <c r="A68" s="23" t="s">
        <v>24</v>
      </c>
      <c r="B68" s="24">
        <f t="shared" si="6"/>
        <v>45357</v>
      </c>
      <c r="C68" s="25">
        <v>3.0</v>
      </c>
      <c r="D68" s="25" t="s">
        <v>29</v>
      </c>
      <c r="E68" s="22"/>
      <c r="F68" s="18"/>
      <c r="H68" s="19"/>
      <c r="J68" s="19"/>
      <c r="L68" s="19"/>
      <c r="N68" s="19"/>
      <c r="P68" s="19"/>
      <c r="Q68" s="20"/>
      <c r="R68" s="18"/>
      <c r="T68" s="19"/>
      <c r="V68" s="19"/>
      <c r="X68" s="19"/>
      <c r="Z68" s="19"/>
      <c r="AB68" s="19"/>
      <c r="AC68" s="20"/>
      <c r="AD68" s="26">
        <f t="shared" si="1"/>
        <v>0</v>
      </c>
      <c r="AE68" s="25">
        <f t="shared" si="2"/>
        <v>0</v>
      </c>
      <c r="AF68" s="25">
        <f t="shared" si="3"/>
        <v>0</v>
      </c>
      <c r="AG68" s="25">
        <f t="shared" si="4"/>
        <v>0</v>
      </c>
      <c r="AH68" s="27">
        <f t="shared" si="5"/>
        <v>0</v>
      </c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ht="15.75" customHeight="1">
      <c r="A69" s="23" t="s">
        <v>25</v>
      </c>
      <c r="B69" s="24">
        <f t="shared" si="6"/>
        <v>45358</v>
      </c>
      <c r="C69" s="25">
        <v>3.0</v>
      </c>
      <c r="D69" s="25" t="s">
        <v>29</v>
      </c>
      <c r="E69" s="22"/>
      <c r="F69" s="18"/>
      <c r="H69" s="19"/>
      <c r="J69" s="19"/>
      <c r="L69" s="19"/>
      <c r="N69" s="19"/>
      <c r="P69" s="19"/>
      <c r="Q69" s="20"/>
      <c r="R69" s="18"/>
      <c r="T69" s="19"/>
      <c r="V69" s="19"/>
      <c r="X69" s="19"/>
      <c r="Z69" s="19"/>
      <c r="AB69" s="19"/>
      <c r="AC69" s="20"/>
      <c r="AD69" s="26">
        <f t="shared" si="1"/>
        <v>0</v>
      </c>
      <c r="AE69" s="25">
        <f t="shared" si="2"/>
        <v>0</v>
      </c>
      <c r="AF69" s="25">
        <f t="shared" si="3"/>
        <v>0</v>
      </c>
      <c r="AG69" s="25">
        <f t="shared" si="4"/>
        <v>0</v>
      </c>
      <c r="AH69" s="27">
        <f t="shared" si="5"/>
        <v>0</v>
      </c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ht="15.75" customHeight="1">
      <c r="A70" s="23" t="s">
        <v>26</v>
      </c>
      <c r="B70" s="24">
        <f t="shared" si="6"/>
        <v>45359</v>
      </c>
      <c r="C70" s="25">
        <v>3.0</v>
      </c>
      <c r="D70" s="25" t="s">
        <v>29</v>
      </c>
      <c r="E70" s="22"/>
      <c r="F70" s="18"/>
      <c r="H70" s="19"/>
      <c r="J70" s="19"/>
      <c r="L70" s="19"/>
      <c r="N70" s="19"/>
      <c r="P70" s="19"/>
      <c r="Q70" s="20"/>
      <c r="R70" s="18"/>
      <c r="T70" s="19"/>
      <c r="V70" s="19"/>
      <c r="X70" s="19"/>
      <c r="Z70" s="19"/>
      <c r="AB70" s="19"/>
      <c r="AC70" s="20"/>
      <c r="AD70" s="26">
        <f t="shared" si="1"/>
        <v>0</v>
      </c>
      <c r="AE70" s="25">
        <f t="shared" si="2"/>
        <v>0</v>
      </c>
      <c r="AF70" s="25">
        <f t="shared" si="3"/>
        <v>0</v>
      </c>
      <c r="AG70" s="25">
        <f t="shared" si="4"/>
        <v>0</v>
      </c>
      <c r="AH70" s="27">
        <f t="shared" si="5"/>
        <v>0</v>
      </c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ht="15.75" customHeight="1">
      <c r="A71" s="23" t="s">
        <v>27</v>
      </c>
      <c r="B71" s="24">
        <f t="shared" si="6"/>
        <v>45360</v>
      </c>
      <c r="C71" s="25">
        <v>3.0</v>
      </c>
      <c r="D71" s="25" t="s">
        <v>29</v>
      </c>
      <c r="E71" s="22"/>
      <c r="F71" s="18"/>
      <c r="H71" s="19"/>
      <c r="J71" s="19"/>
      <c r="L71" s="19"/>
      <c r="N71" s="19"/>
      <c r="P71" s="19"/>
      <c r="Q71" s="20"/>
      <c r="R71" s="18"/>
      <c r="T71" s="19"/>
      <c r="V71" s="19"/>
      <c r="X71" s="19"/>
      <c r="Z71" s="19"/>
      <c r="AB71" s="19"/>
      <c r="AC71" s="20"/>
      <c r="AD71" s="26">
        <f t="shared" si="1"/>
        <v>0</v>
      </c>
      <c r="AE71" s="25">
        <f t="shared" si="2"/>
        <v>0</v>
      </c>
      <c r="AF71" s="25">
        <f t="shared" si="3"/>
        <v>0</v>
      </c>
      <c r="AG71" s="25">
        <f t="shared" si="4"/>
        <v>0</v>
      </c>
      <c r="AH71" s="27">
        <f t="shared" si="5"/>
        <v>0</v>
      </c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ht="15.75" customHeight="1">
      <c r="A72" s="28" t="s">
        <v>28</v>
      </c>
      <c r="B72" s="29">
        <f t="shared" si="6"/>
        <v>45361</v>
      </c>
      <c r="C72" s="30">
        <v>3.0</v>
      </c>
      <c r="D72" s="30" t="s">
        <v>29</v>
      </c>
      <c r="E72" s="31"/>
      <c r="F72" s="32"/>
      <c r="G72" s="7"/>
      <c r="H72" s="33"/>
      <c r="I72" s="7"/>
      <c r="J72" s="33"/>
      <c r="K72" s="7"/>
      <c r="L72" s="33"/>
      <c r="M72" s="7"/>
      <c r="N72" s="33"/>
      <c r="O72" s="7"/>
      <c r="P72" s="33"/>
      <c r="Q72" s="34"/>
      <c r="R72" s="32"/>
      <c r="S72" s="7"/>
      <c r="T72" s="33"/>
      <c r="U72" s="7"/>
      <c r="V72" s="33"/>
      <c r="W72" s="7"/>
      <c r="X72" s="33"/>
      <c r="Y72" s="7"/>
      <c r="Z72" s="33"/>
      <c r="AA72" s="7"/>
      <c r="AB72" s="33"/>
      <c r="AC72" s="34"/>
      <c r="AD72" s="35">
        <f t="shared" si="1"/>
        <v>0</v>
      </c>
      <c r="AE72" s="30">
        <f t="shared" si="2"/>
        <v>0</v>
      </c>
      <c r="AF72" s="30">
        <f t="shared" si="3"/>
        <v>0</v>
      </c>
      <c r="AG72" s="30">
        <f t="shared" si="4"/>
        <v>0</v>
      </c>
      <c r="AH72" s="36">
        <f t="shared" si="5"/>
        <v>0</v>
      </c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ht="15.75" customHeight="1">
      <c r="A73" s="14" t="s">
        <v>21</v>
      </c>
      <c r="B73" s="15">
        <f t="shared" si="6"/>
        <v>45362</v>
      </c>
      <c r="C73" s="16">
        <v>3.0</v>
      </c>
      <c r="D73" s="16" t="s">
        <v>30</v>
      </c>
      <c r="E73" s="17"/>
      <c r="F73" s="18"/>
      <c r="H73" s="19"/>
      <c r="J73" s="19"/>
      <c r="L73" s="19"/>
      <c r="N73" s="19"/>
      <c r="P73" s="19"/>
      <c r="Q73" s="20"/>
      <c r="R73" s="18"/>
      <c r="T73" s="19"/>
      <c r="V73" s="19"/>
      <c r="X73" s="19"/>
      <c r="Z73" s="19"/>
      <c r="AB73" s="19"/>
      <c r="AC73" s="20"/>
      <c r="AD73" s="21">
        <f t="shared" si="1"/>
        <v>0</v>
      </c>
      <c r="AE73" s="16">
        <f t="shared" si="2"/>
        <v>0</v>
      </c>
      <c r="AF73" s="16">
        <f t="shared" si="3"/>
        <v>0</v>
      </c>
      <c r="AG73" s="16">
        <f t="shared" si="4"/>
        <v>0</v>
      </c>
      <c r="AH73" s="37">
        <f t="shared" si="5"/>
        <v>0</v>
      </c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ht="15.75" customHeight="1">
      <c r="A74" s="23" t="s">
        <v>23</v>
      </c>
      <c r="B74" s="24">
        <f t="shared" si="6"/>
        <v>45363</v>
      </c>
      <c r="C74" s="25">
        <v>3.0</v>
      </c>
      <c r="D74" s="25" t="s">
        <v>30</v>
      </c>
      <c r="E74" s="22"/>
      <c r="F74" s="18"/>
      <c r="H74" s="19"/>
      <c r="J74" s="19"/>
      <c r="L74" s="19"/>
      <c r="N74" s="19"/>
      <c r="P74" s="19"/>
      <c r="Q74" s="20"/>
      <c r="R74" s="18"/>
      <c r="T74" s="19"/>
      <c r="V74" s="19"/>
      <c r="X74" s="19"/>
      <c r="Z74" s="19"/>
      <c r="AB74" s="19"/>
      <c r="AC74" s="20"/>
      <c r="AD74" s="26">
        <f t="shared" si="1"/>
        <v>0</v>
      </c>
      <c r="AE74" s="25">
        <f t="shared" si="2"/>
        <v>0</v>
      </c>
      <c r="AF74" s="25">
        <f t="shared" si="3"/>
        <v>0</v>
      </c>
      <c r="AG74" s="25">
        <f t="shared" si="4"/>
        <v>0</v>
      </c>
      <c r="AH74" s="27">
        <f t="shared" si="5"/>
        <v>0</v>
      </c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ht="15.75" customHeight="1">
      <c r="A75" s="23" t="s">
        <v>24</v>
      </c>
      <c r="B75" s="24">
        <f t="shared" si="6"/>
        <v>45364</v>
      </c>
      <c r="C75" s="25">
        <v>3.0</v>
      </c>
      <c r="D75" s="25" t="s">
        <v>30</v>
      </c>
      <c r="E75" s="22"/>
      <c r="F75" s="18"/>
      <c r="H75" s="19"/>
      <c r="J75" s="19"/>
      <c r="L75" s="19"/>
      <c r="N75" s="19"/>
      <c r="P75" s="19"/>
      <c r="Q75" s="20"/>
      <c r="R75" s="18"/>
      <c r="T75" s="19"/>
      <c r="V75" s="19"/>
      <c r="X75" s="19"/>
      <c r="Z75" s="19"/>
      <c r="AB75" s="19"/>
      <c r="AC75" s="20"/>
      <c r="AD75" s="26">
        <f t="shared" si="1"/>
        <v>0</v>
      </c>
      <c r="AE75" s="25">
        <f t="shared" si="2"/>
        <v>0</v>
      </c>
      <c r="AF75" s="25">
        <f t="shared" si="3"/>
        <v>0</v>
      </c>
      <c r="AG75" s="25">
        <f t="shared" si="4"/>
        <v>0</v>
      </c>
      <c r="AH75" s="27">
        <f t="shared" si="5"/>
        <v>0</v>
      </c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ht="15.75" customHeight="1">
      <c r="A76" s="23" t="s">
        <v>25</v>
      </c>
      <c r="B76" s="24">
        <f t="shared" si="6"/>
        <v>45365</v>
      </c>
      <c r="C76" s="25">
        <v>3.0</v>
      </c>
      <c r="D76" s="25" t="s">
        <v>30</v>
      </c>
      <c r="E76" s="22"/>
      <c r="F76" s="18"/>
      <c r="H76" s="19"/>
      <c r="J76" s="19"/>
      <c r="L76" s="19"/>
      <c r="N76" s="19"/>
      <c r="P76" s="19"/>
      <c r="Q76" s="20"/>
      <c r="R76" s="18"/>
      <c r="T76" s="19"/>
      <c r="V76" s="19"/>
      <c r="X76" s="19"/>
      <c r="Z76" s="19"/>
      <c r="AB76" s="19"/>
      <c r="AC76" s="20"/>
      <c r="AD76" s="26">
        <f t="shared" si="1"/>
        <v>0</v>
      </c>
      <c r="AE76" s="25">
        <f t="shared" si="2"/>
        <v>0</v>
      </c>
      <c r="AF76" s="25">
        <f t="shared" si="3"/>
        <v>0</v>
      </c>
      <c r="AG76" s="25">
        <f t="shared" si="4"/>
        <v>0</v>
      </c>
      <c r="AH76" s="27">
        <f t="shared" si="5"/>
        <v>0</v>
      </c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ht="15.75" customHeight="1">
      <c r="A77" s="23" t="s">
        <v>26</v>
      </c>
      <c r="B77" s="24">
        <f t="shared" si="6"/>
        <v>45366</v>
      </c>
      <c r="C77" s="25">
        <v>3.0</v>
      </c>
      <c r="D77" s="25" t="s">
        <v>30</v>
      </c>
      <c r="E77" s="22"/>
      <c r="F77" s="18"/>
      <c r="H77" s="19"/>
      <c r="J77" s="19"/>
      <c r="L77" s="19"/>
      <c r="N77" s="19"/>
      <c r="P77" s="19"/>
      <c r="Q77" s="20"/>
      <c r="R77" s="18"/>
      <c r="T77" s="19"/>
      <c r="V77" s="19"/>
      <c r="X77" s="19"/>
      <c r="Z77" s="19"/>
      <c r="AB77" s="19"/>
      <c r="AC77" s="20"/>
      <c r="AD77" s="26">
        <f t="shared" si="1"/>
        <v>0</v>
      </c>
      <c r="AE77" s="25">
        <f t="shared" si="2"/>
        <v>0</v>
      </c>
      <c r="AF77" s="25">
        <f t="shared" si="3"/>
        <v>0</v>
      </c>
      <c r="AG77" s="25">
        <f t="shared" si="4"/>
        <v>0</v>
      </c>
      <c r="AH77" s="27">
        <f t="shared" si="5"/>
        <v>0</v>
      </c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ht="15.75" customHeight="1">
      <c r="A78" s="23" t="s">
        <v>27</v>
      </c>
      <c r="B78" s="24">
        <f t="shared" si="6"/>
        <v>45367</v>
      </c>
      <c r="C78" s="25">
        <v>3.0</v>
      </c>
      <c r="D78" s="25" t="s">
        <v>30</v>
      </c>
      <c r="E78" s="22"/>
      <c r="F78" s="18"/>
      <c r="H78" s="19"/>
      <c r="J78" s="19"/>
      <c r="L78" s="19"/>
      <c r="N78" s="19"/>
      <c r="P78" s="19"/>
      <c r="Q78" s="20"/>
      <c r="R78" s="18"/>
      <c r="T78" s="19"/>
      <c r="V78" s="19"/>
      <c r="X78" s="19"/>
      <c r="Z78" s="19"/>
      <c r="AB78" s="19"/>
      <c r="AC78" s="20"/>
      <c r="AD78" s="26">
        <f t="shared" si="1"/>
        <v>0</v>
      </c>
      <c r="AE78" s="25">
        <f t="shared" si="2"/>
        <v>0</v>
      </c>
      <c r="AF78" s="25">
        <f t="shared" si="3"/>
        <v>0</v>
      </c>
      <c r="AG78" s="25">
        <f t="shared" si="4"/>
        <v>0</v>
      </c>
      <c r="AH78" s="27">
        <f t="shared" si="5"/>
        <v>0</v>
      </c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ht="15.75" customHeight="1">
      <c r="A79" s="28" t="s">
        <v>28</v>
      </c>
      <c r="B79" s="29">
        <f t="shared" si="6"/>
        <v>45368</v>
      </c>
      <c r="C79" s="30">
        <v>3.0</v>
      </c>
      <c r="D79" s="30" t="s">
        <v>30</v>
      </c>
      <c r="E79" s="31"/>
      <c r="F79" s="32"/>
      <c r="G79" s="7"/>
      <c r="H79" s="33"/>
      <c r="I79" s="7"/>
      <c r="J79" s="33"/>
      <c r="K79" s="7"/>
      <c r="L79" s="33"/>
      <c r="M79" s="7"/>
      <c r="N79" s="33"/>
      <c r="O79" s="7"/>
      <c r="P79" s="33"/>
      <c r="Q79" s="34"/>
      <c r="R79" s="32"/>
      <c r="S79" s="7"/>
      <c r="T79" s="33"/>
      <c r="U79" s="7"/>
      <c r="V79" s="33"/>
      <c r="W79" s="7"/>
      <c r="X79" s="33"/>
      <c r="Y79" s="7"/>
      <c r="Z79" s="33"/>
      <c r="AA79" s="7"/>
      <c r="AB79" s="33"/>
      <c r="AC79" s="34"/>
      <c r="AD79" s="35">
        <f t="shared" si="1"/>
        <v>0</v>
      </c>
      <c r="AE79" s="30">
        <f t="shared" si="2"/>
        <v>0</v>
      </c>
      <c r="AF79" s="30">
        <f t="shared" si="3"/>
        <v>0</v>
      </c>
      <c r="AG79" s="30">
        <f t="shared" si="4"/>
        <v>0</v>
      </c>
      <c r="AH79" s="36">
        <f t="shared" si="5"/>
        <v>0</v>
      </c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ht="15.75" customHeight="1">
      <c r="A80" s="14" t="s">
        <v>21</v>
      </c>
      <c r="B80" s="15">
        <f t="shared" si="6"/>
        <v>45369</v>
      </c>
      <c r="C80" s="16">
        <v>3.0</v>
      </c>
      <c r="D80" s="16" t="s">
        <v>31</v>
      </c>
      <c r="E80" s="17"/>
      <c r="F80" s="18"/>
      <c r="H80" s="19"/>
      <c r="J80" s="19"/>
      <c r="L80" s="19"/>
      <c r="N80" s="19"/>
      <c r="P80" s="19"/>
      <c r="Q80" s="20"/>
      <c r="R80" s="18"/>
      <c r="T80" s="19"/>
      <c r="V80" s="19"/>
      <c r="X80" s="19"/>
      <c r="Z80" s="19"/>
      <c r="AB80" s="19"/>
      <c r="AC80" s="20"/>
      <c r="AD80" s="21">
        <f t="shared" si="1"/>
        <v>0</v>
      </c>
      <c r="AE80" s="16">
        <f t="shared" si="2"/>
        <v>0</v>
      </c>
      <c r="AF80" s="16">
        <f t="shared" si="3"/>
        <v>0</v>
      </c>
      <c r="AG80" s="16">
        <f t="shared" si="4"/>
        <v>0</v>
      </c>
      <c r="AH80" s="37">
        <f t="shared" si="5"/>
        <v>0</v>
      </c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ht="15.75" customHeight="1">
      <c r="A81" s="23" t="s">
        <v>23</v>
      </c>
      <c r="B81" s="24">
        <f t="shared" si="6"/>
        <v>45370</v>
      </c>
      <c r="C81" s="25">
        <v>3.0</v>
      </c>
      <c r="D81" s="25" t="s">
        <v>31</v>
      </c>
      <c r="E81" s="22"/>
      <c r="F81" s="18"/>
      <c r="H81" s="19"/>
      <c r="J81" s="19"/>
      <c r="L81" s="19"/>
      <c r="N81" s="19"/>
      <c r="P81" s="19"/>
      <c r="Q81" s="20"/>
      <c r="R81" s="18"/>
      <c r="T81" s="19"/>
      <c r="V81" s="19"/>
      <c r="X81" s="19"/>
      <c r="Z81" s="19"/>
      <c r="AB81" s="19"/>
      <c r="AC81" s="20"/>
      <c r="AD81" s="26">
        <f t="shared" si="1"/>
        <v>0</v>
      </c>
      <c r="AE81" s="25">
        <f t="shared" si="2"/>
        <v>0</v>
      </c>
      <c r="AF81" s="25">
        <f t="shared" si="3"/>
        <v>0</v>
      </c>
      <c r="AG81" s="25">
        <f t="shared" si="4"/>
        <v>0</v>
      </c>
      <c r="AH81" s="27">
        <f t="shared" si="5"/>
        <v>0</v>
      </c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ht="15.75" customHeight="1">
      <c r="A82" s="23" t="s">
        <v>24</v>
      </c>
      <c r="B82" s="24">
        <f t="shared" si="6"/>
        <v>45371</v>
      </c>
      <c r="C82" s="25">
        <v>3.0</v>
      </c>
      <c r="D82" s="25" t="s">
        <v>31</v>
      </c>
      <c r="E82" s="22"/>
      <c r="F82" s="18"/>
      <c r="H82" s="19"/>
      <c r="J82" s="19"/>
      <c r="L82" s="19"/>
      <c r="N82" s="19"/>
      <c r="P82" s="19"/>
      <c r="Q82" s="20"/>
      <c r="R82" s="18"/>
      <c r="T82" s="19"/>
      <c r="V82" s="19"/>
      <c r="X82" s="19"/>
      <c r="Z82" s="19"/>
      <c r="AB82" s="19"/>
      <c r="AC82" s="20"/>
      <c r="AD82" s="26">
        <f t="shared" si="1"/>
        <v>0</v>
      </c>
      <c r="AE82" s="25">
        <f t="shared" si="2"/>
        <v>0</v>
      </c>
      <c r="AF82" s="25">
        <f t="shared" si="3"/>
        <v>0</v>
      </c>
      <c r="AG82" s="25">
        <f t="shared" si="4"/>
        <v>0</v>
      </c>
      <c r="AH82" s="27">
        <f t="shared" si="5"/>
        <v>0</v>
      </c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ht="15.75" customHeight="1">
      <c r="A83" s="23" t="s">
        <v>25</v>
      </c>
      <c r="B83" s="24">
        <f t="shared" si="6"/>
        <v>45372</v>
      </c>
      <c r="C83" s="25">
        <v>3.0</v>
      </c>
      <c r="D83" s="25" t="s">
        <v>31</v>
      </c>
      <c r="E83" s="22"/>
      <c r="F83" s="18"/>
      <c r="H83" s="19"/>
      <c r="J83" s="19"/>
      <c r="L83" s="19"/>
      <c r="N83" s="19"/>
      <c r="P83" s="19"/>
      <c r="Q83" s="20"/>
      <c r="R83" s="18"/>
      <c r="T83" s="19"/>
      <c r="V83" s="19"/>
      <c r="X83" s="19"/>
      <c r="Z83" s="19"/>
      <c r="AB83" s="19"/>
      <c r="AC83" s="20"/>
      <c r="AD83" s="26">
        <f t="shared" si="1"/>
        <v>0</v>
      </c>
      <c r="AE83" s="25">
        <f t="shared" si="2"/>
        <v>0</v>
      </c>
      <c r="AF83" s="25">
        <f t="shared" si="3"/>
        <v>0</v>
      </c>
      <c r="AG83" s="25">
        <f t="shared" si="4"/>
        <v>0</v>
      </c>
      <c r="AH83" s="27">
        <f t="shared" si="5"/>
        <v>0</v>
      </c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ht="15.75" customHeight="1">
      <c r="A84" s="23" t="s">
        <v>26</v>
      </c>
      <c r="B84" s="24">
        <f t="shared" si="6"/>
        <v>45373</v>
      </c>
      <c r="C84" s="25">
        <v>3.0</v>
      </c>
      <c r="D84" s="25" t="s">
        <v>31</v>
      </c>
      <c r="E84" s="22"/>
      <c r="F84" s="18"/>
      <c r="H84" s="19"/>
      <c r="J84" s="19"/>
      <c r="L84" s="19"/>
      <c r="N84" s="19"/>
      <c r="P84" s="19"/>
      <c r="Q84" s="20"/>
      <c r="R84" s="18"/>
      <c r="T84" s="19"/>
      <c r="V84" s="19"/>
      <c r="X84" s="19"/>
      <c r="Z84" s="19"/>
      <c r="AB84" s="19"/>
      <c r="AC84" s="20"/>
      <c r="AD84" s="26">
        <f t="shared" si="1"/>
        <v>0</v>
      </c>
      <c r="AE84" s="25">
        <f t="shared" si="2"/>
        <v>0</v>
      </c>
      <c r="AF84" s="25">
        <f t="shared" si="3"/>
        <v>0</v>
      </c>
      <c r="AG84" s="25">
        <f t="shared" si="4"/>
        <v>0</v>
      </c>
      <c r="AH84" s="27">
        <f t="shared" si="5"/>
        <v>0</v>
      </c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ht="15.75" customHeight="1">
      <c r="A85" s="23" t="s">
        <v>27</v>
      </c>
      <c r="B85" s="24">
        <f t="shared" si="6"/>
        <v>45374</v>
      </c>
      <c r="C85" s="25">
        <v>3.0</v>
      </c>
      <c r="D85" s="25" t="s">
        <v>31</v>
      </c>
      <c r="E85" s="22"/>
      <c r="F85" s="18"/>
      <c r="H85" s="19"/>
      <c r="J85" s="19"/>
      <c r="L85" s="19"/>
      <c r="N85" s="19"/>
      <c r="P85" s="19"/>
      <c r="Q85" s="20"/>
      <c r="R85" s="18"/>
      <c r="T85" s="19"/>
      <c r="V85" s="19"/>
      <c r="X85" s="19"/>
      <c r="Z85" s="19"/>
      <c r="AB85" s="19"/>
      <c r="AC85" s="20"/>
      <c r="AD85" s="26">
        <f t="shared" si="1"/>
        <v>0</v>
      </c>
      <c r="AE85" s="25">
        <f t="shared" si="2"/>
        <v>0</v>
      </c>
      <c r="AF85" s="25">
        <f t="shared" si="3"/>
        <v>0</v>
      </c>
      <c r="AG85" s="25">
        <f t="shared" si="4"/>
        <v>0</v>
      </c>
      <c r="AH85" s="27">
        <f t="shared" si="5"/>
        <v>0</v>
      </c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ht="15.75" customHeight="1">
      <c r="A86" s="28" t="s">
        <v>28</v>
      </c>
      <c r="B86" s="29">
        <f t="shared" si="6"/>
        <v>45375</v>
      </c>
      <c r="C86" s="30">
        <v>3.0</v>
      </c>
      <c r="D86" s="30" t="s">
        <v>31</v>
      </c>
      <c r="E86" s="31"/>
      <c r="F86" s="32"/>
      <c r="G86" s="7"/>
      <c r="H86" s="33"/>
      <c r="I86" s="7"/>
      <c r="J86" s="33"/>
      <c r="K86" s="7"/>
      <c r="L86" s="33"/>
      <c r="M86" s="7"/>
      <c r="N86" s="33"/>
      <c r="O86" s="7"/>
      <c r="P86" s="33"/>
      <c r="Q86" s="34"/>
      <c r="R86" s="32"/>
      <c r="S86" s="7"/>
      <c r="T86" s="33"/>
      <c r="U86" s="7"/>
      <c r="V86" s="33"/>
      <c r="W86" s="7"/>
      <c r="X86" s="33"/>
      <c r="Y86" s="7"/>
      <c r="Z86" s="33"/>
      <c r="AA86" s="7"/>
      <c r="AB86" s="33"/>
      <c r="AC86" s="34"/>
      <c r="AD86" s="35">
        <f t="shared" si="1"/>
        <v>0</v>
      </c>
      <c r="AE86" s="30">
        <f t="shared" si="2"/>
        <v>0</v>
      </c>
      <c r="AF86" s="30">
        <f t="shared" si="3"/>
        <v>0</v>
      </c>
      <c r="AG86" s="30">
        <f t="shared" si="4"/>
        <v>0</v>
      </c>
      <c r="AH86" s="36">
        <f t="shared" si="5"/>
        <v>0</v>
      </c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ht="15.75" customHeight="1">
      <c r="A87" s="88" t="s">
        <v>21</v>
      </c>
      <c r="B87" s="89">
        <f t="shared" si="6"/>
        <v>45376</v>
      </c>
      <c r="C87" s="90">
        <v>4.0</v>
      </c>
      <c r="D87" s="90" t="s">
        <v>22</v>
      </c>
      <c r="E87" s="91"/>
      <c r="F87" s="92">
        <v>0.0</v>
      </c>
      <c r="H87" s="93">
        <v>0.0</v>
      </c>
      <c r="J87" s="93">
        <v>0.0</v>
      </c>
      <c r="L87" s="93">
        <v>0.0</v>
      </c>
      <c r="N87" s="93">
        <v>0.0</v>
      </c>
      <c r="P87" s="93">
        <v>0.0</v>
      </c>
      <c r="Q87" s="20"/>
      <c r="R87" s="94"/>
      <c r="T87" s="95"/>
      <c r="V87" s="95"/>
      <c r="X87" s="95"/>
      <c r="Z87" s="95"/>
      <c r="AB87" s="95"/>
      <c r="AC87" s="20"/>
      <c r="AD87" s="96">
        <f t="shared" si="1"/>
        <v>0</v>
      </c>
      <c r="AE87" s="90">
        <f t="shared" si="2"/>
        <v>0</v>
      </c>
      <c r="AF87" s="90">
        <f t="shared" si="3"/>
        <v>0</v>
      </c>
      <c r="AG87" s="90">
        <f t="shared" si="4"/>
        <v>0</v>
      </c>
      <c r="AH87" s="97">
        <f t="shared" si="5"/>
        <v>0</v>
      </c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ht="15.75" customHeight="1">
      <c r="A88" s="98" t="s">
        <v>23</v>
      </c>
      <c r="B88" s="99">
        <f t="shared" si="6"/>
        <v>45377</v>
      </c>
      <c r="C88" s="100">
        <v>4.0</v>
      </c>
      <c r="D88" s="100" t="s">
        <v>22</v>
      </c>
      <c r="E88" s="101"/>
      <c r="F88" s="92">
        <v>0.0</v>
      </c>
      <c r="H88" s="93">
        <v>0.0</v>
      </c>
      <c r="J88" s="93">
        <v>0.0</v>
      </c>
      <c r="L88" s="93">
        <v>0.0</v>
      </c>
      <c r="N88" s="93">
        <v>0.0</v>
      </c>
      <c r="P88" s="93">
        <v>0.0</v>
      </c>
      <c r="Q88" s="20"/>
      <c r="R88" s="94"/>
      <c r="T88" s="95"/>
      <c r="V88" s="95"/>
      <c r="X88" s="95"/>
      <c r="Z88" s="95"/>
      <c r="AB88" s="95"/>
      <c r="AC88" s="20"/>
      <c r="AD88" s="102">
        <f t="shared" si="1"/>
        <v>0</v>
      </c>
      <c r="AE88" s="100">
        <f t="shared" si="2"/>
        <v>0</v>
      </c>
      <c r="AF88" s="100">
        <f t="shared" si="3"/>
        <v>0</v>
      </c>
      <c r="AG88" s="100">
        <f t="shared" si="4"/>
        <v>0</v>
      </c>
      <c r="AH88" s="103">
        <f t="shared" si="5"/>
        <v>0</v>
      </c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ht="15.75" customHeight="1">
      <c r="A89" s="98" t="s">
        <v>24</v>
      </c>
      <c r="B89" s="99">
        <f t="shared" si="6"/>
        <v>45378</v>
      </c>
      <c r="C89" s="100">
        <v>4.0</v>
      </c>
      <c r="D89" s="100" t="s">
        <v>22</v>
      </c>
      <c r="E89" s="101"/>
      <c r="F89" s="92">
        <v>0.0</v>
      </c>
      <c r="H89" s="93">
        <v>0.0</v>
      </c>
      <c r="J89" s="93">
        <v>0.0</v>
      </c>
      <c r="L89" s="93">
        <v>0.0</v>
      </c>
      <c r="N89" s="93">
        <v>0.0</v>
      </c>
      <c r="P89" s="93">
        <v>0.0</v>
      </c>
      <c r="Q89" s="20"/>
      <c r="R89" s="94"/>
      <c r="T89" s="95"/>
      <c r="V89" s="95"/>
      <c r="X89" s="95"/>
      <c r="Z89" s="95"/>
      <c r="AB89" s="95"/>
      <c r="AC89" s="20"/>
      <c r="AD89" s="102">
        <f t="shared" si="1"/>
        <v>0</v>
      </c>
      <c r="AE89" s="100">
        <f t="shared" si="2"/>
        <v>0</v>
      </c>
      <c r="AF89" s="100">
        <f t="shared" si="3"/>
        <v>0</v>
      </c>
      <c r="AG89" s="100">
        <f t="shared" si="4"/>
        <v>0</v>
      </c>
      <c r="AH89" s="103">
        <f t="shared" si="5"/>
        <v>0</v>
      </c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ht="15.75" customHeight="1">
      <c r="A90" s="98" t="s">
        <v>25</v>
      </c>
      <c r="B90" s="99">
        <f t="shared" si="6"/>
        <v>45379</v>
      </c>
      <c r="C90" s="100">
        <v>4.0</v>
      </c>
      <c r="D90" s="100" t="s">
        <v>22</v>
      </c>
      <c r="E90" s="101"/>
      <c r="F90" s="92">
        <v>0.0</v>
      </c>
      <c r="H90" s="93">
        <v>0.0</v>
      </c>
      <c r="J90" s="93">
        <v>0.0</v>
      </c>
      <c r="L90" s="93">
        <v>0.0</v>
      </c>
      <c r="N90" s="93">
        <v>0.0</v>
      </c>
      <c r="P90" s="93">
        <v>0.0</v>
      </c>
      <c r="Q90" s="20"/>
      <c r="R90" s="94"/>
      <c r="T90" s="95"/>
      <c r="V90" s="95"/>
      <c r="X90" s="95"/>
      <c r="Z90" s="95"/>
      <c r="AB90" s="95"/>
      <c r="AC90" s="20"/>
      <c r="AD90" s="102">
        <f t="shared" si="1"/>
        <v>0</v>
      </c>
      <c r="AE90" s="100">
        <f t="shared" si="2"/>
        <v>0</v>
      </c>
      <c r="AF90" s="100">
        <f t="shared" si="3"/>
        <v>0</v>
      </c>
      <c r="AG90" s="100">
        <f t="shared" si="4"/>
        <v>0</v>
      </c>
      <c r="AH90" s="103">
        <f t="shared" si="5"/>
        <v>0</v>
      </c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ht="15.75" customHeight="1">
      <c r="A91" s="98" t="s">
        <v>26</v>
      </c>
      <c r="B91" s="99">
        <f t="shared" si="6"/>
        <v>45380</v>
      </c>
      <c r="C91" s="100">
        <v>4.0</v>
      </c>
      <c r="D91" s="100" t="s">
        <v>22</v>
      </c>
      <c r="E91" s="101" t="s">
        <v>32</v>
      </c>
      <c r="F91" s="92">
        <v>0.0</v>
      </c>
      <c r="H91" s="93">
        <v>45.0</v>
      </c>
      <c r="J91" s="93">
        <v>45.0</v>
      </c>
      <c r="L91" s="93">
        <v>0.0</v>
      </c>
      <c r="N91" s="93">
        <v>45.0</v>
      </c>
      <c r="P91" s="93">
        <v>0.0</v>
      </c>
      <c r="Q91" s="20"/>
      <c r="R91" s="94"/>
      <c r="T91" s="95"/>
      <c r="V91" s="95"/>
      <c r="X91" s="95"/>
      <c r="Z91" s="95"/>
      <c r="AB91" s="95"/>
      <c r="AC91" s="20"/>
      <c r="AD91" s="102">
        <f t="shared" si="1"/>
        <v>2520</v>
      </c>
      <c r="AE91" s="100">
        <f t="shared" si="2"/>
        <v>90</v>
      </c>
      <c r="AF91" s="100">
        <f t="shared" si="3"/>
        <v>45</v>
      </c>
      <c r="AG91" s="100">
        <f t="shared" si="4"/>
        <v>135</v>
      </c>
      <c r="AH91" s="103">
        <f t="shared" si="5"/>
        <v>18.66666667</v>
      </c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ht="15.75" customHeight="1">
      <c r="A92" s="98" t="s">
        <v>27</v>
      </c>
      <c r="B92" s="99">
        <f t="shared" si="6"/>
        <v>45381</v>
      </c>
      <c r="C92" s="100">
        <v>4.0</v>
      </c>
      <c r="D92" s="100" t="s">
        <v>22</v>
      </c>
      <c r="E92" s="101" t="s">
        <v>33</v>
      </c>
      <c r="F92" s="92">
        <v>45.0</v>
      </c>
      <c r="H92" s="93">
        <v>0.0</v>
      </c>
      <c r="J92" s="93">
        <v>45.0</v>
      </c>
      <c r="L92" s="93">
        <v>0.0</v>
      </c>
      <c r="N92" s="93">
        <v>0.0</v>
      </c>
      <c r="P92" s="93">
        <v>0.0</v>
      </c>
      <c r="Q92" s="20"/>
      <c r="R92" s="94"/>
      <c r="T92" s="95"/>
      <c r="V92" s="95"/>
      <c r="X92" s="95"/>
      <c r="Z92" s="95"/>
      <c r="AB92" s="95"/>
      <c r="AC92" s="20"/>
      <c r="AD92" s="102">
        <f t="shared" si="1"/>
        <v>2160</v>
      </c>
      <c r="AE92" s="100">
        <f t="shared" si="2"/>
        <v>90</v>
      </c>
      <c r="AF92" s="100">
        <f t="shared" si="3"/>
        <v>0</v>
      </c>
      <c r="AG92" s="100">
        <f t="shared" si="4"/>
        <v>90</v>
      </c>
      <c r="AH92" s="103">
        <f t="shared" si="5"/>
        <v>24</v>
      </c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ht="15.75" customHeight="1">
      <c r="A93" s="104" t="s">
        <v>28</v>
      </c>
      <c r="B93" s="105">
        <f t="shared" si="6"/>
        <v>45382</v>
      </c>
      <c r="C93" s="106">
        <v>4.0</v>
      </c>
      <c r="D93" s="106" t="s">
        <v>22</v>
      </c>
      <c r="E93" s="107" t="s">
        <v>33</v>
      </c>
      <c r="F93" s="108">
        <v>45.0</v>
      </c>
      <c r="G93" s="7"/>
      <c r="H93" s="109">
        <v>0.0</v>
      </c>
      <c r="I93" s="7"/>
      <c r="J93" s="109">
        <v>45.0</v>
      </c>
      <c r="K93" s="7"/>
      <c r="L93" s="109">
        <v>0.0</v>
      </c>
      <c r="M93" s="7"/>
      <c r="N93" s="109">
        <v>0.0</v>
      </c>
      <c r="O93" s="7"/>
      <c r="P93" s="109">
        <v>0.0</v>
      </c>
      <c r="Q93" s="34"/>
      <c r="R93" s="110"/>
      <c r="S93" s="7"/>
      <c r="T93" s="111"/>
      <c r="U93" s="7"/>
      <c r="V93" s="111"/>
      <c r="W93" s="7"/>
      <c r="X93" s="111"/>
      <c r="Y93" s="7"/>
      <c r="Z93" s="111"/>
      <c r="AA93" s="7"/>
      <c r="AB93" s="111"/>
      <c r="AC93" s="34"/>
      <c r="AD93" s="112">
        <f t="shared" si="1"/>
        <v>2160</v>
      </c>
      <c r="AE93" s="106">
        <f t="shared" si="2"/>
        <v>90</v>
      </c>
      <c r="AF93" s="106">
        <f t="shared" si="3"/>
        <v>0</v>
      </c>
      <c r="AG93" s="106">
        <f t="shared" si="4"/>
        <v>90</v>
      </c>
      <c r="AH93" s="113">
        <f t="shared" si="5"/>
        <v>24</v>
      </c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ht="15.75" customHeight="1">
      <c r="A94" s="14" t="s">
        <v>21</v>
      </c>
      <c r="B94" s="15">
        <f t="shared" si="6"/>
        <v>45383</v>
      </c>
      <c r="C94" s="16">
        <v>4.0</v>
      </c>
      <c r="D94" s="16" t="s">
        <v>29</v>
      </c>
      <c r="E94" s="17" t="s">
        <v>34</v>
      </c>
      <c r="F94" s="114">
        <v>0.0</v>
      </c>
      <c r="H94" s="115">
        <v>0.0</v>
      </c>
      <c r="J94" s="115">
        <v>0.0</v>
      </c>
      <c r="L94" s="115">
        <v>0.0</v>
      </c>
      <c r="N94" s="115">
        <v>0.0</v>
      </c>
      <c r="P94" s="115">
        <v>0.0</v>
      </c>
      <c r="Q94" s="20"/>
      <c r="R94" s="18"/>
      <c r="T94" s="19"/>
      <c r="V94" s="19"/>
      <c r="X94" s="19"/>
      <c r="Z94" s="19"/>
      <c r="AB94" s="19"/>
      <c r="AC94" s="20"/>
      <c r="AD94" s="21">
        <f t="shared" si="1"/>
        <v>0</v>
      </c>
      <c r="AE94" s="16">
        <f t="shared" si="2"/>
        <v>0</v>
      </c>
      <c r="AF94" s="16">
        <f t="shared" si="3"/>
        <v>0</v>
      </c>
      <c r="AG94" s="16">
        <f t="shared" si="4"/>
        <v>0</v>
      </c>
      <c r="AH94" s="37">
        <f t="shared" si="5"/>
        <v>0</v>
      </c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ht="15.75" customHeight="1">
      <c r="A95" s="23" t="s">
        <v>23</v>
      </c>
      <c r="B95" s="24">
        <f t="shared" si="6"/>
        <v>45384</v>
      </c>
      <c r="C95" s="25">
        <v>4.0</v>
      </c>
      <c r="D95" s="25" t="s">
        <v>29</v>
      </c>
      <c r="E95" s="22" t="s">
        <v>34</v>
      </c>
      <c r="F95" s="114">
        <v>0.0</v>
      </c>
      <c r="H95" s="115">
        <v>0.0</v>
      </c>
      <c r="J95" s="115">
        <v>0.0</v>
      </c>
      <c r="L95" s="115">
        <v>0.0</v>
      </c>
      <c r="N95" s="115">
        <v>0.0</v>
      </c>
      <c r="P95" s="115">
        <v>0.0</v>
      </c>
      <c r="Q95" s="20"/>
      <c r="R95" s="18"/>
      <c r="T95" s="19"/>
      <c r="V95" s="19"/>
      <c r="X95" s="19"/>
      <c r="Z95" s="19"/>
      <c r="AB95" s="19"/>
      <c r="AC95" s="20"/>
      <c r="AD95" s="26">
        <f t="shared" si="1"/>
        <v>0</v>
      </c>
      <c r="AE95" s="25">
        <f t="shared" si="2"/>
        <v>0</v>
      </c>
      <c r="AF95" s="25">
        <f t="shared" si="3"/>
        <v>0</v>
      </c>
      <c r="AG95" s="25">
        <f t="shared" si="4"/>
        <v>0</v>
      </c>
      <c r="AH95" s="27">
        <f t="shared" si="5"/>
        <v>0</v>
      </c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ht="15.75" customHeight="1">
      <c r="A96" s="23" t="s">
        <v>24</v>
      </c>
      <c r="B96" s="24">
        <f t="shared" si="6"/>
        <v>45385</v>
      </c>
      <c r="C96" s="25">
        <v>4.0</v>
      </c>
      <c r="D96" s="25" t="s">
        <v>29</v>
      </c>
      <c r="E96" s="22" t="s">
        <v>34</v>
      </c>
      <c r="F96" s="114">
        <v>0.0</v>
      </c>
      <c r="H96" s="115">
        <v>0.0</v>
      </c>
      <c r="J96" s="115">
        <v>0.0</v>
      </c>
      <c r="L96" s="115">
        <v>0.0</v>
      </c>
      <c r="N96" s="115">
        <v>0.0</v>
      </c>
      <c r="P96" s="115">
        <v>0.0</v>
      </c>
      <c r="Q96" s="20"/>
      <c r="R96" s="18"/>
      <c r="T96" s="19"/>
      <c r="V96" s="19"/>
      <c r="X96" s="19"/>
      <c r="Z96" s="19"/>
      <c r="AB96" s="19"/>
      <c r="AC96" s="20"/>
      <c r="AD96" s="26">
        <f t="shared" si="1"/>
        <v>0</v>
      </c>
      <c r="AE96" s="25">
        <f t="shared" si="2"/>
        <v>0</v>
      </c>
      <c r="AF96" s="25">
        <f t="shared" si="3"/>
        <v>0</v>
      </c>
      <c r="AG96" s="25">
        <f t="shared" si="4"/>
        <v>0</v>
      </c>
      <c r="AH96" s="27">
        <f t="shared" si="5"/>
        <v>0</v>
      </c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ht="15.75" customHeight="1">
      <c r="A97" s="23" t="s">
        <v>25</v>
      </c>
      <c r="B97" s="24">
        <f t="shared" si="6"/>
        <v>45386</v>
      </c>
      <c r="C97" s="25">
        <v>4.0</v>
      </c>
      <c r="D97" s="25" t="s">
        <v>29</v>
      </c>
      <c r="E97" s="22" t="s">
        <v>34</v>
      </c>
      <c r="F97" s="114">
        <v>0.0</v>
      </c>
      <c r="H97" s="115">
        <v>0.0</v>
      </c>
      <c r="J97" s="115">
        <v>0.0</v>
      </c>
      <c r="L97" s="115">
        <v>0.0</v>
      </c>
      <c r="N97" s="115">
        <v>0.0</v>
      </c>
      <c r="P97" s="115">
        <v>0.0</v>
      </c>
      <c r="Q97" s="20"/>
      <c r="R97" s="18"/>
      <c r="T97" s="19"/>
      <c r="V97" s="19"/>
      <c r="X97" s="19"/>
      <c r="Z97" s="19"/>
      <c r="AB97" s="19"/>
      <c r="AC97" s="20"/>
      <c r="AD97" s="26">
        <f t="shared" si="1"/>
        <v>0</v>
      </c>
      <c r="AE97" s="25">
        <f t="shared" si="2"/>
        <v>0</v>
      </c>
      <c r="AF97" s="25">
        <f t="shared" si="3"/>
        <v>0</v>
      </c>
      <c r="AG97" s="25">
        <f t="shared" si="4"/>
        <v>0</v>
      </c>
      <c r="AH97" s="27">
        <f t="shared" si="5"/>
        <v>0</v>
      </c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ht="15.75" customHeight="1">
      <c r="A98" s="23" t="s">
        <v>26</v>
      </c>
      <c r="B98" s="24">
        <f t="shared" si="6"/>
        <v>45387</v>
      </c>
      <c r="C98" s="25">
        <v>4.0</v>
      </c>
      <c r="D98" s="25" t="s">
        <v>29</v>
      </c>
      <c r="E98" s="22" t="s">
        <v>34</v>
      </c>
      <c r="F98" s="114">
        <v>0.0</v>
      </c>
      <c r="H98" s="115">
        <v>0.0</v>
      </c>
      <c r="J98" s="115">
        <v>0.0</v>
      </c>
      <c r="L98" s="115">
        <v>0.0</v>
      </c>
      <c r="N98" s="115">
        <v>0.0</v>
      </c>
      <c r="P98" s="115">
        <v>0.0</v>
      </c>
      <c r="Q98" s="20"/>
      <c r="R98" s="18"/>
      <c r="T98" s="19"/>
      <c r="V98" s="19"/>
      <c r="X98" s="19"/>
      <c r="Z98" s="19"/>
      <c r="AB98" s="19"/>
      <c r="AC98" s="20"/>
      <c r="AD98" s="26">
        <f t="shared" si="1"/>
        <v>0</v>
      </c>
      <c r="AE98" s="25">
        <f t="shared" si="2"/>
        <v>0</v>
      </c>
      <c r="AF98" s="25">
        <f t="shared" si="3"/>
        <v>0</v>
      </c>
      <c r="AG98" s="25">
        <f t="shared" si="4"/>
        <v>0</v>
      </c>
      <c r="AH98" s="27">
        <f t="shared" si="5"/>
        <v>0</v>
      </c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ht="15.75" customHeight="1">
      <c r="A99" s="23" t="s">
        <v>27</v>
      </c>
      <c r="B99" s="24">
        <f t="shared" si="6"/>
        <v>45388</v>
      </c>
      <c r="C99" s="25">
        <v>4.0</v>
      </c>
      <c r="D99" s="25" t="s">
        <v>29</v>
      </c>
      <c r="E99" s="22" t="s">
        <v>34</v>
      </c>
      <c r="F99" s="114">
        <v>0.0</v>
      </c>
      <c r="H99" s="115">
        <v>0.0</v>
      </c>
      <c r="J99" s="115">
        <v>0.0</v>
      </c>
      <c r="L99" s="115">
        <v>0.0</v>
      </c>
      <c r="N99" s="115">
        <v>0.0</v>
      </c>
      <c r="P99" s="115">
        <v>0.0</v>
      </c>
      <c r="Q99" s="20"/>
      <c r="R99" s="18"/>
      <c r="T99" s="19"/>
      <c r="V99" s="19"/>
      <c r="X99" s="19"/>
      <c r="Z99" s="19"/>
      <c r="AB99" s="19"/>
      <c r="AC99" s="20"/>
      <c r="AD99" s="26">
        <f t="shared" si="1"/>
        <v>0</v>
      </c>
      <c r="AE99" s="25">
        <f t="shared" si="2"/>
        <v>0</v>
      </c>
      <c r="AF99" s="25">
        <f t="shared" si="3"/>
        <v>0</v>
      </c>
      <c r="AG99" s="25">
        <f t="shared" si="4"/>
        <v>0</v>
      </c>
      <c r="AH99" s="27">
        <f t="shared" si="5"/>
        <v>0</v>
      </c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ht="15.75" customHeight="1">
      <c r="A100" s="28" t="s">
        <v>28</v>
      </c>
      <c r="B100" s="29">
        <f t="shared" si="6"/>
        <v>45389</v>
      </c>
      <c r="C100" s="30">
        <v>4.0</v>
      </c>
      <c r="D100" s="30" t="s">
        <v>29</v>
      </c>
      <c r="E100" s="31" t="s">
        <v>34</v>
      </c>
      <c r="F100" s="116">
        <v>0.0</v>
      </c>
      <c r="G100" s="7"/>
      <c r="H100" s="116">
        <v>0.0</v>
      </c>
      <c r="I100" s="7"/>
      <c r="J100" s="116">
        <v>0.0</v>
      </c>
      <c r="K100" s="7"/>
      <c r="L100" s="116">
        <v>0.0</v>
      </c>
      <c r="M100" s="7"/>
      <c r="N100" s="116">
        <v>0.0</v>
      </c>
      <c r="O100" s="7"/>
      <c r="P100" s="116">
        <v>0.0</v>
      </c>
      <c r="Q100" s="34"/>
      <c r="R100" s="32"/>
      <c r="S100" s="7"/>
      <c r="T100" s="33"/>
      <c r="U100" s="7"/>
      <c r="V100" s="33"/>
      <c r="W100" s="7"/>
      <c r="X100" s="33"/>
      <c r="Y100" s="7"/>
      <c r="Z100" s="33"/>
      <c r="AA100" s="7"/>
      <c r="AB100" s="33"/>
      <c r="AC100" s="34"/>
      <c r="AD100" s="35">
        <f t="shared" si="1"/>
        <v>0</v>
      </c>
      <c r="AE100" s="30">
        <f t="shared" si="2"/>
        <v>0</v>
      </c>
      <c r="AF100" s="30">
        <f t="shared" si="3"/>
        <v>0</v>
      </c>
      <c r="AG100" s="30">
        <f t="shared" si="4"/>
        <v>0</v>
      </c>
      <c r="AH100" s="36">
        <f t="shared" si="5"/>
        <v>0</v>
      </c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ht="15.75" customHeight="1">
      <c r="A101" s="88" t="s">
        <v>21</v>
      </c>
      <c r="B101" s="89">
        <f t="shared" si="6"/>
        <v>45390</v>
      </c>
      <c r="C101" s="90">
        <v>4.0</v>
      </c>
      <c r="D101" s="90" t="s">
        <v>30</v>
      </c>
      <c r="E101" s="91" t="s">
        <v>34</v>
      </c>
      <c r="F101" s="92">
        <v>0.0</v>
      </c>
      <c r="H101" s="93">
        <v>0.0</v>
      </c>
      <c r="J101" s="93">
        <v>0.0</v>
      </c>
      <c r="L101" s="93">
        <v>0.0</v>
      </c>
      <c r="N101" s="93">
        <v>0.0</v>
      </c>
      <c r="P101" s="93">
        <v>0.0</v>
      </c>
      <c r="Q101" s="20"/>
      <c r="R101" s="94"/>
      <c r="T101" s="95"/>
      <c r="V101" s="95"/>
      <c r="X101" s="95"/>
      <c r="Z101" s="95"/>
      <c r="AB101" s="95"/>
      <c r="AC101" s="20"/>
      <c r="AD101" s="96">
        <f t="shared" si="1"/>
        <v>0</v>
      </c>
      <c r="AE101" s="90">
        <f t="shared" si="2"/>
        <v>0</v>
      </c>
      <c r="AF101" s="90">
        <f t="shared" si="3"/>
        <v>0</v>
      </c>
      <c r="AG101" s="90">
        <f t="shared" si="4"/>
        <v>0</v>
      </c>
      <c r="AH101" s="97">
        <f t="shared" si="5"/>
        <v>0</v>
      </c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ht="15.75" customHeight="1">
      <c r="A102" s="98" t="s">
        <v>23</v>
      </c>
      <c r="B102" s="99">
        <f t="shared" si="6"/>
        <v>45391</v>
      </c>
      <c r="C102" s="100">
        <v>4.0</v>
      </c>
      <c r="D102" s="100" t="s">
        <v>30</v>
      </c>
      <c r="E102" s="101" t="s">
        <v>35</v>
      </c>
      <c r="F102" s="92">
        <v>0.0</v>
      </c>
      <c r="H102" s="93">
        <v>45.0</v>
      </c>
      <c r="J102" s="93">
        <v>0.0</v>
      </c>
      <c r="L102" s="93">
        <v>0.0</v>
      </c>
      <c r="N102" s="93">
        <v>45.0</v>
      </c>
      <c r="P102" s="93">
        <v>0.0</v>
      </c>
      <c r="Q102" s="20"/>
      <c r="R102" s="94"/>
      <c r="T102" s="95"/>
      <c r="V102" s="95"/>
      <c r="X102" s="95"/>
      <c r="Z102" s="95"/>
      <c r="AB102" s="95"/>
      <c r="AC102" s="20"/>
      <c r="AD102" s="102">
        <f t="shared" si="1"/>
        <v>1440</v>
      </c>
      <c r="AE102" s="100">
        <f t="shared" si="2"/>
        <v>45</v>
      </c>
      <c r="AF102" s="100">
        <f t="shared" si="3"/>
        <v>45</v>
      </c>
      <c r="AG102" s="100">
        <f t="shared" si="4"/>
        <v>90</v>
      </c>
      <c r="AH102" s="103">
        <f t="shared" si="5"/>
        <v>16</v>
      </c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ht="15.75" customHeight="1">
      <c r="A103" s="98" t="s">
        <v>24</v>
      </c>
      <c r="B103" s="99">
        <f t="shared" si="6"/>
        <v>45392</v>
      </c>
      <c r="C103" s="100">
        <v>4.0</v>
      </c>
      <c r="D103" s="100" t="s">
        <v>30</v>
      </c>
      <c r="E103" s="101" t="s">
        <v>33</v>
      </c>
      <c r="F103" s="92">
        <v>45.0</v>
      </c>
      <c r="H103" s="93">
        <v>0.0</v>
      </c>
      <c r="J103" s="93">
        <v>45.0</v>
      </c>
      <c r="L103" s="93">
        <v>0.0</v>
      </c>
      <c r="N103" s="93">
        <v>0.0</v>
      </c>
      <c r="P103" s="93">
        <v>0.0</v>
      </c>
      <c r="Q103" s="20"/>
      <c r="R103" s="94"/>
      <c r="T103" s="95"/>
      <c r="V103" s="95"/>
      <c r="X103" s="95"/>
      <c r="Z103" s="95"/>
      <c r="AB103" s="95"/>
      <c r="AC103" s="20"/>
      <c r="AD103" s="102">
        <f t="shared" si="1"/>
        <v>2160</v>
      </c>
      <c r="AE103" s="100">
        <f t="shared" si="2"/>
        <v>90</v>
      </c>
      <c r="AF103" s="100">
        <f t="shared" si="3"/>
        <v>0</v>
      </c>
      <c r="AG103" s="100">
        <f t="shared" si="4"/>
        <v>90</v>
      </c>
      <c r="AH103" s="103">
        <f t="shared" si="5"/>
        <v>24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ht="15.75" customHeight="1">
      <c r="A104" s="98" t="s">
        <v>25</v>
      </c>
      <c r="B104" s="99">
        <f t="shared" si="6"/>
        <v>45393</v>
      </c>
      <c r="C104" s="100">
        <v>4.0</v>
      </c>
      <c r="D104" s="100" t="s">
        <v>30</v>
      </c>
      <c r="E104" s="101" t="s">
        <v>35</v>
      </c>
      <c r="F104" s="92">
        <v>0.0</v>
      </c>
      <c r="H104" s="93">
        <v>45.0</v>
      </c>
      <c r="J104" s="93">
        <v>0.0</v>
      </c>
      <c r="L104" s="93">
        <v>0.0</v>
      </c>
      <c r="N104" s="93">
        <v>45.0</v>
      </c>
      <c r="P104" s="93">
        <v>0.0</v>
      </c>
      <c r="Q104" s="20"/>
      <c r="R104" s="94"/>
      <c r="T104" s="95"/>
      <c r="V104" s="95"/>
      <c r="X104" s="95"/>
      <c r="Z104" s="95"/>
      <c r="AB104" s="95"/>
      <c r="AC104" s="20"/>
      <c r="AD104" s="102">
        <f t="shared" si="1"/>
        <v>1440</v>
      </c>
      <c r="AE104" s="100">
        <f t="shared" si="2"/>
        <v>45</v>
      </c>
      <c r="AF104" s="100">
        <f t="shared" si="3"/>
        <v>45</v>
      </c>
      <c r="AG104" s="100">
        <f t="shared" si="4"/>
        <v>90</v>
      </c>
      <c r="AH104" s="103">
        <f t="shared" si="5"/>
        <v>16</v>
      </c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ht="15.75" customHeight="1">
      <c r="A105" s="98" t="s">
        <v>26</v>
      </c>
      <c r="B105" s="99">
        <f t="shared" si="6"/>
        <v>45394</v>
      </c>
      <c r="C105" s="100">
        <v>4.0</v>
      </c>
      <c r="D105" s="100" t="s">
        <v>30</v>
      </c>
      <c r="E105" s="101" t="s">
        <v>35</v>
      </c>
      <c r="F105" s="92">
        <v>0.0</v>
      </c>
      <c r="H105" s="93">
        <v>45.0</v>
      </c>
      <c r="J105" s="93">
        <v>45.0</v>
      </c>
      <c r="L105" s="93">
        <v>0.0</v>
      </c>
      <c r="N105" s="93">
        <v>45.0</v>
      </c>
      <c r="P105" s="93">
        <v>0.0</v>
      </c>
      <c r="Q105" s="20"/>
      <c r="R105" s="94"/>
      <c r="T105" s="95"/>
      <c r="V105" s="95"/>
      <c r="X105" s="95"/>
      <c r="Z105" s="95"/>
      <c r="AB105" s="95"/>
      <c r="AC105" s="20"/>
      <c r="AD105" s="102">
        <f t="shared" si="1"/>
        <v>2520</v>
      </c>
      <c r="AE105" s="100">
        <f t="shared" si="2"/>
        <v>90</v>
      </c>
      <c r="AF105" s="100">
        <f t="shared" si="3"/>
        <v>45</v>
      </c>
      <c r="AG105" s="100">
        <f t="shared" si="4"/>
        <v>135</v>
      </c>
      <c r="AH105" s="103">
        <f t="shared" si="5"/>
        <v>18.66666667</v>
      </c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ht="15.75" customHeight="1">
      <c r="A106" s="98" t="s">
        <v>27</v>
      </c>
      <c r="B106" s="99">
        <f t="shared" si="6"/>
        <v>45395</v>
      </c>
      <c r="C106" s="100">
        <v>4.0</v>
      </c>
      <c r="D106" s="100" t="s">
        <v>30</v>
      </c>
      <c r="E106" s="101" t="s">
        <v>35</v>
      </c>
      <c r="F106" s="92">
        <v>0.0</v>
      </c>
      <c r="H106" s="93">
        <v>45.0</v>
      </c>
      <c r="J106" s="93">
        <v>45.0</v>
      </c>
      <c r="L106" s="93">
        <v>0.0</v>
      </c>
      <c r="N106" s="93">
        <v>45.0</v>
      </c>
      <c r="P106" s="93">
        <v>0.0</v>
      </c>
      <c r="Q106" s="20"/>
      <c r="R106" s="94"/>
      <c r="T106" s="95"/>
      <c r="V106" s="95"/>
      <c r="X106" s="95"/>
      <c r="Z106" s="95"/>
      <c r="AB106" s="95"/>
      <c r="AC106" s="20"/>
      <c r="AD106" s="102">
        <f t="shared" si="1"/>
        <v>2520</v>
      </c>
      <c r="AE106" s="100">
        <f t="shared" si="2"/>
        <v>90</v>
      </c>
      <c r="AF106" s="100">
        <f t="shared" si="3"/>
        <v>45</v>
      </c>
      <c r="AG106" s="100">
        <f t="shared" si="4"/>
        <v>135</v>
      </c>
      <c r="AH106" s="103">
        <f t="shared" si="5"/>
        <v>18.66666667</v>
      </c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ht="15.75" customHeight="1">
      <c r="A107" s="104" t="s">
        <v>28</v>
      </c>
      <c r="B107" s="105">
        <f t="shared" si="6"/>
        <v>45396</v>
      </c>
      <c r="C107" s="106">
        <v>4.0</v>
      </c>
      <c r="D107" s="106" t="s">
        <v>30</v>
      </c>
      <c r="E107" s="107" t="s">
        <v>33</v>
      </c>
      <c r="F107" s="108">
        <v>45.0</v>
      </c>
      <c r="G107" s="7"/>
      <c r="H107" s="109">
        <v>0.0</v>
      </c>
      <c r="I107" s="7"/>
      <c r="J107" s="109">
        <v>45.0</v>
      </c>
      <c r="K107" s="7"/>
      <c r="L107" s="109">
        <v>0.0</v>
      </c>
      <c r="M107" s="7"/>
      <c r="N107" s="109">
        <v>0.0</v>
      </c>
      <c r="O107" s="7"/>
      <c r="P107" s="109">
        <v>0.0</v>
      </c>
      <c r="Q107" s="34"/>
      <c r="R107" s="110"/>
      <c r="S107" s="7"/>
      <c r="T107" s="111"/>
      <c r="U107" s="7"/>
      <c r="V107" s="111"/>
      <c r="W107" s="7"/>
      <c r="X107" s="111"/>
      <c r="Y107" s="7"/>
      <c r="Z107" s="111"/>
      <c r="AA107" s="7"/>
      <c r="AB107" s="111"/>
      <c r="AC107" s="34"/>
      <c r="AD107" s="112">
        <f t="shared" si="1"/>
        <v>2160</v>
      </c>
      <c r="AE107" s="106">
        <f t="shared" si="2"/>
        <v>90</v>
      </c>
      <c r="AF107" s="106">
        <f t="shared" si="3"/>
        <v>0</v>
      </c>
      <c r="AG107" s="106">
        <f t="shared" si="4"/>
        <v>90</v>
      </c>
      <c r="AH107" s="113">
        <f t="shared" si="5"/>
        <v>24</v>
      </c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ht="15.75" customHeight="1">
      <c r="A108" s="14" t="s">
        <v>21</v>
      </c>
      <c r="B108" s="15">
        <f t="shared" si="6"/>
        <v>45397</v>
      </c>
      <c r="C108" s="16">
        <v>4.0</v>
      </c>
      <c r="D108" s="16" t="s">
        <v>31</v>
      </c>
      <c r="E108" s="17" t="s">
        <v>34</v>
      </c>
      <c r="F108" s="114">
        <v>0.0</v>
      </c>
      <c r="H108" s="115">
        <v>0.0</v>
      </c>
      <c r="J108" s="115">
        <v>0.0</v>
      </c>
      <c r="L108" s="115">
        <v>0.0</v>
      </c>
      <c r="N108" s="115">
        <v>0.0</v>
      </c>
      <c r="P108" s="115">
        <v>0.0</v>
      </c>
      <c r="Q108" s="20"/>
      <c r="R108" s="18"/>
      <c r="T108" s="19"/>
      <c r="V108" s="19"/>
      <c r="X108" s="19"/>
      <c r="Z108" s="19"/>
      <c r="AB108" s="19"/>
      <c r="AC108" s="20"/>
      <c r="AD108" s="21">
        <f t="shared" si="1"/>
        <v>0</v>
      </c>
      <c r="AE108" s="16">
        <f t="shared" si="2"/>
        <v>0</v>
      </c>
      <c r="AF108" s="16">
        <f t="shared" si="3"/>
        <v>0</v>
      </c>
      <c r="AG108" s="16">
        <f t="shared" si="4"/>
        <v>0</v>
      </c>
      <c r="AH108" s="37">
        <f t="shared" si="5"/>
        <v>0</v>
      </c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ht="15.75" customHeight="1">
      <c r="A109" s="23" t="s">
        <v>23</v>
      </c>
      <c r="B109" s="24">
        <f t="shared" si="6"/>
        <v>45398</v>
      </c>
      <c r="C109" s="25">
        <v>4.0</v>
      </c>
      <c r="D109" s="25" t="s">
        <v>31</v>
      </c>
      <c r="E109" s="22" t="s">
        <v>34</v>
      </c>
      <c r="F109" s="114">
        <v>0.0</v>
      </c>
      <c r="H109" s="115">
        <v>0.0</v>
      </c>
      <c r="J109" s="115">
        <v>0.0</v>
      </c>
      <c r="L109" s="115">
        <v>0.0</v>
      </c>
      <c r="N109" s="115">
        <v>0.0</v>
      </c>
      <c r="P109" s="115">
        <v>0.0</v>
      </c>
      <c r="Q109" s="20"/>
      <c r="R109" s="18"/>
      <c r="T109" s="19"/>
      <c r="V109" s="19"/>
      <c r="X109" s="19"/>
      <c r="Z109" s="19"/>
      <c r="AB109" s="19"/>
      <c r="AC109" s="20"/>
      <c r="AD109" s="26">
        <f t="shared" si="1"/>
        <v>0</v>
      </c>
      <c r="AE109" s="25">
        <f t="shared" si="2"/>
        <v>0</v>
      </c>
      <c r="AF109" s="25">
        <f t="shared" si="3"/>
        <v>0</v>
      </c>
      <c r="AG109" s="25">
        <f t="shared" si="4"/>
        <v>0</v>
      </c>
      <c r="AH109" s="27">
        <f t="shared" si="5"/>
        <v>0</v>
      </c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ht="15.75" customHeight="1">
      <c r="A110" s="23" t="s">
        <v>24</v>
      </c>
      <c r="B110" s="24">
        <f t="shared" si="6"/>
        <v>45399</v>
      </c>
      <c r="C110" s="25">
        <v>4.0</v>
      </c>
      <c r="D110" s="25" t="s">
        <v>31</v>
      </c>
      <c r="E110" s="22" t="s">
        <v>34</v>
      </c>
      <c r="F110" s="114">
        <v>0.0</v>
      </c>
      <c r="H110" s="115">
        <v>0.0</v>
      </c>
      <c r="J110" s="115">
        <v>0.0</v>
      </c>
      <c r="L110" s="115">
        <v>0.0</v>
      </c>
      <c r="N110" s="115">
        <v>0.0</v>
      </c>
      <c r="P110" s="115">
        <v>0.0</v>
      </c>
      <c r="Q110" s="20"/>
      <c r="R110" s="18"/>
      <c r="T110" s="19"/>
      <c r="V110" s="19"/>
      <c r="X110" s="19"/>
      <c r="Z110" s="19"/>
      <c r="AB110" s="19"/>
      <c r="AC110" s="20"/>
      <c r="AD110" s="26">
        <f t="shared" si="1"/>
        <v>0</v>
      </c>
      <c r="AE110" s="25">
        <f t="shared" si="2"/>
        <v>0</v>
      </c>
      <c r="AF110" s="25">
        <f t="shared" si="3"/>
        <v>0</v>
      </c>
      <c r="AG110" s="25">
        <f t="shared" si="4"/>
        <v>0</v>
      </c>
      <c r="AH110" s="27">
        <f t="shared" si="5"/>
        <v>0</v>
      </c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ht="15.75" customHeight="1">
      <c r="A111" s="23" t="s">
        <v>25</v>
      </c>
      <c r="B111" s="24">
        <f t="shared" si="6"/>
        <v>45400</v>
      </c>
      <c r="C111" s="25">
        <v>4.0</v>
      </c>
      <c r="D111" s="25" t="s">
        <v>31</v>
      </c>
      <c r="E111" s="22" t="s">
        <v>34</v>
      </c>
      <c r="F111" s="114">
        <v>0.0</v>
      </c>
      <c r="H111" s="115">
        <v>0.0</v>
      </c>
      <c r="J111" s="115">
        <v>0.0</v>
      </c>
      <c r="L111" s="115">
        <v>0.0</v>
      </c>
      <c r="N111" s="115">
        <v>0.0</v>
      </c>
      <c r="P111" s="115">
        <v>0.0</v>
      </c>
      <c r="Q111" s="20"/>
      <c r="R111" s="18"/>
      <c r="T111" s="19"/>
      <c r="V111" s="19"/>
      <c r="X111" s="19"/>
      <c r="Z111" s="19"/>
      <c r="AB111" s="19"/>
      <c r="AC111" s="20"/>
      <c r="AD111" s="26">
        <f t="shared" si="1"/>
        <v>0</v>
      </c>
      <c r="AE111" s="25">
        <f t="shared" si="2"/>
        <v>0</v>
      </c>
      <c r="AF111" s="25">
        <f t="shared" si="3"/>
        <v>0</v>
      </c>
      <c r="AG111" s="25">
        <f t="shared" si="4"/>
        <v>0</v>
      </c>
      <c r="AH111" s="27">
        <f t="shared" si="5"/>
        <v>0</v>
      </c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ht="15.75" customHeight="1">
      <c r="A112" s="23" t="s">
        <v>26</v>
      </c>
      <c r="B112" s="24">
        <f t="shared" si="6"/>
        <v>45401</v>
      </c>
      <c r="C112" s="25">
        <v>4.0</v>
      </c>
      <c r="D112" s="25" t="s">
        <v>31</v>
      </c>
      <c r="E112" s="22" t="s">
        <v>34</v>
      </c>
      <c r="F112" s="114">
        <v>0.0</v>
      </c>
      <c r="H112" s="115">
        <v>0.0</v>
      </c>
      <c r="J112" s="115">
        <v>0.0</v>
      </c>
      <c r="L112" s="115">
        <v>0.0</v>
      </c>
      <c r="N112" s="115">
        <v>0.0</v>
      </c>
      <c r="P112" s="115">
        <v>0.0</v>
      </c>
      <c r="Q112" s="20"/>
      <c r="R112" s="18"/>
      <c r="T112" s="19"/>
      <c r="V112" s="19"/>
      <c r="X112" s="19"/>
      <c r="Z112" s="19"/>
      <c r="AB112" s="19"/>
      <c r="AC112" s="20"/>
      <c r="AD112" s="26">
        <f t="shared" si="1"/>
        <v>0</v>
      </c>
      <c r="AE112" s="25">
        <f t="shared" si="2"/>
        <v>0</v>
      </c>
      <c r="AF112" s="25">
        <f t="shared" si="3"/>
        <v>0</v>
      </c>
      <c r="AG112" s="25">
        <f t="shared" si="4"/>
        <v>0</v>
      </c>
      <c r="AH112" s="27">
        <f t="shared" si="5"/>
        <v>0</v>
      </c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ht="15.75" customHeight="1">
      <c r="A113" s="23" t="s">
        <v>27</v>
      </c>
      <c r="B113" s="24">
        <f t="shared" si="6"/>
        <v>45402</v>
      </c>
      <c r="C113" s="25">
        <v>4.0</v>
      </c>
      <c r="D113" s="25" t="s">
        <v>31</v>
      </c>
      <c r="E113" s="22" t="s">
        <v>34</v>
      </c>
      <c r="F113" s="114">
        <v>0.0</v>
      </c>
      <c r="H113" s="115">
        <v>0.0</v>
      </c>
      <c r="J113" s="115">
        <v>0.0</v>
      </c>
      <c r="L113" s="115">
        <v>0.0</v>
      </c>
      <c r="N113" s="115">
        <v>0.0</v>
      </c>
      <c r="P113" s="115">
        <v>0.0</v>
      </c>
      <c r="Q113" s="20"/>
      <c r="R113" s="18"/>
      <c r="T113" s="19"/>
      <c r="V113" s="19"/>
      <c r="X113" s="19"/>
      <c r="Z113" s="19"/>
      <c r="AB113" s="19"/>
      <c r="AC113" s="20"/>
      <c r="AD113" s="26">
        <f t="shared" si="1"/>
        <v>0</v>
      </c>
      <c r="AE113" s="25">
        <f t="shared" si="2"/>
        <v>0</v>
      </c>
      <c r="AF113" s="25">
        <f t="shared" si="3"/>
        <v>0</v>
      </c>
      <c r="AG113" s="25">
        <f t="shared" si="4"/>
        <v>0</v>
      </c>
      <c r="AH113" s="27">
        <f t="shared" si="5"/>
        <v>0</v>
      </c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ht="15.75" customHeight="1">
      <c r="A114" s="28" t="s">
        <v>28</v>
      </c>
      <c r="B114" s="29">
        <f t="shared" si="6"/>
        <v>45403</v>
      </c>
      <c r="C114" s="30">
        <v>4.0</v>
      </c>
      <c r="D114" s="30" t="s">
        <v>31</v>
      </c>
      <c r="E114" s="31" t="s">
        <v>34</v>
      </c>
      <c r="F114" s="116">
        <v>0.0</v>
      </c>
      <c r="G114" s="7"/>
      <c r="H114" s="116">
        <v>0.0</v>
      </c>
      <c r="I114" s="7"/>
      <c r="J114" s="116">
        <v>0.0</v>
      </c>
      <c r="K114" s="7"/>
      <c r="L114" s="116">
        <v>0.0</v>
      </c>
      <c r="M114" s="7"/>
      <c r="N114" s="116">
        <v>0.0</v>
      </c>
      <c r="O114" s="7"/>
      <c r="P114" s="116">
        <v>0.0</v>
      </c>
      <c r="Q114" s="34"/>
      <c r="R114" s="32"/>
      <c r="S114" s="7"/>
      <c r="T114" s="33"/>
      <c r="U114" s="7"/>
      <c r="V114" s="33"/>
      <c r="W114" s="7"/>
      <c r="X114" s="33"/>
      <c r="Y114" s="7"/>
      <c r="Z114" s="33"/>
      <c r="AA114" s="7"/>
      <c r="AB114" s="33"/>
      <c r="AC114" s="34"/>
      <c r="AD114" s="35">
        <f t="shared" si="1"/>
        <v>0</v>
      </c>
      <c r="AE114" s="30">
        <f t="shared" si="2"/>
        <v>0</v>
      </c>
      <c r="AF114" s="30">
        <f t="shared" si="3"/>
        <v>0</v>
      </c>
      <c r="AG114" s="30">
        <f t="shared" si="4"/>
        <v>0</v>
      </c>
      <c r="AH114" s="36">
        <f t="shared" si="5"/>
        <v>0</v>
      </c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ht="15.75" customHeight="1">
      <c r="A115" s="88" t="s">
        <v>21</v>
      </c>
      <c r="B115" s="89">
        <f t="shared" si="6"/>
        <v>45404</v>
      </c>
      <c r="C115" s="90">
        <v>5.0</v>
      </c>
      <c r="D115" s="90" t="s">
        <v>22</v>
      </c>
      <c r="E115" s="91" t="s">
        <v>34</v>
      </c>
      <c r="F115" s="92">
        <v>0.0</v>
      </c>
      <c r="H115" s="93">
        <v>0.0</v>
      </c>
      <c r="J115" s="93">
        <v>0.0</v>
      </c>
      <c r="L115" s="93">
        <v>0.0</v>
      </c>
      <c r="N115" s="93">
        <v>0.0</v>
      </c>
      <c r="P115" s="93">
        <v>0.0</v>
      </c>
      <c r="Q115" s="20"/>
      <c r="R115" s="94"/>
      <c r="T115" s="95"/>
      <c r="V115" s="95"/>
      <c r="X115" s="95"/>
      <c r="Z115" s="95"/>
      <c r="AB115" s="95"/>
      <c r="AC115" s="20"/>
      <c r="AD115" s="96">
        <f t="shared" si="1"/>
        <v>0</v>
      </c>
      <c r="AE115" s="90">
        <f t="shared" si="2"/>
        <v>0</v>
      </c>
      <c r="AF115" s="90">
        <f t="shared" si="3"/>
        <v>0</v>
      </c>
      <c r="AG115" s="90">
        <f t="shared" si="4"/>
        <v>0</v>
      </c>
      <c r="AH115" s="97">
        <f t="shared" si="5"/>
        <v>0</v>
      </c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ht="15.75" customHeight="1">
      <c r="A116" s="98" t="s">
        <v>23</v>
      </c>
      <c r="B116" s="99">
        <f t="shared" si="6"/>
        <v>45405</v>
      </c>
      <c r="C116" s="100">
        <v>5.0</v>
      </c>
      <c r="D116" s="100" t="s">
        <v>22</v>
      </c>
      <c r="E116" s="101" t="s">
        <v>35</v>
      </c>
      <c r="F116" s="92">
        <v>0.0</v>
      </c>
      <c r="H116" s="93">
        <v>45.0</v>
      </c>
      <c r="J116" s="93">
        <v>45.0</v>
      </c>
      <c r="L116" s="93">
        <v>0.0</v>
      </c>
      <c r="N116" s="93">
        <v>45.0</v>
      </c>
      <c r="P116" s="93">
        <v>0.0</v>
      </c>
      <c r="Q116" s="20"/>
      <c r="R116" s="94"/>
      <c r="T116" s="95"/>
      <c r="V116" s="95"/>
      <c r="X116" s="95"/>
      <c r="Z116" s="95"/>
      <c r="AB116" s="95"/>
      <c r="AC116" s="20"/>
      <c r="AD116" s="102">
        <f t="shared" si="1"/>
        <v>2520</v>
      </c>
      <c r="AE116" s="100">
        <f t="shared" si="2"/>
        <v>90</v>
      </c>
      <c r="AF116" s="100">
        <f t="shared" si="3"/>
        <v>45</v>
      </c>
      <c r="AG116" s="100">
        <f t="shared" si="4"/>
        <v>135</v>
      </c>
      <c r="AH116" s="103">
        <f t="shared" si="5"/>
        <v>18.66666667</v>
      </c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ht="15.75" customHeight="1">
      <c r="A117" s="98" t="s">
        <v>24</v>
      </c>
      <c r="B117" s="99">
        <f t="shared" si="6"/>
        <v>45406</v>
      </c>
      <c r="C117" s="100">
        <v>5.0</v>
      </c>
      <c r="D117" s="100" t="s">
        <v>22</v>
      </c>
      <c r="E117" s="101" t="s">
        <v>33</v>
      </c>
      <c r="F117" s="92">
        <v>45.0</v>
      </c>
      <c r="H117" s="93">
        <v>0.0</v>
      </c>
      <c r="J117" s="93">
        <v>45.0</v>
      </c>
      <c r="L117" s="93">
        <v>0.0</v>
      </c>
      <c r="N117" s="93">
        <v>0.0</v>
      </c>
      <c r="P117" s="93">
        <v>0.0</v>
      </c>
      <c r="Q117" s="20"/>
      <c r="R117" s="94"/>
      <c r="T117" s="95"/>
      <c r="V117" s="95"/>
      <c r="X117" s="95"/>
      <c r="Z117" s="95"/>
      <c r="AB117" s="95"/>
      <c r="AC117" s="20"/>
      <c r="AD117" s="102">
        <f t="shared" si="1"/>
        <v>2160</v>
      </c>
      <c r="AE117" s="100">
        <f t="shared" si="2"/>
        <v>90</v>
      </c>
      <c r="AF117" s="100">
        <f t="shared" si="3"/>
        <v>0</v>
      </c>
      <c r="AG117" s="100">
        <f t="shared" si="4"/>
        <v>90</v>
      </c>
      <c r="AH117" s="103">
        <f t="shared" si="5"/>
        <v>24</v>
      </c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ht="15.75" customHeight="1">
      <c r="A118" s="98" t="s">
        <v>25</v>
      </c>
      <c r="B118" s="99">
        <f t="shared" si="6"/>
        <v>45407</v>
      </c>
      <c r="C118" s="100">
        <v>5.0</v>
      </c>
      <c r="D118" s="100" t="s">
        <v>22</v>
      </c>
      <c r="E118" s="101" t="s">
        <v>35</v>
      </c>
      <c r="F118" s="92">
        <v>0.0</v>
      </c>
      <c r="H118" s="93">
        <v>45.0</v>
      </c>
      <c r="J118" s="93">
        <v>45.0</v>
      </c>
      <c r="L118" s="93">
        <v>0.0</v>
      </c>
      <c r="N118" s="93">
        <v>45.0</v>
      </c>
      <c r="P118" s="93">
        <v>0.0</v>
      </c>
      <c r="Q118" s="20"/>
      <c r="R118" s="94"/>
      <c r="T118" s="95"/>
      <c r="V118" s="95"/>
      <c r="X118" s="95"/>
      <c r="Z118" s="95"/>
      <c r="AB118" s="95"/>
      <c r="AC118" s="20"/>
      <c r="AD118" s="102">
        <f t="shared" si="1"/>
        <v>2520</v>
      </c>
      <c r="AE118" s="100">
        <f t="shared" si="2"/>
        <v>90</v>
      </c>
      <c r="AF118" s="100">
        <f t="shared" si="3"/>
        <v>45</v>
      </c>
      <c r="AG118" s="100">
        <f t="shared" si="4"/>
        <v>135</v>
      </c>
      <c r="AH118" s="103">
        <f t="shared" si="5"/>
        <v>18.66666667</v>
      </c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ht="15.75" customHeight="1">
      <c r="A119" s="98" t="s">
        <v>26</v>
      </c>
      <c r="B119" s="99">
        <f t="shared" si="6"/>
        <v>45408</v>
      </c>
      <c r="C119" s="100">
        <v>5.0</v>
      </c>
      <c r="D119" s="100" t="s">
        <v>22</v>
      </c>
      <c r="E119" s="101" t="s">
        <v>35</v>
      </c>
      <c r="F119" s="92">
        <v>0.0</v>
      </c>
      <c r="H119" s="93">
        <v>45.0</v>
      </c>
      <c r="J119" s="93">
        <v>45.0</v>
      </c>
      <c r="L119" s="93">
        <v>0.0</v>
      </c>
      <c r="N119" s="93">
        <v>45.0</v>
      </c>
      <c r="P119" s="93">
        <v>0.0</v>
      </c>
      <c r="Q119" s="20"/>
      <c r="R119" s="94"/>
      <c r="T119" s="95"/>
      <c r="V119" s="95"/>
      <c r="X119" s="95"/>
      <c r="Z119" s="95"/>
      <c r="AB119" s="95"/>
      <c r="AC119" s="20"/>
      <c r="AD119" s="102">
        <f t="shared" si="1"/>
        <v>2520</v>
      </c>
      <c r="AE119" s="100">
        <f t="shared" si="2"/>
        <v>90</v>
      </c>
      <c r="AF119" s="100">
        <f t="shared" si="3"/>
        <v>45</v>
      </c>
      <c r="AG119" s="100">
        <f t="shared" si="4"/>
        <v>135</v>
      </c>
      <c r="AH119" s="103">
        <f t="shared" si="5"/>
        <v>18.66666667</v>
      </c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ht="15.75" customHeight="1">
      <c r="A120" s="98" t="s">
        <v>27</v>
      </c>
      <c r="B120" s="99">
        <f t="shared" si="6"/>
        <v>45409</v>
      </c>
      <c r="C120" s="100">
        <v>5.0</v>
      </c>
      <c r="D120" s="100" t="s">
        <v>22</v>
      </c>
      <c r="E120" s="101" t="s">
        <v>35</v>
      </c>
      <c r="F120" s="92">
        <v>0.0</v>
      </c>
      <c r="H120" s="93">
        <v>45.0</v>
      </c>
      <c r="J120" s="93">
        <v>45.0</v>
      </c>
      <c r="L120" s="93">
        <v>0.0</v>
      </c>
      <c r="N120" s="93">
        <v>45.0</v>
      </c>
      <c r="P120" s="93">
        <v>0.0</v>
      </c>
      <c r="Q120" s="20"/>
      <c r="R120" s="94"/>
      <c r="T120" s="95"/>
      <c r="V120" s="95"/>
      <c r="X120" s="95"/>
      <c r="Z120" s="95"/>
      <c r="AB120" s="95"/>
      <c r="AC120" s="20"/>
      <c r="AD120" s="102">
        <f t="shared" si="1"/>
        <v>2520</v>
      </c>
      <c r="AE120" s="100">
        <f t="shared" si="2"/>
        <v>90</v>
      </c>
      <c r="AF120" s="100">
        <f t="shared" si="3"/>
        <v>45</v>
      </c>
      <c r="AG120" s="100">
        <f t="shared" si="4"/>
        <v>135</v>
      </c>
      <c r="AH120" s="103">
        <f t="shared" si="5"/>
        <v>18.66666667</v>
      </c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ht="15.75" customHeight="1">
      <c r="A121" s="104" t="s">
        <v>28</v>
      </c>
      <c r="B121" s="105">
        <f t="shared" si="6"/>
        <v>45410</v>
      </c>
      <c r="C121" s="106">
        <v>5.0</v>
      </c>
      <c r="D121" s="106" t="s">
        <v>22</v>
      </c>
      <c r="E121" s="107" t="s">
        <v>33</v>
      </c>
      <c r="F121" s="108">
        <v>45.0</v>
      </c>
      <c r="G121" s="7"/>
      <c r="H121" s="109">
        <v>0.0</v>
      </c>
      <c r="I121" s="7"/>
      <c r="J121" s="109">
        <v>45.0</v>
      </c>
      <c r="K121" s="7"/>
      <c r="L121" s="109">
        <v>0.0</v>
      </c>
      <c r="M121" s="7"/>
      <c r="N121" s="109">
        <v>0.0</v>
      </c>
      <c r="O121" s="7"/>
      <c r="P121" s="109">
        <v>0.0</v>
      </c>
      <c r="Q121" s="34"/>
      <c r="R121" s="110"/>
      <c r="S121" s="7"/>
      <c r="T121" s="111"/>
      <c r="U121" s="7"/>
      <c r="V121" s="111"/>
      <c r="W121" s="7"/>
      <c r="X121" s="111"/>
      <c r="Y121" s="7"/>
      <c r="Z121" s="111"/>
      <c r="AA121" s="7"/>
      <c r="AB121" s="111"/>
      <c r="AC121" s="34"/>
      <c r="AD121" s="112">
        <f t="shared" si="1"/>
        <v>2160</v>
      </c>
      <c r="AE121" s="106">
        <f t="shared" si="2"/>
        <v>90</v>
      </c>
      <c r="AF121" s="106">
        <f t="shared" si="3"/>
        <v>0</v>
      </c>
      <c r="AG121" s="106">
        <f t="shared" si="4"/>
        <v>90</v>
      </c>
      <c r="AH121" s="113">
        <f t="shared" si="5"/>
        <v>24</v>
      </c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ht="15.75" customHeight="1">
      <c r="A122" s="14" t="s">
        <v>21</v>
      </c>
      <c r="B122" s="15">
        <f t="shared" si="6"/>
        <v>45411</v>
      </c>
      <c r="C122" s="16">
        <v>5.0</v>
      </c>
      <c r="D122" s="16" t="s">
        <v>29</v>
      </c>
      <c r="E122" s="17" t="s">
        <v>34</v>
      </c>
      <c r="F122" s="114">
        <v>0.0</v>
      </c>
      <c r="H122" s="115">
        <v>0.0</v>
      </c>
      <c r="J122" s="115">
        <v>0.0</v>
      </c>
      <c r="L122" s="115">
        <v>0.0</v>
      </c>
      <c r="N122" s="115">
        <v>0.0</v>
      </c>
      <c r="P122" s="115">
        <v>0.0</v>
      </c>
      <c r="Q122" s="20"/>
      <c r="R122" s="18"/>
      <c r="T122" s="19"/>
      <c r="V122" s="19"/>
      <c r="X122" s="19"/>
      <c r="Z122" s="19"/>
      <c r="AB122" s="19"/>
      <c r="AC122" s="20"/>
      <c r="AD122" s="21">
        <f t="shared" si="1"/>
        <v>0</v>
      </c>
      <c r="AE122" s="16">
        <f t="shared" si="2"/>
        <v>0</v>
      </c>
      <c r="AF122" s="16">
        <f t="shared" si="3"/>
        <v>0</v>
      </c>
      <c r="AG122" s="16">
        <f t="shared" si="4"/>
        <v>0</v>
      </c>
      <c r="AH122" s="37">
        <f t="shared" si="5"/>
        <v>0</v>
      </c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ht="15.75" customHeight="1">
      <c r="A123" s="23" t="s">
        <v>23</v>
      </c>
      <c r="B123" s="24">
        <f t="shared" si="6"/>
        <v>45412</v>
      </c>
      <c r="C123" s="25">
        <v>5.0</v>
      </c>
      <c r="D123" s="25" t="s">
        <v>29</v>
      </c>
      <c r="E123" s="22" t="s">
        <v>34</v>
      </c>
      <c r="F123" s="114">
        <v>0.0</v>
      </c>
      <c r="H123" s="115">
        <v>0.0</v>
      </c>
      <c r="J123" s="115">
        <v>0.0</v>
      </c>
      <c r="L123" s="115">
        <v>0.0</v>
      </c>
      <c r="N123" s="115">
        <v>0.0</v>
      </c>
      <c r="P123" s="115">
        <v>0.0</v>
      </c>
      <c r="Q123" s="20"/>
      <c r="R123" s="18"/>
      <c r="T123" s="19"/>
      <c r="V123" s="19"/>
      <c r="X123" s="19"/>
      <c r="Z123" s="19"/>
      <c r="AB123" s="19"/>
      <c r="AC123" s="20"/>
      <c r="AD123" s="26">
        <f t="shared" si="1"/>
        <v>0</v>
      </c>
      <c r="AE123" s="25">
        <f t="shared" si="2"/>
        <v>0</v>
      </c>
      <c r="AF123" s="25">
        <f t="shared" si="3"/>
        <v>0</v>
      </c>
      <c r="AG123" s="25">
        <f t="shared" si="4"/>
        <v>0</v>
      </c>
      <c r="AH123" s="27">
        <f t="shared" si="5"/>
        <v>0</v>
      </c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ht="15.75" customHeight="1">
      <c r="A124" s="23" t="s">
        <v>24</v>
      </c>
      <c r="B124" s="24">
        <f t="shared" si="6"/>
        <v>45413</v>
      </c>
      <c r="C124" s="25">
        <v>5.0</v>
      </c>
      <c r="D124" s="25" t="s">
        <v>29</v>
      </c>
      <c r="E124" s="22" t="s">
        <v>34</v>
      </c>
      <c r="F124" s="114">
        <v>0.0</v>
      </c>
      <c r="H124" s="115">
        <v>0.0</v>
      </c>
      <c r="J124" s="115">
        <v>0.0</v>
      </c>
      <c r="L124" s="115">
        <v>0.0</v>
      </c>
      <c r="N124" s="115">
        <v>0.0</v>
      </c>
      <c r="P124" s="115">
        <v>0.0</v>
      </c>
      <c r="Q124" s="20"/>
      <c r="R124" s="18"/>
      <c r="T124" s="19"/>
      <c r="V124" s="19"/>
      <c r="X124" s="19"/>
      <c r="Z124" s="19"/>
      <c r="AB124" s="19"/>
      <c r="AC124" s="20"/>
      <c r="AD124" s="26">
        <f t="shared" si="1"/>
        <v>0</v>
      </c>
      <c r="AE124" s="25">
        <f t="shared" si="2"/>
        <v>0</v>
      </c>
      <c r="AF124" s="25">
        <f t="shared" si="3"/>
        <v>0</v>
      </c>
      <c r="AG124" s="25">
        <f t="shared" si="4"/>
        <v>0</v>
      </c>
      <c r="AH124" s="27">
        <f t="shared" si="5"/>
        <v>0</v>
      </c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ht="15.75" customHeight="1">
      <c r="A125" s="23" t="s">
        <v>25</v>
      </c>
      <c r="B125" s="24">
        <f t="shared" si="6"/>
        <v>45414</v>
      </c>
      <c r="C125" s="25">
        <v>5.0</v>
      </c>
      <c r="D125" s="25" t="s">
        <v>29</v>
      </c>
      <c r="E125" s="22" t="s">
        <v>34</v>
      </c>
      <c r="F125" s="114">
        <v>0.0</v>
      </c>
      <c r="H125" s="115">
        <v>0.0</v>
      </c>
      <c r="J125" s="115">
        <v>0.0</v>
      </c>
      <c r="L125" s="115">
        <v>0.0</v>
      </c>
      <c r="N125" s="115">
        <v>0.0</v>
      </c>
      <c r="P125" s="115">
        <v>0.0</v>
      </c>
      <c r="Q125" s="20"/>
      <c r="R125" s="18"/>
      <c r="T125" s="19"/>
      <c r="V125" s="19"/>
      <c r="X125" s="19"/>
      <c r="Z125" s="19"/>
      <c r="AB125" s="19"/>
      <c r="AC125" s="20"/>
      <c r="AD125" s="26">
        <f t="shared" si="1"/>
        <v>0</v>
      </c>
      <c r="AE125" s="25">
        <f t="shared" si="2"/>
        <v>0</v>
      </c>
      <c r="AF125" s="25">
        <f t="shared" si="3"/>
        <v>0</v>
      </c>
      <c r="AG125" s="25">
        <f t="shared" si="4"/>
        <v>0</v>
      </c>
      <c r="AH125" s="27">
        <f t="shared" si="5"/>
        <v>0</v>
      </c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ht="15.75" customHeight="1">
      <c r="A126" s="23" t="s">
        <v>26</v>
      </c>
      <c r="B126" s="24">
        <f t="shared" si="6"/>
        <v>45415</v>
      </c>
      <c r="C126" s="25">
        <v>5.0</v>
      </c>
      <c r="D126" s="25" t="s">
        <v>29</v>
      </c>
      <c r="E126" s="22" t="s">
        <v>34</v>
      </c>
      <c r="F126" s="114">
        <v>0.0</v>
      </c>
      <c r="H126" s="115">
        <v>0.0</v>
      </c>
      <c r="J126" s="115">
        <v>0.0</v>
      </c>
      <c r="L126" s="115">
        <v>0.0</v>
      </c>
      <c r="N126" s="115">
        <v>0.0</v>
      </c>
      <c r="P126" s="115">
        <v>0.0</v>
      </c>
      <c r="Q126" s="20"/>
      <c r="R126" s="18"/>
      <c r="T126" s="19"/>
      <c r="V126" s="19"/>
      <c r="X126" s="19"/>
      <c r="Z126" s="19"/>
      <c r="AB126" s="19"/>
      <c r="AC126" s="20"/>
      <c r="AD126" s="26">
        <f t="shared" si="1"/>
        <v>0</v>
      </c>
      <c r="AE126" s="25">
        <f t="shared" si="2"/>
        <v>0</v>
      </c>
      <c r="AF126" s="25">
        <f t="shared" si="3"/>
        <v>0</v>
      </c>
      <c r="AG126" s="25">
        <f t="shared" si="4"/>
        <v>0</v>
      </c>
      <c r="AH126" s="27">
        <f t="shared" si="5"/>
        <v>0</v>
      </c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ht="15.75" customHeight="1">
      <c r="A127" s="23" t="s">
        <v>27</v>
      </c>
      <c r="B127" s="24">
        <f t="shared" si="6"/>
        <v>45416</v>
      </c>
      <c r="C127" s="25">
        <v>5.0</v>
      </c>
      <c r="D127" s="25" t="s">
        <v>29</v>
      </c>
      <c r="E127" s="22" t="s">
        <v>34</v>
      </c>
      <c r="F127" s="114">
        <v>0.0</v>
      </c>
      <c r="H127" s="115">
        <v>0.0</v>
      </c>
      <c r="J127" s="115">
        <v>0.0</v>
      </c>
      <c r="L127" s="115">
        <v>0.0</v>
      </c>
      <c r="N127" s="115">
        <v>0.0</v>
      </c>
      <c r="P127" s="115">
        <v>0.0</v>
      </c>
      <c r="Q127" s="20"/>
      <c r="R127" s="18"/>
      <c r="T127" s="19"/>
      <c r="V127" s="19"/>
      <c r="X127" s="19"/>
      <c r="Z127" s="19"/>
      <c r="AB127" s="19"/>
      <c r="AC127" s="20"/>
      <c r="AD127" s="26">
        <f t="shared" si="1"/>
        <v>0</v>
      </c>
      <c r="AE127" s="25">
        <f t="shared" si="2"/>
        <v>0</v>
      </c>
      <c r="AF127" s="25">
        <f t="shared" si="3"/>
        <v>0</v>
      </c>
      <c r="AG127" s="25">
        <f t="shared" si="4"/>
        <v>0</v>
      </c>
      <c r="AH127" s="27">
        <f t="shared" si="5"/>
        <v>0</v>
      </c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ht="15.75" customHeight="1">
      <c r="A128" s="28" t="s">
        <v>28</v>
      </c>
      <c r="B128" s="29">
        <f t="shared" si="6"/>
        <v>45417</v>
      </c>
      <c r="C128" s="30">
        <v>5.0</v>
      </c>
      <c r="D128" s="30" t="s">
        <v>29</v>
      </c>
      <c r="E128" s="31" t="s">
        <v>34</v>
      </c>
      <c r="F128" s="116">
        <v>0.0</v>
      </c>
      <c r="G128" s="7"/>
      <c r="H128" s="116">
        <v>0.0</v>
      </c>
      <c r="I128" s="7"/>
      <c r="J128" s="116">
        <v>0.0</v>
      </c>
      <c r="K128" s="7"/>
      <c r="L128" s="116">
        <v>0.0</v>
      </c>
      <c r="M128" s="7"/>
      <c r="N128" s="116">
        <v>0.0</v>
      </c>
      <c r="O128" s="7"/>
      <c r="P128" s="116">
        <v>0.0</v>
      </c>
      <c r="Q128" s="34"/>
      <c r="R128" s="32"/>
      <c r="S128" s="7"/>
      <c r="T128" s="33"/>
      <c r="U128" s="7"/>
      <c r="V128" s="33"/>
      <c r="W128" s="7"/>
      <c r="X128" s="33"/>
      <c r="Y128" s="7"/>
      <c r="Z128" s="33"/>
      <c r="AA128" s="7"/>
      <c r="AB128" s="33"/>
      <c r="AC128" s="34"/>
      <c r="AD128" s="35">
        <f t="shared" si="1"/>
        <v>0</v>
      </c>
      <c r="AE128" s="30">
        <f t="shared" si="2"/>
        <v>0</v>
      </c>
      <c r="AF128" s="30">
        <f t="shared" si="3"/>
        <v>0</v>
      </c>
      <c r="AG128" s="30">
        <f t="shared" si="4"/>
        <v>0</v>
      </c>
      <c r="AH128" s="36">
        <f t="shared" si="5"/>
        <v>0</v>
      </c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ht="15.75" customHeight="1">
      <c r="A129" s="14" t="s">
        <v>21</v>
      </c>
      <c r="B129" s="15">
        <f t="shared" si="6"/>
        <v>45418</v>
      </c>
      <c r="C129" s="16">
        <v>5.0</v>
      </c>
      <c r="D129" s="16" t="s">
        <v>30</v>
      </c>
      <c r="E129" s="17" t="s">
        <v>34</v>
      </c>
      <c r="F129" s="92">
        <v>0.0</v>
      </c>
      <c r="H129" s="93">
        <v>0.0</v>
      </c>
      <c r="J129" s="93">
        <v>0.0</v>
      </c>
      <c r="L129" s="93">
        <v>0.0</v>
      </c>
      <c r="N129" s="93">
        <v>0.0</v>
      </c>
      <c r="P129" s="93">
        <v>0.0</v>
      </c>
      <c r="Q129" s="20"/>
      <c r="R129" s="18"/>
      <c r="T129" s="19"/>
      <c r="V129" s="19"/>
      <c r="X129" s="19"/>
      <c r="Z129" s="19"/>
      <c r="AB129" s="19"/>
      <c r="AC129" s="20"/>
      <c r="AD129" s="21">
        <f t="shared" si="1"/>
        <v>0</v>
      </c>
      <c r="AE129" s="16">
        <f t="shared" si="2"/>
        <v>0</v>
      </c>
      <c r="AF129" s="16">
        <f t="shared" si="3"/>
        <v>0</v>
      </c>
      <c r="AG129" s="16">
        <f t="shared" si="4"/>
        <v>0</v>
      </c>
      <c r="AH129" s="37">
        <f t="shared" si="5"/>
        <v>0</v>
      </c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ht="15.75" customHeight="1">
      <c r="A130" s="23" t="s">
        <v>23</v>
      </c>
      <c r="B130" s="24">
        <f t="shared" si="6"/>
        <v>45419</v>
      </c>
      <c r="C130" s="25">
        <v>5.0</v>
      </c>
      <c r="D130" s="25" t="s">
        <v>30</v>
      </c>
      <c r="E130" s="22" t="s">
        <v>35</v>
      </c>
      <c r="F130" s="92">
        <v>0.0</v>
      </c>
      <c r="H130" s="93">
        <v>45.0</v>
      </c>
      <c r="J130" s="93">
        <v>45.0</v>
      </c>
      <c r="L130" s="93">
        <v>0.0</v>
      </c>
      <c r="N130" s="93">
        <v>45.0</v>
      </c>
      <c r="P130" s="93">
        <v>0.0</v>
      </c>
      <c r="Q130" s="20"/>
      <c r="R130" s="18"/>
      <c r="T130" s="19"/>
      <c r="V130" s="19"/>
      <c r="X130" s="19"/>
      <c r="Z130" s="19"/>
      <c r="AB130" s="19"/>
      <c r="AC130" s="20"/>
      <c r="AD130" s="26">
        <f t="shared" si="1"/>
        <v>2520</v>
      </c>
      <c r="AE130" s="25">
        <f t="shared" si="2"/>
        <v>90</v>
      </c>
      <c r="AF130" s="25">
        <f t="shared" si="3"/>
        <v>45</v>
      </c>
      <c r="AG130" s="25">
        <f t="shared" si="4"/>
        <v>135</v>
      </c>
      <c r="AH130" s="27">
        <f t="shared" si="5"/>
        <v>18.66666667</v>
      </c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ht="15.75" customHeight="1">
      <c r="A131" s="23" t="s">
        <v>24</v>
      </c>
      <c r="B131" s="24">
        <f t="shared" si="6"/>
        <v>45420</v>
      </c>
      <c r="C131" s="25">
        <v>5.0</v>
      </c>
      <c r="D131" s="25" t="s">
        <v>30</v>
      </c>
      <c r="E131" s="22" t="s">
        <v>33</v>
      </c>
      <c r="F131" s="92">
        <v>45.0</v>
      </c>
      <c r="H131" s="93">
        <v>0.0</v>
      </c>
      <c r="J131" s="93">
        <v>45.0</v>
      </c>
      <c r="L131" s="93">
        <v>0.0</v>
      </c>
      <c r="N131" s="93">
        <v>0.0</v>
      </c>
      <c r="P131" s="93">
        <v>0.0</v>
      </c>
      <c r="Q131" s="20"/>
      <c r="R131" s="18"/>
      <c r="T131" s="19"/>
      <c r="V131" s="19"/>
      <c r="X131" s="19"/>
      <c r="Z131" s="19"/>
      <c r="AB131" s="19"/>
      <c r="AC131" s="20"/>
      <c r="AD131" s="26">
        <f t="shared" si="1"/>
        <v>2160</v>
      </c>
      <c r="AE131" s="25">
        <f t="shared" si="2"/>
        <v>90</v>
      </c>
      <c r="AF131" s="25">
        <f t="shared" si="3"/>
        <v>0</v>
      </c>
      <c r="AG131" s="25">
        <f t="shared" si="4"/>
        <v>90</v>
      </c>
      <c r="AH131" s="27">
        <f t="shared" si="5"/>
        <v>24</v>
      </c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ht="15.75" customHeight="1">
      <c r="A132" s="23" t="s">
        <v>25</v>
      </c>
      <c r="B132" s="24">
        <f t="shared" si="6"/>
        <v>45421</v>
      </c>
      <c r="C132" s="25">
        <v>5.0</v>
      </c>
      <c r="D132" s="25" t="s">
        <v>30</v>
      </c>
      <c r="E132" s="22" t="s">
        <v>35</v>
      </c>
      <c r="F132" s="92">
        <v>0.0</v>
      </c>
      <c r="H132" s="93">
        <v>45.0</v>
      </c>
      <c r="J132" s="93">
        <v>45.0</v>
      </c>
      <c r="L132" s="93">
        <v>0.0</v>
      </c>
      <c r="N132" s="93">
        <v>45.0</v>
      </c>
      <c r="P132" s="93">
        <v>0.0</v>
      </c>
      <c r="Q132" s="20"/>
      <c r="R132" s="18"/>
      <c r="T132" s="19"/>
      <c r="V132" s="19"/>
      <c r="X132" s="19"/>
      <c r="Z132" s="19"/>
      <c r="AB132" s="19"/>
      <c r="AC132" s="20"/>
      <c r="AD132" s="26">
        <f t="shared" si="1"/>
        <v>2520</v>
      </c>
      <c r="AE132" s="25">
        <f t="shared" si="2"/>
        <v>90</v>
      </c>
      <c r="AF132" s="25">
        <f t="shared" si="3"/>
        <v>45</v>
      </c>
      <c r="AG132" s="25">
        <f t="shared" si="4"/>
        <v>135</v>
      </c>
      <c r="AH132" s="27">
        <f t="shared" si="5"/>
        <v>18.66666667</v>
      </c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ht="15.75" customHeight="1">
      <c r="A133" s="23" t="s">
        <v>26</v>
      </c>
      <c r="B133" s="24">
        <f t="shared" si="6"/>
        <v>45422</v>
      </c>
      <c r="C133" s="25">
        <v>5.0</v>
      </c>
      <c r="D133" s="25" t="s">
        <v>30</v>
      </c>
      <c r="E133" s="22" t="s">
        <v>35</v>
      </c>
      <c r="F133" s="92">
        <v>0.0</v>
      </c>
      <c r="H133" s="93">
        <v>45.0</v>
      </c>
      <c r="J133" s="93">
        <v>45.0</v>
      </c>
      <c r="L133" s="93">
        <v>0.0</v>
      </c>
      <c r="N133" s="93">
        <v>45.0</v>
      </c>
      <c r="P133" s="93">
        <v>0.0</v>
      </c>
      <c r="Q133" s="20"/>
      <c r="R133" s="18"/>
      <c r="T133" s="19"/>
      <c r="V133" s="19"/>
      <c r="X133" s="19"/>
      <c r="Z133" s="19"/>
      <c r="AB133" s="19"/>
      <c r="AC133" s="20"/>
      <c r="AD133" s="26">
        <f t="shared" si="1"/>
        <v>2520</v>
      </c>
      <c r="AE133" s="25">
        <f t="shared" si="2"/>
        <v>90</v>
      </c>
      <c r="AF133" s="25">
        <f t="shared" si="3"/>
        <v>45</v>
      </c>
      <c r="AG133" s="25">
        <f t="shared" si="4"/>
        <v>135</v>
      </c>
      <c r="AH133" s="27">
        <f t="shared" si="5"/>
        <v>18.66666667</v>
      </c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ht="15.75" customHeight="1">
      <c r="A134" s="23" t="s">
        <v>27</v>
      </c>
      <c r="B134" s="24">
        <f t="shared" si="6"/>
        <v>45423</v>
      </c>
      <c r="C134" s="25">
        <v>5.0</v>
      </c>
      <c r="D134" s="25" t="s">
        <v>30</v>
      </c>
      <c r="E134" s="22" t="s">
        <v>35</v>
      </c>
      <c r="F134" s="92">
        <v>0.0</v>
      </c>
      <c r="H134" s="93">
        <v>45.0</v>
      </c>
      <c r="J134" s="93">
        <v>45.0</v>
      </c>
      <c r="L134" s="93">
        <v>0.0</v>
      </c>
      <c r="N134" s="93">
        <v>45.0</v>
      </c>
      <c r="P134" s="93">
        <v>0.0</v>
      </c>
      <c r="Q134" s="20"/>
      <c r="R134" s="18"/>
      <c r="T134" s="19"/>
      <c r="V134" s="19"/>
      <c r="X134" s="19"/>
      <c r="Z134" s="19"/>
      <c r="AB134" s="19"/>
      <c r="AC134" s="20"/>
      <c r="AD134" s="26">
        <f t="shared" si="1"/>
        <v>2520</v>
      </c>
      <c r="AE134" s="25">
        <f t="shared" si="2"/>
        <v>90</v>
      </c>
      <c r="AF134" s="25">
        <f t="shared" si="3"/>
        <v>45</v>
      </c>
      <c r="AG134" s="25">
        <f t="shared" si="4"/>
        <v>135</v>
      </c>
      <c r="AH134" s="27">
        <f t="shared" si="5"/>
        <v>18.66666667</v>
      </c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ht="15.75" customHeight="1">
      <c r="A135" s="28" t="s">
        <v>28</v>
      </c>
      <c r="B135" s="29">
        <f t="shared" si="6"/>
        <v>45424</v>
      </c>
      <c r="C135" s="30">
        <v>5.0</v>
      </c>
      <c r="D135" s="30" t="s">
        <v>30</v>
      </c>
      <c r="E135" s="31" t="s">
        <v>33</v>
      </c>
      <c r="F135" s="108">
        <v>45.0</v>
      </c>
      <c r="G135" s="7"/>
      <c r="H135" s="109">
        <v>0.0</v>
      </c>
      <c r="I135" s="7"/>
      <c r="J135" s="109">
        <v>45.0</v>
      </c>
      <c r="K135" s="7"/>
      <c r="L135" s="109">
        <v>0.0</v>
      </c>
      <c r="M135" s="7"/>
      <c r="N135" s="109">
        <v>0.0</v>
      </c>
      <c r="O135" s="7"/>
      <c r="P135" s="109">
        <v>0.0</v>
      </c>
      <c r="Q135" s="34"/>
      <c r="R135" s="32"/>
      <c r="S135" s="7"/>
      <c r="T135" s="33"/>
      <c r="U135" s="7"/>
      <c r="V135" s="33"/>
      <c r="W135" s="7"/>
      <c r="X135" s="33"/>
      <c r="Y135" s="7"/>
      <c r="Z135" s="33"/>
      <c r="AA135" s="7"/>
      <c r="AB135" s="33"/>
      <c r="AC135" s="34"/>
      <c r="AD135" s="35">
        <f t="shared" si="1"/>
        <v>2160</v>
      </c>
      <c r="AE135" s="30">
        <f t="shared" si="2"/>
        <v>90</v>
      </c>
      <c r="AF135" s="30">
        <f t="shared" si="3"/>
        <v>0</v>
      </c>
      <c r="AG135" s="30">
        <f t="shared" si="4"/>
        <v>90</v>
      </c>
      <c r="AH135" s="36">
        <f t="shared" si="5"/>
        <v>24</v>
      </c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ht="15.75" customHeight="1">
      <c r="A136" s="14" t="s">
        <v>21</v>
      </c>
      <c r="B136" s="15">
        <f t="shared" si="6"/>
        <v>45425</v>
      </c>
      <c r="C136" s="16">
        <v>5.0</v>
      </c>
      <c r="D136" s="16" t="s">
        <v>31</v>
      </c>
      <c r="E136" s="17" t="s">
        <v>34</v>
      </c>
      <c r="F136" s="114">
        <v>0.0</v>
      </c>
      <c r="H136" s="115">
        <v>0.0</v>
      </c>
      <c r="J136" s="115">
        <v>0.0</v>
      </c>
      <c r="L136" s="115">
        <v>0.0</v>
      </c>
      <c r="N136" s="115">
        <v>0.0</v>
      </c>
      <c r="P136" s="115">
        <v>0.0</v>
      </c>
      <c r="Q136" s="20"/>
      <c r="R136" s="18"/>
      <c r="T136" s="19"/>
      <c r="V136" s="19"/>
      <c r="X136" s="19"/>
      <c r="Z136" s="19"/>
      <c r="AB136" s="19"/>
      <c r="AC136" s="20"/>
      <c r="AD136" s="21">
        <f t="shared" si="1"/>
        <v>0</v>
      </c>
      <c r="AE136" s="16">
        <f t="shared" si="2"/>
        <v>0</v>
      </c>
      <c r="AF136" s="16">
        <f t="shared" si="3"/>
        <v>0</v>
      </c>
      <c r="AG136" s="16">
        <f t="shared" si="4"/>
        <v>0</v>
      </c>
      <c r="AH136" s="37">
        <f t="shared" si="5"/>
        <v>0</v>
      </c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ht="15.75" customHeight="1">
      <c r="A137" s="23" t="s">
        <v>23</v>
      </c>
      <c r="B137" s="24">
        <f t="shared" si="6"/>
        <v>45426</v>
      </c>
      <c r="C137" s="25">
        <v>5.0</v>
      </c>
      <c r="D137" s="25" t="s">
        <v>31</v>
      </c>
      <c r="E137" s="22" t="s">
        <v>34</v>
      </c>
      <c r="F137" s="114">
        <v>0.0</v>
      </c>
      <c r="H137" s="115">
        <v>0.0</v>
      </c>
      <c r="J137" s="115">
        <v>0.0</v>
      </c>
      <c r="L137" s="115">
        <v>0.0</v>
      </c>
      <c r="N137" s="115">
        <v>0.0</v>
      </c>
      <c r="P137" s="115">
        <v>0.0</v>
      </c>
      <c r="Q137" s="20"/>
      <c r="R137" s="18"/>
      <c r="T137" s="19"/>
      <c r="V137" s="19"/>
      <c r="X137" s="19"/>
      <c r="Z137" s="19"/>
      <c r="AB137" s="19"/>
      <c r="AC137" s="20"/>
      <c r="AD137" s="26">
        <f t="shared" si="1"/>
        <v>0</v>
      </c>
      <c r="AE137" s="25">
        <f t="shared" si="2"/>
        <v>0</v>
      </c>
      <c r="AF137" s="25">
        <f t="shared" si="3"/>
        <v>0</v>
      </c>
      <c r="AG137" s="25">
        <f t="shared" si="4"/>
        <v>0</v>
      </c>
      <c r="AH137" s="27">
        <f t="shared" si="5"/>
        <v>0</v>
      </c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ht="15.75" customHeight="1">
      <c r="A138" s="23" t="s">
        <v>24</v>
      </c>
      <c r="B138" s="24">
        <f t="shared" si="6"/>
        <v>45427</v>
      </c>
      <c r="C138" s="25">
        <v>5.0</v>
      </c>
      <c r="D138" s="25" t="s">
        <v>31</v>
      </c>
      <c r="E138" s="22" t="s">
        <v>34</v>
      </c>
      <c r="F138" s="114">
        <v>0.0</v>
      </c>
      <c r="H138" s="115">
        <v>0.0</v>
      </c>
      <c r="J138" s="115">
        <v>0.0</v>
      </c>
      <c r="L138" s="115">
        <v>0.0</v>
      </c>
      <c r="N138" s="115">
        <v>0.0</v>
      </c>
      <c r="P138" s="115">
        <v>0.0</v>
      </c>
      <c r="Q138" s="20"/>
      <c r="R138" s="18"/>
      <c r="T138" s="19"/>
      <c r="V138" s="19"/>
      <c r="X138" s="19"/>
      <c r="Z138" s="19"/>
      <c r="AB138" s="19"/>
      <c r="AC138" s="20"/>
      <c r="AD138" s="26">
        <f t="shared" si="1"/>
        <v>0</v>
      </c>
      <c r="AE138" s="25">
        <f t="shared" si="2"/>
        <v>0</v>
      </c>
      <c r="AF138" s="25">
        <f t="shared" si="3"/>
        <v>0</v>
      </c>
      <c r="AG138" s="25">
        <f t="shared" si="4"/>
        <v>0</v>
      </c>
      <c r="AH138" s="27">
        <f t="shared" si="5"/>
        <v>0</v>
      </c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ht="15.75" customHeight="1">
      <c r="A139" s="23" t="s">
        <v>25</v>
      </c>
      <c r="B139" s="24">
        <f t="shared" si="6"/>
        <v>45428</v>
      </c>
      <c r="C139" s="25">
        <v>5.0</v>
      </c>
      <c r="D139" s="25" t="s">
        <v>31</v>
      </c>
      <c r="E139" s="22" t="s">
        <v>34</v>
      </c>
      <c r="F139" s="114">
        <v>0.0</v>
      </c>
      <c r="H139" s="115">
        <v>0.0</v>
      </c>
      <c r="J139" s="115">
        <v>0.0</v>
      </c>
      <c r="L139" s="115">
        <v>0.0</v>
      </c>
      <c r="N139" s="115">
        <v>0.0</v>
      </c>
      <c r="P139" s="115">
        <v>0.0</v>
      </c>
      <c r="Q139" s="20"/>
      <c r="R139" s="18"/>
      <c r="T139" s="19"/>
      <c r="V139" s="19"/>
      <c r="X139" s="19"/>
      <c r="Z139" s="19"/>
      <c r="AB139" s="19"/>
      <c r="AC139" s="20"/>
      <c r="AD139" s="26">
        <f t="shared" si="1"/>
        <v>0</v>
      </c>
      <c r="AE139" s="25">
        <f t="shared" si="2"/>
        <v>0</v>
      </c>
      <c r="AF139" s="25">
        <f t="shared" si="3"/>
        <v>0</v>
      </c>
      <c r="AG139" s="25">
        <f t="shared" si="4"/>
        <v>0</v>
      </c>
      <c r="AH139" s="27">
        <f t="shared" si="5"/>
        <v>0</v>
      </c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ht="15.75" customHeight="1">
      <c r="A140" s="23" t="s">
        <v>26</v>
      </c>
      <c r="B140" s="24">
        <f t="shared" si="6"/>
        <v>45429</v>
      </c>
      <c r="C140" s="25">
        <v>5.0</v>
      </c>
      <c r="D140" s="25" t="s">
        <v>31</v>
      </c>
      <c r="E140" s="22" t="s">
        <v>34</v>
      </c>
      <c r="F140" s="114">
        <v>0.0</v>
      </c>
      <c r="H140" s="115">
        <v>0.0</v>
      </c>
      <c r="J140" s="115">
        <v>0.0</v>
      </c>
      <c r="L140" s="115">
        <v>0.0</v>
      </c>
      <c r="N140" s="115">
        <v>0.0</v>
      </c>
      <c r="P140" s="115">
        <v>0.0</v>
      </c>
      <c r="Q140" s="20"/>
      <c r="R140" s="18"/>
      <c r="T140" s="19"/>
      <c r="V140" s="19"/>
      <c r="X140" s="19"/>
      <c r="Z140" s="19"/>
      <c r="AB140" s="19"/>
      <c r="AC140" s="20"/>
      <c r="AD140" s="26">
        <f t="shared" si="1"/>
        <v>0</v>
      </c>
      <c r="AE140" s="25">
        <f t="shared" si="2"/>
        <v>0</v>
      </c>
      <c r="AF140" s="25">
        <f t="shared" si="3"/>
        <v>0</v>
      </c>
      <c r="AG140" s="25">
        <f t="shared" si="4"/>
        <v>0</v>
      </c>
      <c r="AH140" s="27">
        <f t="shared" si="5"/>
        <v>0</v>
      </c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ht="15.75" customHeight="1">
      <c r="A141" s="23" t="s">
        <v>27</v>
      </c>
      <c r="B141" s="24">
        <f t="shared" si="6"/>
        <v>45430</v>
      </c>
      <c r="C141" s="25">
        <v>5.0</v>
      </c>
      <c r="D141" s="25" t="s">
        <v>31</v>
      </c>
      <c r="E141" s="22" t="s">
        <v>34</v>
      </c>
      <c r="F141" s="114">
        <v>0.0</v>
      </c>
      <c r="H141" s="115">
        <v>0.0</v>
      </c>
      <c r="J141" s="115">
        <v>0.0</v>
      </c>
      <c r="L141" s="115">
        <v>0.0</v>
      </c>
      <c r="N141" s="115">
        <v>0.0</v>
      </c>
      <c r="P141" s="115">
        <v>0.0</v>
      </c>
      <c r="Q141" s="20"/>
      <c r="R141" s="18"/>
      <c r="T141" s="19"/>
      <c r="V141" s="19"/>
      <c r="X141" s="19"/>
      <c r="Z141" s="19"/>
      <c r="AB141" s="19"/>
      <c r="AC141" s="20"/>
      <c r="AD141" s="26">
        <f t="shared" si="1"/>
        <v>0</v>
      </c>
      <c r="AE141" s="25">
        <f t="shared" si="2"/>
        <v>0</v>
      </c>
      <c r="AF141" s="25">
        <f t="shared" si="3"/>
        <v>0</v>
      </c>
      <c r="AG141" s="25">
        <f t="shared" si="4"/>
        <v>0</v>
      </c>
      <c r="AH141" s="27">
        <f t="shared" si="5"/>
        <v>0</v>
      </c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ht="15.75" customHeight="1">
      <c r="A142" s="28" t="s">
        <v>28</v>
      </c>
      <c r="B142" s="29">
        <f t="shared" si="6"/>
        <v>45431</v>
      </c>
      <c r="C142" s="30">
        <v>5.0</v>
      </c>
      <c r="D142" s="30" t="s">
        <v>31</v>
      </c>
      <c r="E142" s="31" t="s">
        <v>34</v>
      </c>
      <c r="F142" s="116">
        <v>0.0</v>
      </c>
      <c r="G142" s="7"/>
      <c r="H142" s="116">
        <v>0.0</v>
      </c>
      <c r="I142" s="7"/>
      <c r="J142" s="116">
        <v>0.0</v>
      </c>
      <c r="K142" s="7"/>
      <c r="L142" s="116">
        <v>0.0</v>
      </c>
      <c r="M142" s="7"/>
      <c r="N142" s="116">
        <v>0.0</v>
      </c>
      <c r="O142" s="7"/>
      <c r="P142" s="116">
        <v>0.0</v>
      </c>
      <c r="Q142" s="34"/>
      <c r="R142" s="32"/>
      <c r="S142" s="7"/>
      <c r="T142" s="33"/>
      <c r="U142" s="7"/>
      <c r="V142" s="33"/>
      <c r="W142" s="7"/>
      <c r="X142" s="33"/>
      <c r="Y142" s="7"/>
      <c r="Z142" s="33"/>
      <c r="AA142" s="7"/>
      <c r="AB142" s="33"/>
      <c r="AC142" s="34"/>
      <c r="AD142" s="35">
        <f t="shared" si="1"/>
        <v>0</v>
      </c>
      <c r="AE142" s="30">
        <f t="shared" si="2"/>
        <v>0</v>
      </c>
      <c r="AF142" s="30">
        <f t="shared" si="3"/>
        <v>0</v>
      </c>
      <c r="AG142" s="30">
        <f t="shared" si="4"/>
        <v>0</v>
      </c>
      <c r="AH142" s="36">
        <f t="shared" si="5"/>
        <v>0</v>
      </c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ht="15.75" customHeight="1">
      <c r="A143" s="14" t="s">
        <v>21</v>
      </c>
      <c r="B143" s="15">
        <f t="shared" si="6"/>
        <v>45432</v>
      </c>
      <c r="C143" s="16">
        <v>6.0</v>
      </c>
      <c r="D143" s="16" t="s">
        <v>22</v>
      </c>
      <c r="E143" s="17" t="s">
        <v>34</v>
      </c>
      <c r="F143" s="92">
        <v>0.0</v>
      </c>
      <c r="H143" s="93">
        <v>0.0</v>
      </c>
      <c r="J143" s="93">
        <v>0.0</v>
      </c>
      <c r="L143" s="93">
        <v>0.0</v>
      </c>
      <c r="N143" s="93">
        <v>0.0</v>
      </c>
      <c r="P143" s="93">
        <v>0.0</v>
      </c>
      <c r="Q143" s="20"/>
      <c r="R143" s="18"/>
      <c r="T143" s="19"/>
      <c r="V143" s="19"/>
      <c r="X143" s="19"/>
      <c r="Z143" s="19"/>
      <c r="AB143" s="19"/>
      <c r="AC143" s="20"/>
      <c r="AD143" s="21">
        <f t="shared" si="1"/>
        <v>0</v>
      </c>
      <c r="AE143" s="16">
        <f t="shared" si="2"/>
        <v>0</v>
      </c>
      <c r="AF143" s="16">
        <f t="shared" si="3"/>
        <v>0</v>
      </c>
      <c r="AG143" s="16">
        <f t="shared" si="4"/>
        <v>0</v>
      </c>
      <c r="AH143" s="37">
        <f t="shared" si="5"/>
        <v>0</v>
      </c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ht="15.75" customHeight="1">
      <c r="A144" s="23" t="s">
        <v>23</v>
      </c>
      <c r="B144" s="24">
        <f t="shared" si="6"/>
        <v>45433</v>
      </c>
      <c r="C144" s="25">
        <v>6.0</v>
      </c>
      <c r="D144" s="25" t="s">
        <v>22</v>
      </c>
      <c r="E144" s="22" t="s">
        <v>35</v>
      </c>
      <c r="F144" s="92">
        <v>0.0</v>
      </c>
      <c r="H144" s="93">
        <v>45.0</v>
      </c>
      <c r="J144" s="93">
        <v>45.0</v>
      </c>
      <c r="L144" s="93">
        <v>0.0</v>
      </c>
      <c r="N144" s="93">
        <v>45.0</v>
      </c>
      <c r="P144" s="93">
        <v>0.0</v>
      </c>
      <c r="Q144" s="20"/>
      <c r="R144" s="18"/>
      <c r="T144" s="19"/>
      <c r="V144" s="19"/>
      <c r="X144" s="19"/>
      <c r="Z144" s="19"/>
      <c r="AB144" s="19"/>
      <c r="AC144" s="20"/>
      <c r="AD144" s="26">
        <f t="shared" si="1"/>
        <v>2520</v>
      </c>
      <c r="AE144" s="25">
        <f t="shared" si="2"/>
        <v>90</v>
      </c>
      <c r="AF144" s="25">
        <f t="shared" si="3"/>
        <v>45</v>
      </c>
      <c r="AG144" s="25">
        <f t="shared" si="4"/>
        <v>135</v>
      </c>
      <c r="AH144" s="27">
        <f t="shared" si="5"/>
        <v>18.66666667</v>
      </c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ht="15.75" customHeight="1">
      <c r="A145" s="23" t="s">
        <v>24</v>
      </c>
      <c r="B145" s="24">
        <f t="shared" si="6"/>
        <v>45434</v>
      </c>
      <c r="C145" s="25">
        <v>6.0</v>
      </c>
      <c r="D145" s="25" t="s">
        <v>22</v>
      </c>
      <c r="E145" s="22" t="s">
        <v>35</v>
      </c>
      <c r="F145" s="92">
        <v>0.0</v>
      </c>
      <c r="H145" s="93">
        <v>45.0</v>
      </c>
      <c r="J145" s="93">
        <v>45.0</v>
      </c>
      <c r="L145" s="93">
        <v>0.0</v>
      </c>
      <c r="N145" s="93">
        <v>45.0</v>
      </c>
      <c r="P145" s="93">
        <v>0.0</v>
      </c>
      <c r="Q145" s="20"/>
      <c r="R145" s="18"/>
      <c r="T145" s="19"/>
      <c r="V145" s="19"/>
      <c r="X145" s="19"/>
      <c r="Z145" s="19"/>
      <c r="AB145" s="19"/>
      <c r="AC145" s="20"/>
      <c r="AD145" s="26">
        <f t="shared" si="1"/>
        <v>2520</v>
      </c>
      <c r="AE145" s="25">
        <f t="shared" si="2"/>
        <v>90</v>
      </c>
      <c r="AF145" s="25">
        <f t="shared" si="3"/>
        <v>45</v>
      </c>
      <c r="AG145" s="25">
        <f t="shared" si="4"/>
        <v>135</v>
      </c>
      <c r="AH145" s="27">
        <f t="shared" si="5"/>
        <v>18.66666667</v>
      </c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ht="15.75" customHeight="1">
      <c r="A146" s="23" t="s">
        <v>25</v>
      </c>
      <c r="B146" s="24">
        <f t="shared" si="6"/>
        <v>45435</v>
      </c>
      <c r="C146" s="25">
        <v>6.0</v>
      </c>
      <c r="D146" s="25" t="s">
        <v>22</v>
      </c>
      <c r="E146" s="22" t="s">
        <v>35</v>
      </c>
      <c r="F146" s="92">
        <v>0.0</v>
      </c>
      <c r="H146" s="93">
        <v>45.0</v>
      </c>
      <c r="J146" s="93">
        <v>45.0</v>
      </c>
      <c r="L146" s="93">
        <v>0.0</v>
      </c>
      <c r="N146" s="93">
        <v>45.0</v>
      </c>
      <c r="P146" s="93">
        <v>0.0</v>
      </c>
      <c r="Q146" s="20"/>
      <c r="R146" s="18"/>
      <c r="T146" s="19"/>
      <c r="V146" s="19"/>
      <c r="X146" s="19"/>
      <c r="Z146" s="19"/>
      <c r="AB146" s="19"/>
      <c r="AC146" s="20"/>
      <c r="AD146" s="26">
        <f t="shared" si="1"/>
        <v>2520</v>
      </c>
      <c r="AE146" s="25">
        <f t="shared" si="2"/>
        <v>90</v>
      </c>
      <c r="AF146" s="25">
        <f t="shared" si="3"/>
        <v>45</v>
      </c>
      <c r="AG146" s="25">
        <f t="shared" si="4"/>
        <v>135</v>
      </c>
      <c r="AH146" s="27">
        <f t="shared" si="5"/>
        <v>18.66666667</v>
      </c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ht="15.75" customHeight="1">
      <c r="A147" s="23" t="s">
        <v>26</v>
      </c>
      <c r="B147" s="24">
        <f t="shared" si="6"/>
        <v>45436</v>
      </c>
      <c r="C147" s="25">
        <v>6.0</v>
      </c>
      <c r="D147" s="25" t="s">
        <v>22</v>
      </c>
      <c r="E147" s="22" t="s">
        <v>35</v>
      </c>
      <c r="F147" s="92">
        <v>0.0</v>
      </c>
      <c r="H147" s="93">
        <v>45.0</v>
      </c>
      <c r="J147" s="93">
        <v>0.0</v>
      </c>
      <c r="L147" s="93">
        <v>0.0</v>
      </c>
      <c r="N147" s="93">
        <v>45.0</v>
      </c>
      <c r="P147" s="93">
        <v>0.0</v>
      </c>
      <c r="Q147" s="20"/>
      <c r="R147" s="18"/>
      <c r="T147" s="19"/>
      <c r="V147" s="19"/>
      <c r="X147" s="19"/>
      <c r="Z147" s="19"/>
      <c r="AB147" s="19"/>
      <c r="AC147" s="20"/>
      <c r="AD147" s="26">
        <f t="shared" si="1"/>
        <v>1440</v>
      </c>
      <c r="AE147" s="25">
        <f t="shared" si="2"/>
        <v>45</v>
      </c>
      <c r="AF147" s="25">
        <f t="shared" si="3"/>
        <v>45</v>
      </c>
      <c r="AG147" s="25">
        <f t="shared" si="4"/>
        <v>90</v>
      </c>
      <c r="AH147" s="27">
        <f t="shared" si="5"/>
        <v>16</v>
      </c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ht="15.75" customHeight="1">
      <c r="A148" s="23" t="s">
        <v>27</v>
      </c>
      <c r="B148" s="24">
        <f t="shared" si="6"/>
        <v>45437</v>
      </c>
      <c r="C148" s="25">
        <v>6.0</v>
      </c>
      <c r="D148" s="25" t="s">
        <v>22</v>
      </c>
      <c r="E148" s="22" t="s">
        <v>35</v>
      </c>
      <c r="F148" s="92">
        <v>0.0</v>
      </c>
      <c r="H148" s="93">
        <v>45.0</v>
      </c>
      <c r="J148" s="93">
        <v>0.0</v>
      </c>
      <c r="L148" s="93">
        <v>0.0</v>
      </c>
      <c r="N148" s="93">
        <v>45.0</v>
      </c>
      <c r="P148" s="93">
        <v>0.0</v>
      </c>
      <c r="Q148" s="20"/>
      <c r="R148" s="18"/>
      <c r="T148" s="19"/>
      <c r="V148" s="19"/>
      <c r="X148" s="19"/>
      <c r="Z148" s="19"/>
      <c r="AB148" s="19"/>
      <c r="AC148" s="20"/>
      <c r="AD148" s="26">
        <f t="shared" si="1"/>
        <v>1440</v>
      </c>
      <c r="AE148" s="25">
        <f t="shared" si="2"/>
        <v>45</v>
      </c>
      <c r="AF148" s="25">
        <f t="shared" si="3"/>
        <v>45</v>
      </c>
      <c r="AG148" s="25">
        <f t="shared" si="4"/>
        <v>90</v>
      </c>
      <c r="AH148" s="27">
        <f t="shared" si="5"/>
        <v>16</v>
      </c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ht="15.75" customHeight="1">
      <c r="A149" s="28" t="s">
        <v>28</v>
      </c>
      <c r="B149" s="29">
        <f t="shared" si="6"/>
        <v>45438</v>
      </c>
      <c r="C149" s="30">
        <v>6.0</v>
      </c>
      <c r="D149" s="30" t="s">
        <v>22</v>
      </c>
      <c r="E149" s="31" t="s">
        <v>35</v>
      </c>
      <c r="F149" s="108">
        <v>45.0</v>
      </c>
      <c r="G149" s="7"/>
      <c r="H149" s="109">
        <v>0.0</v>
      </c>
      <c r="I149" s="7"/>
      <c r="J149" s="109">
        <v>45.0</v>
      </c>
      <c r="K149" s="7"/>
      <c r="L149" s="109">
        <v>0.0</v>
      </c>
      <c r="M149" s="7"/>
      <c r="N149" s="109">
        <v>0.0</v>
      </c>
      <c r="O149" s="7"/>
      <c r="P149" s="109">
        <v>0.0</v>
      </c>
      <c r="Q149" s="34"/>
      <c r="R149" s="32"/>
      <c r="S149" s="7"/>
      <c r="T149" s="33"/>
      <c r="U149" s="7"/>
      <c r="V149" s="33"/>
      <c r="W149" s="7"/>
      <c r="X149" s="33"/>
      <c r="Y149" s="7"/>
      <c r="Z149" s="33"/>
      <c r="AA149" s="7"/>
      <c r="AB149" s="33"/>
      <c r="AC149" s="34"/>
      <c r="AD149" s="35">
        <f t="shared" si="1"/>
        <v>2160</v>
      </c>
      <c r="AE149" s="30">
        <f t="shared" si="2"/>
        <v>90</v>
      </c>
      <c r="AF149" s="30">
        <f t="shared" si="3"/>
        <v>0</v>
      </c>
      <c r="AG149" s="30">
        <f t="shared" si="4"/>
        <v>90</v>
      </c>
      <c r="AH149" s="36">
        <f t="shared" si="5"/>
        <v>24</v>
      </c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ht="15.75" customHeight="1">
      <c r="A150" s="14" t="s">
        <v>21</v>
      </c>
      <c r="B150" s="15">
        <f t="shared" si="6"/>
        <v>45439</v>
      </c>
      <c r="C150" s="16">
        <v>6.0</v>
      </c>
      <c r="D150" s="16" t="s">
        <v>29</v>
      </c>
      <c r="E150" s="17" t="s">
        <v>34</v>
      </c>
      <c r="F150" s="92">
        <v>0.0</v>
      </c>
      <c r="H150" s="93">
        <v>0.0</v>
      </c>
      <c r="J150" s="93">
        <v>0.0</v>
      </c>
      <c r="L150" s="93">
        <v>0.0</v>
      </c>
      <c r="N150" s="93">
        <v>0.0</v>
      </c>
      <c r="P150" s="93">
        <v>0.0</v>
      </c>
      <c r="Q150" s="20"/>
      <c r="R150" s="18"/>
      <c r="T150" s="19"/>
      <c r="V150" s="19"/>
      <c r="X150" s="19"/>
      <c r="Z150" s="19"/>
      <c r="AB150" s="19"/>
      <c r="AC150" s="20"/>
      <c r="AD150" s="21">
        <f t="shared" si="1"/>
        <v>0</v>
      </c>
      <c r="AE150" s="16">
        <f t="shared" si="2"/>
        <v>0</v>
      </c>
      <c r="AF150" s="16">
        <f t="shared" si="3"/>
        <v>0</v>
      </c>
      <c r="AG150" s="16">
        <f t="shared" si="4"/>
        <v>0</v>
      </c>
      <c r="AH150" s="37">
        <f t="shared" si="5"/>
        <v>0</v>
      </c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ht="15.75" customHeight="1">
      <c r="A151" s="23" t="s">
        <v>23</v>
      </c>
      <c r="B151" s="24">
        <f t="shared" si="6"/>
        <v>45440</v>
      </c>
      <c r="C151" s="25">
        <v>6.0</v>
      </c>
      <c r="D151" s="25" t="s">
        <v>29</v>
      </c>
      <c r="E151" s="22" t="s">
        <v>35</v>
      </c>
      <c r="F151" s="92">
        <v>0.0</v>
      </c>
      <c r="H151" s="93">
        <v>0.0</v>
      </c>
      <c r="J151" s="93">
        <v>0.0</v>
      </c>
      <c r="L151" s="93">
        <v>0.0</v>
      </c>
      <c r="N151" s="93">
        <v>0.0</v>
      </c>
      <c r="P151" s="93">
        <v>0.0</v>
      </c>
      <c r="Q151" s="20"/>
      <c r="R151" s="18"/>
      <c r="T151" s="19"/>
      <c r="V151" s="19"/>
      <c r="X151" s="19"/>
      <c r="Z151" s="19"/>
      <c r="AB151" s="19"/>
      <c r="AC151" s="20"/>
      <c r="AD151" s="26">
        <f t="shared" si="1"/>
        <v>0</v>
      </c>
      <c r="AE151" s="25">
        <f t="shared" si="2"/>
        <v>0</v>
      </c>
      <c r="AF151" s="25">
        <f t="shared" si="3"/>
        <v>0</v>
      </c>
      <c r="AG151" s="25">
        <f t="shared" si="4"/>
        <v>0</v>
      </c>
      <c r="AH151" s="27">
        <f t="shared" si="5"/>
        <v>0</v>
      </c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ht="15.75" customHeight="1">
      <c r="A152" s="23" t="s">
        <v>24</v>
      </c>
      <c r="B152" s="24">
        <f t="shared" si="6"/>
        <v>45441</v>
      </c>
      <c r="C152" s="25">
        <v>6.0</v>
      </c>
      <c r="D152" s="25" t="s">
        <v>29</v>
      </c>
      <c r="E152" s="22" t="s">
        <v>35</v>
      </c>
      <c r="F152" s="92">
        <v>0.0</v>
      </c>
      <c r="H152" s="93">
        <v>0.0</v>
      </c>
      <c r="J152" s="93">
        <v>0.0</v>
      </c>
      <c r="L152" s="93">
        <v>0.0</v>
      </c>
      <c r="N152" s="93">
        <v>0.0</v>
      </c>
      <c r="P152" s="93">
        <v>0.0</v>
      </c>
      <c r="Q152" s="20"/>
      <c r="R152" s="18"/>
      <c r="T152" s="19"/>
      <c r="V152" s="19"/>
      <c r="X152" s="19"/>
      <c r="Z152" s="19"/>
      <c r="AB152" s="19"/>
      <c r="AC152" s="20"/>
      <c r="AD152" s="26">
        <f t="shared" si="1"/>
        <v>0</v>
      </c>
      <c r="AE152" s="25">
        <f t="shared" si="2"/>
        <v>0</v>
      </c>
      <c r="AF152" s="25">
        <f t="shared" si="3"/>
        <v>0</v>
      </c>
      <c r="AG152" s="25">
        <f t="shared" si="4"/>
        <v>0</v>
      </c>
      <c r="AH152" s="27">
        <f t="shared" si="5"/>
        <v>0</v>
      </c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ht="15.75" customHeight="1">
      <c r="A153" s="23" t="s">
        <v>25</v>
      </c>
      <c r="B153" s="24">
        <f t="shared" si="6"/>
        <v>45442</v>
      </c>
      <c r="C153" s="25">
        <v>6.0</v>
      </c>
      <c r="D153" s="25" t="s">
        <v>29</v>
      </c>
      <c r="E153" s="22" t="s">
        <v>35</v>
      </c>
      <c r="F153" s="92">
        <v>0.0</v>
      </c>
      <c r="H153" s="93">
        <v>45.0</v>
      </c>
      <c r="J153" s="93">
        <v>45.0</v>
      </c>
      <c r="L153" s="93">
        <v>0.0</v>
      </c>
      <c r="N153" s="93">
        <v>45.0</v>
      </c>
      <c r="P153" s="93">
        <v>0.0</v>
      </c>
      <c r="Q153" s="20"/>
      <c r="R153" s="18"/>
      <c r="T153" s="19"/>
      <c r="V153" s="19"/>
      <c r="X153" s="19"/>
      <c r="Z153" s="19"/>
      <c r="AB153" s="19"/>
      <c r="AC153" s="20"/>
      <c r="AD153" s="26">
        <f t="shared" si="1"/>
        <v>2520</v>
      </c>
      <c r="AE153" s="25">
        <f t="shared" si="2"/>
        <v>90</v>
      </c>
      <c r="AF153" s="25">
        <f t="shared" si="3"/>
        <v>45</v>
      </c>
      <c r="AG153" s="25">
        <f t="shared" si="4"/>
        <v>135</v>
      </c>
      <c r="AH153" s="27">
        <f t="shared" si="5"/>
        <v>18.66666667</v>
      </c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ht="15.75" customHeight="1">
      <c r="A154" s="23" t="s">
        <v>26</v>
      </c>
      <c r="B154" s="24">
        <f t="shared" si="6"/>
        <v>45443</v>
      </c>
      <c r="C154" s="25">
        <v>6.0</v>
      </c>
      <c r="D154" s="25" t="s">
        <v>29</v>
      </c>
      <c r="E154" s="22" t="s">
        <v>35</v>
      </c>
      <c r="F154" s="92">
        <v>0.0</v>
      </c>
      <c r="H154" s="93">
        <v>45.0</v>
      </c>
      <c r="J154" s="93">
        <v>45.0</v>
      </c>
      <c r="L154" s="93">
        <v>0.0</v>
      </c>
      <c r="N154" s="93">
        <v>45.0</v>
      </c>
      <c r="P154" s="93">
        <v>0.0</v>
      </c>
      <c r="Q154" s="20"/>
      <c r="R154" s="18"/>
      <c r="T154" s="19"/>
      <c r="V154" s="19"/>
      <c r="X154" s="19"/>
      <c r="Z154" s="19"/>
      <c r="AB154" s="19"/>
      <c r="AC154" s="20"/>
      <c r="AD154" s="26">
        <f t="shared" si="1"/>
        <v>2520</v>
      </c>
      <c r="AE154" s="25">
        <f t="shared" si="2"/>
        <v>90</v>
      </c>
      <c r="AF154" s="25">
        <f t="shared" si="3"/>
        <v>45</v>
      </c>
      <c r="AG154" s="25">
        <f t="shared" si="4"/>
        <v>135</v>
      </c>
      <c r="AH154" s="27">
        <f t="shared" si="5"/>
        <v>18.66666667</v>
      </c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ht="15.75" customHeight="1">
      <c r="A155" s="23" t="s">
        <v>27</v>
      </c>
      <c r="B155" s="24">
        <f t="shared" si="6"/>
        <v>45444</v>
      </c>
      <c r="C155" s="25">
        <v>6.0</v>
      </c>
      <c r="D155" s="25" t="s">
        <v>29</v>
      </c>
      <c r="E155" s="22" t="s">
        <v>35</v>
      </c>
      <c r="F155" s="92">
        <v>0.0</v>
      </c>
      <c r="H155" s="93">
        <v>45.0</v>
      </c>
      <c r="J155" s="93">
        <v>45.0</v>
      </c>
      <c r="L155" s="93">
        <v>0.0</v>
      </c>
      <c r="N155" s="93">
        <v>45.0</v>
      </c>
      <c r="P155" s="93">
        <v>0.0</v>
      </c>
      <c r="Q155" s="20"/>
      <c r="R155" s="18"/>
      <c r="T155" s="19"/>
      <c r="V155" s="19"/>
      <c r="X155" s="19"/>
      <c r="Z155" s="19"/>
      <c r="AB155" s="19"/>
      <c r="AC155" s="20"/>
      <c r="AD155" s="26">
        <f t="shared" si="1"/>
        <v>2520</v>
      </c>
      <c r="AE155" s="25">
        <f t="shared" si="2"/>
        <v>90</v>
      </c>
      <c r="AF155" s="25">
        <f t="shared" si="3"/>
        <v>45</v>
      </c>
      <c r="AG155" s="25">
        <f t="shared" si="4"/>
        <v>135</v>
      </c>
      <c r="AH155" s="27">
        <f t="shared" si="5"/>
        <v>18.66666667</v>
      </c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ht="15.75" customHeight="1">
      <c r="A156" s="28" t="s">
        <v>28</v>
      </c>
      <c r="B156" s="29">
        <f t="shared" si="6"/>
        <v>45445</v>
      </c>
      <c r="C156" s="30">
        <v>6.0</v>
      </c>
      <c r="D156" s="30" t="s">
        <v>29</v>
      </c>
      <c r="E156" s="31" t="s">
        <v>33</v>
      </c>
      <c r="F156" s="109">
        <v>45.0</v>
      </c>
      <c r="G156" s="7"/>
      <c r="H156" s="109">
        <v>0.0</v>
      </c>
      <c r="I156" s="7"/>
      <c r="J156" s="109">
        <v>45.0</v>
      </c>
      <c r="K156" s="7"/>
      <c r="L156" s="109">
        <v>0.0</v>
      </c>
      <c r="M156" s="7"/>
      <c r="N156" s="109">
        <v>0.0</v>
      </c>
      <c r="O156" s="7"/>
      <c r="P156" s="109">
        <v>0.0</v>
      </c>
      <c r="Q156" s="34"/>
      <c r="R156" s="32"/>
      <c r="S156" s="7"/>
      <c r="T156" s="33"/>
      <c r="U156" s="7"/>
      <c r="V156" s="33"/>
      <c r="W156" s="7"/>
      <c r="X156" s="33"/>
      <c r="Y156" s="7"/>
      <c r="Z156" s="33"/>
      <c r="AA156" s="7"/>
      <c r="AB156" s="33"/>
      <c r="AC156" s="34"/>
      <c r="AD156" s="35">
        <f t="shared" si="1"/>
        <v>2160</v>
      </c>
      <c r="AE156" s="30">
        <f t="shared" si="2"/>
        <v>90</v>
      </c>
      <c r="AF156" s="30">
        <f t="shared" si="3"/>
        <v>0</v>
      </c>
      <c r="AG156" s="30">
        <f t="shared" si="4"/>
        <v>90</v>
      </c>
      <c r="AH156" s="36">
        <f t="shared" si="5"/>
        <v>24</v>
      </c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ht="15.75" customHeight="1">
      <c r="A157" s="14" t="s">
        <v>21</v>
      </c>
      <c r="B157" s="15">
        <f t="shared" si="6"/>
        <v>45446</v>
      </c>
      <c r="C157" s="16">
        <v>6.0</v>
      </c>
      <c r="D157" s="16" t="s">
        <v>30</v>
      </c>
      <c r="E157" s="17" t="s">
        <v>34</v>
      </c>
      <c r="F157" s="114">
        <v>0.0</v>
      </c>
      <c r="H157" s="115">
        <v>0.0</v>
      </c>
      <c r="J157" s="115">
        <v>0.0</v>
      </c>
      <c r="L157" s="115">
        <v>0.0</v>
      </c>
      <c r="N157" s="115">
        <v>0.0</v>
      </c>
      <c r="P157" s="115">
        <v>0.0</v>
      </c>
      <c r="Q157" s="20"/>
      <c r="R157" s="18"/>
      <c r="T157" s="19"/>
      <c r="V157" s="19"/>
      <c r="X157" s="19"/>
      <c r="Z157" s="19"/>
      <c r="AB157" s="19"/>
      <c r="AC157" s="20"/>
      <c r="AD157" s="21">
        <f t="shared" si="1"/>
        <v>0</v>
      </c>
      <c r="AE157" s="16">
        <f t="shared" si="2"/>
        <v>0</v>
      </c>
      <c r="AF157" s="16">
        <f t="shared" si="3"/>
        <v>0</v>
      </c>
      <c r="AG157" s="16">
        <f t="shared" si="4"/>
        <v>0</v>
      </c>
      <c r="AH157" s="37">
        <f t="shared" si="5"/>
        <v>0</v>
      </c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ht="15.75" customHeight="1">
      <c r="A158" s="23" t="s">
        <v>23</v>
      </c>
      <c r="B158" s="24">
        <f t="shared" si="6"/>
        <v>45447</v>
      </c>
      <c r="C158" s="25">
        <v>6.0</v>
      </c>
      <c r="D158" s="25" t="s">
        <v>30</v>
      </c>
      <c r="E158" s="22" t="s">
        <v>34</v>
      </c>
      <c r="F158" s="114">
        <v>0.0</v>
      </c>
      <c r="H158" s="115">
        <v>0.0</v>
      </c>
      <c r="J158" s="115">
        <v>0.0</v>
      </c>
      <c r="L158" s="115">
        <v>0.0</v>
      </c>
      <c r="N158" s="115">
        <v>0.0</v>
      </c>
      <c r="P158" s="115">
        <v>0.0</v>
      </c>
      <c r="Q158" s="20"/>
      <c r="R158" s="18"/>
      <c r="T158" s="19"/>
      <c r="V158" s="19"/>
      <c r="X158" s="19"/>
      <c r="Z158" s="19"/>
      <c r="AB158" s="19"/>
      <c r="AC158" s="20"/>
      <c r="AD158" s="26">
        <f t="shared" si="1"/>
        <v>0</v>
      </c>
      <c r="AE158" s="25">
        <f t="shared" si="2"/>
        <v>0</v>
      </c>
      <c r="AF158" s="25">
        <f t="shared" si="3"/>
        <v>0</v>
      </c>
      <c r="AG158" s="25">
        <f t="shared" si="4"/>
        <v>0</v>
      </c>
      <c r="AH158" s="27">
        <f t="shared" si="5"/>
        <v>0</v>
      </c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ht="15.75" customHeight="1">
      <c r="A159" s="23" t="s">
        <v>24</v>
      </c>
      <c r="B159" s="24">
        <f t="shared" si="6"/>
        <v>45448</v>
      </c>
      <c r="C159" s="25">
        <v>6.0</v>
      </c>
      <c r="D159" s="25" t="s">
        <v>30</v>
      </c>
      <c r="E159" s="22" t="s">
        <v>34</v>
      </c>
      <c r="F159" s="114">
        <v>0.0</v>
      </c>
      <c r="H159" s="115">
        <v>0.0</v>
      </c>
      <c r="J159" s="115">
        <v>0.0</v>
      </c>
      <c r="L159" s="115">
        <v>0.0</v>
      </c>
      <c r="N159" s="115">
        <v>0.0</v>
      </c>
      <c r="P159" s="115">
        <v>0.0</v>
      </c>
      <c r="Q159" s="20"/>
      <c r="R159" s="18"/>
      <c r="T159" s="19"/>
      <c r="V159" s="19"/>
      <c r="X159" s="19"/>
      <c r="Z159" s="19"/>
      <c r="AB159" s="19"/>
      <c r="AC159" s="20"/>
      <c r="AD159" s="26">
        <f t="shared" si="1"/>
        <v>0</v>
      </c>
      <c r="AE159" s="25">
        <f t="shared" si="2"/>
        <v>0</v>
      </c>
      <c r="AF159" s="25">
        <f t="shared" si="3"/>
        <v>0</v>
      </c>
      <c r="AG159" s="25">
        <f t="shared" si="4"/>
        <v>0</v>
      </c>
      <c r="AH159" s="27">
        <f t="shared" si="5"/>
        <v>0</v>
      </c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ht="15.75" customHeight="1">
      <c r="A160" s="23" t="s">
        <v>25</v>
      </c>
      <c r="B160" s="24">
        <f t="shared" si="6"/>
        <v>45449</v>
      </c>
      <c r="C160" s="25">
        <v>6.0</v>
      </c>
      <c r="D160" s="25" t="s">
        <v>30</v>
      </c>
      <c r="E160" s="22" t="s">
        <v>34</v>
      </c>
      <c r="F160" s="114">
        <v>0.0</v>
      </c>
      <c r="H160" s="115">
        <v>0.0</v>
      </c>
      <c r="J160" s="115">
        <v>0.0</v>
      </c>
      <c r="L160" s="115">
        <v>0.0</v>
      </c>
      <c r="N160" s="115">
        <v>0.0</v>
      </c>
      <c r="P160" s="115">
        <v>0.0</v>
      </c>
      <c r="Q160" s="20"/>
      <c r="R160" s="18"/>
      <c r="T160" s="19"/>
      <c r="V160" s="19"/>
      <c r="X160" s="19"/>
      <c r="Z160" s="19"/>
      <c r="AB160" s="19"/>
      <c r="AC160" s="20"/>
      <c r="AD160" s="26">
        <f t="shared" si="1"/>
        <v>0</v>
      </c>
      <c r="AE160" s="25">
        <f t="shared" si="2"/>
        <v>0</v>
      </c>
      <c r="AF160" s="25">
        <f t="shared" si="3"/>
        <v>0</v>
      </c>
      <c r="AG160" s="25">
        <f t="shared" si="4"/>
        <v>0</v>
      </c>
      <c r="AH160" s="27">
        <f t="shared" si="5"/>
        <v>0</v>
      </c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ht="15.75" customHeight="1">
      <c r="A161" s="23" t="s">
        <v>26</v>
      </c>
      <c r="B161" s="24">
        <f t="shared" si="6"/>
        <v>45450</v>
      </c>
      <c r="C161" s="25">
        <v>6.0</v>
      </c>
      <c r="D161" s="25" t="s">
        <v>30</v>
      </c>
      <c r="E161" s="22" t="s">
        <v>34</v>
      </c>
      <c r="F161" s="114">
        <v>0.0</v>
      </c>
      <c r="H161" s="115">
        <v>0.0</v>
      </c>
      <c r="J161" s="115">
        <v>0.0</v>
      </c>
      <c r="L161" s="115">
        <v>0.0</v>
      </c>
      <c r="N161" s="115">
        <v>0.0</v>
      </c>
      <c r="P161" s="115">
        <v>0.0</v>
      </c>
      <c r="Q161" s="20"/>
      <c r="R161" s="18"/>
      <c r="T161" s="19"/>
      <c r="V161" s="19"/>
      <c r="X161" s="19"/>
      <c r="Z161" s="19"/>
      <c r="AB161" s="19"/>
      <c r="AC161" s="20"/>
      <c r="AD161" s="26">
        <f t="shared" si="1"/>
        <v>0</v>
      </c>
      <c r="AE161" s="25">
        <f t="shared" si="2"/>
        <v>0</v>
      </c>
      <c r="AF161" s="25">
        <f t="shared" si="3"/>
        <v>0</v>
      </c>
      <c r="AG161" s="25">
        <f t="shared" si="4"/>
        <v>0</v>
      </c>
      <c r="AH161" s="27">
        <f t="shared" si="5"/>
        <v>0</v>
      </c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ht="15.75" customHeight="1">
      <c r="A162" s="23" t="s">
        <v>27</v>
      </c>
      <c r="B162" s="24">
        <f t="shared" si="6"/>
        <v>45451</v>
      </c>
      <c r="C162" s="25">
        <v>6.0</v>
      </c>
      <c r="D162" s="25" t="s">
        <v>30</v>
      </c>
      <c r="E162" s="22" t="s">
        <v>34</v>
      </c>
      <c r="F162" s="114">
        <v>0.0</v>
      </c>
      <c r="H162" s="115">
        <v>0.0</v>
      </c>
      <c r="J162" s="115">
        <v>0.0</v>
      </c>
      <c r="L162" s="115">
        <v>0.0</v>
      </c>
      <c r="N162" s="115">
        <v>0.0</v>
      </c>
      <c r="P162" s="115">
        <v>0.0</v>
      </c>
      <c r="Q162" s="20"/>
      <c r="R162" s="18"/>
      <c r="T162" s="19"/>
      <c r="V162" s="19"/>
      <c r="X162" s="19"/>
      <c r="Z162" s="19"/>
      <c r="AB162" s="19"/>
      <c r="AC162" s="20"/>
      <c r="AD162" s="26">
        <f t="shared" si="1"/>
        <v>0</v>
      </c>
      <c r="AE162" s="25">
        <f t="shared" si="2"/>
        <v>0</v>
      </c>
      <c r="AF162" s="25">
        <f t="shared" si="3"/>
        <v>0</v>
      </c>
      <c r="AG162" s="25">
        <f t="shared" si="4"/>
        <v>0</v>
      </c>
      <c r="AH162" s="27">
        <f t="shared" si="5"/>
        <v>0</v>
      </c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ht="15.75" customHeight="1">
      <c r="A163" s="28" t="s">
        <v>28</v>
      </c>
      <c r="B163" s="29">
        <f t="shared" si="6"/>
        <v>45452</v>
      </c>
      <c r="C163" s="30">
        <v>6.0</v>
      </c>
      <c r="D163" s="30" t="s">
        <v>30</v>
      </c>
      <c r="E163" s="31" t="s">
        <v>34</v>
      </c>
      <c r="F163" s="116">
        <v>0.0</v>
      </c>
      <c r="G163" s="7"/>
      <c r="H163" s="116">
        <v>0.0</v>
      </c>
      <c r="I163" s="7"/>
      <c r="J163" s="116">
        <v>0.0</v>
      </c>
      <c r="K163" s="7"/>
      <c r="L163" s="116">
        <v>0.0</v>
      </c>
      <c r="M163" s="7"/>
      <c r="N163" s="116">
        <v>0.0</v>
      </c>
      <c r="O163" s="7"/>
      <c r="P163" s="116">
        <v>0.0</v>
      </c>
      <c r="Q163" s="34"/>
      <c r="R163" s="32"/>
      <c r="S163" s="7"/>
      <c r="T163" s="33"/>
      <c r="U163" s="7"/>
      <c r="V163" s="33"/>
      <c r="W163" s="7"/>
      <c r="X163" s="33"/>
      <c r="Y163" s="7"/>
      <c r="Z163" s="33"/>
      <c r="AA163" s="7"/>
      <c r="AB163" s="33"/>
      <c r="AC163" s="34"/>
      <c r="AD163" s="35">
        <f t="shared" si="1"/>
        <v>0</v>
      </c>
      <c r="AE163" s="30">
        <f t="shared" si="2"/>
        <v>0</v>
      </c>
      <c r="AF163" s="30">
        <f t="shared" si="3"/>
        <v>0</v>
      </c>
      <c r="AG163" s="30">
        <f t="shared" si="4"/>
        <v>0</v>
      </c>
      <c r="AH163" s="36">
        <f t="shared" si="5"/>
        <v>0</v>
      </c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ht="15.75" customHeight="1">
      <c r="A164" s="14" t="s">
        <v>21</v>
      </c>
      <c r="B164" s="15">
        <f t="shared" si="6"/>
        <v>45453</v>
      </c>
      <c r="C164" s="16">
        <v>6.0</v>
      </c>
      <c r="D164" s="16" t="s">
        <v>31</v>
      </c>
      <c r="E164" s="17" t="s">
        <v>34</v>
      </c>
      <c r="F164" s="92">
        <v>0.0</v>
      </c>
      <c r="H164" s="93">
        <v>0.0</v>
      </c>
      <c r="J164" s="93">
        <v>0.0</v>
      </c>
      <c r="L164" s="93">
        <v>0.0</v>
      </c>
      <c r="N164" s="93">
        <v>0.0</v>
      </c>
      <c r="P164" s="93">
        <v>0.0</v>
      </c>
      <c r="Q164" s="20"/>
      <c r="R164" s="18"/>
      <c r="T164" s="19"/>
      <c r="V164" s="19"/>
      <c r="X164" s="19"/>
      <c r="Z164" s="19"/>
      <c r="AB164" s="19"/>
      <c r="AC164" s="20"/>
      <c r="AD164" s="21">
        <f t="shared" si="1"/>
        <v>0</v>
      </c>
      <c r="AE164" s="16">
        <f t="shared" si="2"/>
        <v>0</v>
      </c>
      <c r="AF164" s="16">
        <f t="shared" si="3"/>
        <v>0</v>
      </c>
      <c r="AG164" s="16">
        <f t="shared" si="4"/>
        <v>0</v>
      </c>
      <c r="AH164" s="37">
        <f t="shared" si="5"/>
        <v>0</v>
      </c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ht="15.75" customHeight="1">
      <c r="A165" s="23" t="s">
        <v>23</v>
      </c>
      <c r="B165" s="24">
        <f t="shared" si="6"/>
        <v>45454</v>
      </c>
      <c r="C165" s="25">
        <v>6.0</v>
      </c>
      <c r="D165" s="25" t="s">
        <v>31</v>
      </c>
      <c r="E165" s="22" t="s">
        <v>35</v>
      </c>
      <c r="F165" s="92">
        <v>0.0</v>
      </c>
      <c r="H165" s="93">
        <v>45.0</v>
      </c>
      <c r="J165" s="93">
        <v>45.0</v>
      </c>
      <c r="L165" s="93">
        <v>0.0</v>
      </c>
      <c r="N165" s="93">
        <v>45.0</v>
      </c>
      <c r="P165" s="93">
        <v>0.0</v>
      </c>
      <c r="Q165" s="20"/>
      <c r="R165" s="18"/>
      <c r="T165" s="19"/>
      <c r="V165" s="19"/>
      <c r="X165" s="19"/>
      <c r="Z165" s="19"/>
      <c r="AB165" s="19"/>
      <c r="AC165" s="20"/>
      <c r="AD165" s="26">
        <f t="shared" si="1"/>
        <v>2520</v>
      </c>
      <c r="AE165" s="25">
        <f t="shared" si="2"/>
        <v>90</v>
      </c>
      <c r="AF165" s="25">
        <f t="shared" si="3"/>
        <v>45</v>
      </c>
      <c r="AG165" s="25">
        <f t="shared" si="4"/>
        <v>135</v>
      </c>
      <c r="AH165" s="27">
        <f t="shared" si="5"/>
        <v>18.66666667</v>
      </c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ht="15.75" customHeight="1">
      <c r="A166" s="23" t="s">
        <v>24</v>
      </c>
      <c r="B166" s="24">
        <f t="shared" si="6"/>
        <v>45455</v>
      </c>
      <c r="C166" s="25">
        <v>6.0</v>
      </c>
      <c r="D166" s="25" t="s">
        <v>31</v>
      </c>
      <c r="E166" s="22" t="s">
        <v>33</v>
      </c>
      <c r="F166" s="92">
        <v>45.0</v>
      </c>
      <c r="H166" s="93">
        <v>0.0</v>
      </c>
      <c r="J166" s="93">
        <v>45.0</v>
      </c>
      <c r="L166" s="93">
        <v>0.0</v>
      </c>
      <c r="N166" s="93">
        <v>0.0</v>
      </c>
      <c r="P166" s="93">
        <v>0.0</v>
      </c>
      <c r="Q166" s="20"/>
      <c r="R166" s="18"/>
      <c r="T166" s="19"/>
      <c r="V166" s="19"/>
      <c r="X166" s="19"/>
      <c r="Z166" s="19"/>
      <c r="AB166" s="19"/>
      <c r="AC166" s="20"/>
      <c r="AD166" s="26">
        <f t="shared" si="1"/>
        <v>2160</v>
      </c>
      <c r="AE166" s="25">
        <f t="shared" si="2"/>
        <v>90</v>
      </c>
      <c r="AF166" s="25">
        <f t="shared" si="3"/>
        <v>0</v>
      </c>
      <c r="AG166" s="25">
        <f t="shared" si="4"/>
        <v>90</v>
      </c>
      <c r="AH166" s="27">
        <f t="shared" si="5"/>
        <v>24</v>
      </c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ht="15.75" customHeight="1">
      <c r="A167" s="23" t="s">
        <v>25</v>
      </c>
      <c r="B167" s="24">
        <f t="shared" si="6"/>
        <v>45456</v>
      </c>
      <c r="C167" s="25">
        <v>6.0</v>
      </c>
      <c r="D167" s="25" t="s">
        <v>31</v>
      </c>
      <c r="E167" s="22" t="s">
        <v>35</v>
      </c>
      <c r="F167" s="92">
        <v>0.0</v>
      </c>
      <c r="H167" s="93">
        <v>45.0</v>
      </c>
      <c r="J167" s="93">
        <v>45.0</v>
      </c>
      <c r="L167" s="93">
        <v>0.0</v>
      </c>
      <c r="N167" s="93">
        <v>45.0</v>
      </c>
      <c r="P167" s="93">
        <v>0.0</v>
      </c>
      <c r="Q167" s="20"/>
      <c r="R167" s="18"/>
      <c r="T167" s="19"/>
      <c r="V167" s="19"/>
      <c r="X167" s="19"/>
      <c r="Z167" s="19"/>
      <c r="AB167" s="19"/>
      <c r="AC167" s="20"/>
      <c r="AD167" s="26">
        <f t="shared" si="1"/>
        <v>2520</v>
      </c>
      <c r="AE167" s="25">
        <f t="shared" si="2"/>
        <v>90</v>
      </c>
      <c r="AF167" s="25">
        <f t="shared" si="3"/>
        <v>45</v>
      </c>
      <c r="AG167" s="25">
        <f t="shared" si="4"/>
        <v>135</v>
      </c>
      <c r="AH167" s="27">
        <f t="shared" si="5"/>
        <v>18.66666667</v>
      </c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ht="15.75" customHeight="1">
      <c r="A168" s="23" t="s">
        <v>26</v>
      </c>
      <c r="B168" s="24">
        <f t="shared" si="6"/>
        <v>45457</v>
      </c>
      <c r="C168" s="25">
        <v>6.0</v>
      </c>
      <c r="D168" s="25" t="s">
        <v>31</v>
      </c>
      <c r="E168" s="22" t="s">
        <v>35</v>
      </c>
      <c r="F168" s="92">
        <v>0.0</v>
      </c>
      <c r="H168" s="93">
        <v>45.0</v>
      </c>
      <c r="J168" s="93">
        <v>45.0</v>
      </c>
      <c r="L168" s="93">
        <v>0.0</v>
      </c>
      <c r="N168" s="93">
        <v>45.0</v>
      </c>
      <c r="P168" s="93">
        <v>0.0</v>
      </c>
      <c r="Q168" s="20"/>
      <c r="R168" s="18"/>
      <c r="T168" s="19"/>
      <c r="V168" s="19"/>
      <c r="X168" s="19"/>
      <c r="Z168" s="19"/>
      <c r="AB168" s="19"/>
      <c r="AC168" s="20"/>
      <c r="AD168" s="26">
        <f t="shared" si="1"/>
        <v>2520</v>
      </c>
      <c r="AE168" s="25">
        <f t="shared" si="2"/>
        <v>90</v>
      </c>
      <c r="AF168" s="25">
        <f t="shared" si="3"/>
        <v>45</v>
      </c>
      <c r="AG168" s="25">
        <f t="shared" si="4"/>
        <v>135</v>
      </c>
      <c r="AH168" s="27">
        <f t="shared" si="5"/>
        <v>18.66666667</v>
      </c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ht="15.75" customHeight="1">
      <c r="A169" s="23" t="s">
        <v>27</v>
      </c>
      <c r="B169" s="24">
        <f t="shared" si="6"/>
        <v>45458</v>
      </c>
      <c r="C169" s="25">
        <v>6.0</v>
      </c>
      <c r="D169" s="25" t="s">
        <v>31</v>
      </c>
      <c r="E169" s="22" t="s">
        <v>35</v>
      </c>
      <c r="F169" s="92">
        <v>0.0</v>
      </c>
      <c r="H169" s="93">
        <v>45.0</v>
      </c>
      <c r="J169" s="93">
        <v>45.0</v>
      </c>
      <c r="L169" s="93">
        <v>0.0</v>
      </c>
      <c r="N169" s="93">
        <v>45.0</v>
      </c>
      <c r="P169" s="93">
        <v>0.0</v>
      </c>
      <c r="Q169" s="20"/>
      <c r="R169" s="18"/>
      <c r="T169" s="19"/>
      <c r="V169" s="19"/>
      <c r="X169" s="19"/>
      <c r="Z169" s="19"/>
      <c r="AB169" s="19"/>
      <c r="AC169" s="20"/>
      <c r="AD169" s="26">
        <f t="shared" si="1"/>
        <v>2520</v>
      </c>
      <c r="AE169" s="25">
        <f t="shared" si="2"/>
        <v>90</v>
      </c>
      <c r="AF169" s="25">
        <f t="shared" si="3"/>
        <v>45</v>
      </c>
      <c r="AG169" s="25">
        <f t="shared" si="4"/>
        <v>135</v>
      </c>
      <c r="AH169" s="27">
        <f t="shared" si="5"/>
        <v>18.66666667</v>
      </c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ht="15.75" customHeight="1">
      <c r="A170" s="28" t="s">
        <v>28</v>
      </c>
      <c r="B170" s="29">
        <f t="shared" si="6"/>
        <v>45459</v>
      </c>
      <c r="C170" s="30">
        <v>6.0</v>
      </c>
      <c r="D170" s="30" t="s">
        <v>31</v>
      </c>
      <c r="E170" s="31" t="s">
        <v>33</v>
      </c>
      <c r="F170" s="108">
        <v>45.0</v>
      </c>
      <c r="G170" s="7"/>
      <c r="H170" s="109">
        <v>0.0</v>
      </c>
      <c r="I170" s="7"/>
      <c r="J170" s="109">
        <v>45.0</v>
      </c>
      <c r="K170" s="7"/>
      <c r="L170" s="109">
        <v>0.0</v>
      </c>
      <c r="M170" s="7"/>
      <c r="N170" s="109">
        <v>0.0</v>
      </c>
      <c r="O170" s="7"/>
      <c r="P170" s="109">
        <v>0.0</v>
      </c>
      <c r="Q170" s="34"/>
      <c r="R170" s="32"/>
      <c r="S170" s="7"/>
      <c r="T170" s="33"/>
      <c r="U170" s="7"/>
      <c r="V170" s="33"/>
      <c r="W170" s="7"/>
      <c r="X170" s="33"/>
      <c r="Y170" s="7"/>
      <c r="Z170" s="33"/>
      <c r="AA170" s="7"/>
      <c r="AB170" s="33"/>
      <c r="AC170" s="34"/>
      <c r="AD170" s="35">
        <f t="shared" si="1"/>
        <v>2160</v>
      </c>
      <c r="AE170" s="30">
        <f t="shared" si="2"/>
        <v>90</v>
      </c>
      <c r="AF170" s="30">
        <f t="shared" si="3"/>
        <v>0</v>
      </c>
      <c r="AG170" s="30">
        <f t="shared" si="4"/>
        <v>90</v>
      </c>
      <c r="AH170" s="36">
        <f t="shared" si="5"/>
        <v>24</v>
      </c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ht="15.75" customHeight="1">
      <c r="A171" s="14" t="s">
        <v>21</v>
      </c>
      <c r="B171" s="15">
        <f t="shared" si="6"/>
        <v>45460</v>
      </c>
      <c r="C171" s="16">
        <v>7.0</v>
      </c>
      <c r="D171" s="16" t="s">
        <v>22</v>
      </c>
      <c r="E171" s="17" t="s">
        <v>34</v>
      </c>
      <c r="F171" s="114">
        <v>0.0</v>
      </c>
      <c r="H171" s="115">
        <v>0.0</v>
      </c>
      <c r="J171" s="115">
        <v>0.0</v>
      </c>
      <c r="L171" s="115">
        <v>0.0</v>
      </c>
      <c r="N171" s="115">
        <v>0.0</v>
      </c>
      <c r="P171" s="115">
        <v>0.0</v>
      </c>
      <c r="Q171" s="20"/>
      <c r="R171" s="18"/>
      <c r="T171" s="19"/>
      <c r="V171" s="19"/>
      <c r="X171" s="19"/>
      <c r="Z171" s="19"/>
      <c r="AB171" s="19"/>
      <c r="AC171" s="20"/>
      <c r="AD171" s="21">
        <f t="shared" si="1"/>
        <v>0</v>
      </c>
      <c r="AE171" s="16">
        <f t="shared" si="2"/>
        <v>0</v>
      </c>
      <c r="AF171" s="16">
        <f t="shared" si="3"/>
        <v>0</v>
      </c>
      <c r="AG171" s="16">
        <f t="shared" si="4"/>
        <v>0</v>
      </c>
      <c r="AH171" s="37">
        <f t="shared" si="5"/>
        <v>0</v>
      </c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ht="15.75" customHeight="1">
      <c r="A172" s="23" t="s">
        <v>23</v>
      </c>
      <c r="B172" s="24">
        <f t="shared" si="6"/>
        <v>45461</v>
      </c>
      <c r="C172" s="25">
        <v>7.0</v>
      </c>
      <c r="D172" s="25" t="s">
        <v>22</v>
      </c>
      <c r="E172" s="22" t="s">
        <v>34</v>
      </c>
      <c r="F172" s="114">
        <v>0.0</v>
      </c>
      <c r="H172" s="115">
        <v>0.0</v>
      </c>
      <c r="J172" s="115">
        <v>0.0</v>
      </c>
      <c r="L172" s="115">
        <v>0.0</v>
      </c>
      <c r="N172" s="115">
        <v>0.0</v>
      </c>
      <c r="P172" s="115">
        <v>0.0</v>
      </c>
      <c r="Q172" s="20"/>
      <c r="R172" s="18"/>
      <c r="T172" s="19"/>
      <c r="V172" s="19"/>
      <c r="X172" s="19"/>
      <c r="Z172" s="19"/>
      <c r="AB172" s="19"/>
      <c r="AC172" s="20"/>
      <c r="AD172" s="26">
        <f t="shared" si="1"/>
        <v>0</v>
      </c>
      <c r="AE172" s="25">
        <f t="shared" si="2"/>
        <v>0</v>
      </c>
      <c r="AF172" s="25">
        <f t="shared" si="3"/>
        <v>0</v>
      </c>
      <c r="AG172" s="25">
        <f t="shared" si="4"/>
        <v>0</v>
      </c>
      <c r="AH172" s="27">
        <f t="shared" si="5"/>
        <v>0</v>
      </c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ht="15.75" customHeight="1">
      <c r="A173" s="23" t="s">
        <v>24</v>
      </c>
      <c r="B173" s="24">
        <f t="shared" si="6"/>
        <v>45462</v>
      </c>
      <c r="C173" s="25">
        <v>7.0</v>
      </c>
      <c r="D173" s="25" t="s">
        <v>22</v>
      </c>
      <c r="E173" s="22" t="s">
        <v>34</v>
      </c>
      <c r="F173" s="114">
        <v>0.0</v>
      </c>
      <c r="H173" s="115">
        <v>0.0</v>
      </c>
      <c r="J173" s="115">
        <v>0.0</v>
      </c>
      <c r="L173" s="115">
        <v>0.0</v>
      </c>
      <c r="N173" s="115">
        <v>0.0</v>
      </c>
      <c r="P173" s="115">
        <v>0.0</v>
      </c>
      <c r="Q173" s="20"/>
      <c r="R173" s="18"/>
      <c r="T173" s="19"/>
      <c r="V173" s="19"/>
      <c r="X173" s="19"/>
      <c r="Z173" s="19"/>
      <c r="AB173" s="19"/>
      <c r="AC173" s="20"/>
      <c r="AD173" s="26">
        <f t="shared" si="1"/>
        <v>0</v>
      </c>
      <c r="AE173" s="25">
        <f t="shared" si="2"/>
        <v>0</v>
      </c>
      <c r="AF173" s="25">
        <f t="shared" si="3"/>
        <v>0</v>
      </c>
      <c r="AG173" s="25">
        <f t="shared" si="4"/>
        <v>0</v>
      </c>
      <c r="AH173" s="27">
        <f t="shared" si="5"/>
        <v>0</v>
      </c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ht="15.75" customHeight="1">
      <c r="A174" s="23" t="s">
        <v>25</v>
      </c>
      <c r="B174" s="24">
        <f t="shared" si="6"/>
        <v>45463</v>
      </c>
      <c r="C174" s="25">
        <v>7.0</v>
      </c>
      <c r="D174" s="25" t="s">
        <v>22</v>
      </c>
      <c r="E174" s="22" t="s">
        <v>34</v>
      </c>
      <c r="F174" s="114">
        <v>0.0</v>
      </c>
      <c r="H174" s="115">
        <v>0.0</v>
      </c>
      <c r="J174" s="115">
        <v>0.0</v>
      </c>
      <c r="L174" s="115">
        <v>0.0</v>
      </c>
      <c r="N174" s="115">
        <v>0.0</v>
      </c>
      <c r="P174" s="115">
        <v>0.0</v>
      </c>
      <c r="Q174" s="20"/>
      <c r="R174" s="18"/>
      <c r="T174" s="19"/>
      <c r="V174" s="19"/>
      <c r="X174" s="19"/>
      <c r="Z174" s="19"/>
      <c r="AB174" s="19"/>
      <c r="AC174" s="20"/>
      <c r="AD174" s="26">
        <f t="shared" si="1"/>
        <v>0</v>
      </c>
      <c r="AE174" s="25">
        <f t="shared" si="2"/>
        <v>0</v>
      </c>
      <c r="AF174" s="25">
        <f t="shared" si="3"/>
        <v>0</v>
      </c>
      <c r="AG174" s="25">
        <f t="shared" si="4"/>
        <v>0</v>
      </c>
      <c r="AH174" s="27">
        <f t="shared" si="5"/>
        <v>0</v>
      </c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ht="15.75" customHeight="1">
      <c r="A175" s="23" t="s">
        <v>26</v>
      </c>
      <c r="B175" s="24">
        <f t="shared" si="6"/>
        <v>45464</v>
      </c>
      <c r="C175" s="25">
        <v>7.0</v>
      </c>
      <c r="D175" s="25" t="s">
        <v>22</v>
      </c>
      <c r="E175" s="22" t="s">
        <v>34</v>
      </c>
      <c r="F175" s="114">
        <v>0.0</v>
      </c>
      <c r="H175" s="115">
        <v>0.0</v>
      </c>
      <c r="J175" s="115">
        <v>0.0</v>
      </c>
      <c r="L175" s="115">
        <v>0.0</v>
      </c>
      <c r="N175" s="115">
        <v>0.0</v>
      </c>
      <c r="P175" s="115">
        <v>0.0</v>
      </c>
      <c r="Q175" s="20"/>
      <c r="R175" s="18"/>
      <c r="T175" s="19"/>
      <c r="V175" s="19"/>
      <c r="X175" s="19"/>
      <c r="Z175" s="19"/>
      <c r="AB175" s="19"/>
      <c r="AC175" s="20"/>
      <c r="AD175" s="26">
        <f t="shared" si="1"/>
        <v>0</v>
      </c>
      <c r="AE175" s="25">
        <f t="shared" si="2"/>
        <v>0</v>
      </c>
      <c r="AF175" s="25">
        <f t="shared" si="3"/>
        <v>0</v>
      </c>
      <c r="AG175" s="25">
        <f t="shared" si="4"/>
        <v>0</v>
      </c>
      <c r="AH175" s="27">
        <f t="shared" si="5"/>
        <v>0</v>
      </c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ht="15.75" customHeight="1">
      <c r="A176" s="23" t="s">
        <v>27</v>
      </c>
      <c r="B176" s="24">
        <f t="shared" si="6"/>
        <v>45465</v>
      </c>
      <c r="C176" s="25">
        <v>7.0</v>
      </c>
      <c r="D176" s="25" t="s">
        <v>22</v>
      </c>
      <c r="E176" s="22" t="s">
        <v>34</v>
      </c>
      <c r="F176" s="114">
        <v>0.0</v>
      </c>
      <c r="H176" s="115">
        <v>0.0</v>
      </c>
      <c r="J176" s="115">
        <v>0.0</v>
      </c>
      <c r="L176" s="115">
        <v>0.0</v>
      </c>
      <c r="N176" s="115">
        <v>0.0</v>
      </c>
      <c r="P176" s="115">
        <v>0.0</v>
      </c>
      <c r="Q176" s="20"/>
      <c r="R176" s="18"/>
      <c r="T176" s="19"/>
      <c r="V176" s="19"/>
      <c r="X176" s="19"/>
      <c r="Z176" s="19"/>
      <c r="AB176" s="19"/>
      <c r="AC176" s="20"/>
      <c r="AD176" s="26">
        <f t="shared" si="1"/>
        <v>0</v>
      </c>
      <c r="AE176" s="25">
        <f t="shared" si="2"/>
        <v>0</v>
      </c>
      <c r="AF176" s="25">
        <f t="shared" si="3"/>
        <v>0</v>
      </c>
      <c r="AG176" s="25">
        <f t="shared" si="4"/>
        <v>0</v>
      </c>
      <c r="AH176" s="27">
        <f t="shared" si="5"/>
        <v>0</v>
      </c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ht="15.75" customHeight="1">
      <c r="A177" s="28" t="s">
        <v>28</v>
      </c>
      <c r="B177" s="29">
        <f t="shared" si="6"/>
        <v>45466</v>
      </c>
      <c r="C177" s="30">
        <v>7.0</v>
      </c>
      <c r="D177" s="30" t="s">
        <v>22</v>
      </c>
      <c r="E177" s="31" t="s">
        <v>34</v>
      </c>
      <c r="F177" s="116">
        <v>0.0</v>
      </c>
      <c r="G177" s="7"/>
      <c r="H177" s="116">
        <v>0.0</v>
      </c>
      <c r="I177" s="7"/>
      <c r="J177" s="116">
        <v>0.0</v>
      </c>
      <c r="K177" s="7"/>
      <c r="L177" s="116">
        <v>0.0</v>
      </c>
      <c r="M177" s="7"/>
      <c r="N177" s="116">
        <v>0.0</v>
      </c>
      <c r="O177" s="7"/>
      <c r="P177" s="116">
        <v>0.0</v>
      </c>
      <c r="Q177" s="34"/>
      <c r="R177" s="32"/>
      <c r="S177" s="7"/>
      <c r="T177" s="33"/>
      <c r="U177" s="7"/>
      <c r="V177" s="33"/>
      <c r="W177" s="7"/>
      <c r="X177" s="33"/>
      <c r="Y177" s="7"/>
      <c r="Z177" s="33"/>
      <c r="AA177" s="7"/>
      <c r="AB177" s="33"/>
      <c r="AC177" s="34"/>
      <c r="AD177" s="35">
        <f t="shared" si="1"/>
        <v>0</v>
      </c>
      <c r="AE177" s="30">
        <f t="shared" si="2"/>
        <v>0</v>
      </c>
      <c r="AF177" s="30">
        <f t="shared" si="3"/>
        <v>0</v>
      </c>
      <c r="AG177" s="30">
        <f t="shared" si="4"/>
        <v>0</v>
      </c>
      <c r="AH177" s="36">
        <f t="shared" si="5"/>
        <v>0</v>
      </c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ht="15.75" customHeight="1">
      <c r="A178" s="14" t="s">
        <v>21</v>
      </c>
      <c r="B178" s="15">
        <f t="shared" si="6"/>
        <v>45467</v>
      </c>
      <c r="C178" s="16">
        <v>7.0</v>
      </c>
      <c r="D178" s="16" t="s">
        <v>29</v>
      </c>
      <c r="E178" s="17" t="s">
        <v>34</v>
      </c>
      <c r="F178" s="114">
        <v>0.0</v>
      </c>
      <c r="H178" s="115">
        <v>0.0</v>
      </c>
      <c r="J178" s="115">
        <v>0.0</v>
      </c>
      <c r="L178" s="115">
        <v>0.0</v>
      </c>
      <c r="N178" s="115">
        <v>0.0</v>
      </c>
      <c r="P178" s="115">
        <v>0.0</v>
      </c>
      <c r="Q178" s="20"/>
      <c r="R178" s="18"/>
      <c r="T178" s="19"/>
      <c r="V178" s="19"/>
      <c r="X178" s="19"/>
      <c r="Z178" s="19"/>
      <c r="AB178" s="19"/>
      <c r="AC178" s="20"/>
      <c r="AD178" s="21">
        <f t="shared" si="1"/>
        <v>0</v>
      </c>
      <c r="AE178" s="16">
        <f t="shared" si="2"/>
        <v>0</v>
      </c>
      <c r="AF178" s="16">
        <f t="shared" si="3"/>
        <v>0</v>
      </c>
      <c r="AG178" s="16">
        <f t="shared" si="4"/>
        <v>0</v>
      </c>
      <c r="AH178" s="37">
        <f t="shared" si="5"/>
        <v>0</v>
      </c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ht="15.75" customHeight="1">
      <c r="A179" s="23" t="s">
        <v>23</v>
      </c>
      <c r="B179" s="24">
        <f t="shared" si="6"/>
        <v>45468</v>
      </c>
      <c r="C179" s="25">
        <v>7.0</v>
      </c>
      <c r="D179" s="25" t="s">
        <v>29</v>
      </c>
      <c r="E179" s="22" t="s">
        <v>34</v>
      </c>
      <c r="F179" s="114">
        <v>0.0</v>
      </c>
      <c r="H179" s="115">
        <v>0.0</v>
      </c>
      <c r="J179" s="115">
        <v>0.0</v>
      </c>
      <c r="L179" s="115">
        <v>0.0</v>
      </c>
      <c r="N179" s="115">
        <v>0.0</v>
      </c>
      <c r="P179" s="115">
        <v>0.0</v>
      </c>
      <c r="Q179" s="20"/>
      <c r="R179" s="18"/>
      <c r="T179" s="19"/>
      <c r="V179" s="19"/>
      <c r="X179" s="19"/>
      <c r="Z179" s="19"/>
      <c r="AB179" s="19"/>
      <c r="AC179" s="20"/>
      <c r="AD179" s="26">
        <f t="shared" si="1"/>
        <v>0</v>
      </c>
      <c r="AE179" s="25">
        <f t="shared" si="2"/>
        <v>0</v>
      </c>
      <c r="AF179" s="25">
        <f t="shared" si="3"/>
        <v>0</v>
      </c>
      <c r="AG179" s="25">
        <f t="shared" si="4"/>
        <v>0</v>
      </c>
      <c r="AH179" s="27">
        <f t="shared" si="5"/>
        <v>0</v>
      </c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ht="15.75" customHeight="1">
      <c r="A180" s="23" t="s">
        <v>24</v>
      </c>
      <c r="B180" s="24">
        <f t="shared" si="6"/>
        <v>45469</v>
      </c>
      <c r="C180" s="25">
        <v>7.0</v>
      </c>
      <c r="D180" s="25" t="s">
        <v>29</v>
      </c>
      <c r="E180" s="22" t="s">
        <v>34</v>
      </c>
      <c r="F180" s="114">
        <v>0.0</v>
      </c>
      <c r="H180" s="115">
        <v>0.0</v>
      </c>
      <c r="J180" s="115">
        <v>0.0</v>
      </c>
      <c r="L180" s="115">
        <v>0.0</v>
      </c>
      <c r="N180" s="115">
        <v>0.0</v>
      </c>
      <c r="P180" s="115">
        <v>0.0</v>
      </c>
      <c r="Q180" s="20"/>
      <c r="R180" s="18"/>
      <c r="T180" s="19"/>
      <c r="V180" s="19"/>
      <c r="X180" s="19"/>
      <c r="Z180" s="19"/>
      <c r="AB180" s="19"/>
      <c r="AC180" s="20"/>
      <c r="AD180" s="26">
        <f t="shared" si="1"/>
        <v>0</v>
      </c>
      <c r="AE180" s="25">
        <f t="shared" si="2"/>
        <v>0</v>
      </c>
      <c r="AF180" s="25">
        <f t="shared" si="3"/>
        <v>0</v>
      </c>
      <c r="AG180" s="25">
        <f t="shared" si="4"/>
        <v>0</v>
      </c>
      <c r="AH180" s="27">
        <f t="shared" si="5"/>
        <v>0</v>
      </c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ht="15.75" customHeight="1">
      <c r="A181" s="23" t="s">
        <v>25</v>
      </c>
      <c r="B181" s="24">
        <f t="shared" si="6"/>
        <v>45470</v>
      </c>
      <c r="C181" s="25">
        <v>7.0</v>
      </c>
      <c r="D181" s="25" t="s">
        <v>29</v>
      </c>
      <c r="E181" s="22" t="s">
        <v>34</v>
      </c>
      <c r="F181" s="114">
        <v>0.0</v>
      </c>
      <c r="H181" s="115">
        <v>0.0</v>
      </c>
      <c r="J181" s="115">
        <v>0.0</v>
      </c>
      <c r="L181" s="115">
        <v>0.0</v>
      </c>
      <c r="N181" s="115">
        <v>0.0</v>
      </c>
      <c r="P181" s="115">
        <v>0.0</v>
      </c>
      <c r="Q181" s="20"/>
      <c r="R181" s="18"/>
      <c r="T181" s="19"/>
      <c r="V181" s="19"/>
      <c r="X181" s="19"/>
      <c r="Z181" s="19"/>
      <c r="AB181" s="19"/>
      <c r="AC181" s="20"/>
      <c r="AD181" s="26">
        <f t="shared" si="1"/>
        <v>0</v>
      </c>
      <c r="AE181" s="25">
        <f t="shared" si="2"/>
        <v>0</v>
      </c>
      <c r="AF181" s="25">
        <f t="shared" si="3"/>
        <v>0</v>
      </c>
      <c r="AG181" s="25">
        <f t="shared" si="4"/>
        <v>0</v>
      </c>
      <c r="AH181" s="27">
        <f t="shared" si="5"/>
        <v>0</v>
      </c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ht="15.75" customHeight="1">
      <c r="A182" s="23" t="s">
        <v>26</v>
      </c>
      <c r="B182" s="24">
        <f t="shared" si="6"/>
        <v>45471</v>
      </c>
      <c r="C182" s="25">
        <v>7.0</v>
      </c>
      <c r="D182" s="25" t="s">
        <v>29</v>
      </c>
      <c r="E182" s="22" t="s">
        <v>34</v>
      </c>
      <c r="F182" s="114">
        <v>0.0</v>
      </c>
      <c r="H182" s="115">
        <v>0.0</v>
      </c>
      <c r="J182" s="115">
        <v>0.0</v>
      </c>
      <c r="L182" s="115">
        <v>0.0</v>
      </c>
      <c r="N182" s="115">
        <v>0.0</v>
      </c>
      <c r="P182" s="115">
        <v>0.0</v>
      </c>
      <c r="Q182" s="20"/>
      <c r="R182" s="18"/>
      <c r="T182" s="19"/>
      <c r="V182" s="19"/>
      <c r="X182" s="19"/>
      <c r="Z182" s="19"/>
      <c r="AB182" s="19"/>
      <c r="AC182" s="20"/>
      <c r="AD182" s="26">
        <f t="shared" si="1"/>
        <v>0</v>
      </c>
      <c r="AE182" s="25">
        <f t="shared" si="2"/>
        <v>0</v>
      </c>
      <c r="AF182" s="25">
        <f t="shared" si="3"/>
        <v>0</v>
      </c>
      <c r="AG182" s="25">
        <f t="shared" si="4"/>
        <v>0</v>
      </c>
      <c r="AH182" s="27">
        <f t="shared" si="5"/>
        <v>0</v>
      </c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ht="15.75" customHeight="1">
      <c r="A183" s="23" t="s">
        <v>27</v>
      </c>
      <c r="B183" s="24">
        <f t="shared" si="6"/>
        <v>45472</v>
      </c>
      <c r="C183" s="25">
        <v>7.0</v>
      </c>
      <c r="D183" s="25" t="s">
        <v>29</v>
      </c>
      <c r="E183" s="22" t="s">
        <v>34</v>
      </c>
      <c r="F183" s="114">
        <v>0.0</v>
      </c>
      <c r="H183" s="115">
        <v>0.0</v>
      </c>
      <c r="J183" s="115">
        <v>0.0</v>
      </c>
      <c r="L183" s="115">
        <v>0.0</v>
      </c>
      <c r="N183" s="115">
        <v>0.0</v>
      </c>
      <c r="P183" s="115">
        <v>0.0</v>
      </c>
      <c r="Q183" s="20"/>
      <c r="R183" s="18"/>
      <c r="T183" s="19"/>
      <c r="V183" s="19"/>
      <c r="X183" s="19"/>
      <c r="Z183" s="19"/>
      <c r="AB183" s="19"/>
      <c r="AC183" s="20"/>
      <c r="AD183" s="26">
        <f t="shared" si="1"/>
        <v>0</v>
      </c>
      <c r="AE183" s="25">
        <f t="shared" si="2"/>
        <v>0</v>
      </c>
      <c r="AF183" s="25">
        <f t="shared" si="3"/>
        <v>0</v>
      </c>
      <c r="AG183" s="25">
        <f t="shared" si="4"/>
        <v>0</v>
      </c>
      <c r="AH183" s="27">
        <f t="shared" si="5"/>
        <v>0</v>
      </c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ht="15.75" customHeight="1">
      <c r="A184" s="28" t="s">
        <v>28</v>
      </c>
      <c r="B184" s="29">
        <f t="shared" si="6"/>
        <v>45473</v>
      </c>
      <c r="C184" s="30">
        <v>7.0</v>
      </c>
      <c r="D184" s="30" t="s">
        <v>29</v>
      </c>
      <c r="E184" s="31" t="s">
        <v>34</v>
      </c>
      <c r="F184" s="116">
        <v>0.0</v>
      </c>
      <c r="G184" s="7"/>
      <c r="H184" s="116">
        <v>0.0</v>
      </c>
      <c r="I184" s="7"/>
      <c r="J184" s="116">
        <v>0.0</v>
      </c>
      <c r="K184" s="7"/>
      <c r="L184" s="116">
        <v>0.0</v>
      </c>
      <c r="M184" s="7"/>
      <c r="N184" s="116">
        <v>0.0</v>
      </c>
      <c r="O184" s="7"/>
      <c r="P184" s="116">
        <v>0.0</v>
      </c>
      <c r="Q184" s="34"/>
      <c r="R184" s="32"/>
      <c r="S184" s="7"/>
      <c r="T184" s="33"/>
      <c r="U184" s="7"/>
      <c r="V184" s="33"/>
      <c r="W184" s="7"/>
      <c r="X184" s="33"/>
      <c r="Y184" s="7"/>
      <c r="Z184" s="33"/>
      <c r="AA184" s="7"/>
      <c r="AB184" s="33"/>
      <c r="AC184" s="34"/>
      <c r="AD184" s="35">
        <f t="shared" si="1"/>
        <v>0</v>
      </c>
      <c r="AE184" s="30">
        <f t="shared" si="2"/>
        <v>0</v>
      </c>
      <c r="AF184" s="30">
        <f t="shared" si="3"/>
        <v>0</v>
      </c>
      <c r="AG184" s="30">
        <f t="shared" si="4"/>
        <v>0</v>
      </c>
      <c r="AH184" s="36">
        <f t="shared" si="5"/>
        <v>0</v>
      </c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ht="15.75" customHeight="1">
      <c r="A185" s="14" t="s">
        <v>21</v>
      </c>
      <c r="B185" s="15">
        <f t="shared" si="6"/>
        <v>45474</v>
      </c>
      <c r="C185" s="16">
        <v>7.0</v>
      </c>
      <c r="D185" s="16" t="s">
        <v>30</v>
      </c>
      <c r="E185" s="17" t="s">
        <v>35</v>
      </c>
      <c r="F185" s="92">
        <v>0.0</v>
      </c>
      <c r="H185" s="93">
        <v>45.0</v>
      </c>
      <c r="J185" s="93">
        <v>45.0</v>
      </c>
      <c r="L185" s="93">
        <v>0.0</v>
      </c>
      <c r="N185" s="93">
        <v>45.0</v>
      </c>
      <c r="P185" s="93">
        <v>0.0</v>
      </c>
      <c r="Q185" s="20"/>
      <c r="R185" s="18"/>
      <c r="T185" s="19"/>
      <c r="V185" s="19"/>
      <c r="X185" s="19"/>
      <c r="Z185" s="19"/>
      <c r="AB185" s="19"/>
      <c r="AC185" s="20"/>
      <c r="AD185" s="21">
        <f t="shared" si="1"/>
        <v>2520</v>
      </c>
      <c r="AE185" s="16">
        <f t="shared" si="2"/>
        <v>90</v>
      </c>
      <c r="AF185" s="16">
        <f t="shared" si="3"/>
        <v>45</v>
      </c>
      <c r="AG185" s="16">
        <f t="shared" si="4"/>
        <v>135</v>
      </c>
      <c r="AH185" s="37">
        <f t="shared" si="5"/>
        <v>18.66666667</v>
      </c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ht="15.75" customHeight="1">
      <c r="A186" s="23" t="s">
        <v>23</v>
      </c>
      <c r="B186" s="24">
        <f t="shared" si="6"/>
        <v>45475</v>
      </c>
      <c r="C186" s="25">
        <v>7.0</v>
      </c>
      <c r="D186" s="25" t="s">
        <v>30</v>
      </c>
      <c r="E186" s="22" t="s">
        <v>35</v>
      </c>
      <c r="F186" s="92">
        <v>0.0</v>
      </c>
      <c r="H186" s="93">
        <v>45.0</v>
      </c>
      <c r="J186" s="93">
        <v>45.0</v>
      </c>
      <c r="L186" s="93">
        <v>0.0</v>
      </c>
      <c r="N186" s="93">
        <v>45.0</v>
      </c>
      <c r="P186" s="93">
        <v>0.0</v>
      </c>
      <c r="Q186" s="20"/>
      <c r="R186" s="18"/>
      <c r="T186" s="19"/>
      <c r="V186" s="19"/>
      <c r="X186" s="19"/>
      <c r="Z186" s="19"/>
      <c r="AB186" s="19"/>
      <c r="AC186" s="20"/>
      <c r="AD186" s="26">
        <f t="shared" si="1"/>
        <v>2520</v>
      </c>
      <c r="AE186" s="25">
        <f t="shared" si="2"/>
        <v>90</v>
      </c>
      <c r="AF186" s="25">
        <f t="shared" si="3"/>
        <v>45</v>
      </c>
      <c r="AG186" s="25">
        <f t="shared" si="4"/>
        <v>135</v>
      </c>
      <c r="AH186" s="27">
        <f t="shared" si="5"/>
        <v>18.66666667</v>
      </c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ht="15.75" customHeight="1">
      <c r="A187" s="23" t="s">
        <v>24</v>
      </c>
      <c r="B187" s="24">
        <f t="shared" si="6"/>
        <v>45476</v>
      </c>
      <c r="C187" s="25">
        <v>7.0</v>
      </c>
      <c r="D187" s="25" t="s">
        <v>30</v>
      </c>
      <c r="E187" s="22" t="s">
        <v>35</v>
      </c>
      <c r="F187" s="92">
        <v>0.0</v>
      </c>
      <c r="H187" s="93">
        <v>45.0</v>
      </c>
      <c r="J187" s="93">
        <v>45.0</v>
      </c>
      <c r="L187" s="93">
        <v>0.0</v>
      </c>
      <c r="N187" s="93">
        <v>45.0</v>
      </c>
      <c r="P187" s="93">
        <v>0.0</v>
      </c>
      <c r="Q187" s="20"/>
      <c r="R187" s="18"/>
      <c r="T187" s="19"/>
      <c r="V187" s="19"/>
      <c r="X187" s="19"/>
      <c r="Z187" s="19"/>
      <c r="AB187" s="19"/>
      <c r="AC187" s="20"/>
      <c r="AD187" s="26">
        <f t="shared" si="1"/>
        <v>2520</v>
      </c>
      <c r="AE187" s="25">
        <f t="shared" si="2"/>
        <v>90</v>
      </c>
      <c r="AF187" s="25">
        <f t="shared" si="3"/>
        <v>45</v>
      </c>
      <c r="AG187" s="25">
        <f t="shared" si="4"/>
        <v>135</v>
      </c>
      <c r="AH187" s="27">
        <f t="shared" si="5"/>
        <v>18.66666667</v>
      </c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ht="15.75" customHeight="1">
      <c r="A188" s="23" t="s">
        <v>25</v>
      </c>
      <c r="B188" s="24">
        <f t="shared" si="6"/>
        <v>45477</v>
      </c>
      <c r="C188" s="25">
        <v>7.0</v>
      </c>
      <c r="D188" s="25" t="s">
        <v>30</v>
      </c>
      <c r="E188" s="22" t="s">
        <v>34</v>
      </c>
      <c r="F188" s="92">
        <v>0.0</v>
      </c>
      <c r="H188" s="93">
        <v>0.0</v>
      </c>
      <c r="J188" s="93">
        <v>0.0</v>
      </c>
      <c r="L188" s="93">
        <v>0.0</v>
      </c>
      <c r="N188" s="93">
        <v>0.0</v>
      </c>
      <c r="P188" s="93">
        <v>0.0</v>
      </c>
      <c r="Q188" s="20"/>
      <c r="R188" s="18"/>
      <c r="T188" s="19"/>
      <c r="V188" s="19"/>
      <c r="X188" s="19"/>
      <c r="Z188" s="19"/>
      <c r="AB188" s="19"/>
      <c r="AC188" s="20"/>
      <c r="AD188" s="26">
        <f t="shared" si="1"/>
        <v>0</v>
      </c>
      <c r="AE188" s="25">
        <f t="shared" si="2"/>
        <v>0</v>
      </c>
      <c r="AF188" s="25">
        <f t="shared" si="3"/>
        <v>0</v>
      </c>
      <c r="AG188" s="25">
        <f t="shared" si="4"/>
        <v>0</v>
      </c>
      <c r="AH188" s="27">
        <f t="shared" si="5"/>
        <v>0</v>
      </c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ht="15.75" customHeight="1">
      <c r="A189" s="23" t="s">
        <v>26</v>
      </c>
      <c r="B189" s="24">
        <f t="shared" si="6"/>
        <v>45478</v>
      </c>
      <c r="C189" s="25">
        <v>7.0</v>
      </c>
      <c r="D189" s="25" t="s">
        <v>30</v>
      </c>
      <c r="E189" s="22" t="s">
        <v>34</v>
      </c>
      <c r="F189" s="92">
        <v>0.0</v>
      </c>
      <c r="H189" s="93">
        <v>0.0</v>
      </c>
      <c r="J189" s="93">
        <v>0.0</v>
      </c>
      <c r="L189" s="93">
        <v>0.0</v>
      </c>
      <c r="N189" s="93">
        <v>0.0</v>
      </c>
      <c r="P189" s="93">
        <v>0.0</v>
      </c>
      <c r="Q189" s="20"/>
      <c r="R189" s="18"/>
      <c r="T189" s="19"/>
      <c r="V189" s="19"/>
      <c r="X189" s="19"/>
      <c r="Z189" s="19"/>
      <c r="AB189" s="19"/>
      <c r="AC189" s="20"/>
      <c r="AD189" s="26">
        <f t="shared" si="1"/>
        <v>0</v>
      </c>
      <c r="AE189" s="25">
        <f t="shared" si="2"/>
        <v>0</v>
      </c>
      <c r="AF189" s="25">
        <f t="shared" si="3"/>
        <v>0</v>
      </c>
      <c r="AG189" s="25">
        <f t="shared" si="4"/>
        <v>0</v>
      </c>
      <c r="AH189" s="27">
        <f t="shared" si="5"/>
        <v>0</v>
      </c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ht="15.75" customHeight="1">
      <c r="A190" s="23" t="s">
        <v>27</v>
      </c>
      <c r="B190" s="24">
        <f t="shared" si="6"/>
        <v>45479</v>
      </c>
      <c r="C190" s="25">
        <v>7.0</v>
      </c>
      <c r="D190" s="25" t="s">
        <v>30</v>
      </c>
      <c r="E190" s="22" t="s">
        <v>34</v>
      </c>
      <c r="F190" s="92">
        <v>0.0</v>
      </c>
      <c r="H190" s="93">
        <v>0.0</v>
      </c>
      <c r="J190" s="93">
        <v>0.0</v>
      </c>
      <c r="L190" s="93">
        <v>0.0</v>
      </c>
      <c r="N190" s="93">
        <v>0.0</v>
      </c>
      <c r="P190" s="93">
        <v>0.0</v>
      </c>
      <c r="Q190" s="20"/>
      <c r="R190" s="18"/>
      <c r="T190" s="19"/>
      <c r="V190" s="19"/>
      <c r="X190" s="19"/>
      <c r="Z190" s="19"/>
      <c r="AB190" s="19"/>
      <c r="AC190" s="20"/>
      <c r="AD190" s="26">
        <f t="shared" si="1"/>
        <v>0</v>
      </c>
      <c r="AE190" s="25">
        <f t="shared" si="2"/>
        <v>0</v>
      </c>
      <c r="AF190" s="25">
        <f t="shared" si="3"/>
        <v>0</v>
      </c>
      <c r="AG190" s="25">
        <f t="shared" si="4"/>
        <v>0</v>
      </c>
      <c r="AH190" s="27">
        <f t="shared" si="5"/>
        <v>0</v>
      </c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ht="15.75" customHeight="1">
      <c r="A191" s="28" t="s">
        <v>28</v>
      </c>
      <c r="B191" s="29">
        <f t="shared" si="6"/>
        <v>45480</v>
      </c>
      <c r="C191" s="30">
        <v>7.0</v>
      </c>
      <c r="D191" s="30" t="s">
        <v>30</v>
      </c>
      <c r="E191" s="31" t="s">
        <v>34</v>
      </c>
      <c r="F191" s="108">
        <v>0.0</v>
      </c>
      <c r="G191" s="7"/>
      <c r="H191" s="109">
        <v>0.0</v>
      </c>
      <c r="I191" s="7"/>
      <c r="J191" s="109">
        <v>0.0</v>
      </c>
      <c r="K191" s="7"/>
      <c r="L191" s="109">
        <v>0.0</v>
      </c>
      <c r="M191" s="7"/>
      <c r="N191" s="109">
        <v>0.0</v>
      </c>
      <c r="O191" s="7"/>
      <c r="P191" s="109">
        <v>0.0</v>
      </c>
      <c r="Q191" s="34"/>
      <c r="R191" s="32"/>
      <c r="S191" s="7"/>
      <c r="T191" s="33"/>
      <c r="U191" s="7"/>
      <c r="V191" s="33"/>
      <c r="W191" s="7"/>
      <c r="X191" s="33"/>
      <c r="Y191" s="7"/>
      <c r="Z191" s="33"/>
      <c r="AA191" s="7"/>
      <c r="AB191" s="33"/>
      <c r="AC191" s="34"/>
      <c r="AD191" s="35">
        <f t="shared" si="1"/>
        <v>0</v>
      </c>
      <c r="AE191" s="30">
        <f t="shared" si="2"/>
        <v>0</v>
      </c>
      <c r="AF191" s="30">
        <f t="shared" si="3"/>
        <v>0</v>
      </c>
      <c r="AG191" s="30">
        <f t="shared" si="4"/>
        <v>0</v>
      </c>
      <c r="AH191" s="36">
        <f t="shared" si="5"/>
        <v>0</v>
      </c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ht="15.75" customHeight="1">
      <c r="A192" s="14" t="s">
        <v>21</v>
      </c>
      <c r="B192" s="15">
        <f t="shared" si="6"/>
        <v>45481</v>
      </c>
      <c r="C192" s="16">
        <v>7.0</v>
      </c>
      <c r="D192" s="16" t="s">
        <v>31</v>
      </c>
      <c r="E192" s="17" t="s">
        <v>34</v>
      </c>
      <c r="F192" s="92">
        <v>0.0</v>
      </c>
      <c r="H192" s="93">
        <v>0.0</v>
      </c>
      <c r="J192" s="93">
        <v>0.0</v>
      </c>
      <c r="L192" s="93">
        <v>0.0</v>
      </c>
      <c r="N192" s="93">
        <v>0.0</v>
      </c>
      <c r="P192" s="93">
        <v>0.0</v>
      </c>
      <c r="Q192" s="20"/>
      <c r="R192" s="18"/>
      <c r="T192" s="19"/>
      <c r="V192" s="19"/>
      <c r="X192" s="19"/>
      <c r="Z192" s="19"/>
      <c r="AB192" s="19"/>
      <c r="AC192" s="20"/>
      <c r="AD192" s="21">
        <f t="shared" si="1"/>
        <v>0</v>
      </c>
      <c r="AE192" s="16">
        <f t="shared" si="2"/>
        <v>0</v>
      </c>
      <c r="AF192" s="16">
        <f t="shared" si="3"/>
        <v>0</v>
      </c>
      <c r="AG192" s="16">
        <f t="shared" si="4"/>
        <v>0</v>
      </c>
      <c r="AH192" s="37">
        <f t="shared" si="5"/>
        <v>0</v>
      </c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ht="15.75" customHeight="1">
      <c r="A193" s="23" t="s">
        <v>23</v>
      </c>
      <c r="B193" s="24">
        <f t="shared" si="6"/>
        <v>45482</v>
      </c>
      <c r="C193" s="25">
        <v>7.0</v>
      </c>
      <c r="D193" s="25" t="s">
        <v>31</v>
      </c>
      <c r="E193" s="22" t="s">
        <v>35</v>
      </c>
      <c r="F193" s="92">
        <v>0.0</v>
      </c>
      <c r="H193" s="93">
        <v>45.0</v>
      </c>
      <c r="J193" s="93">
        <v>45.0</v>
      </c>
      <c r="L193" s="93">
        <v>0.0</v>
      </c>
      <c r="N193" s="93">
        <v>45.0</v>
      </c>
      <c r="P193" s="93">
        <v>0.0</v>
      </c>
      <c r="Q193" s="20"/>
      <c r="R193" s="18"/>
      <c r="T193" s="19"/>
      <c r="V193" s="19"/>
      <c r="X193" s="19"/>
      <c r="Z193" s="19"/>
      <c r="AB193" s="19"/>
      <c r="AC193" s="20"/>
      <c r="AD193" s="26">
        <f t="shared" si="1"/>
        <v>2520</v>
      </c>
      <c r="AE193" s="25">
        <f t="shared" si="2"/>
        <v>90</v>
      </c>
      <c r="AF193" s="25">
        <f t="shared" si="3"/>
        <v>45</v>
      </c>
      <c r="AG193" s="25">
        <f t="shared" si="4"/>
        <v>135</v>
      </c>
      <c r="AH193" s="27">
        <f t="shared" si="5"/>
        <v>18.66666667</v>
      </c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ht="15.75" customHeight="1">
      <c r="A194" s="23" t="s">
        <v>24</v>
      </c>
      <c r="B194" s="24">
        <f t="shared" si="6"/>
        <v>45483</v>
      </c>
      <c r="C194" s="25">
        <v>7.0</v>
      </c>
      <c r="D194" s="25" t="s">
        <v>31</v>
      </c>
      <c r="E194" s="22" t="s">
        <v>35</v>
      </c>
      <c r="F194" s="92">
        <v>0.0</v>
      </c>
      <c r="H194" s="93">
        <v>45.0</v>
      </c>
      <c r="J194" s="93">
        <v>45.0</v>
      </c>
      <c r="L194" s="93">
        <v>0.0</v>
      </c>
      <c r="N194" s="93">
        <v>45.0</v>
      </c>
      <c r="P194" s="93">
        <v>0.0</v>
      </c>
      <c r="Q194" s="20"/>
      <c r="R194" s="18"/>
      <c r="T194" s="19"/>
      <c r="V194" s="19"/>
      <c r="X194" s="19"/>
      <c r="Z194" s="19"/>
      <c r="AB194" s="19"/>
      <c r="AC194" s="20"/>
      <c r="AD194" s="26">
        <f t="shared" si="1"/>
        <v>2520</v>
      </c>
      <c r="AE194" s="25">
        <f t="shared" si="2"/>
        <v>90</v>
      </c>
      <c r="AF194" s="25">
        <f t="shared" si="3"/>
        <v>45</v>
      </c>
      <c r="AG194" s="25">
        <f t="shared" si="4"/>
        <v>135</v>
      </c>
      <c r="AH194" s="27">
        <f t="shared" si="5"/>
        <v>18.66666667</v>
      </c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ht="15.75" customHeight="1">
      <c r="A195" s="23" t="s">
        <v>25</v>
      </c>
      <c r="B195" s="24">
        <f t="shared" si="6"/>
        <v>45484</v>
      </c>
      <c r="C195" s="25">
        <v>7.0</v>
      </c>
      <c r="D195" s="25" t="s">
        <v>31</v>
      </c>
      <c r="E195" s="22" t="s">
        <v>35</v>
      </c>
      <c r="F195" s="92">
        <v>0.0</v>
      </c>
      <c r="H195" s="93">
        <v>45.0</v>
      </c>
      <c r="J195" s="93">
        <v>45.0</v>
      </c>
      <c r="L195" s="93">
        <v>0.0</v>
      </c>
      <c r="N195" s="93">
        <v>45.0</v>
      </c>
      <c r="P195" s="93">
        <v>0.0</v>
      </c>
      <c r="Q195" s="20"/>
      <c r="R195" s="18"/>
      <c r="T195" s="19"/>
      <c r="V195" s="19"/>
      <c r="X195" s="19"/>
      <c r="Z195" s="19"/>
      <c r="AB195" s="19"/>
      <c r="AC195" s="20"/>
      <c r="AD195" s="26">
        <f t="shared" si="1"/>
        <v>2520</v>
      </c>
      <c r="AE195" s="25">
        <f t="shared" si="2"/>
        <v>90</v>
      </c>
      <c r="AF195" s="25">
        <f t="shared" si="3"/>
        <v>45</v>
      </c>
      <c r="AG195" s="25">
        <f t="shared" si="4"/>
        <v>135</v>
      </c>
      <c r="AH195" s="27">
        <f t="shared" si="5"/>
        <v>18.66666667</v>
      </c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ht="15.75" customHeight="1">
      <c r="A196" s="23" t="s">
        <v>26</v>
      </c>
      <c r="B196" s="24">
        <f t="shared" si="6"/>
        <v>45485</v>
      </c>
      <c r="C196" s="25">
        <v>7.0</v>
      </c>
      <c r="D196" s="25" t="s">
        <v>31</v>
      </c>
      <c r="E196" s="22" t="s">
        <v>35</v>
      </c>
      <c r="F196" s="92">
        <v>0.0</v>
      </c>
      <c r="H196" s="93">
        <v>45.0</v>
      </c>
      <c r="J196" s="93">
        <v>45.0</v>
      </c>
      <c r="L196" s="93">
        <v>0.0</v>
      </c>
      <c r="N196" s="93">
        <v>45.0</v>
      </c>
      <c r="P196" s="93">
        <v>0.0</v>
      </c>
      <c r="Q196" s="20"/>
      <c r="R196" s="18"/>
      <c r="T196" s="19"/>
      <c r="V196" s="19"/>
      <c r="X196" s="19"/>
      <c r="Z196" s="19"/>
      <c r="AB196" s="19"/>
      <c r="AC196" s="20"/>
      <c r="AD196" s="26">
        <f t="shared" si="1"/>
        <v>2520</v>
      </c>
      <c r="AE196" s="25">
        <f t="shared" si="2"/>
        <v>90</v>
      </c>
      <c r="AF196" s="25">
        <f t="shared" si="3"/>
        <v>45</v>
      </c>
      <c r="AG196" s="25">
        <f t="shared" si="4"/>
        <v>135</v>
      </c>
      <c r="AH196" s="27">
        <f t="shared" si="5"/>
        <v>18.66666667</v>
      </c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ht="15.75" customHeight="1">
      <c r="A197" s="23" t="s">
        <v>27</v>
      </c>
      <c r="B197" s="24">
        <f t="shared" si="6"/>
        <v>45486</v>
      </c>
      <c r="C197" s="25">
        <v>7.0</v>
      </c>
      <c r="D197" s="25" t="s">
        <v>31</v>
      </c>
      <c r="E197" s="22" t="s">
        <v>35</v>
      </c>
      <c r="F197" s="92">
        <v>0.0</v>
      </c>
      <c r="H197" s="93">
        <v>45.0</v>
      </c>
      <c r="J197" s="93">
        <v>45.0</v>
      </c>
      <c r="L197" s="93">
        <v>0.0</v>
      </c>
      <c r="N197" s="93">
        <v>45.0</v>
      </c>
      <c r="P197" s="93">
        <v>0.0</v>
      </c>
      <c r="Q197" s="20"/>
      <c r="R197" s="18"/>
      <c r="T197" s="19"/>
      <c r="V197" s="19"/>
      <c r="X197" s="19"/>
      <c r="Z197" s="19"/>
      <c r="AB197" s="19"/>
      <c r="AC197" s="20"/>
      <c r="AD197" s="26">
        <f t="shared" si="1"/>
        <v>2520</v>
      </c>
      <c r="AE197" s="25">
        <f t="shared" si="2"/>
        <v>90</v>
      </c>
      <c r="AF197" s="25">
        <f t="shared" si="3"/>
        <v>45</v>
      </c>
      <c r="AG197" s="25">
        <f t="shared" si="4"/>
        <v>135</v>
      </c>
      <c r="AH197" s="27">
        <f t="shared" si="5"/>
        <v>18.66666667</v>
      </c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ht="15.75" customHeight="1">
      <c r="A198" s="28" t="s">
        <v>28</v>
      </c>
      <c r="B198" s="29">
        <f t="shared" si="6"/>
        <v>45487</v>
      </c>
      <c r="C198" s="30">
        <v>7.0</v>
      </c>
      <c r="D198" s="30" t="s">
        <v>31</v>
      </c>
      <c r="E198" s="31" t="s">
        <v>33</v>
      </c>
      <c r="F198" s="109">
        <v>45.0</v>
      </c>
      <c r="G198" s="7"/>
      <c r="H198" s="109">
        <v>0.0</v>
      </c>
      <c r="I198" s="7"/>
      <c r="J198" s="109">
        <v>45.0</v>
      </c>
      <c r="K198" s="7"/>
      <c r="L198" s="109">
        <v>0.0</v>
      </c>
      <c r="M198" s="7"/>
      <c r="N198" s="109">
        <v>0.0</v>
      </c>
      <c r="O198" s="7"/>
      <c r="P198" s="109">
        <v>0.0</v>
      </c>
      <c r="Q198" s="34"/>
      <c r="R198" s="32"/>
      <c r="S198" s="7"/>
      <c r="T198" s="33"/>
      <c r="U198" s="7"/>
      <c r="V198" s="33"/>
      <c r="W198" s="7"/>
      <c r="X198" s="33"/>
      <c r="Y198" s="7"/>
      <c r="Z198" s="33"/>
      <c r="AA198" s="7"/>
      <c r="AB198" s="33"/>
      <c r="AC198" s="34"/>
      <c r="AD198" s="35">
        <f t="shared" si="1"/>
        <v>2160</v>
      </c>
      <c r="AE198" s="30">
        <f t="shared" si="2"/>
        <v>90</v>
      </c>
      <c r="AF198" s="30">
        <f t="shared" si="3"/>
        <v>0</v>
      </c>
      <c r="AG198" s="30">
        <f t="shared" si="4"/>
        <v>90</v>
      </c>
      <c r="AH198" s="36">
        <f t="shared" si="5"/>
        <v>24</v>
      </c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ht="15.75" customHeight="1">
      <c r="A199" s="14" t="s">
        <v>21</v>
      </c>
      <c r="B199" s="15">
        <f t="shared" si="6"/>
        <v>45488</v>
      </c>
      <c r="C199" s="16">
        <v>8.0</v>
      </c>
      <c r="D199" s="16" t="s">
        <v>22</v>
      </c>
      <c r="E199" s="17" t="s">
        <v>34</v>
      </c>
      <c r="F199" s="92">
        <v>0.0</v>
      </c>
      <c r="H199" s="93">
        <v>0.0</v>
      </c>
      <c r="J199" s="93">
        <v>0.0</v>
      </c>
      <c r="L199" s="93">
        <v>0.0</v>
      </c>
      <c r="N199" s="93">
        <v>0.0</v>
      </c>
      <c r="P199" s="93">
        <v>0.0</v>
      </c>
      <c r="Q199" s="20"/>
      <c r="R199" s="18"/>
      <c r="T199" s="19"/>
      <c r="V199" s="19"/>
      <c r="X199" s="19"/>
      <c r="Z199" s="19"/>
      <c r="AB199" s="19"/>
      <c r="AC199" s="20"/>
      <c r="AD199" s="21">
        <f t="shared" si="1"/>
        <v>0</v>
      </c>
      <c r="AE199" s="16">
        <f t="shared" si="2"/>
        <v>0</v>
      </c>
      <c r="AF199" s="16">
        <f t="shared" si="3"/>
        <v>0</v>
      </c>
      <c r="AG199" s="16">
        <f t="shared" si="4"/>
        <v>0</v>
      </c>
      <c r="AH199" s="37">
        <f t="shared" si="5"/>
        <v>0</v>
      </c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ht="15.75" customHeight="1">
      <c r="A200" s="23" t="s">
        <v>23</v>
      </c>
      <c r="B200" s="24">
        <f t="shared" si="6"/>
        <v>45489</v>
      </c>
      <c r="C200" s="25">
        <v>8.0</v>
      </c>
      <c r="D200" s="25" t="s">
        <v>22</v>
      </c>
      <c r="E200" s="22" t="s">
        <v>34</v>
      </c>
      <c r="F200" s="92">
        <v>0.0</v>
      </c>
      <c r="H200" s="93">
        <v>0.0</v>
      </c>
      <c r="J200" s="93">
        <v>0.0</v>
      </c>
      <c r="L200" s="93">
        <v>0.0</v>
      </c>
      <c r="N200" s="93">
        <v>0.0</v>
      </c>
      <c r="P200" s="93">
        <v>0.0</v>
      </c>
      <c r="Q200" s="20"/>
      <c r="R200" s="18"/>
      <c r="T200" s="19"/>
      <c r="V200" s="19"/>
      <c r="X200" s="19"/>
      <c r="Z200" s="19"/>
      <c r="AB200" s="19"/>
      <c r="AC200" s="20"/>
      <c r="AD200" s="26">
        <f t="shared" si="1"/>
        <v>0</v>
      </c>
      <c r="AE200" s="25">
        <f t="shared" si="2"/>
        <v>0</v>
      </c>
      <c r="AF200" s="25">
        <f t="shared" si="3"/>
        <v>0</v>
      </c>
      <c r="AG200" s="25">
        <f t="shared" si="4"/>
        <v>0</v>
      </c>
      <c r="AH200" s="27">
        <f t="shared" si="5"/>
        <v>0</v>
      </c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ht="15.75" customHeight="1">
      <c r="A201" s="23" t="s">
        <v>24</v>
      </c>
      <c r="B201" s="24">
        <f t="shared" si="6"/>
        <v>45490</v>
      </c>
      <c r="C201" s="25">
        <v>8.0</v>
      </c>
      <c r="D201" s="25" t="s">
        <v>22</v>
      </c>
      <c r="E201" s="22" t="s">
        <v>34</v>
      </c>
      <c r="F201" s="92">
        <v>0.0</v>
      </c>
      <c r="H201" s="93">
        <v>0.0</v>
      </c>
      <c r="J201" s="93">
        <v>0.0</v>
      </c>
      <c r="L201" s="93">
        <v>0.0</v>
      </c>
      <c r="N201" s="93">
        <v>0.0</v>
      </c>
      <c r="P201" s="93">
        <v>0.0</v>
      </c>
      <c r="Q201" s="20"/>
      <c r="R201" s="18"/>
      <c r="T201" s="19"/>
      <c r="V201" s="19"/>
      <c r="X201" s="19"/>
      <c r="Z201" s="19"/>
      <c r="AB201" s="19"/>
      <c r="AC201" s="20"/>
      <c r="AD201" s="26">
        <f t="shared" si="1"/>
        <v>0</v>
      </c>
      <c r="AE201" s="25">
        <f t="shared" si="2"/>
        <v>0</v>
      </c>
      <c r="AF201" s="25">
        <f t="shared" si="3"/>
        <v>0</v>
      </c>
      <c r="AG201" s="25">
        <f t="shared" si="4"/>
        <v>0</v>
      </c>
      <c r="AH201" s="27">
        <f t="shared" si="5"/>
        <v>0</v>
      </c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ht="15.75" customHeight="1">
      <c r="A202" s="23" t="s">
        <v>25</v>
      </c>
      <c r="B202" s="24">
        <f t="shared" si="6"/>
        <v>45491</v>
      </c>
      <c r="C202" s="25">
        <v>8.0</v>
      </c>
      <c r="D202" s="25" t="s">
        <v>22</v>
      </c>
      <c r="E202" s="22" t="s">
        <v>34</v>
      </c>
      <c r="F202" s="92">
        <v>0.0</v>
      </c>
      <c r="H202" s="93">
        <v>0.0</v>
      </c>
      <c r="J202" s="93">
        <v>0.0</v>
      </c>
      <c r="L202" s="93">
        <v>0.0</v>
      </c>
      <c r="N202" s="93">
        <v>0.0</v>
      </c>
      <c r="P202" s="93">
        <v>0.0</v>
      </c>
      <c r="Q202" s="20"/>
      <c r="R202" s="18"/>
      <c r="T202" s="19"/>
      <c r="V202" s="19"/>
      <c r="X202" s="19"/>
      <c r="Z202" s="19"/>
      <c r="AB202" s="19"/>
      <c r="AC202" s="20"/>
      <c r="AD202" s="26">
        <f t="shared" si="1"/>
        <v>0</v>
      </c>
      <c r="AE202" s="25">
        <f t="shared" si="2"/>
        <v>0</v>
      </c>
      <c r="AF202" s="25">
        <f t="shared" si="3"/>
        <v>0</v>
      </c>
      <c r="AG202" s="25">
        <f t="shared" si="4"/>
        <v>0</v>
      </c>
      <c r="AH202" s="27">
        <f t="shared" si="5"/>
        <v>0</v>
      </c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ht="15.75" customHeight="1">
      <c r="A203" s="23" t="s">
        <v>26</v>
      </c>
      <c r="B203" s="24">
        <f t="shared" si="6"/>
        <v>45492</v>
      </c>
      <c r="C203" s="25">
        <v>8.0</v>
      </c>
      <c r="D203" s="25" t="s">
        <v>22</v>
      </c>
      <c r="E203" s="22" t="s">
        <v>35</v>
      </c>
      <c r="F203" s="92">
        <v>0.0</v>
      </c>
      <c r="H203" s="93">
        <v>45.0</v>
      </c>
      <c r="J203" s="93">
        <v>45.0</v>
      </c>
      <c r="L203" s="93">
        <v>0.0</v>
      </c>
      <c r="N203" s="93">
        <v>45.0</v>
      </c>
      <c r="P203" s="93">
        <v>0.0</v>
      </c>
      <c r="Q203" s="20"/>
      <c r="R203" s="18"/>
      <c r="T203" s="19"/>
      <c r="V203" s="19"/>
      <c r="X203" s="19"/>
      <c r="Z203" s="19"/>
      <c r="AB203" s="19"/>
      <c r="AC203" s="20"/>
      <c r="AD203" s="26">
        <f t="shared" si="1"/>
        <v>2520</v>
      </c>
      <c r="AE203" s="25">
        <f t="shared" si="2"/>
        <v>90</v>
      </c>
      <c r="AF203" s="25">
        <f t="shared" si="3"/>
        <v>45</v>
      </c>
      <c r="AG203" s="25">
        <f t="shared" si="4"/>
        <v>135</v>
      </c>
      <c r="AH203" s="27">
        <f t="shared" si="5"/>
        <v>18.66666667</v>
      </c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ht="15.75" customHeight="1">
      <c r="A204" s="23" t="s">
        <v>27</v>
      </c>
      <c r="B204" s="24">
        <f t="shared" si="6"/>
        <v>45493</v>
      </c>
      <c r="C204" s="25">
        <v>8.0</v>
      </c>
      <c r="D204" s="25" t="s">
        <v>22</v>
      </c>
      <c r="E204" s="22" t="s">
        <v>35</v>
      </c>
      <c r="F204" s="92">
        <v>0.0</v>
      </c>
      <c r="H204" s="93">
        <v>45.0</v>
      </c>
      <c r="J204" s="93">
        <v>45.0</v>
      </c>
      <c r="L204" s="93">
        <v>0.0</v>
      </c>
      <c r="N204" s="93">
        <v>45.0</v>
      </c>
      <c r="P204" s="93">
        <v>0.0</v>
      </c>
      <c r="Q204" s="20"/>
      <c r="R204" s="18"/>
      <c r="T204" s="19"/>
      <c r="V204" s="19"/>
      <c r="X204" s="19"/>
      <c r="Z204" s="19"/>
      <c r="AB204" s="19"/>
      <c r="AC204" s="20"/>
      <c r="AD204" s="26">
        <f t="shared" si="1"/>
        <v>2520</v>
      </c>
      <c r="AE204" s="25">
        <f t="shared" si="2"/>
        <v>90</v>
      </c>
      <c r="AF204" s="25">
        <f t="shared" si="3"/>
        <v>45</v>
      </c>
      <c r="AG204" s="25">
        <f t="shared" si="4"/>
        <v>135</v>
      </c>
      <c r="AH204" s="27">
        <f t="shared" si="5"/>
        <v>18.66666667</v>
      </c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ht="15.75" customHeight="1">
      <c r="A205" s="28" t="s">
        <v>28</v>
      </c>
      <c r="B205" s="29">
        <f t="shared" si="6"/>
        <v>45494</v>
      </c>
      <c r="C205" s="30">
        <v>8.0</v>
      </c>
      <c r="D205" s="30" t="s">
        <v>22</v>
      </c>
      <c r="E205" s="31" t="s">
        <v>35</v>
      </c>
      <c r="F205" s="108">
        <v>0.0</v>
      </c>
      <c r="G205" s="7"/>
      <c r="H205" s="109">
        <v>45.0</v>
      </c>
      <c r="I205" s="7"/>
      <c r="J205" s="109">
        <v>45.0</v>
      </c>
      <c r="K205" s="7"/>
      <c r="L205" s="109">
        <v>0.0</v>
      </c>
      <c r="M205" s="7"/>
      <c r="N205" s="109">
        <v>45.0</v>
      </c>
      <c r="O205" s="7"/>
      <c r="P205" s="111"/>
      <c r="Q205" s="34"/>
      <c r="R205" s="32"/>
      <c r="S205" s="7"/>
      <c r="T205" s="33"/>
      <c r="U205" s="7"/>
      <c r="V205" s="33"/>
      <c r="W205" s="7"/>
      <c r="X205" s="33"/>
      <c r="Y205" s="7"/>
      <c r="Z205" s="33"/>
      <c r="AA205" s="7"/>
      <c r="AB205" s="33"/>
      <c r="AC205" s="34"/>
      <c r="AD205" s="35">
        <f t="shared" si="1"/>
        <v>2520</v>
      </c>
      <c r="AE205" s="30">
        <f t="shared" si="2"/>
        <v>90</v>
      </c>
      <c r="AF205" s="30">
        <f t="shared" si="3"/>
        <v>45</v>
      </c>
      <c r="AG205" s="30">
        <f t="shared" si="4"/>
        <v>135</v>
      </c>
      <c r="AH205" s="36">
        <f t="shared" si="5"/>
        <v>18.66666667</v>
      </c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ht="15.75" customHeight="1">
      <c r="A206" s="14" t="s">
        <v>21</v>
      </c>
      <c r="B206" s="15">
        <f t="shared" si="6"/>
        <v>45495</v>
      </c>
      <c r="C206" s="16">
        <v>8.0</v>
      </c>
      <c r="D206" s="16" t="s">
        <v>29</v>
      </c>
      <c r="E206" s="17" t="s">
        <v>34</v>
      </c>
      <c r="F206" s="114">
        <v>0.0</v>
      </c>
      <c r="H206" s="115">
        <v>0.0</v>
      </c>
      <c r="J206" s="115">
        <v>0.0</v>
      </c>
      <c r="L206" s="115">
        <v>0.0</v>
      </c>
      <c r="N206" s="115">
        <v>0.0</v>
      </c>
      <c r="P206" s="115">
        <v>0.0</v>
      </c>
      <c r="Q206" s="20"/>
      <c r="R206" s="18"/>
      <c r="T206" s="19"/>
      <c r="V206" s="19"/>
      <c r="X206" s="19"/>
      <c r="Z206" s="19"/>
      <c r="AB206" s="19"/>
      <c r="AC206" s="20"/>
      <c r="AD206" s="21">
        <f t="shared" si="1"/>
        <v>0</v>
      </c>
      <c r="AE206" s="16">
        <f t="shared" si="2"/>
        <v>0</v>
      </c>
      <c r="AF206" s="16">
        <f t="shared" si="3"/>
        <v>0</v>
      </c>
      <c r="AG206" s="16">
        <f t="shared" si="4"/>
        <v>0</v>
      </c>
      <c r="AH206" s="37">
        <f t="shared" si="5"/>
        <v>0</v>
      </c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ht="15.75" customHeight="1">
      <c r="A207" s="23" t="s">
        <v>23</v>
      </c>
      <c r="B207" s="24">
        <f t="shared" si="6"/>
        <v>45496</v>
      </c>
      <c r="C207" s="25">
        <v>8.0</v>
      </c>
      <c r="D207" s="25" t="s">
        <v>29</v>
      </c>
      <c r="E207" s="22" t="s">
        <v>34</v>
      </c>
      <c r="F207" s="114">
        <v>0.0</v>
      </c>
      <c r="H207" s="115">
        <v>0.0</v>
      </c>
      <c r="J207" s="115">
        <v>0.0</v>
      </c>
      <c r="L207" s="115">
        <v>0.0</v>
      </c>
      <c r="N207" s="115">
        <v>0.0</v>
      </c>
      <c r="P207" s="115">
        <v>0.0</v>
      </c>
      <c r="Q207" s="20"/>
      <c r="R207" s="18"/>
      <c r="T207" s="19"/>
      <c r="V207" s="19"/>
      <c r="X207" s="19"/>
      <c r="Z207" s="19"/>
      <c r="AB207" s="19"/>
      <c r="AC207" s="20"/>
      <c r="AD207" s="26">
        <f t="shared" si="1"/>
        <v>0</v>
      </c>
      <c r="AE207" s="25">
        <f t="shared" si="2"/>
        <v>0</v>
      </c>
      <c r="AF207" s="25">
        <f t="shared" si="3"/>
        <v>0</v>
      </c>
      <c r="AG207" s="25">
        <f t="shared" si="4"/>
        <v>0</v>
      </c>
      <c r="AH207" s="27">
        <f t="shared" si="5"/>
        <v>0</v>
      </c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ht="15.75" customHeight="1">
      <c r="A208" s="23" t="s">
        <v>24</v>
      </c>
      <c r="B208" s="24">
        <f t="shared" si="6"/>
        <v>45497</v>
      </c>
      <c r="C208" s="25">
        <v>8.0</v>
      </c>
      <c r="D208" s="25" t="s">
        <v>29</v>
      </c>
      <c r="E208" s="22" t="s">
        <v>34</v>
      </c>
      <c r="F208" s="114">
        <v>0.0</v>
      </c>
      <c r="H208" s="115">
        <v>0.0</v>
      </c>
      <c r="J208" s="115">
        <v>0.0</v>
      </c>
      <c r="L208" s="115">
        <v>0.0</v>
      </c>
      <c r="N208" s="115">
        <v>0.0</v>
      </c>
      <c r="P208" s="115">
        <v>0.0</v>
      </c>
      <c r="Q208" s="20"/>
      <c r="R208" s="18"/>
      <c r="T208" s="19"/>
      <c r="V208" s="19"/>
      <c r="X208" s="19"/>
      <c r="Z208" s="19"/>
      <c r="AB208" s="19"/>
      <c r="AC208" s="20"/>
      <c r="AD208" s="26">
        <f t="shared" si="1"/>
        <v>0</v>
      </c>
      <c r="AE208" s="25">
        <f t="shared" si="2"/>
        <v>0</v>
      </c>
      <c r="AF208" s="25">
        <f t="shared" si="3"/>
        <v>0</v>
      </c>
      <c r="AG208" s="25">
        <f t="shared" si="4"/>
        <v>0</v>
      </c>
      <c r="AH208" s="27">
        <f t="shared" si="5"/>
        <v>0</v>
      </c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ht="15.75" customHeight="1">
      <c r="A209" s="23" t="s">
        <v>25</v>
      </c>
      <c r="B209" s="24">
        <f t="shared" si="6"/>
        <v>45498</v>
      </c>
      <c r="C209" s="25">
        <v>8.0</v>
      </c>
      <c r="D209" s="25" t="s">
        <v>29</v>
      </c>
      <c r="E209" s="22" t="s">
        <v>34</v>
      </c>
      <c r="F209" s="114">
        <v>0.0</v>
      </c>
      <c r="H209" s="115">
        <v>0.0</v>
      </c>
      <c r="J209" s="115">
        <v>0.0</v>
      </c>
      <c r="L209" s="115">
        <v>0.0</v>
      </c>
      <c r="N209" s="115">
        <v>0.0</v>
      </c>
      <c r="P209" s="115">
        <v>0.0</v>
      </c>
      <c r="Q209" s="20"/>
      <c r="R209" s="18"/>
      <c r="T209" s="19"/>
      <c r="V209" s="19"/>
      <c r="X209" s="19"/>
      <c r="Z209" s="19"/>
      <c r="AB209" s="19"/>
      <c r="AC209" s="20"/>
      <c r="AD209" s="26">
        <f t="shared" si="1"/>
        <v>0</v>
      </c>
      <c r="AE209" s="25">
        <f t="shared" si="2"/>
        <v>0</v>
      </c>
      <c r="AF209" s="25">
        <f t="shared" si="3"/>
        <v>0</v>
      </c>
      <c r="AG209" s="25">
        <f t="shared" si="4"/>
        <v>0</v>
      </c>
      <c r="AH209" s="27">
        <f t="shared" si="5"/>
        <v>0</v>
      </c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ht="15.75" customHeight="1">
      <c r="A210" s="23" t="s">
        <v>26</v>
      </c>
      <c r="B210" s="24">
        <f t="shared" si="6"/>
        <v>45499</v>
      </c>
      <c r="C210" s="25">
        <v>8.0</v>
      </c>
      <c r="D210" s="25" t="s">
        <v>29</v>
      </c>
      <c r="E210" s="22" t="s">
        <v>34</v>
      </c>
      <c r="F210" s="114">
        <v>0.0</v>
      </c>
      <c r="H210" s="115">
        <v>0.0</v>
      </c>
      <c r="J210" s="115">
        <v>0.0</v>
      </c>
      <c r="L210" s="115">
        <v>0.0</v>
      </c>
      <c r="N210" s="115">
        <v>0.0</v>
      </c>
      <c r="P210" s="115">
        <v>0.0</v>
      </c>
      <c r="Q210" s="20"/>
      <c r="R210" s="18"/>
      <c r="T210" s="19"/>
      <c r="V210" s="19"/>
      <c r="X210" s="19"/>
      <c r="Z210" s="19"/>
      <c r="AB210" s="19"/>
      <c r="AC210" s="20"/>
      <c r="AD210" s="26">
        <f t="shared" si="1"/>
        <v>0</v>
      </c>
      <c r="AE210" s="25">
        <f t="shared" si="2"/>
        <v>0</v>
      </c>
      <c r="AF210" s="25">
        <f t="shared" si="3"/>
        <v>0</v>
      </c>
      <c r="AG210" s="25">
        <f t="shared" si="4"/>
        <v>0</v>
      </c>
      <c r="AH210" s="27">
        <f t="shared" si="5"/>
        <v>0</v>
      </c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ht="15.75" customHeight="1">
      <c r="A211" s="23" t="s">
        <v>27</v>
      </c>
      <c r="B211" s="24">
        <f t="shared" si="6"/>
        <v>45500</v>
      </c>
      <c r="C211" s="25">
        <v>8.0</v>
      </c>
      <c r="D211" s="25" t="s">
        <v>29</v>
      </c>
      <c r="E211" s="22" t="s">
        <v>34</v>
      </c>
      <c r="F211" s="114">
        <v>0.0</v>
      </c>
      <c r="H211" s="115">
        <v>0.0</v>
      </c>
      <c r="J211" s="115">
        <v>0.0</v>
      </c>
      <c r="L211" s="115">
        <v>0.0</v>
      </c>
      <c r="N211" s="115">
        <v>0.0</v>
      </c>
      <c r="P211" s="115">
        <v>0.0</v>
      </c>
      <c r="Q211" s="20"/>
      <c r="R211" s="18"/>
      <c r="T211" s="19"/>
      <c r="V211" s="19"/>
      <c r="X211" s="19"/>
      <c r="Z211" s="19"/>
      <c r="AB211" s="19"/>
      <c r="AC211" s="20"/>
      <c r="AD211" s="26">
        <f t="shared" si="1"/>
        <v>0</v>
      </c>
      <c r="AE211" s="25">
        <f t="shared" si="2"/>
        <v>0</v>
      </c>
      <c r="AF211" s="25">
        <f t="shared" si="3"/>
        <v>0</v>
      </c>
      <c r="AG211" s="25">
        <f t="shared" si="4"/>
        <v>0</v>
      </c>
      <c r="AH211" s="27">
        <f t="shared" si="5"/>
        <v>0</v>
      </c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ht="15.75" customHeight="1">
      <c r="A212" s="28" t="s">
        <v>28</v>
      </c>
      <c r="B212" s="29">
        <f t="shared" si="6"/>
        <v>45501</v>
      </c>
      <c r="C212" s="30">
        <v>8.0</v>
      </c>
      <c r="D212" s="30" t="s">
        <v>29</v>
      </c>
      <c r="E212" s="31" t="s">
        <v>34</v>
      </c>
      <c r="F212" s="116">
        <v>0.0</v>
      </c>
      <c r="G212" s="7"/>
      <c r="H212" s="116">
        <v>0.0</v>
      </c>
      <c r="I212" s="7"/>
      <c r="J212" s="116">
        <v>0.0</v>
      </c>
      <c r="K212" s="7"/>
      <c r="L212" s="116">
        <v>0.0</v>
      </c>
      <c r="M212" s="7"/>
      <c r="N212" s="116">
        <v>0.0</v>
      </c>
      <c r="O212" s="7"/>
      <c r="P212" s="116">
        <v>0.0</v>
      </c>
      <c r="Q212" s="34"/>
      <c r="R212" s="32"/>
      <c r="S212" s="7"/>
      <c r="T212" s="33"/>
      <c r="U212" s="7"/>
      <c r="V212" s="33"/>
      <c r="W212" s="7"/>
      <c r="X212" s="33"/>
      <c r="Y212" s="7"/>
      <c r="Z212" s="33"/>
      <c r="AA212" s="7"/>
      <c r="AB212" s="33"/>
      <c r="AC212" s="34"/>
      <c r="AD212" s="35">
        <f t="shared" si="1"/>
        <v>0</v>
      </c>
      <c r="AE212" s="30">
        <f t="shared" si="2"/>
        <v>0</v>
      </c>
      <c r="AF212" s="30">
        <f t="shared" si="3"/>
        <v>0</v>
      </c>
      <c r="AG212" s="30">
        <f t="shared" si="4"/>
        <v>0</v>
      </c>
      <c r="AH212" s="36">
        <f t="shared" si="5"/>
        <v>0</v>
      </c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ht="15.75" customHeight="1">
      <c r="A213" s="14" t="s">
        <v>21</v>
      </c>
      <c r="B213" s="15">
        <f t="shared" si="6"/>
        <v>45502</v>
      </c>
      <c r="C213" s="16">
        <v>8.0</v>
      </c>
      <c r="D213" s="16" t="s">
        <v>30</v>
      </c>
      <c r="E213" s="17" t="s">
        <v>34</v>
      </c>
      <c r="F213" s="114">
        <v>0.0</v>
      </c>
      <c r="H213" s="115">
        <v>0.0</v>
      </c>
      <c r="J213" s="115">
        <v>0.0</v>
      </c>
      <c r="L213" s="115">
        <v>0.0</v>
      </c>
      <c r="N213" s="115">
        <v>0.0</v>
      </c>
      <c r="P213" s="115">
        <v>0.0</v>
      </c>
      <c r="Q213" s="20"/>
      <c r="R213" s="18"/>
      <c r="T213" s="19"/>
      <c r="V213" s="19"/>
      <c r="X213" s="19"/>
      <c r="Z213" s="19"/>
      <c r="AB213" s="19"/>
      <c r="AC213" s="20"/>
      <c r="AD213" s="21">
        <f t="shared" si="1"/>
        <v>0</v>
      </c>
      <c r="AE213" s="16">
        <f t="shared" si="2"/>
        <v>0</v>
      </c>
      <c r="AF213" s="16">
        <f t="shared" si="3"/>
        <v>0</v>
      </c>
      <c r="AG213" s="16">
        <f t="shared" si="4"/>
        <v>0</v>
      </c>
      <c r="AH213" s="37">
        <f t="shared" si="5"/>
        <v>0</v>
      </c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ht="15.75" customHeight="1">
      <c r="A214" s="23" t="s">
        <v>23</v>
      </c>
      <c r="B214" s="24">
        <f t="shared" si="6"/>
        <v>45503</v>
      </c>
      <c r="C214" s="25">
        <v>8.0</v>
      </c>
      <c r="D214" s="25" t="s">
        <v>30</v>
      </c>
      <c r="E214" s="22" t="s">
        <v>34</v>
      </c>
      <c r="F214" s="114">
        <v>0.0</v>
      </c>
      <c r="H214" s="115">
        <v>0.0</v>
      </c>
      <c r="J214" s="115">
        <v>0.0</v>
      </c>
      <c r="L214" s="115">
        <v>0.0</v>
      </c>
      <c r="N214" s="115">
        <v>0.0</v>
      </c>
      <c r="P214" s="115">
        <v>0.0</v>
      </c>
      <c r="Q214" s="20"/>
      <c r="R214" s="18"/>
      <c r="T214" s="19"/>
      <c r="V214" s="19"/>
      <c r="X214" s="19"/>
      <c r="Z214" s="19"/>
      <c r="AB214" s="19"/>
      <c r="AC214" s="20"/>
      <c r="AD214" s="26">
        <f t="shared" si="1"/>
        <v>0</v>
      </c>
      <c r="AE214" s="25">
        <f t="shared" si="2"/>
        <v>0</v>
      </c>
      <c r="AF214" s="25">
        <f t="shared" si="3"/>
        <v>0</v>
      </c>
      <c r="AG214" s="25">
        <f t="shared" si="4"/>
        <v>0</v>
      </c>
      <c r="AH214" s="27">
        <f t="shared" si="5"/>
        <v>0</v>
      </c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ht="15.75" customHeight="1">
      <c r="A215" s="23" t="s">
        <v>24</v>
      </c>
      <c r="B215" s="24">
        <f t="shared" si="6"/>
        <v>45504</v>
      </c>
      <c r="C215" s="25">
        <v>8.0</v>
      </c>
      <c r="D215" s="25" t="s">
        <v>30</v>
      </c>
      <c r="E215" s="22" t="s">
        <v>34</v>
      </c>
      <c r="F215" s="114">
        <v>0.0</v>
      </c>
      <c r="H215" s="115">
        <v>0.0</v>
      </c>
      <c r="J215" s="115">
        <v>0.0</v>
      </c>
      <c r="L215" s="115">
        <v>0.0</v>
      </c>
      <c r="N215" s="115">
        <v>0.0</v>
      </c>
      <c r="P215" s="115">
        <v>0.0</v>
      </c>
      <c r="Q215" s="20"/>
      <c r="R215" s="18"/>
      <c r="T215" s="19"/>
      <c r="V215" s="19"/>
      <c r="X215" s="19"/>
      <c r="Z215" s="19"/>
      <c r="AB215" s="19"/>
      <c r="AC215" s="20"/>
      <c r="AD215" s="26">
        <f t="shared" si="1"/>
        <v>0</v>
      </c>
      <c r="AE215" s="25">
        <f t="shared" si="2"/>
        <v>0</v>
      </c>
      <c r="AF215" s="25">
        <f t="shared" si="3"/>
        <v>0</v>
      </c>
      <c r="AG215" s="25">
        <f t="shared" si="4"/>
        <v>0</v>
      </c>
      <c r="AH215" s="27">
        <f t="shared" si="5"/>
        <v>0</v>
      </c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ht="15.75" customHeight="1">
      <c r="A216" s="23" t="s">
        <v>25</v>
      </c>
      <c r="B216" s="24">
        <f t="shared" si="6"/>
        <v>45505</v>
      </c>
      <c r="C216" s="25">
        <v>8.0</v>
      </c>
      <c r="D216" s="25" t="s">
        <v>30</v>
      </c>
      <c r="E216" s="22" t="s">
        <v>34</v>
      </c>
      <c r="F216" s="114">
        <v>0.0</v>
      </c>
      <c r="H216" s="115">
        <v>0.0</v>
      </c>
      <c r="J216" s="115">
        <v>0.0</v>
      </c>
      <c r="L216" s="115">
        <v>0.0</v>
      </c>
      <c r="N216" s="115">
        <v>0.0</v>
      </c>
      <c r="P216" s="115">
        <v>0.0</v>
      </c>
      <c r="Q216" s="20"/>
      <c r="R216" s="18"/>
      <c r="T216" s="19"/>
      <c r="V216" s="19"/>
      <c r="X216" s="19"/>
      <c r="Z216" s="19"/>
      <c r="AB216" s="19"/>
      <c r="AC216" s="20"/>
      <c r="AD216" s="26">
        <f t="shared" si="1"/>
        <v>0</v>
      </c>
      <c r="AE216" s="25">
        <f t="shared" si="2"/>
        <v>0</v>
      </c>
      <c r="AF216" s="25">
        <f t="shared" si="3"/>
        <v>0</v>
      </c>
      <c r="AG216" s="25">
        <f t="shared" si="4"/>
        <v>0</v>
      </c>
      <c r="AH216" s="27">
        <f t="shared" si="5"/>
        <v>0</v>
      </c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ht="15.75" customHeight="1">
      <c r="A217" s="23" t="s">
        <v>26</v>
      </c>
      <c r="B217" s="24">
        <f t="shared" si="6"/>
        <v>45506</v>
      </c>
      <c r="C217" s="25">
        <v>8.0</v>
      </c>
      <c r="D217" s="25" t="s">
        <v>30</v>
      </c>
      <c r="E217" s="22" t="s">
        <v>34</v>
      </c>
      <c r="F217" s="114">
        <v>0.0</v>
      </c>
      <c r="H217" s="115">
        <v>0.0</v>
      </c>
      <c r="J217" s="115">
        <v>0.0</v>
      </c>
      <c r="L217" s="115">
        <v>0.0</v>
      </c>
      <c r="N217" s="115">
        <v>0.0</v>
      </c>
      <c r="P217" s="115">
        <v>0.0</v>
      </c>
      <c r="Q217" s="20"/>
      <c r="R217" s="18"/>
      <c r="T217" s="19"/>
      <c r="V217" s="19"/>
      <c r="X217" s="19"/>
      <c r="Z217" s="19"/>
      <c r="AB217" s="19"/>
      <c r="AC217" s="20"/>
      <c r="AD217" s="26">
        <f t="shared" si="1"/>
        <v>0</v>
      </c>
      <c r="AE217" s="25">
        <f t="shared" si="2"/>
        <v>0</v>
      </c>
      <c r="AF217" s="25">
        <f t="shared" si="3"/>
        <v>0</v>
      </c>
      <c r="AG217" s="25">
        <f t="shared" si="4"/>
        <v>0</v>
      </c>
      <c r="AH217" s="27">
        <f t="shared" si="5"/>
        <v>0</v>
      </c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ht="15.75" customHeight="1">
      <c r="A218" s="23" t="s">
        <v>27</v>
      </c>
      <c r="B218" s="24">
        <f t="shared" si="6"/>
        <v>45507</v>
      </c>
      <c r="C218" s="25">
        <v>8.0</v>
      </c>
      <c r="D218" s="25" t="s">
        <v>30</v>
      </c>
      <c r="E218" s="22" t="s">
        <v>34</v>
      </c>
      <c r="F218" s="114">
        <v>0.0</v>
      </c>
      <c r="H218" s="115">
        <v>0.0</v>
      </c>
      <c r="J218" s="115">
        <v>0.0</v>
      </c>
      <c r="L218" s="115">
        <v>0.0</v>
      </c>
      <c r="N218" s="115">
        <v>0.0</v>
      </c>
      <c r="P218" s="115">
        <v>0.0</v>
      </c>
      <c r="Q218" s="20"/>
      <c r="R218" s="18"/>
      <c r="T218" s="19"/>
      <c r="V218" s="19"/>
      <c r="X218" s="19"/>
      <c r="Z218" s="19"/>
      <c r="AB218" s="19"/>
      <c r="AC218" s="20"/>
      <c r="AD218" s="26">
        <f t="shared" si="1"/>
        <v>0</v>
      </c>
      <c r="AE218" s="25">
        <f t="shared" si="2"/>
        <v>0</v>
      </c>
      <c r="AF218" s="25">
        <f t="shared" si="3"/>
        <v>0</v>
      </c>
      <c r="AG218" s="25">
        <f t="shared" si="4"/>
        <v>0</v>
      </c>
      <c r="AH218" s="27">
        <f t="shared" si="5"/>
        <v>0</v>
      </c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ht="15.75" customHeight="1">
      <c r="A219" s="28" t="s">
        <v>28</v>
      </c>
      <c r="B219" s="29">
        <f t="shared" si="6"/>
        <v>45508</v>
      </c>
      <c r="C219" s="30">
        <v>8.0</v>
      </c>
      <c r="D219" s="30" t="s">
        <v>30</v>
      </c>
      <c r="E219" s="31" t="s">
        <v>34</v>
      </c>
      <c r="F219" s="116">
        <v>0.0</v>
      </c>
      <c r="G219" s="7"/>
      <c r="H219" s="116">
        <v>0.0</v>
      </c>
      <c r="I219" s="7"/>
      <c r="J219" s="116">
        <v>0.0</v>
      </c>
      <c r="K219" s="7"/>
      <c r="L219" s="116">
        <v>0.0</v>
      </c>
      <c r="M219" s="7"/>
      <c r="N219" s="116">
        <v>0.0</v>
      </c>
      <c r="O219" s="7"/>
      <c r="P219" s="116">
        <v>0.0</v>
      </c>
      <c r="Q219" s="34"/>
      <c r="R219" s="32"/>
      <c r="S219" s="7"/>
      <c r="T219" s="33"/>
      <c r="U219" s="7"/>
      <c r="V219" s="33"/>
      <c r="W219" s="7"/>
      <c r="X219" s="33"/>
      <c r="Y219" s="7"/>
      <c r="Z219" s="33"/>
      <c r="AA219" s="7"/>
      <c r="AB219" s="33"/>
      <c r="AC219" s="34"/>
      <c r="AD219" s="35">
        <f t="shared" si="1"/>
        <v>0</v>
      </c>
      <c r="AE219" s="30">
        <f t="shared" si="2"/>
        <v>0</v>
      </c>
      <c r="AF219" s="30">
        <f t="shared" si="3"/>
        <v>0</v>
      </c>
      <c r="AG219" s="30">
        <f t="shared" si="4"/>
        <v>0</v>
      </c>
      <c r="AH219" s="36">
        <f t="shared" si="5"/>
        <v>0</v>
      </c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ht="15.75" customHeight="1">
      <c r="A220" s="14" t="s">
        <v>21</v>
      </c>
      <c r="B220" s="15">
        <f t="shared" si="6"/>
        <v>45509</v>
      </c>
      <c r="C220" s="16">
        <v>8.0</v>
      </c>
      <c r="D220" s="16" t="s">
        <v>31</v>
      </c>
      <c r="E220" s="17" t="s">
        <v>34</v>
      </c>
      <c r="F220" s="92">
        <v>0.0</v>
      </c>
      <c r="H220" s="93">
        <v>0.0</v>
      </c>
      <c r="J220" s="93">
        <v>0.0</v>
      </c>
      <c r="L220" s="93">
        <v>0.0</v>
      </c>
      <c r="N220" s="93">
        <v>0.0</v>
      </c>
      <c r="P220" s="93">
        <v>0.0</v>
      </c>
      <c r="Q220" s="20"/>
      <c r="R220" s="18"/>
      <c r="T220" s="19"/>
      <c r="V220" s="19"/>
      <c r="X220" s="19"/>
      <c r="Z220" s="19"/>
      <c r="AB220" s="19"/>
      <c r="AC220" s="20"/>
      <c r="AD220" s="21">
        <f t="shared" si="1"/>
        <v>0</v>
      </c>
      <c r="AE220" s="16">
        <f t="shared" si="2"/>
        <v>0</v>
      </c>
      <c r="AF220" s="16">
        <f t="shared" si="3"/>
        <v>0</v>
      </c>
      <c r="AG220" s="16">
        <f t="shared" si="4"/>
        <v>0</v>
      </c>
      <c r="AH220" s="37">
        <f t="shared" si="5"/>
        <v>0</v>
      </c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ht="15.75" customHeight="1">
      <c r="A221" s="23" t="s">
        <v>23</v>
      </c>
      <c r="B221" s="24">
        <f t="shared" si="6"/>
        <v>45510</v>
      </c>
      <c r="C221" s="25">
        <v>8.0</v>
      </c>
      <c r="D221" s="25" t="s">
        <v>31</v>
      </c>
      <c r="E221" s="22" t="s">
        <v>35</v>
      </c>
      <c r="F221" s="92">
        <v>0.0</v>
      </c>
      <c r="H221" s="93">
        <v>45.0</v>
      </c>
      <c r="J221" s="93">
        <v>45.0</v>
      </c>
      <c r="L221" s="93">
        <v>0.0</v>
      </c>
      <c r="N221" s="93">
        <v>45.0</v>
      </c>
      <c r="P221" s="93">
        <v>0.0</v>
      </c>
      <c r="Q221" s="20"/>
      <c r="R221" s="18"/>
      <c r="T221" s="19"/>
      <c r="V221" s="19"/>
      <c r="X221" s="19"/>
      <c r="Z221" s="19"/>
      <c r="AB221" s="19"/>
      <c r="AC221" s="20"/>
      <c r="AD221" s="26">
        <f t="shared" si="1"/>
        <v>2520</v>
      </c>
      <c r="AE221" s="25">
        <f t="shared" si="2"/>
        <v>90</v>
      </c>
      <c r="AF221" s="25">
        <f t="shared" si="3"/>
        <v>45</v>
      </c>
      <c r="AG221" s="25">
        <f t="shared" si="4"/>
        <v>135</v>
      </c>
      <c r="AH221" s="27">
        <f t="shared" si="5"/>
        <v>18.66666667</v>
      </c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ht="15.75" customHeight="1">
      <c r="A222" s="23" t="s">
        <v>24</v>
      </c>
      <c r="B222" s="24">
        <f t="shared" si="6"/>
        <v>45511</v>
      </c>
      <c r="C222" s="25">
        <v>8.0</v>
      </c>
      <c r="D222" s="25" t="s">
        <v>31</v>
      </c>
      <c r="E222" s="22" t="s">
        <v>35</v>
      </c>
      <c r="F222" s="92">
        <v>0.0</v>
      </c>
      <c r="H222" s="93">
        <v>45.0</v>
      </c>
      <c r="J222" s="93">
        <v>45.0</v>
      </c>
      <c r="L222" s="93">
        <v>0.0</v>
      </c>
      <c r="N222" s="93">
        <v>45.0</v>
      </c>
      <c r="P222" s="93">
        <v>0.0</v>
      </c>
      <c r="Q222" s="20"/>
      <c r="R222" s="18"/>
      <c r="T222" s="19"/>
      <c r="V222" s="19"/>
      <c r="X222" s="19"/>
      <c r="Z222" s="19"/>
      <c r="AB222" s="19"/>
      <c r="AC222" s="20"/>
      <c r="AD222" s="26">
        <f t="shared" si="1"/>
        <v>2520</v>
      </c>
      <c r="AE222" s="25">
        <f t="shared" si="2"/>
        <v>90</v>
      </c>
      <c r="AF222" s="25">
        <f t="shared" si="3"/>
        <v>45</v>
      </c>
      <c r="AG222" s="25">
        <f t="shared" si="4"/>
        <v>135</v>
      </c>
      <c r="AH222" s="27">
        <f t="shared" si="5"/>
        <v>18.66666667</v>
      </c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ht="15.75" customHeight="1">
      <c r="A223" s="23" t="s">
        <v>25</v>
      </c>
      <c r="B223" s="24">
        <f t="shared" si="6"/>
        <v>45512</v>
      </c>
      <c r="C223" s="25">
        <v>8.0</v>
      </c>
      <c r="D223" s="25" t="s">
        <v>31</v>
      </c>
      <c r="E223" s="22" t="s">
        <v>35</v>
      </c>
      <c r="F223" s="92">
        <v>0.0</v>
      </c>
      <c r="H223" s="93">
        <v>45.0</v>
      </c>
      <c r="J223" s="93">
        <v>0.0</v>
      </c>
      <c r="L223" s="93">
        <v>0.0</v>
      </c>
      <c r="N223" s="93">
        <v>45.0</v>
      </c>
      <c r="P223" s="93">
        <v>0.0</v>
      </c>
      <c r="Q223" s="20"/>
      <c r="R223" s="18"/>
      <c r="T223" s="19"/>
      <c r="V223" s="19"/>
      <c r="X223" s="19"/>
      <c r="Z223" s="19"/>
      <c r="AB223" s="19"/>
      <c r="AC223" s="20"/>
      <c r="AD223" s="26">
        <f t="shared" si="1"/>
        <v>1440</v>
      </c>
      <c r="AE223" s="25">
        <f t="shared" si="2"/>
        <v>45</v>
      </c>
      <c r="AF223" s="25">
        <f t="shared" si="3"/>
        <v>45</v>
      </c>
      <c r="AG223" s="25">
        <f t="shared" si="4"/>
        <v>90</v>
      </c>
      <c r="AH223" s="27">
        <f t="shared" si="5"/>
        <v>16</v>
      </c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ht="15.75" customHeight="1">
      <c r="A224" s="23" t="s">
        <v>26</v>
      </c>
      <c r="B224" s="24">
        <f t="shared" si="6"/>
        <v>45513</v>
      </c>
      <c r="C224" s="25">
        <v>8.0</v>
      </c>
      <c r="D224" s="25" t="s">
        <v>31</v>
      </c>
      <c r="E224" s="22" t="s">
        <v>35</v>
      </c>
      <c r="F224" s="92">
        <v>0.0</v>
      </c>
      <c r="H224" s="93">
        <v>45.0</v>
      </c>
      <c r="J224" s="93">
        <v>45.0</v>
      </c>
      <c r="L224" s="93">
        <v>0.0</v>
      </c>
      <c r="N224" s="93">
        <v>45.0</v>
      </c>
      <c r="P224" s="93">
        <v>0.0</v>
      </c>
      <c r="Q224" s="20"/>
      <c r="R224" s="18"/>
      <c r="T224" s="19"/>
      <c r="V224" s="19"/>
      <c r="X224" s="19"/>
      <c r="Z224" s="19"/>
      <c r="AB224" s="19"/>
      <c r="AC224" s="20"/>
      <c r="AD224" s="26">
        <f t="shared" si="1"/>
        <v>2520</v>
      </c>
      <c r="AE224" s="25">
        <f t="shared" si="2"/>
        <v>90</v>
      </c>
      <c r="AF224" s="25">
        <f t="shared" si="3"/>
        <v>45</v>
      </c>
      <c r="AG224" s="25">
        <f t="shared" si="4"/>
        <v>135</v>
      </c>
      <c r="AH224" s="27">
        <f t="shared" si="5"/>
        <v>18.66666667</v>
      </c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ht="15.75" customHeight="1">
      <c r="A225" s="23" t="s">
        <v>27</v>
      </c>
      <c r="B225" s="24">
        <f t="shared" si="6"/>
        <v>45514</v>
      </c>
      <c r="C225" s="25">
        <v>8.0</v>
      </c>
      <c r="D225" s="25" t="s">
        <v>31</v>
      </c>
      <c r="E225" s="22" t="s">
        <v>35</v>
      </c>
      <c r="F225" s="92">
        <v>0.0</v>
      </c>
      <c r="H225" s="93">
        <v>45.0</v>
      </c>
      <c r="J225" s="93">
        <v>45.0</v>
      </c>
      <c r="L225" s="93">
        <v>0.0</v>
      </c>
      <c r="N225" s="93">
        <v>45.0</v>
      </c>
      <c r="P225" s="93">
        <v>0.0</v>
      </c>
      <c r="Q225" s="20"/>
      <c r="R225" s="18"/>
      <c r="T225" s="19"/>
      <c r="V225" s="19"/>
      <c r="X225" s="19"/>
      <c r="Z225" s="19"/>
      <c r="AB225" s="19"/>
      <c r="AC225" s="20"/>
      <c r="AD225" s="26">
        <f t="shared" si="1"/>
        <v>2520</v>
      </c>
      <c r="AE225" s="25">
        <f t="shared" si="2"/>
        <v>90</v>
      </c>
      <c r="AF225" s="25">
        <f t="shared" si="3"/>
        <v>45</v>
      </c>
      <c r="AG225" s="25">
        <f t="shared" si="4"/>
        <v>135</v>
      </c>
      <c r="AH225" s="27">
        <f t="shared" si="5"/>
        <v>18.66666667</v>
      </c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ht="15.75" customHeight="1">
      <c r="A226" s="28" t="s">
        <v>28</v>
      </c>
      <c r="B226" s="29">
        <f t="shared" si="6"/>
        <v>45515</v>
      </c>
      <c r="C226" s="30">
        <v>8.0</v>
      </c>
      <c r="D226" s="30" t="s">
        <v>31</v>
      </c>
      <c r="E226" s="31" t="s">
        <v>33</v>
      </c>
      <c r="F226" s="109">
        <v>45.0</v>
      </c>
      <c r="G226" s="7"/>
      <c r="H226" s="109">
        <v>0.0</v>
      </c>
      <c r="I226" s="7"/>
      <c r="J226" s="109">
        <v>45.0</v>
      </c>
      <c r="K226" s="7"/>
      <c r="L226" s="109">
        <v>0.0</v>
      </c>
      <c r="M226" s="7"/>
      <c r="N226" s="109">
        <v>0.0</v>
      </c>
      <c r="O226" s="7"/>
      <c r="P226" s="109">
        <v>0.0</v>
      </c>
      <c r="Q226" s="34"/>
      <c r="R226" s="32"/>
      <c r="S226" s="7"/>
      <c r="T226" s="33"/>
      <c r="U226" s="7"/>
      <c r="V226" s="33"/>
      <c r="W226" s="7"/>
      <c r="X226" s="33"/>
      <c r="Y226" s="7"/>
      <c r="Z226" s="33"/>
      <c r="AA226" s="7"/>
      <c r="AB226" s="33"/>
      <c r="AC226" s="34"/>
      <c r="AD226" s="35">
        <f t="shared" si="1"/>
        <v>2160</v>
      </c>
      <c r="AE226" s="30">
        <f t="shared" si="2"/>
        <v>90</v>
      </c>
      <c r="AF226" s="30">
        <f t="shared" si="3"/>
        <v>0</v>
      </c>
      <c r="AG226" s="30">
        <f t="shared" si="4"/>
        <v>90</v>
      </c>
      <c r="AH226" s="36">
        <f t="shared" si="5"/>
        <v>24</v>
      </c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ht="15.75" customHeight="1">
      <c r="A227" s="14" t="s">
        <v>21</v>
      </c>
      <c r="B227" s="15">
        <f t="shared" si="6"/>
        <v>45516</v>
      </c>
      <c r="C227" s="16">
        <v>9.0</v>
      </c>
      <c r="D227" s="16" t="s">
        <v>22</v>
      </c>
      <c r="E227" s="17" t="s">
        <v>34</v>
      </c>
      <c r="F227" s="114">
        <v>0.0</v>
      </c>
      <c r="H227" s="115">
        <v>0.0</v>
      </c>
      <c r="J227" s="115">
        <v>0.0</v>
      </c>
      <c r="L227" s="115">
        <v>0.0</v>
      </c>
      <c r="N227" s="115">
        <v>0.0</v>
      </c>
      <c r="P227" s="115">
        <v>0.0</v>
      </c>
      <c r="Q227" s="20"/>
      <c r="R227" s="18"/>
      <c r="T227" s="19"/>
      <c r="V227" s="19"/>
      <c r="X227" s="19"/>
      <c r="Z227" s="19"/>
      <c r="AB227" s="19"/>
      <c r="AC227" s="20"/>
      <c r="AD227" s="21">
        <f t="shared" si="1"/>
        <v>0</v>
      </c>
      <c r="AE227" s="16">
        <f t="shared" si="2"/>
        <v>0</v>
      </c>
      <c r="AF227" s="16">
        <f t="shared" si="3"/>
        <v>0</v>
      </c>
      <c r="AG227" s="16">
        <f t="shared" si="4"/>
        <v>0</v>
      </c>
      <c r="AH227" s="37">
        <f t="shared" si="5"/>
        <v>0</v>
      </c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ht="15.75" customHeight="1">
      <c r="A228" s="23" t="s">
        <v>23</v>
      </c>
      <c r="B228" s="24">
        <f t="shared" si="6"/>
        <v>45517</v>
      </c>
      <c r="C228" s="25">
        <v>9.0</v>
      </c>
      <c r="D228" s="25" t="s">
        <v>22</v>
      </c>
      <c r="E228" s="22" t="s">
        <v>34</v>
      </c>
      <c r="F228" s="114">
        <v>0.0</v>
      </c>
      <c r="H228" s="115">
        <v>0.0</v>
      </c>
      <c r="J228" s="115">
        <v>0.0</v>
      </c>
      <c r="L228" s="115">
        <v>0.0</v>
      </c>
      <c r="N228" s="115">
        <v>0.0</v>
      </c>
      <c r="P228" s="115">
        <v>0.0</v>
      </c>
      <c r="Q228" s="20"/>
      <c r="R228" s="18"/>
      <c r="T228" s="19"/>
      <c r="V228" s="19"/>
      <c r="X228" s="19"/>
      <c r="Z228" s="19"/>
      <c r="AB228" s="19"/>
      <c r="AC228" s="20"/>
      <c r="AD228" s="26">
        <f t="shared" si="1"/>
        <v>0</v>
      </c>
      <c r="AE228" s="25">
        <f t="shared" si="2"/>
        <v>0</v>
      </c>
      <c r="AF228" s="25">
        <f t="shared" si="3"/>
        <v>0</v>
      </c>
      <c r="AG228" s="25">
        <f t="shared" si="4"/>
        <v>0</v>
      </c>
      <c r="AH228" s="27">
        <f t="shared" si="5"/>
        <v>0</v>
      </c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ht="15.75" customHeight="1">
      <c r="A229" s="23" t="s">
        <v>24</v>
      </c>
      <c r="B229" s="24">
        <f t="shared" si="6"/>
        <v>45518</v>
      </c>
      <c r="C229" s="25">
        <v>9.0</v>
      </c>
      <c r="D229" s="25" t="s">
        <v>22</v>
      </c>
      <c r="E229" s="22" t="s">
        <v>34</v>
      </c>
      <c r="F229" s="114">
        <v>0.0</v>
      </c>
      <c r="H229" s="115">
        <v>0.0</v>
      </c>
      <c r="J229" s="115">
        <v>0.0</v>
      </c>
      <c r="L229" s="115">
        <v>0.0</v>
      </c>
      <c r="N229" s="115">
        <v>0.0</v>
      </c>
      <c r="P229" s="115">
        <v>0.0</v>
      </c>
      <c r="Q229" s="20"/>
      <c r="R229" s="18"/>
      <c r="T229" s="19"/>
      <c r="V229" s="19"/>
      <c r="X229" s="19"/>
      <c r="Z229" s="19"/>
      <c r="AB229" s="19"/>
      <c r="AC229" s="20"/>
      <c r="AD229" s="26">
        <f t="shared" si="1"/>
        <v>0</v>
      </c>
      <c r="AE229" s="25">
        <f t="shared" si="2"/>
        <v>0</v>
      </c>
      <c r="AF229" s="25">
        <f t="shared" si="3"/>
        <v>0</v>
      </c>
      <c r="AG229" s="25">
        <f t="shared" si="4"/>
        <v>0</v>
      </c>
      <c r="AH229" s="27">
        <f t="shared" si="5"/>
        <v>0</v>
      </c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ht="15.75" customHeight="1">
      <c r="A230" s="23" t="s">
        <v>25</v>
      </c>
      <c r="B230" s="24">
        <f t="shared" si="6"/>
        <v>45519</v>
      </c>
      <c r="C230" s="25">
        <v>9.0</v>
      </c>
      <c r="D230" s="25" t="s">
        <v>22</v>
      </c>
      <c r="E230" s="22" t="s">
        <v>34</v>
      </c>
      <c r="F230" s="114">
        <v>0.0</v>
      </c>
      <c r="H230" s="115">
        <v>0.0</v>
      </c>
      <c r="J230" s="115">
        <v>0.0</v>
      </c>
      <c r="L230" s="115">
        <v>0.0</v>
      </c>
      <c r="N230" s="115">
        <v>0.0</v>
      </c>
      <c r="P230" s="115">
        <v>0.0</v>
      </c>
      <c r="Q230" s="20"/>
      <c r="R230" s="18"/>
      <c r="T230" s="19"/>
      <c r="V230" s="19"/>
      <c r="X230" s="19"/>
      <c r="Z230" s="19"/>
      <c r="AB230" s="19"/>
      <c r="AC230" s="20"/>
      <c r="AD230" s="26">
        <f t="shared" si="1"/>
        <v>0</v>
      </c>
      <c r="AE230" s="25">
        <f t="shared" si="2"/>
        <v>0</v>
      </c>
      <c r="AF230" s="25">
        <f t="shared" si="3"/>
        <v>0</v>
      </c>
      <c r="AG230" s="25">
        <f t="shared" si="4"/>
        <v>0</v>
      </c>
      <c r="AH230" s="27">
        <f t="shared" si="5"/>
        <v>0</v>
      </c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ht="15.75" customHeight="1">
      <c r="A231" s="23" t="s">
        <v>26</v>
      </c>
      <c r="B231" s="24">
        <f t="shared" si="6"/>
        <v>45520</v>
      </c>
      <c r="C231" s="25">
        <v>9.0</v>
      </c>
      <c r="D231" s="25" t="s">
        <v>22</v>
      </c>
      <c r="E231" s="22" t="s">
        <v>34</v>
      </c>
      <c r="F231" s="114">
        <v>0.0</v>
      </c>
      <c r="H231" s="115">
        <v>0.0</v>
      </c>
      <c r="J231" s="115">
        <v>0.0</v>
      </c>
      <c r="L231" s="115">
        <v>0.0</v>
      </c>
      <c r="N231" s="115">
        <v>0.0</v>
      </c>
      <c r="P231" s="115">
        <v>0.0</v>
      </c>
      <c r="Q231" s="20"/>
      <c r="R231" s="18"/>
      <c r="T231" s="19"/>
      <c r="V231" s="19"/>
      <c r="X231" s="19"/>
      <c r="Z231" s="19"/>
      <c r="AB231" s="19"/>
      <c r="AC231" s="20"/>
      <c r="AD231" s="26">
        <f t="shared" si="1"/>
        <v>0</v>
      </c>
      <c r="AE231" s="25">
        <f t="shared" si="2"/>
        <v>0</v>
      </c>
      <c r="AF231" s="25">
        <f t="shared" si="3"/>
        <v>0</v>
      </c>
      <c r="AG231" s="25">
        <f t="shared" si="4"/>
        <v>0</v>
      </c>
      <c r="AH231" s="27">
        <f t="shared" si="5"/>
        <v>0</v>
      </c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ht="15.75" customHeight="1">
      <c r="A232" s="23" t="s">
        <v>27</v>
      </c>
      <c r="B232" s="24">
        <f t="shared" si="6"/>
        <v>45521</v>
      </c>
      <c r="C232" s="25">
        <v>9.0</v>
      </c>
      <c r="D232" s="25" t="s">
        <v>22</v>
      </c>
      <c r="E232" s="22" t="s">
        <v>34</v>
      </c>
      <c r="F232" s="114">
        <v>0.0</v>
      </c>
      <c r="H232" s="115">
        <v>0.0</v>
      </c>
      <c r="J232" s="115">
        <v>0.0</v>
      </c>
      <c r="L232" s="115">
        <v>0.0</v>
      </c>
      <c r="N232" s="115">
        <v>0.0</v>
      </c>
      <c r="P232" s="19"/>
      <c r="Q232" s="20"/>
      <c r="R232" s="18"/>
      <c r="T232" s="19"/>
      <c r="V232" s="19"/>
      <c r="X232" s="19"/>
      <c r="Z232" s="19"/>
      <c r="AB232" s="19"/>
      <c r="AC232" s="20"/>
      <c r="AD232" s="26">
        <f t="shared" si="1"/>
        <v>0</v>
      </c>
      <c r="AE232" s="25">
        <f t="shared" si="2"/>
        <v>0</v>
      </c>
      <c r="AF232" s="25">
        <f t="shared" si="3"/>
        <v>0</v>
      </c>
      <c r="AG232" s="25">
        <f t="shared" si="4"/>
        <v>0</v>
      </c>
      <c r="AH232" s="27">
        <f t="shared" si="5"/>
        <v>0</v>
      </c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ht="15.75" customHeight="1">
      <c r="A233" s="28" t="s">
        <v>28</v>
      </c>
      <c r="B233" s="29">
        <f t="shared" si="6"/>
        <v>45522</v>
      </c>
      <c r="C233" s="30">
        <v>9.0</v>
      </c>
      <c r="D233" s="30" t="s">
        <v>22</v>
      </c>
      <c r="E233" s="31" t="s">
        <v>34</v>
      </c>
      <c r="F233" s="116">
        <v>0.0</v>
      </c>
      <c r="G233" s="7"/>
      <c r="H233" s="116">
        <v>0.0</v>
      </c>
      <c r="I233" s="7"/>
      <c r="J233" s="116">
        <v>0.0</v>
      </c>
      <c r="K233" s="7"/>
      <c r="L233" s="116">
        <v>0.0</v>
      </c>
      <c r="M233" s="7"/>
      <c r="N233" s="116">
        <v>0.0</v>
      </c>
      <c r="O233" s="7"/>
      <c r="P233" s="116">
        <v>0.0</v>
      </c>
      <c r="Q233" s="34"/>
      <c r="R233" s="32"/>
      <c r="S233" s="7"/>
      <c r="T233" s="33"/>
      <c r="U233" s="7"/>
      <c r="V233" s="33"/>
      <c r="W233" s="7"/>
      <c r="X233" s="33"/>
      <c r="Y233" s="7"/>
      <c r="Z233" s="33"/>
      <c r="AA233" s="7"/>
      <c r="AB233" s="33"/>
      <c r="AC233" s="34"/>
      <c r="AD233" s="35">
        <f t="shared" si="1"/>
        <v>0</v>
      </c>
      <c r="AE233" s="30">
        <f t="shared" si="2"/>
        <v>0</v>
      </c>
      <c r="AF233" s="30">
        <f t="shared" si="3"/>
        <v>0</v>
      </c>
      <c r="AG233" s="30">
        <f t="shared" si="4"/>
        <v>0</v>
      </c>
      <c r="AH233" s="36">
        <f t="shared" si="5"/>
        <v>0</v>
      </c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ht="15.75" customHeight="1">
      <c r="A234" s="14" t="s">
        <v>21</v>
      </c>
      <c r="B234" s="15">
        <f t="shared" si="6"/>
        <v>45523</v>
      </c>
      <c r="C234" s="16">
        <v>9.0</v>
      </c>
      <c r="D234" s="16" t="s">
        <v>29</v>
      </c>
      <c r="E234" s="17" t="s">
        <v>34</v>
      </c>
      <c r="F234" s="92">
        <v>0.0</v>
      </c>
      <c r="H234" s="93">
        <v>0.0</v>
      </c>
      <c r="J234" s="93">
        <v>0.0</v>
      </c>
      <c r="L234" s="93">
        <v>0.0</v>
      </c>
      <c r="N234" s="93">
        <v>0.0</v>
      </c>
      <c r="P234" s="93">
        <v>0.0</v>
      </c>
      <c r="Q234" s="20"/>
      <c r="R234" s="18"/>
      <c r="T234" s="19"/>
      <c r="V234" s="19"/>
      <c r="X234" s="19"/>
      <c r="Z234" s="19"/>
      <c r="AB234" s="19"/>
      <c r="AC234" s="20"/>
      <c r="AD234" s="21">
        <f t="shared" si="1"/>
        <v>0</v>
      </c>
      <c r="AE234" s="16">
        <f t="shared" si="2"/>
        <v>0</v>
      </c>
      <c r="AF234" s="16">
        <f t="shared" si="3"/>
        <v>0</v>
      </c>
      <c r="AG234" s="16">
        <f t="shared" si="4"/>
        <v>0</v>
      </c>
      <c r="AH234" s="37">
        <f t="shared" si="5"/>
        <v>0</v>
      </c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ht="15.75" customHeight="1">
      <c r="A235" s="23" t="s">
        <v>23</v>
      </c>
      <c r="B235" s="24">
        <f t="shared" si="6"/>
        <v>45524</v>
      </c>
      <c r="C235" s="25">
        <v>9.0</v>
      </c>
      <c r="D235" s="25" t="s">
        <v>29</v>
      </c>
      <c r="E235" s="22" t="s">
        <v>35</v>
      </c>
      <c r="F235" s="92">
        <v>0.0</v>
      </c>
      <c r="H235" s="93">
        <v>45.0</v>
      </c>
      <c r="J235" s="93">
        <v>45.0</v>
      </c>
      <c r="L235" s="93">
        <v>0.0</v>
      </c>
      <c r="N235" s="93">
        <v>45.0</v>
      </c>
      <c r="P235" s="93">
        <v>0.0</v>
      </c>
      <c r="Q235" s="20"/>
      <c r="R235" s="18"/>
      <c r="T235" s="19"/>
      <c r="V235" s="19"/>
      <c r="X235" s="19"/>
      <c r="Z235" s="19"/>
      <c r="AB235" s="19"/>
      <c r="AC235" s="20"/>
      <c r="AD235" s="26">
        <f t="shared" si="1"/>
        <v>2520</v>
      </c>
      <c r="AE235" s="25">
        <f t="shared" si="2"/>
        <v>90</v>
      </c>
      <c r="AF235" s="25">
        <f t="shared" si="3"/>
        <v>45</v>
      </c>
      <c r="AG235" s="25">
        <f t="shared" si="4"/>
        <v>135</v>
      </c>
      <c r="AH235" s="27">
        <f t="shared" si="5"/>
        <v>18.66666667</v>
      </c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ht="15.75" customHeight="1">
      <c r="A236" s="23" t="s">
        <v>24</v>
      </c>
      <c r="B236" s="24">
        <f t="shared" si="6"/>
        <v>45525</v>
      </c>
      <c r="C236" s="25">
        <v>9.0</v>
      </c>
      <c r="D236" s="25" t="s">
        <v>29</v>
      </c>
      <c r="E236" s="22" t="s">
        <v>35</v>
      </c>
      <c r="F236" s="92">
        <v>0.0</v>
      </c>
      <c r="H236" s="93">
        <v>45.0</v>
      </c>
      <c r="J236" s="93">
        <v>45.0</v>
      </c>
      <c r="L236" s="93">
        <v>0.0</v>
      </c>
      <c r="N236" s="93">
        <v>45.0</v>
      </c>
      <c r="P236" s="93">
        <v>0.0</v>
      </c>
      <c r="Q236" s="20"/>
      <c r="R236" s="18"/>
      <c r="T236" s="19"/>
      <c r="V236" s="19"/>
      <c r="X236" s="19"/>
      <c r="Z236" s="19"/>
      <c r="AB236" s="19"/>
      <c r="AC236" s="20"/>
      <c r="AD236" s="26">
        <f t="shared" si="1"/>
        <v>2520</v>
      </c>
      <c r="AE236" s="25">
        <f t="shared" si="2"/>
        <v>90</v>
      </c>
      <c r="AF236" s="25">
        <f t="shared" si="3"/>
        <v>45</v>
      </c>
      <c r="AG236" s="25">
        <f t="shared" si="4"/>
        <v>135</v>
      </c>
      <c r="AH236" s="27">
        <f t="shared" si="5"/>
        <v>18.66666667</v>
      </c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ht="15.75" customHeight="1">
      <c r="A237" s="23" t="s">
        <v>25</v>
      </c>
      <c r="B237" s="24">
        <f t="shared" si="6"/>
        <v>45526</v>
      </c>
      <c r="C237" s="25">
        <v>9.0</v>
      </c>
      <c r="D237" s="25" t="s">
        <v>29</v>
      </c>
      <c r="E237" s="22" t="s">
        <v>35</v>
      </c>
      <c r="F237" s="92">
        <v>0.0</v>
      </c>
      <c r="H237" s="93">
        <v>45.0</v>
      </c>
      <c r="J237" s="93">
        <v>45.0</v>
      </c>
      <c r="L237" s="93">
        <v>0.0</v>
      </c>
      <c r="N237" s="93">
        <v>45.0</v>
      </c>
      <c r="P237" s="93">
        <v>0.0</v>
      </c>
      <c r="Q237" s="20"/>
      <c r="R237" s="18"/>
      <c r="T237" s="19"/>
      <c r="V237" s="19"/>
      <c r="X237" s="19"/>
      <c r="Z237" s="19"/>
      <c r="AB237" s="19"/>
      <c r="AC237" s="20"/>
      <c r="AD237" s="26">
        <f t="shared" si="1"/>
        <v>2520</v>
      </c>
      <c r="AE237" s="25">
        <f t="shared" si="2"/>
        <v>90</v>
      </c>
      <c r="AF237" s="25">
        <f t="shared" si="3"/>
        <v>45</v>
      </c>
      <c r="AG237" s="25">
        <f t="shared" si="4"/>
        <v>135</v>
      </c>
      <c r="AH237" s="27">
        <f t="shared" si="5"/>
        <v>18.66666667</v>
      </c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ht="15.75" customHeight="1">
      <c r="A238" s="23" t="s">
        <v>26</v>
      </c>
      <c r="B238" s="24">
        <f t="shared" si="6"/>
        <v>45527</v>
      </c>
      <c r="C238" s="25">
        <v>9.0</v>
      </c>
      <c r="D238" s="25" t="s">
        <v>29</v>
      </c>
      <c r="E238" s="22" t="s">
        <v>35</v>
      </c>
      <c r="F238" s="92">
        <v>0.0</v>
      </c>
      <c r="H238" s="93">
        <v>45.0</v>
      </c>
      <c r="J238" s="93">
        <v>0.0</v>
      </c>
      <c r="L238" s="93">
        <v>0.0</v>
      </c>
      <c r="N238" s="93">
        <v>45.0</v>
      </c>
      <c r="P238" s="93">
        <v>0.0</v>
      </c>
      <c r="Q238" s="20"/>
      <c r="R238" s="18"/>
      <c r="T238" s="19"/>
      <c r="V238" s="19"/>
      <c r="X238" s="19"/>
      <c r="Z238" s="19"/>
      <c r="AB238" s="19"/>
      <c r="AC238" s="20"/>
      <c r="AD238" s="26">
        <f t="shared" si="1"/>
        <v>1440</v>
      </c>
      <c r="AE238" s="25">
        <f t="shared" si="2"/>
        <v>45</v>
      </c>
      <c r="AF238" s="25">
        <f t="shared" si="3"/>
        <v>45</v>
      </c>
      <c r="AG238" s="25">
        <f t="shared" si="4"/>
        <v>90</v>
      </c>
      <c r="AH238" s="27">
        <f t="shared" si="5"/>
        <v>16</v>
      </c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ht="15.75" customHeight="1">
      <c r="A239" s="23" t="s">
        <v>27</v>
      </c>
      <c r="B239" s="24">
        <f t="shared" si="6"/>
        <v>45528</v>
      </c>
      <c r="C239" s="25">
        <v>9.0</v>
      </c>
      <c r="D239" s="25" t="s">
        <v>29</v>
      </c>
      <c r="E239" s="22" t="s">
        <v>35</v>
      </c>
      <c r="F239" s="92">
        <v>0.0</v>
      </c>
      <c r="H239" s="93">
        <v>45.0</v>
      </c>
      <c r="J239" s="93">
        <v>45.0</v>
      </c>
      <c r="L239" s="93">
        <v>0.0</v>
      </c>
      <c r="N239" s="93">
        <v>45.0</v>
      </c>
      <c r="P239" s="93">
        <v>0.0</v>
      </c>
      <c r="Q239" s="20"/>
      <c r="R239" s="18"/>
      <c r="T239" s="19"/>
      <c r="V239" s="19"/>
      <c r="X239" s="19"/>
      <c r="Z239" s="19"/>
      <c r="AB239" s="19"/>
      <c r="AC239" s="20"/>
      <c r="AD239" s="26">
        <f t="shared" si="1"/>
        <v>2520</v>
      </c>
      <c r="AE239" s="25">
        <f t="shared" si="2"/>
        <v>90</v>
      </c>
      <c r="AF239" s="25">
        <f t="shared" si="3"/>
        <v>45</v>
      </c>
      <c r="AG239" s="25">
        <f t="shared" si="4"/>
        <v>135</v>
      </c>
      <c r="AH239" s="27">
        <f t="shared" si="5"/>
        <v>18.66666667</v>
      </c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ht="15.75" customHeight="1">
      <c r="A240" s="28" t="s">
        <v>28</v>
      </c>
      <c r="B240" s="29">
        <f t="shared" si="6"/>
        <v>45529</v>
      </c>
      <c r="C240" s="30">
        <v>9.0</v>
      </c>
      <c r="D240" s="30" t="s">
        <v>29</v>
      </c>
      <c r="E240" s="31" t="s">
        <v>33</v>
      </c>
      <c r="F240" s="109">
        <v>0.0</v>
      </c>
      <c r="G240" s="7"/>
      <c r="H240" s="109">
        <v>0.0</v>
      </c>
      <c r="I240" s="7"/>
      <c r="J240" s="109">
        <v>45.0</v>
      </c>
      <c r="K240" s="7"/>
      <c r="L240" s="109">
        <v>0.0</v>
      </c>
      <c r="M240" s="7"/>
      <c r="N240" s="109">
        <v>0.0</v>
      </c>
      <c r="O240" s="7"/>
      <c r="P240" s="109">
        <v>0.0</v>
      </c>
      <c r="Q240" s="34"/>
      <c r="R240" s="32"/>
      <c r="S240" s="7"/>
      <c r="T240" s="33"/>
      <c r="U240" s="7"/>
      <c r="V240" s="33"/>
      <c r="W240" s="7"/>
      <c r="X240" s="33"/>
      <c r="Y240" s="7"/>
      <c r="Z240" s="33"/>
      <c r="AA240" s="7"/>
      <c r="AB240" s="33"/>
      <c r="AC240" s="34"/>
      <c r="AD240" s="35">
        <f t="shared" si="1"/>
        <v>1080</v>
      </c>
      <c r="AE240" s="30">
        <f t="shared" si="2"/>
        <v>45</v>
      </c>
      <c r="AF240" s="30">
        <f t="shared" si="3"/>
        <v>0</v>
      </c>
      <c r="AG240" s="30">
        <f t="shared" si="4"/>
        <v>45</v>
      </c>
      <c r="AH240" s="36">
        <f t="shared" si="5"/>
        <v>24</v>
      </c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ht="15.75" customHeight="1">
      <c r="A241" s="14" t="s">
        <v>21</v>
      </c>
      <c r="B241" s="15">
        <f t="shared" si="6"/>
        <v>45530</v>
      </c>
      <c r="C241" s="16">
        <v>9.0</v>
      </c>
      <c r="D241" s="16" t="s">
        <v>30</v>
      </c>
      <c r="E241" s="17" t="s">
        <v>34</v>
      </c>
      <c r="F241" s="114">
        <v>0.0</v>
      </c>
      <c r="H241" s="115">
        <v>0.0</v>
      </c>
      <c r="J241" s="115">
        <v>0.0</v>
      </c>
      <c r="L241" s="115">
        <v>0.0</v>
      </c>
      <c r="N241" s="115">
        <v>0.0</v>
      </c>
      <c r="P241" s="115">
        <v>0.0</v>
      </c>
      <c r="Q241" s="20"/>
      <c r="R241" s="18"/>
      <c r="T241" s="19"/>
      <c r="V241" s="19"/>
      <c r="X241" s="19"/>
      <c r="Z241" s="19"/>
      <c r="AB241" s="19"/>
      <c r="AC241" s="20"/>
      <c r="AD241" s="21">
        <f t="shared" si="1"/>
        <v>0</v>
      </c>
      <c r="AE241" s="16">
        <f t="shared" si="2"/>
        <v>0</v>
      </c>
      <c r="AF241" s="16">
        <f t="shared" si="3"/>
        <v>0</v>
      </c>
      <c r="AG241" s="16">
        <f t="shared" si="4"/>
        <v>0</v>
      </c>
      <c r="AH241" s="37">
        <f t="shared" si="5"/>
        <v>0</v>
      </c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ht="15.75" customHeight="1">
      <c r="A242" s="23" t="s">
        <v>23</v>
      </c>
      <c r="B242" s="24">
        <f t="shared" si="6"/>
        <v>45531</v>
      </c>
      <c r="C242" s="25">
        <v>9.0</v>
      </c>
      <c r="D242" s="25" t="s">
        <v>30</v>
      </c>
      <c r="E242" s="22" t="s">
        <v>34</v>
      </c>
      <c r="F242" s="114">
        <v>0.0</v>
      </c>
      <c r="H242" s="115">
        <v>0.0</v>
      </c>
      <c r="J242" s="115">
        <v>0.0</v>
      </c>
      <c r="L242" s="115">
        <v>0.0</v>
      </c>
      <c r="N242" s="115">
        <v>0.0</v>
      </c>
      <c r="P242" s="115">
        <v>0.0</v>
      </c>
      <c r="Q242" s="20"/>
      <c r="R242" s="18"/>
      <c r="T242" s="19"/>
      <c r="V242" s="19"/>
      <c r="X242" s="19"/>
      <c r="Z242" s="19"/>
      <c r="AB242" s="19"/>
      <c r="AC242" s="20"/>
      <c r="AD242" s="26">
        <f t="shared" si="1"/>
        <v>0</v>
      </c>
      <c r="AE242" s="25">
        <f t="shared" si="2"/>
        <v>0</v>
      </c>
      <c r="AF242" s="25">
        <f t="shared" si="3"/>
        <v>0</v>
      </c>
      <c r="AG242" s="25">
        <f t="shared" si="4"/>
        <v>0</v>
      </c>
      <c r="AH242" s="27">
        <f t="shared" si="5"/>
        <v>0</v>
      </c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ht="15.75" customHeight="1">
      <c r="A243" s="23" t="s">
        <v>24</v>
      </c>
      <c r="B243" s="24">
        <f t="shared" si="6"/>
        <v>45532</v>
      </c>
      <c r="C243" s="25">
        <v>9.0</v>
      </c>
      <c r="D243" s="25" t="s">
        <v>30</v>
      </c>
      <c r="E243" s="22" t="s">
        <v>34</v>
      </c>
      <c r="F243" s="114">
        <v>0.0</v>
      </c>
      <c r="H243" s="115">
        <v>0.0</v>
      </c>
      <c r="J243" s="115">
        <v>0.0</v>
      </c>
      <c r="L243" s="115">
        <v>0.0</v>
      </c>
      <c r="N243" s="115">
        <v>0.0</v>
      </c>
      <c r="P243" s="115">
        <v>0.0</v>
      </c>
      <c r="Q243" s="20"/>
      <c r="R243" s="18"/>
      <c r="T243" s="19"/>
      <c r="V243" s="19"/>
      <c r="X243" s="19"/>
      <c r="Z243" s="19"/>
      <c r="AB243" s="19"/>
      <c r="AC243" s="20"/>
      <c r="AD243" s="26">
        <f t="shared" si="1"/>
        <v>0</v>
      </c>
      <c r="AE243" s="25">
        <f t="shared" si="2"/>
        <v>0</v>
      </c>
      <c r="AF243" s="25">
        <f t="shared" si="3"/>
        <v>0</v>
      </c>
      <c r="AG243" s="25">
        <f t="shared" si="4"/>
        <v>0</v>
      </c>
      <c r="AH243" s="27">
        <f t="shared" si="5"/>
        <v>0</v>
      </c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ht="15.75" customHeight="1">
      <c r="A244" s="23" t="s">
        <v>25</v>
      </c>
      <c r="B244" s="24">
        <f t="shared" si="6"/>
        <v>45533</v>
      </c>
      <c r="C244" s="25">
        <v>9.0</v>
      </c>
      <c r="D244" s="25" t="s">
        <v>30</v>
      </c>
      <c r="E244" s="22" t="s">
        <v>34</v>
      </c>
      <c r="F244" s="114">
        <v>0.0</v>
      </c>
      <c r="H244" s="115">
        <v>0.0</v>
      </c>
      <c r="J244" s="115">
        <v>0.0</v>
      </c>
      <c r="L244" s="115">
        <v>0.0</v>
      </c>
      <c r="N244" s="115">
        <v>0.0</v>
      </c>
      <c r="P244" s="115">
        <v>0.0</v>
      </c>
      <c r="Q244" s="20"/>
      <c r="R244" s="18"/>
      <c r="T244" s="19"/>
      <c r="V244" s="19"/>
      <c r="X244" s="19"/>
      <c r="Z244" s="19"/>
      <c r="AB244" s="19"/>
      <c r="AC244" s="20"/>
      <c r="AD244" s="26">
        <f t="shared" si="1"/>
        <v>0</v>
      </c>
      <c r="AE244" s="25">
        <f t="shared" si="2"/>
        <v>0</v>
      </c>
      <c r="AF244" s="25">
        <f t="shared" si="3"/>
        <v>0</v>
      </c>
      <c r="AG244" s="25">
        <f t="shared" si="4"/>
        <v>0</v>
      </c>
      <c r="AH244" s="27">
        <f t="shared" si="5"/>
        <v>0</v>
      </c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ht="15.75" customHeight="1">
      <c r="A245" s="23" t="s">
        <v>26</v>
      </c>
      <c r="B245" s="24">
        <f t="shared" si="6"/>
        <v>45534</v>
      </c>
      <c r="C245" s="25">
        <v>9.0</v>
      </c>
      <c r="D245" s="25" t="s">
        <v>30</v>
      </c>
      <c r="E245" s="22" t="s">
        <v>34</v>
      </c>
      <c r="F245" s="114">
        <v>0.0</v>
      </c>
      <c r="H245" s="115">
        <v>0.0</v>
      </c>
      <c r="J245" s="115">
        <v>0.0</v>
      </c>
      <c r="L245" s="115">
        <v>0.0</v>
      </c>
      <c r="N245" s="115">
        <v>0.0</v>
      </c>
      <c r="P245" s="115">
        <v>0.0</v>
      </c>
      <c r="Q245" s="20"/>
      <c r="R245" s="18"/>
      <c r="T245" s="19"/>
      <c r="V245" s="19"/>
      <c r="X245" s="19"/>
      <c r="Z245" s="19"/>
      <c r="AB245" s="19"/>
      <c r="AC245" s="20"/>
      <c r="AD245" s="26">
        <f t="shared" si="1"/>
        <v>0</v>
      </c>
      <c r="AE245" s="25">
        <f t="shared" si="2"/>
        <v>0</v>
      </c>
      <c r="AF245" s="25">
        <f t="shared" si="3"/>
        <v>0</v>
      </c>
      <c r="AG245" s="25">
        <f t="shared" si="4"/>
        <v>0</v>
      </c>
      <c r="AH245" s="27">
        <f t="shared" si="5"/>
        <v>0</v>
      </c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ht="15.75" customHeight="1">
      <c r="A246" s="23" t="s">
        <v>27</v>
      </c>
      <c r="B246" s="24">
        <f t="shared" si="6"/>
        <v>45535</v>
      </c>
      <c r="C246" s="25">
        <v>9.0</v>
      </c>
      <c r="D246" s="25" t="s">
        <v>30</v>
      </c>
      <c r="E246" s="22" t="s">
        <v>34</v>
      </c>
      <c r="F246" s="114">
        <v>0.0</v>
      </c>
      <c r="H246" s="115">
        <v>0.0</v>
      </c>
      <c r="J246" s="115">
        <v>0.0</v>
      </c>
      <c r="L246" s="115">
        <v>0.0</v>
      </c>
      <c r="N246" s="115">
        <v>0.0</v>
      </c>
      <c r="P246" s="115">
        <v>0.0</v>
      </c>
      <c r="Q246" s="20"/>
      <c r="R246" s="18"/>
      <c r="T246" s="19"/>
      <c r="V246" s="19"/>
      <c r="X246" s="19"/>
      <c r="Z246" s="19"/>
      <c r="AB246" s="19"/>
      <c r="AC246" s="20"/>
      <c r="AD246" s="26">
        <f t="shared" si="1"/>
        <v>0</v>
      </c>
      <c r="AE246" s="25">
        <f t="shared" si="2"/>
        <v>0</v>
      </c>
      <c r="AF246" s="25">
        <f t="shared" si="3"/>
        <v>0</v>
      </c>
      <c r="AG246" s="25">
        <f t="shared" si="4"/>
        <v>0</v>
      </c>
      <c r="AH246" s="27">
        <f t="shared" si="5"/>
        <v>0</v>
      </c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ht="15.75" customHeight="1">
      <c r="A247" s="28" t="s">
        <v>28</v>
      </c>
      <c r="B247" s="29">
        <f t="shared" si="6"/>
        <v>45536</v>
      </c>
      <c r="C247" s="30">
        <v>9.0</v>
      </c>
      <c r="D247" s="30" t="s">
        <v>30</v>
      </c>
      <c r="E247" s="31" t="s">
        <v>34</v>
      </c>
      <c r="F247" s="116">
        <v>0.0</v>
      </c>
      <c r="G247" s="7"/>
      <c r="H247" s="116">
        <v>0.0</v>
      </c>
      <c r="I247" s="7"/>
      <c r="J247" s="116">
        <v>0.0</v>
      </c>
      <c r="K247" s="7"/>
      <c r="L247" s="116">
        <v>0.0</v>
      </c>
      <c r="M247" s="7"/>
      <c r="N247" s="116">
        <v>0.0</v>
      </c>
      <c r="O247" s="7"/>
      <c r="P247" s="116">
        <v>0.0</v>
      </c>
      <c r="Q247" s="34"/>
      <c r="R247" s="32"/>
      <c r="S247" s="7"/>
      <c r="T247" s="33"/>
      <c r="U247" s="7"/>
      <c r="V247" s="33"/>
      <c r="W247" s="7"/>
      <c r="X247" s="33"/>
      <c r="Y247" s="7"/>
      <c r="Z247" s="33"/>
      <c r="AA247" s="7"/>
      <c r="AB247" s="33"/>
      <c r="AC247" s="34"/>
      <c r="AD247" s="35">
        <f t="shared" si="1"/>
        <v>0</v>
      </c>
      <c r="AE247" s="30">
        <f t="shared" si="2"/>
        <v>0</v>
      </c>
      <c r="AF247" s="30">
        <f t="shared" si="3"/>
        <v>0</v>
      </c>
      <c r="AG247" s="30">
        <f t="shared" si="4"/>
        <v>0</v>
      </c>
      <c r="AH247" s="36">
        <f t="shared" si="5"/>
        <v>0</v>
      </c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ht="15.75" customHeight="1">
      <c r="A248" s="14" t="s">
        <v>21</v>
      </c>
      <c r="B248" s="15">
        <f t="shared" si="6"/>
        <v>45537</v>
      </c>
      <c r="C248" s="16">
        <v>9.0</v>
      </c>
      <c r="D248" s="16" t="s">
        <v>31</v>
      </c>
      <c r="E248" s="17" t="s">
        <v>34</v>
      </c>
      <c r="F248" s="92">
        <v>0.0</v>
      </c>
      <c r="H248" s="93">
        <v>0.0</v>
      </c>
      <c r="J248" s="93">
        <v>0.0</v>
      </c>
      <c r="L248" s="93">
        <v>0.0</v>
      </c>
      <c r="N248" s="93">
        <v>0.0</v>
      </c>
      <c r="P248" s="93">
        <v>0.0</v>
      </c>
      <c r="Q248" s="20"/>
      <c r="R248" s="18"/>
      <c r="T248" s="19"/>
      <c r="V248" s="19"/>
      <c r="X248" s="19"/>
      <c r="Z248" s="19"/>
      <c r="AB248" s="19"/>
      <c r="AC248" s="20"/>
      <c r="AD248" s="21">
        <f t="shared" si="1"/>
        <v>0</v>
      </c>
      <c r="AE248" s="16">
        <f t="shared" si="2"/>
        <v>0</v>
      </c>
      <c r="AF248" s="16">
        <f t="shared" si="3"/>
        <v>0</v>
      </c>
      <c r="AG248" s="16">
        <f t="shared" si="4"/>
        <v>0</v>
      </c>
      <c r="AH248" s="37">
        <f t="shared" si="5"/>
        <v>0</v>
      </c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ht="15.75" customHeight="1">
      <c r="A249" s="23" t="s">
        <v>23</v>
      </c>
      <c r="B249" s="24">
        <f t="shared" si="6"/>
        <v>45538</v>
      </c>
      <c r="C249" s="25">
        <v>9.0</v>
      </c>
      <c r="D249" s="25" t="s">
        <v>31</v>
      </c>
      <c r="E249" s="22" t="s">
        <v>35</v>
      </c>
      <c r="F249" s="92">
        <v>0.0</v>
      </c>
      <c r="H249" s="93">
        <v>45.0</v>
      </c>
      <c r="J249" s="93">
        <v>45.0</v>
      </c>
      <c r="L249" s="93">
        <v>0.0</v>
      </c>
      <c r="N249" s="93">
        <v>45.0</v>
      </c>
      <c r="P249" s="93">
        <v>0.0</v>
      </c>
      <c r="Q249" s="20"/>
      <c r="R249" s="18"/>
      <c r="T249" s="19"/>
      <c r="V249" s="19"/>
      <c r="X249" s="19"/>
      <c r="Z249" s="19"/>
      <c r="AB249" s="19"/>
      <c r="AC249" s="20"/>
      <c r="AD249" s="26">
        <f t="shared" si="1"/>
        <v>2520</v>
      </c>
      <c r="AE249" s="25">
        <f t="shared" si="2"/>
        <v>90</v>
      </c>
      <c r="AF249" s="25">
        <f t="shared" si="3"/>
        <v>45</v>
      </c>
      <c r="AG249" s="25">
        <f t="shared" si="4"/>
        <v>135</v>
      </c>
      <c r="AH249" s="27">
        <f t="shared" si="5"/>
        <v>18.66666667</v>
      </c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ht="15.75" customHeight="1">
      <c r="A250" s="23" t="s">
        <v>24</v>
      </c>
      <c r="B250" s="24">
        <f t="shared" si="6"/>
        <v>45539</v>
      </c>
      <c r="C250" s="25">
        <v>9.0</v>
      </c>
      <c r="D250" s="25" t="s">
        <v>31</v>
      </c>
      <c r="E250" s="22" t="s">
        <v>35</v>
      </c>
      <c r="F250" s="92">
        <v>0.0</v>
      </c>
      <c r="H250" s="93">
        <v>45.0</v>
      </c>
      <c r="J250" s="93">
        <v>45.0</v>
      </c>
      <c r="L250" s="93">
        <v>0.0</v>
      </c>
      <c r="N250" s="93">
        <v>45.0</v>
      </c>
      <c r="P250" s="93">
        <v>0.0</v>
      </c>
      <c r="Q250" s="20"/>
      <c r="R250" s="18"/>
      <c r="T250" s="19"/>
      <c r="V250" s="19"/>
      <c r="X250" s="19"/>
      <c r="Z250" s="19"/>
      <c r="AB250" s="19"/>
      <c r="AC250" s="20"/>
      <c r="AD250" s="26">
        <f t="shared" si="1"/>
        <v>2520</v>
      </c>
      <c r="AE250" s="25">
        <f t="shared" si="2"/>
        <v>90</v>
      </c>
      <c r="AF250" s="25">
        <f t="shared" si="3"/>
        <v>45</v>
      </c>
      <c r="AG250" s="25">
        <f t="shared" si="4"/>
        <v>135</v>
      </c>
      <c r="AH250" s="27">
        <f t="shared" si="5"/>
        <v>18.66666667</v>
      </c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ht="15.75" customHeight="1">
      <c r="A251" s="23" t="s">
        <v>25</v>
      </c>
      <c r="B251" s="24">
        <f t="shared" si="6"/>
        <v>45540</v>
      </c>
      <c r="C251" s="25">
        <v>9.0</v>
      </c>
      <c r="D251" s="25" t="s">
        <v>31</v>
      </c>
      <c r="E251" s="22" t="s">
        <v>35</v>
      </c>
      <c r="F251" s="92">
        <v>0.0</v>
      </c>
      <c r="H251" s="93">
        <v>45.0</v>
      </c>
      <c r="J251" s="93">
        <v>45.0</v>
      </c>
      <c r="L251" s="93">
        <v>0.0</v>
      </c>
      <c r="N251" s="93">
        <v>45.0</v>
      </c>
      <c r="P251" s="93">
        <v>0.0</v>
      </c>
      <c r="Q251" s="20"/>
      <c r="R251" s="18"/>
      <c r="T251" s="19"/>
      <c r="V251" s="19"/>
      <c r="X251" s="19"/>
      <c r="Z251" s="19"/>
      <c r="AB251" s="19"/>
      <c r="AC251" s="20"/>
      <c r="AD251" s="26">
        <f t="shared" si="1"/>
        <v>2520</v>
      </c>
      <c r="AE251" s="25">
        <f t="shared" si="2"/>
        <v>90</v>
      </c>
      <c r="AF251" s="25">
        <f t="shared" si="3"/>
        <v>45</v>
      </c>
      <c r="AG251" s="25">
        <f t="shared" si="4"/>
        <v>135</v>
      </c>
      <c r="AH251" s="27">
        <f t="shared" si="5"/>
        <v>18.66666667</v>
      </c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ht="15.75" customHeight="1">
      <c r="A252" s="23" t="s">
        <v>26</v>
      </c>
      <c r="B252" s="24">
        <f t="shared" si="6"/>
        <v>45541</v>
      </c>
      <c r="C252" s="25">
        <v>9.0</v>
      </c>
      <c r="D252" s="25" t="s">
        <v>31</v>
      </c>
      <c r="E252" s="22" t="s">
        <v>35</v>
      </c>
      <c r="F252" s="92">
        <v>0.0</v>
      </c>
      <c r="H252" s="93">
        <v>45.0</v>
      </c>
      <c r="J252" s="93">
        <v>45.0</v>
      </c>
      <c r="L252" s="93">
        <v>0.0</v>
      </c>
      <c r="N252" s="93">
        <v>45.0</v>
      </c>
      <c r="P252" s="93">
        <v>0.0</v>
      </c>
      <c r="Q252" s="20"/>
      <c r="R252" s="18"/>
      <c r="T252" s="19"/>
      <c r="V252" s="19"/>
      <c r="X252" s="19"/>
      <c r="Z252" s="19"/>
      <c r="AB252" s="19"/>
      <c r="AC252" s="20"/>
      <c r="AD252" s="26">
        <f t="shared" si="1"/>
        <v>2520</v>
      </c>
      <c r="AE252" s="25">
        <f t="shared" si="2"/>
        <v>90</v>
      </c>
      <c r="AF252" s="25">
        <f t="shared" si="3"/>
        <v>45</v>
      </c>
      <c r="AG252" s="25">
        <f t="shared" si="4"/>
        <v>135</v>
      </c>
      <c r="AH252" s="27">
        <f t="shared" si="5"/>
        <v>18.66666667</v>
      </c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ht="15.75" customHeight="1">
      <c r="A253" s="23" t="s">
        <v>27</v>
      </c>
      <c r="B253" s="24">
        <f t="shared" si="6"/>
        <v>45542</v>
      </c>
      <c r="C253" s="25">
        <v>9.0</v>
      </c>
      <c r="D253" s="25" t="s">
        <v>31</v>
      </c>
      <c r="E253" s="22" t="s">
        <v>35</v>
      </c>
      <c r="F253" s="92">
        <v>0.0</v>
      </c>
      <c r="H253" s="93">
        <v>45.0</v>
      </c>
      <c r="J253" s="93">
        <v>0.0</v>
      </c>
      <c r="L253" s="93">
        <v>0.0</v>
      </c>
      <c r="N253" s="93">
        <v>45.0</v>
      </c>
      <c r="P253" s="93">
        <v>0.0</v>
      </c>
      <c r="Q253" s="20"/>
      <c r="R253" s="18"/>
      <c r="T253" s="19"/>
      <c r="V253" s="19"/>
      <c r="X253" s="19"/>
      <c r="Z253" s="19"/>
      <c r="AB253" s="19"/>
      <c r="AC253" s="20"/>
      <c r="AD253" s="26">
        <f t="shared" si="1"/>
        <v>1440</v>
      </c>
      <c r="AE253" s="25">
        <f t="shared" si="2"/>
        <v>45</v>
      </c>
      <c r="AF253" s="25">
        <f t="shared" si="3"/>
        <v>45</v>
      </c>
      <c r="AG253" s="25">
        <f t="shared" si="4"/>
        <v>90</v>
      </c>
      <c r="AH253" s="27">
        <f t="shared" si="5"/>
        <v>16</v>
      </c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ht="15.75" customHeight="1">
      <c r="A254" s="28" t="s">
        <v>28</v>
      </c>
      <c r="B254" s="29">
        <f t="shared" si="6"/>
        <v>45543</v>
      </c>
      <c r="C254" s="30">
        <v>9.0</v>
      </c>
      <c r="D254" s="30" t="s">
        <v>31</v>
      </c>
      <c r="E254" s="31" t="s">
        <v>33</v>
      </c>
      <c r="F254" s="109">
        <v>45.0</v>
      </c>
      <c r="G254" s="7"/>
      <c r="H254" s="109">
        <v>0.0</v>
      </c>
      <c r="I254" s="7"/>
      <c r="J254" s="109">
        <v>45.0</v>
      </c>
      <c r="K254" s="7"/>
      <c r="L254" s="109">
        <v>0.0</v>
      </c>
      <c r="M254" s="7"/>
      <c r="N254" s="109">
        <v>0.0</v>
      </c>
      <c r="O254" s="7"/>
      <c r="P254" s="109">
        <v>0.0</v>
      </c>
      <c r="Q254" s="34"/>
      <c r="R254" s="32"/>
      <c r="S254" s="7"/>
      <c r="T254" s="33"/>
      <c r="U254" s="7"/>
      <c r="V254" s="33"/>
      <c r="W254" s="7"/>
      <c r="X254" s="33"/>
      <c r="Y254" s="7"/>
      <c r="Z254" s="33"/>
      <c r="AA254" s="7"/>
      <c r="AB254" s="33"/>
      <c r="AC254" s="34"/>
      <c r="AD254" s="35">
        <f t="shared" si="1"/>
        <v>2160</v>
      </c>
      <c r="AE254" s="30">
        <f t="shared" si="2"/>
        <v>90</v>
      </c>
      <c r="AF254" s="30">
        <f t="shared" si="3"/>
        <v>0</v>
      </c>
      <c r="AG254" s="30">
        <f t="shared" si="4"/>
        <v>90</v>
      </c>
      <c r="AH254" s="36">
        <f t="shared" si="5"/>
        <v>24</v>
      </c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ht="15.75" customHeight="1">
      <c r="A255" s="14" t="s">
        <v>21</v>
      </c>
      <c r="B255" s="15">
        <f t="shared" si="6"/>
        <v>45544</v>
      </c>
      <c r="C255" s="16">
        <v>10.0</v>
      </c>
      <c r="D255" s="16" t="s">
        <v>22</v>
      </c>
      <c r="E255" s="17" t="s">
        <v>34</v>
      </c>
      <c r="F255" s="114">
        <v>0.0</v>
      </c>
      <c r="H255" s="115">
        <v>0.0</v>
      </c>
      <c r="J255" s="115">
        <v>0.0</v>
      </c>
      <c r="L255" s="115">
        <v>0.0</v>
      </c>
      <c r="N255" s="115">
        <v>0.0</v>
      </c>
      <c r="P255" s="115">
        <v>0.0</v>
      </c>
      <c r="Q255" s="20"/>
      <c r="R255" s="18"/>
      <c r="T255" s="19"/>
      <c r="V255" s="19"/>
      <c r="X255" s="19"/>
      <c r="Z255" s="19"/>
      <c r="AB255" s="19"/>
      <c r="AC255" s="20"/>
      <c r="AD255" s="21">
        <f t="shared" si="1"/>
        <v>0</v>
      </c>
      <c r="AE255" s="16">
        <f t="shared" si="2"/>
        <v>0</v>
      </c>
      <c r="AF255" s="16">
        <f t="shared" si="3"/>
        <v>0</v>
      </c>
      <c r="AG255" s="16">
        <f t="shared" si="4"/>
        <v>0</v>
      </c>
      <c r="AH255" s="37">
        <f t="shared" si="5"/>
        <v>0</v>
      </c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ht="15.75" customHeight="1">
      <c r="A256" s="23" t="s">
        <v>23</v>
      </c>
      <c r="B256" s="24">
        <f t="shared" si="6"/>
        <v>45545</v>
      </c>
      <c r="C256" s="25">
        <v>10.0</v>
      </c>
      <c r="D256" s="25" t="s">
        <v>22</v>
      </c>
      <c r="E256" s="22" t="s">
        <v>34</v>
      </c>
      <c r="F256" s="114">
        <v>0.0</v>
      </c>
      <c r="H256" s="115">
        <v>0.0</v>
      </c>
      <c r="J256" s="115">
        <v>0.0</v>
      </c>
      <c r="L256" s="115">
        <v>0.0</v>
      </c>
      <c r="N256" s="115">
        <v>0.0</v>
      </c>
      <c r="P256" s="115">
        <v>0.0</v>
      </c>
      <c r="Q256" s="20"/>
      <c r="R256" s="18"/>
      <c r="T256" s="19"/>
      <c r="V256" s="19"/>
      <c r="X256" s="19"/>
      <c r="Z256" s="19"/>
      <c r="AB256" s="19"/>
      <c r="AC256" s="20"/>
      <c r="AD256" s="26">
        <f t="shared" si="1"/>
        <v>0</v>
      </c>
      <c r="AE256" s="25">
        <f t="shared" si="2"/>
        <v>0</v>
      </c>
      <c r="AF256" s="25">
        <f t="shared" si="3"/>
        <v>0</v>
      </c>
      <c r="AG256" s="25">
        <f t="shared" si="4"/>
        <v>0</v>
      </c>
      <c r="AH256" s="27">
        <f t="shared" si="5"/>
        <v>0</v>
      </c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ht="15.75" customHeight="1">
      <c r="A257" s="23" t="s">
        <v>24</v>
      </c>
      <c r="B257" s="24">
        <f t="shared" si="6"/>
        <v>45546</v>
      </c>
      <c r="C257" s="25">
        <v>10.0</v>
      </c>
      <c r="D257" s="25" t="s">
        <v>22</v>
      </c>
      <c r="E257" s="22" t="s">
        <v>34</v>
      </c>
      <c r="F257" s="114">
        <v>0.0</v>
      </c>
      <c r="H257" s="115">
        <v>0.0</v>
      </c>
      <c r="J257" s="115">
        <v>0.0</v>
      </c>
      <c r="L257" s="115">
        <v>0.0</v>
      </c>
      <c r="N257" s="115">
        <v>0.0</v>
      </c>
      <c r="P257" s="115">
        <v>0.0</v>
      </c>
      <c r="Q257" s="20"/>
      <c r="R257" s="18"/>
      <c r="T257" s="19"/>
      <c r="V257" s="19"/>
      <c r="X257" s="19"/>
      <c r="Z257" s="19"/>
      <c r="AB257" s="19"/>
      <c r="AC257" s="20"/>
      <c r="AD257" s="26">
        <f t="shared" si="1"/>
        <v>0</v>
      </c>
      <c r="AE257" s="25">
        <f t="shared" si="2"/>
        <v>0</v>
      </c>
      <c r="AF257" s="25">
        <f t="shared" si="3"/>
        <v>0</v>
      </c>
      <c r="AG257" s="25">
        <f t="shared" si="4"/>
        <v>0</v>
      </c>
      <c r="AH257" s="27">
        <f t="shared" si="5"/>
        <v>0</v>
      </c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ht="15.75" customHeight="1">
      <c r="A258" s="23" t="s">
        <v>25</v>
      </c>
      <c r="B258" s="24">
        <f t="shared" si="6"/>
        <v>45547</v>
      </c>
      <c r="C258" s="25">
        <v>10.0</v>
      </c>
      <c r="D258" s="25" t="s">
        <v>22</v>
      </c>
      <c r="E258" s="22" t="s">
        <v>34</v>
      </c>
      <c r="F258" s="114">
        <v>0.0</v>
      </c>
      <c r="H258" s="115">
        <v>0.0</v>
      </c>
      <c r="J258" s="115">
        <v>0.0</v>
      </c>
      <c r="L258" s="115">
        <v>0.0</v>
      </c>
      <c r="N258" s="115">
        <v>0.0</v>
      </c>
      <c r="P258" s="115">
        <v>0.0</v>
      </c>
      <c r="Q258" s="20"/>
      <c r="R258" s="18"/>
      <c r="T258" s="19"/>
      <c r="V258" s="19"/>
      <c r="X258" s="19"/>
      <c r="Z258" s="19"/>
      <c r="AB258" s="19"/>
      <c r="AC258" s="20"/>
      <c r="AD258" s="26">
        <f t="shared" si="1"/>
        <v>0</v>
      </c>
      <c r="AE258" s="25">
        <f t="shared" si="2"/>
        <v>0</v>
      </c>
      <c r="AF258" s="25">
        <f t="shared" si="3"/>
        <v>0</v>
      </c>
      <c r="AG258" s="25">
        <f t="shared" si="4"/>
        <v>0</v>
      </c>
      <c r="AH258" s="27">
        <f t="shared" si="5"/>
        <v>0</v>
      </c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ht="15.75" customHeight="1">
      <c r="A259" s="23" t="s">
        <v>26</v>
      </c>
      <c r="B259" s="24">
        <f t="shared" si="6"/>
        <v>45548</v>
      </c>
      <c r="C259" s="25">
        <v>10.0</v>
      </c>
      <c r="D259" s="25" t="s">
        <v>22</v>
      </c>
      <c r="E259" s="22" t="s">
        <v>34</v>
      </c>
      <c r="F259" s="114">
        <v>0.0</v>
      </c>
      <c r="H259" s="115">
        <v>0.0</v>
      </c>
      <c r="J259" s="115">
        <v>0.0</v>
      </c>
      <c r="L259" s="115">
        <v>0.0</v>
      </c>
      <c r="N259" s="115">
        <v>0.0</v>
      </c>
      <c r="P259" s="115">
        <v>0.0</v>
      </c>
      <c r="Q259" s="20"/>
      <c r="R259" s="18"/>
      <c r="T259" s="19"/>
      <c r="V259" s="19"/>
      <c r="X259" s="19"/>
      <c r="Z259" s="19"/>
      <c r="AB259" s="19"/>
      <c r="AC259" s="20"/>
      <c r="AD259" s="26">
        <f t="shared" si="1"/>
        <v>0</v>
      </c>
      <c r="AE259" s="25">
        <f t="shared" si="2"/>
        <v>0</v>
      </c>
      <c r="AF259" s="25">
        <f t="shared" si="3"/>
        <v>0</v>
      </c>
      <c r="AG259" s="25">
        <f t="shared" si="4"/>
        <v>0</v>
      </c>
      <c r="AH259" s="27">
        <f t="shared" si="5"/>
        <v>0</v>
      </c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ht="15.75" customHeight="1">
      <c r="A260" s="23" t="s">
        <v>27</v>
      </c>
      <c r="B260" s="24">
        <f t="shared" si="6"/>
        <v>45549</v>
      </c>
      <c r="C260" s="25">
        <v>10.0</v>
      </c>
      <c r="D260" s="25" t="s">
        <v>22</v>
      </c>
      <c r="E260" s="22" t="s">
        <v>34</v>
      </c>
      <c r="F260" s="114">
        <v>0.0</v>
      </c>
      <c r="H260" s="115">
        <v>0.0</v>
      </c>
      <c r="J260" s="115">
        <v>0.0</v>
      </c>
      <c r="L260" s="115">
        <v>0.0</v>
      </c>
      <c r="N260" s="115">
        <v>0.0</v>
      </c>
      <c r="P260" s="115">
        <v>0.0</v>
      </c>
      <c r="Q260" s="20"/>
      <c r="R260" s="18"/>
      <c r="T260" s="19"/>
      <c r="V260" s="19"/>
      <c r="X260" s="19"/>
      <c r="Z260" s="19"/>
      <c r="AB260" s="19"/>
      <c r="AC260" s="20"/>
      <c r="AD260" s="26">
        <f t="shared" si="1"/>
        <v>0</v>
      </c>
      <c r="AE260" s="25">
        <f t="shared" si="2"/>
        <v>0</v>
      </c>
      <c r="AF260" s="25">
        <f t="shared" si="3"/>
        <v>0</v>
      </c>
      <c r="AG260" s="25">
        <f t="shared" si="4"/>
        <v>0</v>
      </c>
      <c r="AH260" s="27">
        <f t="shared" si="5"/>
        <v>0</v>
      </c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ht="15.75" customHeight="1">
      <c r="A261" s="28" t="s">
        <v>28</v>
      </c>
      <c r="B261" s="29">
        <f t="shared" si="6"/>
        <v>45550</v>
      </c>
      <c r="C261" s="30">
        <v>10.0</v>
      </c>
      <c r="D261" s="30" t="s">
        <v>22</v>
      </c>
      <c r="E261" s="31" t="s">
        <v>34</v>
      </c>
      <c r="F261" s="116">
        <v>0.0</v>
      </c>
      <c r="G261" s="7"/>
      <c r="H261" s="116">
        <v>0.0</v>
      </c>
      <c r="I261" s="7"/>
      <c r="J261" s="116">
        <v>0.0</v>
      </c>
      <c r="K261" s="7"/>
      <c r="L261" s="116">
        <v>0.0</v>
      </c>
      <c r="M261" s="7"/>
      <c r="N261" s="116">
        <v>0.0</v>
      </c>
      <c r="O261" s="7"/>
      <c r="P261" s="116">
        <v>0.0</v>
      </c>
      <c r="Q261" s="34"/>
      <c r="R261" s="32"/>
      <c r="S261" s="7"/>
      <c r="T261" s="33"/>
      <c r="U261" s="7"/>
      <c r="V261" s="33"/>
      <c r="W261" s="7"/>
      <c r="X261" s="33"/>
      <c r="Y261" s="7"/>
      <c r="Z261" s="33"/>
      <c r="AA261" s="7"/>
      <c r="AB261" s="33"/>
      <c r="AC261" s="34"/>
      <c r="AD261" s="35">
        <f t="shared" si="1"/>
        <v>0</v>
      </c>
      <c r="AE261" s="30">
        <f t="shared" si="2"/>
        <v>0</v>
      </c>
      <c r="AF261" s="30">
        <f t="shared" si="3"/>
        <v>0</v>
      </c>
      <c r="AG261" s="30">
        <f t="shared" si="4"/>
        <v>0</v>
      </c>
      <c r="AH261" s="36">
        <f t="shared" si="5"/>
        <v>0</v>
      </c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ht="15.75" customHeight="1">
      <c r="A262" s="14" t="s">
        <v>21</v>
      </c>
      <c r="B262" s="15">
        <f t="shared" si="6"/>
        <v>45551</v>
      </c>
      <c r="C262" s="16">
        <v>10.0</v>
      </c>
      <c r="D262" s="16" t="s">
        <v>29</v>
      </c>
      <c r="E262" s="17" t="s">
        <v>34</v>
      </c>
      <c r="F262" s="92">
        <v>0.0</v>
      </c>
      <c r="H262" s="93">
        <v>0.0</v>
      </c>
      <c r="J262" s="93">
        <v>0.0</v>
      </c>
      <c r="L262" s="93">
        <v>0.0</v>
      </c>
      <c r="N262" s="93">
        <v>0.0</v>
      </c>
      <c r="P262" s="93">
        <v>0.0</v>
      </c>
      <c r="Q262" s="20"/>
      <c r="R262" s="18"/>
      <c r="T262" s="19"/>
      <c r="V262" s="19"/>
      <c r="X262" s="19"/>
      <c r="Z262" s="19"/>
      <c r="AB262" s="19"/>
      <c r="AC262" s="20"/>
      <c r="AD262" s="21">
        <f t="shared" si="1"/>
        <v>0</v>
      </c>
      <c r="AE262" s="16">
        <f t="shared" si="2"/>
        <v>0</v>
      </c>
      <c r="AF262" s="16">
        <f t="shared" si="3"/>
        <v>0</v>
      </c>
      <c r="AG262" s="16">
        <f t="shared" si="4"/>
        <v>0</v>
      </c>
      <c r="AH262" s="37">
        <f t="shared" si="5"/>
        <v>0</v>
      </c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ht="15.75" customHeight="1">
      <c r="A263" s="23" t="s">
        <v>23</v>
      </c>
      <c r="B263" s="24">
        <f t="shared" si="6"/>
        <v>45552</v>
      </c>
      <c r="C263" s="25">
        <v>10.0</v>
      </c>
      <c r="D263" s="25" t="s">
        <v>29</v>
      </c>
      <c r="E263" s="22" t="s">
        <v>35</v>
      </c>
      <c r="F263" s="92">
        <v>0.0</v>
      </c>
      <c r="H263" s="93">
        <v>45.0</v>
      </c>
      <c r="J263" s="93">
        <v>45.0</v>
      </c>
      <c r="L263" s="93">
        <v>0.0</v>
      </c>
      <c r="N263" s="93">
        <v>45.0</v>
      </c>
      <c r="P263" s="93">
        <v>0.0</v>
      </c>
      <c r="Q263" s="20"/>
      <c r="R263" s="18"/>
      <c r="T263" s="19"/>
      <c r="V263" s="19"/>
      <c r="X263" s="19"/>
      <c r="Z263" s="19"/>
      <c r="AB263" s="19"/>
      <c r="AC263" s="20"/>
      <c r="AD263" s="26">
        <f t="shared" si="1"/>
        <v>2520</v>
      </c>
      <c r="AE263" s="25">
        <f t="shared" si="2"/>
        <v>90</v>
      </c>
      <c r="AF263" s="25">
        <f t="shared" si="3"/>
        <v>45</v>
      </c>
      <c r="AG263" s="25">
        <f t="shared" si="4"/>
        <v>135</v>
      </c>
      <c r="AH263" s="27">
        <f t="shared" si="5"/>
        <v>18.66666667</v>
      </c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ht="15.75" customHeight="1">
      <c r="A264" s="23" t="s">
        <v>24</v>
      </c>
      <c r="B264" s="24">
        <f t="shared" si="6"/>
        <v>45553</v>
      </c>
      <c r="C264" s="25">
        <v>10.0</v>
      </c>
      <c r="D264" s="25" t="s">
        <v>29</v>
      </c>
      <c r="E264" s="22" t="s">
        <v>33</v>
      </c>
      <c r="F264" s="92">
        <v>45.0</v>
      </c>
      <c r="H264" s="93">
        <v>0.0</v>
      </c>
      <c r="J264" s="93">
        <v>45.0</v>
      </c>
      <c r="L264" s="93">
        <v>0.0</v>
      </c>
      <c r="N264" s="93">
        <v>0.0</v>
      </c>
      <c r="P264" s="93">
        <v>0.0</v>
      </c>
      <c r="Q264" s="20"/>
      <c r="R264" s="18"/>
      <c r="T264" s="19"/>
      <c r="V264" s="19"/>
      <c r="X264" s="19"/>
      <c r="Z264" s="19"/>
      <c r="AB264" s="19"/>
      <c r="AC264" s="20"/>
      <c r="AD264" s="26">
        <f t="shared" si="1"/>
        <v>2160</v>
      </c>
      <c r="AE264" s="25">
        <f t="shared" si="2"/>
        <v>90</v>
      </c>
      <c r="AF264" s="25">
        <f t="shared" si="3"/>
        <v>0</v>
      </c>
      <c r="AG264" s="25">
        <f t="shared" si="4"/>
        <v>90</v>
      </c>
      <c r="AH264" s="27">
        <f t="shared" si="5"/>
        <v>24</v>
      </c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ht="15.75" customHeight="1">
      <c r="A265" s="23" t="s">
        <v>25</v>
      </c>
      <c r="B265" s="24">
        <f t="shared" si="6"/>
        <v>45554</v>
      </c>
      <c r="C265" s="25">
        <v>10.0</v>
      </c>
      <c r="D265" s="25" t="s">
        <v>29</v>
      </c>
      <c r="E265" s="22" t="s">
        <v>35</v>
      </c>
      <c r="F265" s="92">
        <v>0.0</v>
      </c>
      <c r="H265" s="93">
        <v>45.0</v>
      </c>
      <c r="J265" s="93">
        <v>45.0</v>
      </c>
      <c r="L265" s="93">
        <v>0.0</v>
      </c>
      <c r="N265" s="93">
        <v>45.0</v>
      </c>
      <c r="P265" s="93">
        <v>0.0</v>
      </c>
      <c r="Q265" s="20"/>
      <c r="R265" s="18"/>
      <c r="T265" s="19"/>
      <c r="V265" s="19"/>
      <c r="X265" s="19"/>
      <c r="Z265" s="19"/>
      <c r="AB265" s="19"/>
      <c r="AC265" s="20"/>
      <c r="AD265" s="26">
        <f t="shared" si="1"/>
        <v>2520</v>
      </c>
      <c r="AE265" s="25">
        <f t="shared" si="2"/>
        <v>90</v>
      </c>
      <c r="AF265" s="25">
        <f t="shared" si="3"/>
        <v>45</v>
      </c>
      <c r="AG265" s="25">
        <f t="shared" si="4"/>
        <v>135</v>
      </c>
      <c r="AH265" s="27">
        <f t="shared" si="5"/>
        <v>18.66666667</v>
      </c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ht="15.75" customHeight="1">
      <c r="A266" s="23" t="s">
        <v>26</v>
      </c>
      <c r="B266" s="24">
        <f t="shared" si="6"/>
        <v>45555</v>
      </c>
      <c r="C266" s="25">
        <v>10.0</v>
      </c>
      <c r="D266" s="25" t="s">
        <v>29</v>
      </c>
      <c r="E266" s="22" t="s">
        <v>35</v>
      </c>
      <c r="F266" s="92">
        <v>0.0</v>
      </c>
      <c r="H266" s="93">
        <v>45.0</v>
      </c>
      <c r="J266" s="93">
        <v>45.0</v>
      </c>
      <c r="L266" s="93">
        <v>0.0</v>
      </c>
      <c r="N266" s="93">
        <v>45.0</v>
      </c>
      <c r="P266" s="93">
        <v>0.0</v>
      </c>
      <c r="Q266" s="20"/>
      <c r="R266" s="18"/>
      <c r="T266" s="19"/>
      <c r="V266" s="19"/>
      <c r="X266" s="19"/>
      <c r="Z266" s="19"/>
      <c r="AB266" s="19"/>
      <c r="AC266" s="20"/>
      <c r="AD266" s="26">
        <f t="shared" si="1"/>
        <v>2520</v>
      </c>
      <c r="AE266" s="25">
        <f t="shared" si="2"/>
        <v>90</v>
      </c>
      <c r="AF266" s="25">
        <f t="shared" si="3"/>
        <v>45</v>
      </c>
      <c r="AG266" s="25">
        <f t="shared" si="4"/>
        <v>135</v>
      </c>
      <c r="AH266" s="27">
        <f t="shared" si="5"/>
        <v>18.66666667</v>
      </c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ht="15.75" customHeight="1">
      <c r="A267" s="23" t="s">
        <v>27</v>
      </c>
      <c r="B267" s="24">
        <f t="shared" si="6"/>
        <v>45556</v>
      </c>
      <c r="C267" s="25">
        <v>10.0</v>
      </c>
      <c r="D267" s="25" t="s">
        <v>29</v>
      </c>
      <c r="E267" s="22" t="s">
        <v>35</v>
      </c>
      <c r="F267" s="92">
        <v>0.0</v>
      </c>
      <c r="H267" s="93">
        <v>45.0</v>
      </c>
      <c r="J267" s="93">
        <v>0.0</v>
      </c>
      <c r="L267" s="93">
        <v>0.0</v>
      </c>
      <c r="N267" s="93">
        <v>45.0</v>
      </c>
      <c r="P267" s="93">
        <v>0.0</v>
      </c>
      <c r="Q267" s="20"/>
      <c r="R267" s="18"/>
      <c r="T267" s="19"/>
      <c r="V267" s="19"/>
      <c r="X267" s="19"/>
      <c r="Z267" s="19"/>
      <c r="AB267" s="19"/>
      <c r="AC267" s="20"/>
      <c r="AD267" s="26">
        <f t="shared" si="1"/>
        <v>1440</v>
      </c>
      <c r="AE267" s="25">
        <f t="shared" si="2"/>
        <v>45</v>
      </c>
      <c r="AF267" s="25">
        <f t="shared" si="3"/>
        <v>45</v>
      </c>
      <c r="AG267" s="25">
        <f t="shared" si="4"/>
        <v>90</v>
      </c>
      <c r="AH267" s="27">
        <f t="shared" si="5"/>
        <v>16</v>
      </c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ht="15.75" customHeight="1">
      <c r="A268" s="28" t="s">
        <v>28</v>
      </c>
      <c r="B268" s="29">
        <f t="shared" si="6"/>
        <v>45557</v>
      </c>
      <c r="C268" s="30">
        <v>10.0</v>
      </c>
      <c r="D268" s="30" t="s">
        <v>29</v>
      </c>
      <c r="E268" s="31" t="s">
        <v>33</v>
      </c>
      <c r="F268" s="109">
        <v>45.0</v>
      </c>
      <c r="G268" s="7"/>
      <c r="H268" s="109">
        <v>0.0</v>
      </c>
      <c r="I268" s="7"/>
      <c r="J268" s="109">
        <v>45.0</v>
      </c>
      <c r="K268" s="7"/>
      <c r="L268" s="109">
        <v>0.0</v>
      </c>
      <c r="M268" s="7"/>
      <c r="N268" s="109">
        <v>0.0</v>
      </c>
      <c r="O268" s="7"/>
      <c r="P268" s="109">
        <v>0.0</v>
      </c>
      <c r="Q268" s="34"/>
      <c r="R268" s="32"/>
      <c r="S268" s="7"/>
      <c r="T268" s="33"/>
      <c r="U268" s="7"/>
      <c r="V268" s="33"/>
      <c r="W268" s="7"/>
      <c r="X268" s="33"/>
      <c r="Y268" s="7"/>
      <c r="Z268" s="33"/>
      <c r="AA268" s="7"/>
      <c r="AB268" s="33"/>
      <c r="AC268" s="34"/>
      <c r="AD268" s="35">
        <f t="shared" si="1"/>
        <v>2160</v>
      </c>
      <c r="AE268" s="30">
        <f t="shared" si="2"/>
        <v>90</v>
      </c>
      <c r="AF268" s="30">
        <f t="shared" si="3"/>
        <v>0</v>
      </c>
      <c r="AG268" s="30">
        <f t="shared" si="4"/>
        <v>90</v>
      </c>
      <c r="AH268" s="36">
        <f t="shared" si="5"/>
        <v>24</v>
      </c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ht="15.75" customHeight="1">
      <c r="A269" s="14" t="s">
        <v>21</v>
      </c>
      <c r="B269" s="15">
        <f t="shared" si="6"/>
        <v>45558</v>
      </c>
      <c r="C269" s="16">
        <v>10.0</v>
      </c>
      <c r="D269" s="16" t="s">
        <v>30</v>
      </c>
      <c r="E269" s="17" t="s">
        <v>34</v>
      </c>
      <c r="F269" s="18"/>
      <c r="H269" s="19"/>
      <c r="J269" s="19"/>
      <c r="L269" s="19"/>
      <c r="N269" s="19"/>
      <c r="P269" s="19"/>
      <c r="Q269" s="20"/>
      <c r="R269" s="18"/>
      <c r="T269" s="19"/>
      <c r="V269" s="19"/>
      <c r="X269" s="19"/>
      <c r="Z269" s="19"/>
      <c r="AB269" s="19"/>
      <c r="AC269" s="20"/>
      <c r="AD269" s="21">
        <f t="shared" si="1"/>
        <v>0</v>
      </c>
      <c r="AE269" s="16">
        <f t="shared" si="2"/>
        <v>0</v>
      </c>
      <c r="AF269" s="16">
        <f t="shared" si="3"/>
        <v>0</v>
      </c>
      <c r="AG269" s="16">
        <f t="shared" si="4"/>
        <v>0</v>
      </c>
      <c r="AH269" s="37">
        <f t="shared" si="5"/>
        <v>0</v>
      </c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ht="15.75" customHeight="1">
      <c r="A270" s="23" t="s">
        <v>23</v>
      </c>
      <c r="B270" s="24">
        <f t="shared" si="6"/>
        <v>45559</v>
      </c>
      <c r="C270" s="25">
        <v>10.0</v>
      </c>
      <c r="D270" s="25" t="s">
        <v>30</v>
      </c>
      <c r="E270" s="22" t="s">
        <v>34</v>
      </c>
      <c r="F270" s="18"/>
      <c r="H270" s="19"/>
      <c r="J270" s="19"/>
      <c r="L270" s="19"/>
      <c r="N270" s="19"/>
      <c r="P270" s="19"/>
      <c r="Q270" s="20"/>
      <c r="R270" s="18"/>
      <c r="T270" s="19"/>
      <c r="V270" s="19"/>
      <c r="X270" s="19"/>
      <c r="Z270" s="19"/>
      <c r="AB270" s="19"/>
      <c r="AC270" s="20"/>
      <c r="AD270" s="26">
        <f t="shared" si="1"/>
        <v>0</v>
      </c>
      <c r="AE270" s="25">
        <f t="shared" si="2"/>
        <v>0</v>
      </c>
      <c r="AF270" s="25">
        <f t="shared" si="3"/>
        <v>0</v>
      </c>
      <c r="AG270" s="25">
        <f t="shared" si="4"/>
        <v>0</v>
      </c>
      <c r="AH270" s="27">
        <f t="shared" si="5"/>
        <v>0</v>
      </c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ht="15.75" customHeight="1">
      <c r="A271" s="23" t="s">
        <v>24</v>
      </c>
      <c r="B271" s="24">
        <f t="shared" si="6"/>
        <v>45560</v>
      </c>
      <c r="C271" s="25">
        <v>10.0</v>
      </c>
      <c r="D271" s="25" t="s">
        <v>30</v>
      </c>
      <c r="E271" s="22" t="s">
        <v>34</v>
      </c>
      <c r="F271" s="18"/>
      <c r="H271" s="19"/>
      <c r="J271" s="19"/>
      <c r="L271" s="19"/>
      <c r="N271" s="19"/>
      <c r="P271" s="19"/>
      <c r="Q271" s="20"/>
      <c r="R271" s="18"/>
      <c r="T271" s="19"/>
      <c r="V271" s="19"/>
      <c r="X271" s="19"/>
      <c r="Z271" s="19"/>
      <c r="AB271" s="19"/>
      <c r="AC271" s="20"/>
      <c r="AD271" s="26">
        <f t="shared" si="1"/>
        <v>0</v>
      </c>
      <c r="AE271" s="25">
        <f t="shared" si="2"/>
        <v>0</v>
      </c>
      <c r="AF271" s="25">
        <f t="shared" si="3"/>
        <v>0</v>
      </c>
      <c r="AG271" s="25">
        <f t="shared" si="4"/>
        <v>0</v>
      </c>
      <c r="AH271" s="27">
        <f t="shared" si="5"/>
        <v>0</v>
      </c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ht="15.75" customHeight="1">
      <c r="A272" s="23" t="s">
        <v>25</v>
      </c>
      <c r="B272" s="24">
        <f t="shared" si="6"/>
        <v>45561</v>
      </c>
      <c r="C272" s="25">
        <v>10.0</v>
      </c>
      <c r="D272" s="25" t="s">
        <v>30</v>
      </c>
      <c r="E272" s="22" t="s">
        <v>34</v>
      </c>
      <c r="F272" s="18"/>
      <c r="H272" s="19"/>
      <c r="J272" s="19"/>
      <c r="L272" s="19"/>
      <c r="N272" s="19"/>
      <c r="P272" s="19"/>
      <c r="Q272" s="20"/>
      <c r="R272" s="18"/>
      <c r="T272" s="19"/>
      <c r="V272" s="19"/>
      <c r="X272" s="19"/>
      <c r="Z272" s="19"/>
      <c r="AB272" s="19"/>
      <c r="AC272" s="20"/>
      <c r="AD272" s="26">
        <f t="shared" si="1"/>
        <v>0</v>
      </c>
      <c r="AE272" s="25">
        <f t="shared" si="2"/>
        <v>0</v>
      </c>
      <c r="AF272" s="25">
        <f t="shared" si="3"/>
        <v>0</v>
      </c>
      <c r="AG272" s="25">
        <f t="shared" si="4"/>
        <v>0</v>
      </c>
      <c r="AH272" s="27">
        <f t="shared" si="5"/>
        <v>0</v>
      </c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ht="15.75" customHeight="1">
      <c r="A273" s="23" t="s">
        <v>26</v>
      </c>
      <c r="B273" s="24">
        <f t="shared" si="6"/>
        <v>45562</v>
      </c>
      <c r="C273" s="25">
        <v>10.0</v>
      </c>
      <c r="D273" s="25" t="s">
        <v>30</v>
      </c>
      <c r="E273" s="22" t="s">
        <v>34</v>
      </c>
      <c r="F273" s="18"/>
      <c r="H273" s="19"/>
      <c r="J273" s="19"/>
      <c r="L273" s="19"/>
      <c r="N273" s="19"/>
      <c r="P273" s="19"/>
      <c r="Q273" s="20"/>
      <c r="R273" s="18"/>
      <c r="T273" s="19"/>
      <c r="V273" s="19"/>
      <c r="X273" s="19"/>
      <c r="Z273" s="19"/>
      <c r="AB273" s="19"/>
      <c r="AC273" s="20"/>
      <c r="AD273" s="26">
        <f t="shared" si="1"/>
        <v>0</v>
      </c>
      <c r="AE273" s="25">
        <f t="shared" si="2"/>
        <v>0</v>
      </c>
      <c r="AF273" s="25">
        <f t="shared" si="3"/>
        <v>0</v>
      </c>
      <c r="AG273" s="25">
        <f t="shared" si="4"/>
        <v>0</v>
      </c>
      <c r="AH273" s="27">
        <f t="shared" si="5"/>
        <v>0</v>
      </c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ht="15.75" customHeight="1">
      <c r="A274" s="23" t="s">
        <v>27</v>
      </c>
      <c r="B274" s="24">
        <f t="shared" si="6"/>
        <v>45563</v>
      </c>
      <c r="C274" s="25">
        <v>10.0</v>
      </c>
      <c r="D274" s="25" t="s">
        <v>30</v>
      </c>
      <c r="E274" s="22" t="s">
        <v>34</v>
      </c>
      <c r="F274" s="18"/>
      <c r="H274" s="19"/>
      <c r="J274" s="19"/>
      <c r="L274" s="19"/>
      <c r="N274" s="19"/>
      <c r="P274" s="19"/>
      <c r="Q274" s="20"/>
      <c r="R274" s="18"/>
      <c r="T274" s="19"/>
      <c r="V274" s="19"/>
      <c r="X274" s="19"/>
      <c r="Z274" s="19"/>
      <c r="AB274" s="19"/>
      <c r="AC274" s="20"/>
      <c r="AD274" s="26">
        <f t="shared" si="1"/>
        <v>0</v>
      </c>
      <c r="AE274" s="25">
        <f t="shared" si="2"/>
        <v>0</v>
      </c>
      <c r="AF274" s="25">
        <f t="shared" si="3"/>
        <v>0</v>
      </c>
      <c r="AG274" s="25">
        <f t="shared" si="4"/>
        <v>0</v>
      </c>
      <c r="AH274" s="27">
        <f t="shared" si="5"/>
        <v>0</v>
      </c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ht="15.75" customHeight="1">
      <c r="A275" s="28" t="s">
        <v>28</v>
      </c>
      <c r="B275" s="29">
        <f t="shared" si="6"/>
        <v>45564</v>
      </c>
      <c r="C275" s="30">
        <v>10.0</v>
      </c>
      <c r="D275" s="30" t="s">
        <v>30</v>
      </c>
      <c r="E275" s="31" t="s">
        <v>34</v>
      </c>
      <c r="F275" s="33"/>
      <c r="G275" s="7"/>
      <c r="H275" s="33"/>
      <c r="I275" s="7"/>
      <c r="J275" s="33"/>
      <c r="K275" s="7"/>
      <c r="L275" s="33"/>
      <c r="M275" s="7"/>
      <c r="N275" s="33"/>
      <c r="O275" s="7"/>
      <c r="P275" s="33"/>
      <c r="Q275" s="34"/>
      <c r="R275" s="32"/>
      <c r="S275" s="7"/>
      <c r="T275" s="33"/>
      <c r="U275" s="7"/>
      <c r="V275" s="33"/>
      <c r="W275" s="7"/>
      <c r="X275" s="33"/>
      <c r="Y275" s="7"/>
      <c r="Z275" s="33"/>
      <c r="AA275" s="7"/>
      <c r="AB275" s="33"/>
      <c r="AC275" s="34"/>
      <c r="AD275" s="35">
        <f t="shared" si="1"/>
        <v>0</v>
      </c>
      <c r="AE275" s="30">
        <f t="shared" si="2"/>
        <v>0</v>
      </c>
      <c r="AF275" s="30">
        <f t="shared" si="3"/>
        <v>0</v>
      </c>
      <c r="AG275" s="30">
        <f t="shared" si="4"/>
        <v>0</v>
      </c>
      <c r="AH275" s="36">
        <f t="shared" si="5"/>
        <v>0</v>
      </c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ht="15.75" customHeight="1">
      <c r="A276" s="14" t="s">
        <v>21</v>
      </c>
      <c r="B276" s="15">
        <f t="shared" si="6"/>
        <v>45565</v>
      </c>
      <c r="C276" s="16">
        <v>10.0</v>
      </c>
      <c r="D276" s="16" t="s">
        <v>31</v>
      </c>
      <c r="E276" s="17"/>
      <c r="F276" s="18"/>
      <c r="H276" s="19"/>
      <c r="J276" s="19"/>
      <c r="L276" s="19"/>
      <c r="N276" s="19"/>
      <c r="P276" s="19"/>
      <c r="Q276" s="20"/>
      <c r="R276" s="18"/>
      <c r="T276" s="19"/>
      <c r="V276" s="19"/>
      <c r="X276" s="19"/>
      <c r="Z276" s="19"/>
      <c r="AB276" s="19"/>
      <c r="AC276" s="20"/>
      <c r="AD276" s="21">
        <f t="shared" si="1"/>
        <v>0</v>
      </c>
      <c r="AE276" s="16">
        <f t="shared" si="2"/>
        <v>0</v>
      </c>
      <c r="AF276" s="16">
        <f t="shared" si="3"/>
        <v>0</v>
      </c>
      <c r="AG276" s="16">
        <f t="shared" si="4"/>
        <v>0</v>
      </c>
      <c r="AH276" s="37">
        <f t="shared" si="5"/>
        <v>0</v>
      </c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ht="15.75" customHeight="1">
      <c r="A277" s="23" t="s">
        <v>23</v>
      </c>
      <c r="B277" s="24">
        <f t="shared" si="6"/>
        <v>45566</v>
      </c>
      <c r="C277" s="25">
        <v>10.0</v>
      </c>
      <c r="D277" s="25" t="s">
        <v>31</v>
      </c>
      <c r="E277" s="22"/>
      <c r="F277" s="18"/>
      <c r="H277" s="19"/>
      <c r="J277" s="19"/>
      <c r="L277" s="19"/>
      <c r="N277" s="19"/>
      <c r="P277" s="19"/>
      <c r="Q277" s="20"/>
      <c r="R277" s="18"/>
      <c r="T277" s="19"/>
      <c r="V277" s="19"/>
      <c r="X277" s="19"/>
      <c r="Z277" s="19"/>
      <c r="AB277" s="19"/>
      <c r="AC277" s="20"/>
      <c r="AD277" s="26">
        <f t="shared" si="1"/>
        <v>0</v>
      </c>
      <c r="AE277" s="25">
        <f t="shared" si="2"/>
        <v>0</v>
      </c>
      <c r="AF277" s="25">
        <f t="shared" si="3"/>
        <v>0</v>
      </c>
      <c r="AG277" s="25">
        <f t="shared" si="4"/>
        <v>0</v>
      </c>
      <c r="AH277" s="27">
        <f t="shared" si="5"/>
        <v>0</v>
      </c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ht="15.75" customHeight="1">
      <c r="A278" s="23" t="s">
        <v>24</v>
      </c>
      <c r="B278" s="24">
        <f t="shared" si="6"/>
        <v>45567</v>
      </c>
      <c r="C278" s="25">
        <v>10.0</v>
      </c>
      <c r="D278" s="25" t="s">
        <v>31</v>
      </c>
      <c r="E278" s="22"/>
      <c r="F278" s="18"/>
      <c r="H278" s="19"/>
      <c r="J278" s="19"/>
      <c r="L278" s="19"/>
      <c r="N278" s="19"/>
      <c r="P278" s="19"/>
      <c r="Q278" s="20"/>
      <c r="R278" s="18"/>
      <c r="T278" s="19"/>
      <c r="V278" s="19"/>
      <c r="X278" s="19"/>
      <c r="Z278" s="19"/>
      <c r="AB278" s="19"/>
      <c r="AC278" s="20"/>
      <c r="AD278" s="26">
        <f t="shared" si="1"/>
        <v>0</v>
      </c>
      <c r="AE278" s="25">
        <f t="shared" si="2"/>
        <v>0</v>
      </c>
      <c r="AF278" s="25">
        <f t="shared" si="3"/>
        <v>0</v>
      </c>
      <c r="AG278" s="25">
        <f t="shared" si="4"/>
        <v>0</v>
      </c>
      <c r="AH278" s="27">
        <f t="shared" si="5"/>
        <v>0</v>
      </c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ht="15.75" customHeight="1">
      <c r="A279" s="23" t="s">
        <v>25</v>
      </c>
      <c r="B279" s="24">
        <f t="shared" si="6"/>
        <v>45568</v>
      </c>
      <c r="C279" s="25">
        <v>10.0</v>
      </c>
      <c r="D279" s="25" t="s">
        <v>31</v>
      </c>
      <c r="E279" s="22"/>
      <c r="F279" s="18"/>
      <c r="H279" s="19"/>
      <c r="J279" s="19"/>
      <c r="L279" s="19"/>
      <c r="N279" s="19"/>
      <c r="P279" s="19"/>
      <c r="Q279" s="20"/>
      <c r="R279" s="18"/>
      <c r="T279" s="19"/>
      <c r="V279" s="19"/>
      <c r="X279" s="19"/>
      <c r="Z279" s="19"/>
      <c r="AB279" s="19"/>
      <c r="AC279" s="20"/>
      <c r="AD279" s="26">
        <f t="shared" si="1"/>
        <v>0</v>
      </c>
      <c r="AE279" s="25">
        <f t="shared" si="2"/>
        <v>0</v>
      </c>
      <c r="AF279" s="25">
        <f t="shared" si="3"/>
        <v>0</v>
      </c>
      <c r="AG279" s="25">
        <f t="shared" si="4"/>
        <v>0</v>
      </c>
      <c r="AH279" s="27">
        <f t="shared" si="5"/>
        <v>0</v>
      </c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ht="15.75" customHeight="1">
      <c r="A280" s="23" t="s">
        <v>26</v>
      </c>
      <c r="B280" s="24">
        <f t="shared" si="6"/>
        <v>45569</v>
      </c>
      <c r="C280" s="25">
        <v>10.0</v>
      </c>
      <c r="D280" s="25" t="s">
        <v>31</v>
      </c>
      <c r="E280" s="22"/>
      <c r="F280" s="18"/>
      <c r="H280" s="19"/>
      <c r="J280" s="19"/>
      <c r="L280" s="19"/>
      <c r="N280" s="19"/>
      <c r="P280" s="19"/>
      <c r="Q280" s="20"/>
      <c r="R280" s="18"/>
      <c r="T280" s="19"/>
      <c r="V280" s="19"/>
      <c r="X280" s="19"/>
      <c r="Z280" s="19"/>
      <c r="AB280" s="19"/>
      <c r="AC280" s="20"/>
      <c r="AD280" s="26">
        <f t="shared" si="1"/>
        <v>0</v>
      </c>
      <c r="AE280" s="25">
        <f t="shared" si="2"/>
        <v>0</v>
      </c>
      <c r="AF280" s="25">
        <f t="shared" si="3"/>
        <v>0</v>
      </c>
      <c r="AG280" s="25">
        <f t="shared" si="4"/>
        <v>0</v>
      </c>
      <c r="AH280" s="27">
        <f t="shared" si="5"/>
        <v>0</v>
      </c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ht="15.75" customHeight="1">
      <c r="A281" s="23" t="s">
        <v>27</v>
      </c>
      <c r="B281" s="24">
        <f t="shared" si="6"/>
        <v>45570</v>
      </c>
      <c r="C281" s="25">
        <v>10.0</v>
      </c>
      <c r="D281" s="25" t="s">
        <v>31</v>
      </c>
      <c r="E281" s="22"/>
      <c r="F281" s="18"/>
      <c r="H281" s="19"/>
      <c r="J281" s="19"/>
      <c r="L281" s="19"/>
      <c r="N281" s="19"/>
      <c r="P281" s="19"/>
      <c r="Q281" s="20"/>
      <c r="R281" s="18"/>
      <c r="T281" s="19"/>
      <c r="V281" s="19"/>
      <c r="X281" s="19"/>
      <c r="Z281" s="19"/>
      <c r="AB281" s="19"/>
      <c r="AC281" s="20"/>
      <c r="AD281" s="26">
        <f t="shared" si="1"/>
        <v>0</v>
      </c>
      <c r="AE281" s="25">
        <f t="shared" si="2"/>
        <v>0</v>
      </c>
      <c r="AF281" s="25">
        <f t="shared" si="3"/>
        <v>0</v>
      </c>
      <c r="AG281" s="25">
        <f t="shared" si="4"/>
        <v>0</v>
      </c>
      <c r="AH281" s="27">
        <f t="shared" si="5"/>
        <v>0</v>
      </c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ht="15.75" customHeight="1">
      <c r="A282" s="28" t="s">
        <v>28</v>
      </c>
      <c r="B282" s="29">
        <f t="shared" si="6"/>
        <v>45571</v>
      </c>
      <c r="C282" s="30">
        <v>10.0</v>
      </c>
      <c r="D282" s="30" t="s">
        <v>31</v>
      </c>
      <c r="E282" s="31"/>
      <c r="F282" s="32"/>
      <c r="G282" s="7"/>
      <c r="H282" s="33"/>
      <c r="I282" s="7"/>
      <c r="J282" s="33"/>
      <c r="K282" s="7"/>
      <c r="L282" s="33"/>
      <c r="M282" s="7"/>
      <c r="N282" s="33"/>
      <c r="O282" s="7"/>
      <c r="P282" s="33"/>
      <c r="Q282" s="34"/>
      <c r="R282" s="32"/>
      <c r="S282" s="7"/>
      <c r="T282" s="33"/>
      <c r="U282" s="7"/>
      <c r="V282" s="33"/>
      <c r="W282" s="7"/>
      <c r="X282" s="33"/>
      <c r="Y282" s="7"/>
      <c r="Z282" s="33"/>
      <c r="AA282" s="7"/>
      <c r="AB282" s="33"/>
      <c r="AC282" s="34"/>
      <c r="AD282" s="35">
        <f t="shared" si="1"/>
        <v>0</v>
      </c>
      <c r="AE282" s="30">
        <f t="shared" si="2"/>
        <v>0</v>
      </c>
      <c r="AF282" s="30">
        <f t="shared" si="3"/>
        <v>0</v>
      </c>
      <c r="AG282" s="30">
        <f t="shared" si="4"/>
        <v>0</v>
      </c>
      <c r="AH282" s="36">
        <f t="shared" si="5"/>
        <v>0</v>
      </c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ht="15.75" customHeight="1">
      <c r="A283" s="14" t="s">
        <v>21</v>
      </c>
      <c r="B283" s="15">
        <f t="shared" si="6"/>
        <v>45572</v>
      </c>
      <c r="C283" s="16">
        <v>11.0</v>
      </c>
      <c r="D283" s="16" t="s">
        <v>22</v>
      </c>
      <c r="E283" s="17"/>
      <c r="F283" s="18"/>
      <c r="H283" s="19"/>
      <c r="J283" s="19"/>
      <c r="L283" s="19"/>
      <c r="N283" s="19"/>
      <c r="P283" s="19"/>
      <c r="Q283" s="20"/>
      <c r="R283" s="18"/>
      <c r="T283" s="19"/>
      <c r="V283" s="19"/>
      <c r="X283" s="19"/>
      <c r="Z283" s="19"/>
      <c r="AB283" s="19"/>
      <c r="AC283" s="20"/>
      <c r="AD283" s="21">
        <f t="shared" si="1"/>
        <v>0</v>
      </c>
      <c r="AE283" s="16">
        <f t="shared" si="2"/>
        <v>0</v>
      </c>
      <c r="AF283" s="16">
        <f t="shared" si="3"/>
        <v>0</v>
      </c>
      <c r="AG283" s="16">
        <f t="shared" si="4"/>
        <v>0</v>
      </c>
      <c r="AH283" s="37">
        <f t="shared" si="5"/>
        <v>0</v>
      </c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ht="15.75" customHeight="1">
      <c r="A284" s="23" t="s">
        <v>23</v>
      </c>
      <c r="B284" s="24">
        <f t="shared" si="6"/>
        <v>45573</v>
      </c>
      <c r="C284" s="25">
        <v>11.0</v>
      </c>
      <c r="D284" s="25" t="s">
        <v>22</v>
      </c>
      <c r="E284" s="22"/>
      <c r="F284" s="18"/>
      <c r="H284" s="19"/>
      <c r="J284" s="19"/>
      <c r="L284" s="19"/>
      <c r="N284" s="19"/>
      <c r="P284" s="19"/>
      <c r="Q284" s="20"/>
      <c r="R284" s="18"/>
      <c r="T284" s="19"/>
      <c r="V284" s="19"/>
      <c r="X284" s="19"/>
      <c r="Z284" s="19"/>
      <c r="AB284" s="19"/>
      <c r="AC284" s="20"/>
      <c r="AD284" s="26">
        <f t="shared" si="1"/>
        <v>0</v>
      </c>
      <c r="AE284" s="25">
        <f t="shared" si="2"/>
        <v>0</v>
      </c>
      <c r="AF284" s="25">
        <f t="shared" si="3"/>
        <v>0</v>
      </c>
      <c r="AG284" s="25">
        <f t="shared" si="4"/>
        <v>0</v>
      </c>
      <c r="AH284" s="27">
        <f t="shared" si="5"/>
        <v>0</v>
      </c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ht="15.75" customHeight="1">
      <c r="A285" s="23" t="s">
        <v>24</v>
      </c>
      <c r="B285" s="24">
        <f t="shared" si="6"/>
        <v>45574</v>
      </c>
      <c r="C285" s="25">
        <v>11.0</v>
      </c>
      <c r="D285" s="25" t="s">
        <v>22</v>
      </c>
      <c r="E285" s="22"/>
      <c r="F285" s="18"/>
      <c r="H285" s="19"/>
      <c r="J285" s="19"/>
      <c r="L285" s="19"/>
      <c r="N285" s="19"/>
      <c r="P285" s="19"/>
      <c r="Q285" s="20"/>
      <c r="R285" s="18"/>
      <c r="T285" s="19"/>
      <c r="V285" s="19"/>
      <c r="X285" s="19"/>
      <c r="Z285" s="19"/>
      <c r="AB285" s="19"/>
      <c r="AC285" s="20"/>
      <c r="AD285" s="26">
        <f t="shared" si="1"/>
        <v>0</v>
      </c>
      <c r="AE285" s="25">
        <f t="shared" si="2"/>
        <v>0</v>
      </c>
      <c r="AF285" s="25">
        <f t="shared" si="3"/>
        <v>0</v>
      </c>
      <c r="AG285" s="25">
        <f t="shared" si="4"/>
        <v>0</v>
      </c>
      <c r="AH285" s="27">
        <f t="shared" si="5"/>
        <v>0</v>
      </c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ht="15.75" customHeight="1">
      <c r="A286" s="23" t="s">
        <v>25</v>
      </c>
      <c r="B286" s="24">
        <f t="shared" si="6"/>
        <v>45575</v>
      </c>
      <c r="C286" s="25">
        <v>11.0</v>
      </c>
      <c r="D286" s="25" t="s">
        <v>22</v>
      </c>
      <c r="E286" s="22"/>
      <c r="F286" s="18"/>
      <c r="H286" s="19"/>
      <c r="J286" s="19"/>
      <c r="L286" s="19"/>
      <c r="N286" s="19"/>
      <c r="P286" s="19"/>
      <c r="Q286" s="20"/>
      <c r="R286" s="18"/>
      <c r="T286" s="19"/>
      <c r="V286" s="19"/>
      <c r="X286" s="19"/>
      <c r="Z286" s="19"/>
      <c r="AB286" s="19"/>
      <c r="AC286" s="20"/>
      <c r="AD286" s="26">
        <f t="shared" si="1"/>
        <v>0</v>
      </c>
      <c r="AE286" s="25">
        <f t="shared" si="2"/>
        <v>0</v>
      </c>
      <c r="AF286" s="25">
        <f t="shared" si="3"/>
        <v>0</v>
      </c>
      <c r="AG286" s="25">
        <f t="shared" si="4"/>
        <v>0</v>
      </c>
      <c r="AH286" s="27">
        <f t="shared" si="5"/>
        <v>0</v>
      </c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ht="15.75" customHeight="1">
      <c r="A287" s="23" t="s">
        <v>26</v>
      </c>
      <c r="B287" s="24">
        <f t="shared" si="6"/>
        <v>45576</v>
      </c>
      <c r="C287" s="25">
        <v>11.0</v>
      </c>
      <c r="D287" s="25" t="s">
        <v>22</v>
      </c>
      <c r="E287" s="22"/>
      <c r="F287" s="18"/>
      <c r="H287" s="19"/>
      <c r="J287" s="19"/>
      <c r="L287" s="19"/>
      <c r="N287" s="19"/>
      <c r="P287" s="19"/>
      <c r="Q287" s="20"/>
      <c r="R287" s="18"/>
      <c r="T287" s="19"/>
      <c r="V287" s="19"/>
      <c r="X287" s="19"/>
      <c r="Z287" s="19"/>
      <c r="AB287" s="19"/>
      <c r="AC287" s="20"/>
      <c r="AD287" s="26">
        <f t="shared" si="1"/>
        <v>0</v>
      </c>
      <c r="AE287" s="25">
        <f t="shared" si="2"/>
        <v>0</v>
      </c>
      <c r="AF287" s="25">
        <f t="shared" si="3"/>
        <v>0</v>
      </c>
      <c r="AG287" s="25">
        <f t="shared" si="4"/>
        <v>0</v>
      </c>
      <c r="AH287" s="27">
        <f t="shared" si="5"/>
        <v>0</v>
      </c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ht="15.75" customHeight="1">
      <c r="A288" s="23" t="s">
        <v>27</v>
      </c>
      <c r="B288" s="24">
        <f t="shared" si="6"/>
        <v>45577</v>
      </c>
      <c r="C288" s="25">
        <v>11.0</v>
      </c>
      <c r="D288" s="25" t="s">
        <v>22</v>
      </c>
      <c r="E288" s="22"/>
      <c r="F288" s="18"/>
      <c r="H288" s="19"/>
      <c r="J288" s="19"/>
      <c r="L288" s="19"/>
      <c r="N288" s="19"/>
      <c r="P288" s="19"/>
      <c r="Q288" s="20"/>
      <c r="R288" s="18"/>
      <c r="T288" s="19"/>
      <c r="V288" s="19"/>
      <c r="X288" s="19"/>
      <c r="Z288" s="19"/>
      <c r="AB288" s="19"/>
      <c r="AC288" s="20"/>
      <c r="AD288" s="26">
        <f t="shared" si="1"/>
        <v>0</v>
      </c>
      <c r="AE288" s="25">
        <f t="shared" si="2"/>
        <v>0</v>
      </c>
      <c r="AF288" s="25">
        <f t="shared" si="3"/>
        <v>0</v>
      </c>
      <c r="AG288" s="25">
        <f t="shared" si="4"/>
        <v>0</v>
      </c>
      <c r="AH288" s="27">
        <f t="shared" si="5"/>
        <v>0</v>
      </c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ht="15.75" customHeight="1">
      <c r="A289" s="28" t="s">
        <v>28</v>
      </c>
      <c r="B289" s="29">
        <f t="shared" si="6"/>
        <v>45578</v>
      </c>
      <c r="C289" s="30">
        <v>11.0</v>
      </c>
      <c r="D289" s="30" t="s">
        <v>22</v>
      </c>
      <c r="E289" s="31"/>
      <c r="F289" s="32"/>
      <c r="G289" s="7"/>
      <c r="H289" s="33"/>
      <c r="I289" s="7"/>
      <c r="J289" s="33"/>
      <c r="K289" s="7"/>
      <c r="L289" s="33"/>
      <c r="M289" s="7"/>
      <c r="N289" s="33"/>
      <c r="O289" s="7"/>
      <c r="P289" s="33"/>
      <c r="Q289" s="34"/>
      <c r="R289" s="32"/>
      <c r="S289" s="7"/>
      <c r="T289" s="33"/>
      <c r="U289" s="7"/>
      <c r="V289" s="33"/>
      <c r="W289" s="7"/>
      <c r="X289" s="33"/>
      <c r="Y289" s="7"/>
      <c r="Z289" s="33"/>
      <c r="AA289" s="7"/>
      <c r="AB289" s="33"/>
      <c r="AC289" s="34"/>
      <c r="AD289" s="35">
        <f t="shared" si="1"/>
        <v>0</v>
      </c>
      <c r="AE289" s="30">
        <f t="shared" si="2"/>
        <v>0</v>
      </c>
      <c r="AF289" s="30">
        <f t="shared" si="3"/>
        <v>0</v>
      </c>
      <c r="AG289" s="30">
        <f t="shared" si="4"/>
        <v>0</v>
      </c>
      <c r="AH289" s="36">
        <f t="shared" si="5"/>
        <v>0</v>
      </c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ht="15.75" customHeight="1">
      <c r="A290" s="14" t="s">
        <v>21</v>
      </c>
      <c r="B290" s="15">
        <f t="shared" si="6"/>
        <v>45579</v>
      </c>
      <c r="C290" s="16">
        <v>11.0</v>
      </c>
      <c r="D290" s="16" t="s">
        <v>29</v>
      </c>
      <c r="E290" s="17"/>
      <c r="F290" s="18"/>
      <c r="H290" s="19"/>
      <c r="J290" s="19"/>
      <c r="L290" s="19"/>
      <c r="N290" s="19"/>
      <c r="P290" s="19"/>
      <c r="Q290" s="20"/>
      <c r="R290" s="18"/>
      <c r="T290" s="19"/>
      <c r="V290" s="19"/>
      <c r="X290" s="19"/>
      <c r="Z290" s="19"/>
      <c r="AB290" s="19"/>
      <c r="AC290" s="20"/>
      <c r="AD290" s="21">
        <f t="shared" si="1"/>
        <v>0</v>
      </c>
      <c r="AE290" s="16">
        <f t="shared" si="2"/>
        <v>0</v>
      </c>
      <c r="AF290" s="16">
        <f t="shared" si="3"/>
        <v>0</v>
      </c>
      <c r="AG290" s="16">
        <f t="shared" si="4"/>
        <v>0</v>
      </c>
      <c r="AH290" s="37">
        <f t="shared" si="5"/>
        <v>0</v>
      </c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ht="15.75" customHeight="1">
      <c r="A291" s="23" t="s">
        <v>23</v>
      </c>
      <c r="B291" s="24">
        <f t="shared" si="6"/>
        <v>45580</v>
      </c>
      <c r="C291" s="25">
        <v>11.0</v>
      </c>
      <c r="D291" s="25" t="s">
        <v>29</v>
      </c>
      <c r="E291" s="22"/>
      <c r="F291" s="18"/>
      <c r="H291" s="19"/>
      <c r="J291" s="19"/>
      <c r="L291" s="19"/>
      <c r="N291" s="19"/>
      <c r="P291" s="19"/>
      <c r="Q291" s="20"/>
      <c r="R291" s="18"/>
      <c r="T291" s="19"/>
      <c r="V291" s="19"/>
      <c r="X291" s="19"/>
      <c r="Z291" s="19"/>
      <c r="AB291" s="19"/>
      <c r="AC291" s="20"/>
      <c r="AD291" s="26">
        <f t="shared" si="1"/>
        <v>0</v>
      </c>
      <c r="AE291" s="25">
        <f t="shared" si="2"/>
        <v>0</v>
      </c>
      <c r="AF291" s="25">
        <f t="shared" si="3"/>
        <v>0</v>
      </c>
      <c r="AG291" s="25">
        <f t="shared" si="4"/>
        <v>0</v>
      </c>
      <c r="AH291" s="27">
        <f t="shared" si="5"/>
        <v>0</v>
      </c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ht="15.75" customHeight="1">
      <c r="A292" s="23" t="s">
        <v>24</v>
      </c>
      <c r="B292" s="24">
        <f t="shared" si="6"/>
        <v>45581</v>
      </c>
      <c r="C292" s="25">
        <v>11.0</v>
      </c>
      <c r="D292" s="25" t="s">
        <v>29</v>
      </c>
      <c r="E292" s="22"/>
      <c r="F292" s="18"/>
      <c r="H292" s="19"/>
      <c r="J292" s="19"/>
      <c r="L292" s="19"/>
      <c r="N292" s="19"/>
      <c r="P292" s="19"/>
      <c r="Q292" s="20"/>
      <c r="R292" s="18"/>
      <c r="T292" s="19"/>
      <c r="V292" s="19"/>
      <c r="X292" s="19"/>
      <c r="Z292" s="19"/>
      <c r="AB292" s="19"/>
      <c r="AC292" s="20"/>
      <c r="AD292" s="26">
        <f t="shared" si="1"/>
        <v>0</v>
      </c>
      <c r="AE292" s="25">
        <f t="shared" si="2"/>
        <v>0</v>
      </c>
      <c r="AF292" s="25">
        <f t="shared" si="3"/>
        <v>0</v>
      </c>
      <c r="AG292" s="25">
        <f t="shared" si="4"/>
        <v>0</v>
      </c>
      <c r="AH292" s="27">
        <f t="shared" si="5"/>
        <v>0</v>
      </c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ht="15.75" customHeight="1">
      <c r="A293" s="23" t="s">
        <v>25</v>
      </c>
      <c r="B293" s="24">
        <f t="shared" si="6"/>
        <v>45582</v>
      </c>
      <c r="C293" s="25">
        <v>11.0</v>
      </c>
      <c r="D293" s="25" t="s">
        <v>29</v>
      </c>
      <c r="E293" s="22"/>
      <c r="F293" s="18"/>
      <c r="H293" s="19"/>
      <c r="J293" s="19"/>
      <c r="L293" s="19"/>
      <c r="N293" s="19"/>
      <c r="P293" s="19"/>
      <c r="Q293" s="20"/>
      <c r="R293" s="18"/>
      <c r="T293" s="19"/>
      <c r="V293" s="19"/>
      <c r="X293" s="19"/>
      <c r="Z293" s="19"/>
      <c r="AB293" s="19"/>
      <c r="AC293" s="20"/>
      <c r="AD293" s="26">
        <f t="shared" si="1"/>
        <v>0</v>
      </c>
      <c r="AE293" s="25">
        <f t="shared" si="2"/>
        <v>0</v>
      </c>
      <c r="AF293" s="25">
        <f t="shared" si="3"/>
        <v>0</v>
      </c>
      <c r="AG293" s="25">
        <f t="shared" si="4"/>
        <v>0</v>
      </c>
      <c r="AH293" s="27">
        <f t="shared" si="5"/>
        <v>0</v>
      </c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ht="15.75" customHeight="1">
      <c r="A294" s="23" t="s">
        <v>26</v>
      </c>
      <c r="B294" s="24">
        <f t="shared" si="6"/>
        <v>45583</v>
      </c>
      <c r="C294" s="25">
        <v>11.0</v>
      </c>
      <c r="D294" s="25" t="s">
        <v>29</v>
      </c>
      <c r="E294" s="22"/>
      <c r="F294" s="18"/>
      <c r="H294" s="19"/>
      <c r="J294" s="19"/>
      <c r="L294" s="19"/>
      <c r="N294" s="19"/>
      <c r="P294" s="19"/>
      <c r="Q294" s="20"/>
      <c r="R294" s="18"/>
      <c r="T294" s="19"/>
      <c r="V294" s="19"/>
      <c r="X294" s="19"/>
      <c r="Z294" s="19"/>
      <c r="AB294" s="19"/>
      <c r="AC294" s="20"/>
      <c r="AD294" s="26">
        <f t="shared" si="1"/>
        <v>0</v>
      </c>
      <c r="AE294" s="25">
        <f t="shared" si="2"/>
        <v>0</v>
      </c>
      <c r="AF294" s="25">
        <f t="shared" si="3"/>
        <v>0</v>
      </c>
      <c r="AG294" s="25">
        <f t="shared" si="4"/>
        <v>0</v>
      </c>
      <c r="AH294" s="27">
        <f t="shared" si="5"/>
        <v>0</v>
      </c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ht="15.75" customHeight="1">
      <c r="A295" s="23" t="s">
        <v>27</v>
      </c>
      <c r="B295" s="24">
        <f t="shared" si="6"/>
        <v>45584</v>
      </c>
      <c r="C295" s="25">
        <v>11.0</v>
      </c>
      <c r="D295" s="25" t="s">
        <v>29</v>
      </c>
      <c r="E295" s="22"/>
      <c r="F295" s="18"/>
      <c r="H295" s="19"/>
      <c r="J295" s="19"/>
      <c r="L295" s="19"/>
      <c r="N295" s="19"/>
      <c r="P295" s="19"/>
      <c r="Q295" s="20"/>
      <c r="R295" s="18"/>
      <c r="T295" s="19"/>
      <c r="V295" s="19"/>
      <c r="X295" s="19"/>
      <c r="Z295" s="19"/>
      <c r="AB295" s="19"/>
      <c r="AC295" s="20"/>
      <c r="AD295" s="26">
        <f t="shared" si="1"/>
        <v>0</v>
      </c>
      <c r="AE295" s="25">
        <f t="shared" si="2"/>
        <v>0</v>
      </c>
      <c r="AF295" s="25">
        <f t="shared" si="3"/>
        <v>0</v>
      </c>
      <c r="AG295" s="25">
        <f t="shared" si="4"/>
        <v>0</v>
      </c>
      <c r="AH295" s="27">
        <f t="shared" si="5"/>
        <v>0</v>
      </c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ht="15.75" customHeight="1">
      <c r="A296" s="28" t="s">
        <v>28</v>
      </c>
      <c r="B296" s="29">
        <f t="shared" si="6"/>
        <v>45585</v>
      </c>
      <c r="C296" s="30">
        <v>11.0</v>
      </c>
      <c r="D296" s="30" t="s">
        <v>29</v>
      </c>
      <c r="E296" s="31"/>
      <c r="F296" s="32"/>
      <c r="G296" s="7"/>
      <c r="H296" s="33"/>
      <c r="I296" s="7"/>
      <c r="J296" s="33"/>
      <c r="K296" s="7"/>
      <c r="L296" s="33"/>
      <c r="M296" s="7"/>
      <c r="N296" s="33"/>
      <c r="O296" s="7"/>
      <c r="P296" s="33"/>
      <c r="Q296" s="34"/>
      <c r="R296" s="32"/>
      <c r="S296" s="7"/>
      <c r="T296" s="33"/>
      <c r="U296" s="7"/>
      <c r="V296" s="33"/>
      <c r="W296" s="7"/>
      <c r="X296" s="33"/>
      <c r="Y296" s="7"/>
      <c r="Z296" s="33"/>
      <c r="AA296" s="7"/>
      <c r="AB296" s="33"/>
      <c r="AC296" s="34"/>
      <c r="AD296" s="35">
        <f t="shared" si="1"/>
        <v>0</v>
      </c>
      <c r="AE296" s="30">
        <f t="shared" si="2"/>
        <v>0</v>
      </c>
      <c r="AF296" s="30">
        <f t="shared" si="3"/>
        <v>0</v>
      </c>
      <c r="AG296" s="30">
        <f t="shared" si="4"/>
        <v>0</v>
      </c>
      <c r="AH296" s="36">
        <f t="shared" si="5"/>
        <v>0</v>
      </c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ht="15.75" customHeight="1">
      <c r="A297" s="14" t="s">
        <v>21</v>
      </c>
      <c r="B297" s="15">
        <f t="shared" si="6"/>
        <v>45586</v>
      </c>
      <c r="C297" s="16">
        <v>11.0</v>
      </c>
      <c r="D297" s="16" t="s">
        <v>30</v>
      </c>
      <c r="E297" s="17"/>
      <c r="F297" s="18"/>
      <c r="H297" s="19"/>
      <c r="J297" s="19"/>
      <c r="L297" s="19"/>
      <c r="N297" s="19"/>
      <c r="P297" s="19"/>
      <c r="Q297" s="20"/>
      <c r="R297" s="18"/>
      <c r="T297" s="19"/>
      <c r="V297" s="19"/>
      <c r="X297" s="19"/>
      <c r="Z297" s="19"/>
      <c r="AB297" s="19"/>
      <c r="AC297" s="20"/>
      <c r="AD297" s="21">
        <f t="shared" si="1"/>
        <v>0</v>
      </c>
      <c r="AE297" s="16">
        <f t="shared" si="2"/>
        <v>0</v>
      </c>
      <c r="AF297" s="16">
        <f t="shared" si="3"/>
        <v>0</v>
      </c>
      <c r="AG297" s="16">
        <f t="shared" si="4"/>
        <v>0</v>
      </c>
      <c r="AH297" s="37">
        <f t="shared" si="5"/>
        <v>0</v>
      </c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ht="15.75" customHeight="1">
      <c r="A298" s="23" t="s">
        <v>23</v>
      </c>
      <c r="B298" s="24">
        <f t="shared" si="6"/>
        <v>45587</v>
      </c>
      <c r="C298" s="25">
        <v>11.0</v>
      </c>
      <c r="D298" s="25" t="s">
        <v>30</v>
      </c>
      <c r="E298" s="22"/>
      <c r="F298" s="18"/>
      <c r="H298" s="19"/>
      <c r="J298" s="19"/>
      <c r="L298" s="19"/>
      <c r="N298" s="19"/>
      <c r="P298" s="19"/>
      <c r="Q298" s="20"/>
      <c r="R298" s="18"/>
      <c r="T298" s="19"/>
      <c r="V298" s="19"/>
      <c r="X298" s="19"/>
      <c r="Z298" s="19"/>
      <c r="AB298" s="19"/>
      <c r="AC298" s="20"/>
      <c r="AD298" s="26">
        <f t="shared" si="1"/>
        <v>0</v>
      </c>
      <c r="AE298" s="25">
        <f t="shared" si="2"/>
        <v>0</v>
      </c>
      <c r="AF298" s="25">
        <f t="shared" si="3"/>
        <v>0</v>
      </c>
      <c r="AG298" s="25">
        <f t="shared" si="4"/>
        <v>0</v>
      </c>
      <c r="AH298" s="27">
        <f t="shared" si="5"/>
        <v>0</v>
      </c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ht="15.75" customHeight="1">
      <c r="A299" s="23" t="s">
        <v>24</v>
      </c>
      <c r="B299" s="24">
        <f t="shared" si="6"/>
        <v>45588</v>
      </c>
      <c r="C299" s="25">
        <v>11.0</v>
      </c>
      <c r="D299" s="25" t="s">
        <v>30</v>
      </c>
      <c r="E299" s="22"/>
      <c r="F299" s="18"/>
      <c r="H299" s="19"/>
      <c r="J299" s="19"/>
      <c r="L299" s="19"/>
      <c r="N299" s="19"/>
      <c r="P299" s="19"/>
      <c r="Q299" s="20"/>
      <c r="R299" s="18"/>
      <c r="T299" s="19"/>
      <c r="V299" s="19"/>
      <c r="X299" s="19"/>
      <c r="Z299" s="19"/>
      <c r="AB299" s="19"/>
      <c r="AC299" s="20"/>
      <c r="AD299" s="26">
        <f t="shared" si="1"/>
        <v>0</v>
      </c>
      <c r="AE299" s="25">
        <f t="shared" si="2"/>
        <v>0</v>
      </c>
      <c r="AF299" s="25">
        <f t="shared" si="3"/>
        <v>0</v>
      </c>
      <c r="AG299" s="25">
        <f t="shared" si="4"/>
        <v>0</v>
      </c>
      <c r="AH299" s="27">
        <f t="shared" si="5"/>
        <v>0</v>
      </c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ht="15.75" customHeight="1">
      <c r="A300" s="23" t="s">
        <v>25</v>
      </c>
      <c r="B300" s="24">
        <f t="shared" si="6"/>
        <v>45589</v>
      </c>
      <c r="C300" s="25">
        <v>11.0</v>
      </c>
      <c r="D300" s="25" t="s">
        <v>30</v>
      </c>
      <c r="E300" s="22"/>
      <c r="F300" s="18"/>
      <c r="H300" s="19"/>
      <c r="J300" s="19"/>
      <c r="L300" s="19"/>
      <c r="N300" s="19"/>
      <c r="P300" s="19"/>
      <c r="Q300" s="20"/>
      <c r="R300" s="18"/>
      <c r="T300" s="19"/>
      <c r="V300" s="19"/>
      <c r="X300" s="19"/>
      <c r="Z300" s="19"/>
      <c r="AB300" s="19"/>
      <c r="AC300" s="20"/>
      <c r="AD300" s="26">
        <f t="shared" si="1"/>
        <v>0</v>
      </c>
      <c r="AE300" s="25">
        <f t="shared" si="2"/>
        <v>0</v>
      </c>
      <c r="AF300" s="25">
        <f t="shared" si="3"/>
        <v>0</v>
      </c>
      <c r="AG300" s="25">
        <f t="shared" si="4"/>
        <v>0</v>
      </c>
      <c r="AH300" s="27">
        <f t="shared" si="5"/>
        <v>0</v>
      </c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ht="15.75" customHeight="1">
      <c r="A301" s="23" t="s">
        <v>26</v>
      </c>
      <c r="B301" s="24">
        <f t="shared" si="6"/>
        <v>45590</v>
      </c>
      <c r="C301" s="25">
        <v>11.0</v>
      </c>
      <c r="D301" s="25" t="s">
        <v>30</v>
      </c>
      <c r="E301" s="22"/>
      <c r="F301" s="18"/>
      <c r="H301" s="19"/>
      <c r="J301" s="19"/>
      <c r="L301" s="19"/>
      <c r="N301" s="19"/>
      <c r="P301" s="19"/>
      <c r="Q301" s="20"/>
      <c r="R301" s="18"/>
      <c r="T301" s="19"/>
      <c r="V301" s="19"/>
      <c r="X301" s="19"/>
      <c r="Z301" s="19"/>
      <c r="AB301" s="19"/>
      <c r="AC301" s="20"/>
      <c r="AD301" s="26">
        <f t="shared" si="1"/>
        <v>0</v>
      </c>
      <c r="AE301" s="25">
        <f t="shared" si="2"/>
        <v>0</v>
      </c>
      <c r="AF301" s="25">
        <f t="shared" si="3"/>
        <v>0</v>
      </c>
      <c r="AG301" s="25">
        <f t="shared" si="4"/>
        <v>0</v>
      </c>
      <c r="AH301" s="27">
        <f t="shared" si="5"/>
        <v>0</v>
      </c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ht="15.75" customHeight="1">
      <c r="A302" s="23" t="s">
        <v>27</v>
      </c>
      <c r="B302" s="24">
        <f t="shared" si="6"/>
        <v>45591</v>
      </c>
      <c r="C302" s="25">
        <v>11.0</v>
      </c>
      <c r="D302" s="25" t="s">
        <v>30</v>
      </c>
      <c r="E302" s="22"/>
      <c r="F302" s="18"/>
      <c r="H302" s="19"/>
      <c r="J302" s="19"/>
      <c r="L302" s="19"/>
      <c r="N302" s="19"/>
      <c r="P302" s="19"/>
      <c r="Q302" s="20"/>
      <c r="R302" s="18"/>
      <c r="T302" s="19"/>
      <c r="V302" s="19"/>
      <c r="X302" s="19"/>
      <c r="Z302" s="19"/>
      <c r="AB302" s="19"/>
      <c r="AC302" s="20"/>
      <c r="AD302" s="26">
        <f t="shared" si="1"/>
        <v>0</v>
      </c>
      <c r="AE302" s="25">
        <f t="shared" si="2"/>
        <v>0</v>
      </c>
      <c r="AF302" s="25">
        <f t="shared" si="3"/>
        <v>0</v>
      </c>
      <c r="AG302" s="25">
        <f t="shared" si="4"/>
        <v>0</v>
      </c>
      <c r="AH302" s="27">
        <f t="shared" si="5"/>
        <v>0</v>
      </c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ht="15.75" customHeight="1">
      <c r="A303" s="28" t="s">
        <v>28</v>
      </c>
      <c r="B303" s="29">
        <f t="shared" si="6"/>
        <v>45592</v>
      </c>
      <c r="C303" s="30">
        <v>11.0</v>
      </c>
      <c r="D303" s="30" t="s">
        <v>30</v>
      </c>
      <c r="E303" s="31"/>
      <c r="F303" s="32"/>
      <c r="G303" s="7"/>
      <c r="H303" s="33"/>
      <c r="I303" s="7"/>
      <c r="J303" s="33"/>
      <c r="K303" s="7"/>
      <c r="L303" s="33"/>
      <c r="M303" s="7"/>
      <c r="N303" s="33"/>
      <c r="O303" s="7"/>
      <c r="P303" s="33"/>
      <c r="Q303" s="34"/>
      <c r="R303" s="32"/>
      <c r="S303" s="7"/>
      <c r="T303" s="33"/>
      <c r="U303" s="7"/>
      <c r="V303" s="33"/>
      <c r="W303" s="7"/>
      <c r="X303" s="33"/>
      <c r="Y303" s="7"/>
      <c r="Z303" s="33"/>
      <c r="AA303" s="7"/>
      <c r="AB303" s="33"/>
      <c r="AC303" s="34"/>
      <c r="AD303" s="35">
        <f t="shared" si="1"/>
        <v>0</v>
      </c>
      <c r="AE303" s="30">
        <f t="shared" si="2"/>
        <v>0</v>
      </c>
      <c r="AF303" s="30">
        <f t="shared" si="3"/>
        <v>0</v>
      </c>
      <c r="AG303" s="30">
        <f t="shared" si="4"/>
        <v>0</v>
      </c>
      <c r="AH303" s="36">
        <f t="shared" si="5"/>
        <v>0</v>
      </c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ht="15.75" customHeight="1">
      <c r="A304" s="14" t="s">
        <v>21</v>
      </c>
      <c r="B304" s="15">
        <f t="shared" si="6"/>
        <v>45593</v>
      </c>
      <c r="C304" s="16">
        <v>11.0</v>
      </c>
      <c r="D304" s="16" t="s">
        <v>31</v>
      </c>
      <c r="E304" s="17"/>
      <c r="F304" s="18"/>
      <c r="H304" s="19"/>
      <c r="J304" s="19"/>
      <c r="L304" s="19"/>
      <c r="N304" s="19"/>
      <c r="P304" s="19"/>
      <c r="Q304" s="20"/>
      <c r="R304" s="18"/>
      <c r="T304" s="19"/>
      <c r="V304" s="19"/>
      <c r="X304" s="19"/>
      <c r="Z304" s="19"/>
      <c r="AB304" s="19"/>
      <c r="AC304" s="20"/>
      <c r="AD304" s="21">
        <f t="shared" si="1"/>
        <v>0</v>
      </c>
      <c r="AE304" s="16">
        <f t="shared" si="2"/>
        <v>0</v>
      </c>
      <c r="AF304" s="16">
        <f t="shared" si="3"/>
        <v>0</v>
      </c>
      <c r="AG304" s="16">
        <f t="shared" si="4"/>
        <v>0</v>
      </c>
      <c r="AH304" s="37">
        <f t="shared" si="5"/>
        <v>0</v>
      </c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ht="15.75" customHeight="1">
      <c r="A305" s="23" t="s">
        <v>23</v>
      </c>
      <c r="B305" s="24">
        <f t="shared" si="6"/>
        <v>45594</v>
      </c>
      <c r="C305" s="25">
        <v>11.0</v>
      </c>
      <c r="D305" s="25" t="s">
        <v>31</v>
      </c>
      <c r="E305" s="22"/>
      <c r="F305" s="18"/>
      <c r="H305" s="19"/>
      <c r="J305" s="19"/>
      <c r="L305" s="19"/>
      <c r="N305" s="19"/>
      <c r="P305" s="19"/>
      <c r="Q305" s="20"/>
      <c r="R305" s="18"/>
      <c r="T305" s="19"/>
      <c r="V305" s="19"/>
      <c r="X305" s="19"/>
      <c r="Z305" s="19"/>
      <c r="AB305" s="19"/>
      <c r="AC305" s="20"/>
      <c r="AD305" s="26">
        <f t="shared" si="1"/>
        <v>0</v>
      </c>
      <c r="AE305" s="25">
        <f t="shared" si="2"/>
        <v>0</v>
      </c>
      <c r="AF305" s="25">
        <f t="shared" si="3"/>
        <v>0</v>
      </c>
      <c r="AG305" s="25">
        <f t="shared" si="4"/>
        <v>0</v>
      </c>
      <c r="AH305" s="27">
        <f t="shared" si="5"/>
        <v>0</v>
      </c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ht="15.75" customHeight="1">
      <c r="A306" s="23" t="s">
        <v>24</v>
      </c>
      <c r="B306" s="24">
        <f t="shared" si="6"/>
        <v>45595</v>
      </c>
      <c r="C306" s="25">
        <v>11.0</v>
      </c>
      <c r="D306" s="25" t="s">
        <v>31</v>
      </c>
      <c r="E306" s="22"/>
      <c r="F306" s="18"/>
      <c r="H306" s="19"/>
      <c r="J306" s="19"/>
      <c r="L306" s="19"/>
      <c r="N306" s="19"/>
      <c r="P306" s="19"/>
      <c r="Q306" s="20"/>
      <c r="R306" s="18"/>
      <c r="T306" s="19"/>
      <c r="V306" s="19"/>
      <c r="X306" s="19"/>
      <c r="Z306" s="19"/>
      <c r="AB306" s="19"/>
      <c r="AC306" s="20"/>
      <c r="AD306" s="26">
        <f t="shared" si="1"/>
        <v>0</v>
      </c>
      <c r="AE306" s="25">
        <f t="shared" si="2"/>
        <v>0</v>
      </c>
      <c r="AF306" s="25">
        <f t="shared" si="3"/>
        <v>0</v>
      </c>
      <c r="AG306" s="25">
        <f t="shared" si="4"/>
        <v>0</v>
      </c>
      <c r="AH306" s="27">
        <f t="shared" si="5"/>
        <v>0</v>
      </c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ht="15.75" customHeight="1">
      <c r="A307" s="23" t="s">
        <v>25</v>
      </c>
      <c r="B307" s="24">
        <f t="shared" si="6"/>
        <v>45596</v>
      </c>
      <c r="C307" s="25">
        <v>11.0</v>
      </c>
      <c r="D307" s="25" t="s">
        <v>31</v>
      </c>
      <c r="E307" s="22"/>
      <c r="F307" s="18"/>
      <c r="H307" s="19"/>
      <c r="J307" s="19"/>
      <c r="L307" s="19"/>
      <c r="N307" s="19"/>
      <c r="P307" s="19"/>
      <c r="Q307" s="20"/>
      <c r="R307" s="18"/>
      <c r="T307" s="19"/>
      <c r="V307" s="19"/>
      <c r="X307" s="19"/>
      <c r="Z307" s="19"/>
      <c r="AB307" s="19"/>
      <c r="AC307" s="20"/>
      <c r="AD307" s="26">
        <f t="shared" si="1"/>
        <v>0</v>
      </c>
      <c r="AE307" s="25">
        <f t="shared" si="2"/>
        <v>0</v>
      </c>
      <c r="AF307" s="25">
        <f t="shared" si="3"/>
        <v>0</v>
      </c>
      <c r="AG307" s="25">
        <f t="shared" si="4"/>
        <v>0</v>
      </c>
      <c r="AH307" s="27">
        <f t="shared" si="5"/>
        <v>0</v>
      </c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ht="15.75" customHeight="1">
      <c r="A308" s="23" t="s">
        <v>26</v>
      </c>
      <c r="B308" s="24">
        <f t="shared" si="6"/>
        <v>45597</v>
      </c>
      <c r="C308" s="25">
        <v>11.0</v>
      </c>
      <c r="D308" s="25" t="s">
        <v>31</v>
      </c>
      <c r="E308" s="22"/>
      <c r="F308" s="18"/>
      <c r="H308" s="19"/>
      <c r="J308" s="19"/>
      <c r="L308" s="19"/>
      <c r="N308" s="19"/>
      <c r="P308" s="19"/>
      <c r="Q308" s="20"/>
      <c r="R308" s="18"/>
      <c r="T308" s="19"/>
      <c r="V308" s="19"/>
      <c r="X308" s="19"/>
      <c r="Z308" s="19"/>
      <c r="AB308" s="19"/>
      <c r="AC308" s="20"/>
      <c r="AD308" s="26">
        <f t="shared" si="1"/>
        <v>0</v>
      </c>
      <c r="AE308" s="25">
        <f t="shared" si="2"/>
        <v>0</v>
      </c>
      <c r="AF308" s="25">
        <f t="shared" si="3"/>
        <v>0</v>
      </c>
      <c r="AG308" s="25">
        <f t="shared" si="4"/>
        <v>0</v>
      </c>
      <c r="AH308" s="27">
        <f t="shared" si="5"/>
        <v>0</v>
      </c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ht="15.75" customHeight="1">
      <c r="A309" s="23" t="s">
        <v>27</v>
      </c>
      <c r="B309" s="24">
        <f t="shared" si="6"/>
        <v>45598</v>
      </c>
      <c r="C309" s="25">
        <v>11.0</v>
      </c>
      <c r="D309" s="25" t="s">
        <v>31</v>
      </c>
      <c r="E309" s="22"/>
      <c r="F309" s="18"/>
      <c r="H309" s="19"/>
      <c r="J309" s="19"/>
      <c r="L309" s="19"/>
      <c r="N309" s="19"/>
      <c r="P309" s="19"/>
      <c r="Q309" s="20"/>
      <c r="R309" s="18"/>
      <c r="T309" s="19"/>
      <c r="V309" s="19"/>
      <c r="X309" s="19"/>
      <c r="Z309" s="19"/>
      <c r="AB309" s="19"/>
      <c r="AC309" s="20"/>
      <c r="AD309" s="26">
        <f t="shared" si="1"/>
        <v>0</v>
      </c>
      <c r="AE309" s="25">
        <f t="shared" si="2"/>
        <v>0</v>
      </c>
      <c r="AF309" s="25">
        <f t="shared" si="3"/>
        <v>0</v>
      </c>
      <c r="AG309" s="25">
        <f t="shared" si="4"/>
        <v>0</v>
      </c>
      <c r="AH309" s="27">
        <f t="shared" si="5"/>
        <v>0</v>
      </c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ht="15.75" customHeight="1">
      <c r="A310" s="28" t="s">
        <v>28</v>
      </c>
      <c r="B310" s="29">
        <f t="shared" si="6"/>
        <v>45599</v>
      </c>
      <c r="C310" s="30">
        <v>11.0</v>
      </c>
      <c r="D310" s="30" t="s">
        <v>31</v>
      </c>
      <c r="E310" s="31"/>
      <c r="F310" s="32"/>
      <c r="G310" s="7"/>
      <c r="H310" s="33"/>
      <c r="I310" s="7"/>
      <c r="J310" s="33"/>
      <c r="K310" s="7"/>
      <c r="L310" s="33"/>
      <c r="M310" s="7"/>
      <c r="N310" s="33"/>
      <c r="O310" s="7"/>
      <c r="P310" s="33"/>
      <c r="Q310" s="34"/>
      <c r="R310" s="32"/>
      <c r="S310" s="7"/>
      <c r="T310" s="33"/>
      <c r="U310" s="7"/>
      <c r="V310" s="33"/>
      <c r="W310" s="7"/>
      <c r="X310" s="33"/>
      <c r="Y310" s="7"/>
      <c r="Z310" s="33"/>
      <c r="AA310" s="7"/>
      <c r="AB310" s="33"/>
      <c r="AC310" s="34"/>
      <c r="AD310" s="35">
        <f t="shared" si="1"/>
        <v>0</v>
      </c>
      <c r="AE310" s="30">
        <f t="shared" si="2"/>
        <v>0</v>
      </c>
      <c r="AF310" s="30">
        <f t="shared" si="3"/>
        <v>0</v>
      </c>
      <c r="AG310" s="30">
        <f t="shared" si="4"/>
        <v>0</v>
      </c>
      <c r="AH310" s="36">
        <f t="shared" si="5"/>
        <v>0</v>
      </c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ht="15.75" customHeight="1">
      <c r="A311" s="14" t="s">
        <v>21</v>
      </c>
      <c r="B311" s="15">
        <f t="shared" si="6"/>
        <v>45600</v>
      </c>
      <c r="C311" s="16">
        <v>12.0</v>
      </c>
      <c r="D311" s="16" t="s">
        <v>22</v>
      </c>
      <c r="E311" s="17"/>
      <c r="F311" s="18"/>
      <c r="H311" s="19"/>
      <c r="J311" s="19"/>
      <c r="L311" s="19"/>
      <c r="N311" s="19"/>
      <c r="P311" s="19"/>
      <c r="Q311" s="20"/>
      <c r="R311" s="18"/>
      <c r="T311" s="19"/>
      <c r="V311" s="19"/>
      <c r="X311" s="19"/>
      <c r="Z311" s="19"/>
      <c r="AB311" s="19"/>
      <c r="AC311" s="20"/>
      <c r="AD311" s="21">
        <f t="shared" si="1"/>
        <v>0</v>
      </c>
      <c r="AE311" s="16">
        <f t="shared" si="2"/>
        <v>0</v>
      </c>
      <c r="AF311" s="16">
        <f t="shared" si="3"/>
        <v>0</v>
      </c>
      <c r="AG311" s="16">
        <f t="shared" si="4"/>
        <v>0</v>
      </c>
      <c r="AH311" s="37">
        <f t="shared" si="5"/>
        <v>0</v>
      </c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ht="15.75" customHeight="1">
      <c r="A312" s="23" t="s">
        <v>23</v>
      </c>
      <c r="B312" s="24">
        <f t="shared" si="6"/>
        <v>45601</v>
      </c>
      <c r="C312" s="25">
        <v>12.0</v>
      </c>
      <c r="D312" s="25" t="s">
        <v>22</v>
      </c>
      <c r="E312" s="22"/>
      <c r="F312" s="18"/>
      <c r="H312" s="19"/>
      <c r="J312" s="19"/>
      <c r="L312" s="19"/>
      <c r="N312" s="19"/>
      <c r="P312" s="19"/>
      <c r="Q312" s="20"/>
      <c r="R312" s="18"/>
      <c r="T312" s="19"/>
      <c r="V312" s="19"/>
      <c r="X312" s="19"/>
      <c r="Z312" s="19"/>
      <c r="AB312" s="19"/>
      <c r="AC312" s="20"/>
      <c r="AD312" s="26">
        <f t="shared" si="1"/>
        <v>0</v>
      </c>
      <c r="AE312" s="25">
        <f t="shared" si="2"/>
        <v>0</v>
      </c>
      <c r="AF312" s="25">
        <f t="shared" si="3"/>
        <v>0</v>
      </c>
      <c r="AG312" s="25">
        <f t="shared" si="4"/>
        <v>0</v>
      </c>
      <c r="AH312" s="27">
        <f t="shared" si="5"/>
        <v>0</v>
      </c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ht="15.75" customHeight="1">
      <c r="A313" s="23" t="s">
        <v>24</v>
      </c>
      <c r="B313" s="24">
        <f t="shared" si="6"/>
        <v>45602</v>
      </c>
      <c r="C313" s="25">
        <v>12.0</v>
      </c>
      <c r="D313" s="25" t="s">
        <v>22</v>
      </c>
      <c r="E313" s="22"/>
      <c r="F313" s="38"/>
      <c r="G313" s="39"/>
      <c r="H313" s="40"/>
      <c r="I313" s="39"/>
      <c r="J313" s="40"/>
      <c r="K313" s="39"/>
      <c r="L313" s="40"/>
      <c r="M313" s="39"/>
      <c r="N313" s="40"/>
      <c r="O313" s="39"/>
      <c r="P313" s="40"/>
      <c r="Q313" s="41"/>
      <c r="R313" s="38"/>
      <c r="S313" s="39"/>
      <c r="T313" s="40"/>
      <c r="U313" s="39"/>
      <c r="V313" s="40"/>
      <c r="W313" s="39"/>
      <c r="X313" s="40"/>
      <c r="Y313" s="39"/>
      <c r="Z313" s="40"/>
      <c r="AA313" s="39"/>
      <c r="AB313" s="40"/>
      <c r="AC313" s="41"/>
      <c r="AD313" s="42">
        <f t="shared" si="1"/>
        <v>0</v>
      </c>
      <c r="AE313" s="43">
        <f t="shared" si="2"/>
        <v>0</v>
      </c>
      <c r="AF313" s="25">
        <f t="shared" si="3"/>
        <v>0</v>
      </c>
      <c r="AG313" s="25">
        <f t="shared" si="4"/>
        <v>0</v>
      </c>
      <c r="AH313" s="27">
        <f t="shared" si="5"/>
        <v>0</v>
      </c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ht="15.75" customHeight="1">
      <c r="A314" s="23" t="s">
        <v>25</v>
      </c>
      <c r="B314" s="24">
        <f t="shared" si="6"/>
        <v>45603</v>
      </c>
      <c r="C314" s="25">
        <v>12.0</v>
      </c>
      <c r="D314" s="25" t="s">
        <v>22</v>
      </c>
      <c r="E314" s="22"/>
      <c r="F314" s="38"/>
      <c r="G314" s="39"/>
      <c r="H314" s="40"/>
      <c r="I314" s="39"/>
      <c r="J314" s="40"/>
      <c r="K314" s="39"/>
      <c r="L314" s="40"/>
      <c r="M314" s="39"/>
      <c r="N314" s="40"/>
      <c r="O314" s="39"/>
      <c r="P314" s="40"/>
      <c r="Q314" s="41"/>
      <c r="R314" s="38"/>
      <c r="S314" s="39"/>
      <c r="T314" s="40"/>
      <c r="U314" s="39"/>
      <c r="V314" s="40"/>
      <c r="W314" s="39"/>
      <c r="X314" s="40"/>
      <c r="Y314" s="39"/>
      <c r="Z314" s="40"/>
      <c r="AA314" s="39"/>
      <c r="AB314" s="40"/>
      <c r="AC314" s="41"/>
      <c r="AD314" s="42">
        <f t="shared" si="1"/>
        <v>0</v>
      </c>
      <c r="AE314" s="43">
        <f t="shared" si="2"/>
        <v>0</v>
      </c>
      <c r="AF314" s="25">
        <f t="shared" si="3"/>
        <v>0</v>
      </c>
      <c r="AG314" s="25">
        <f t="shared" si="4"/>
        <v>0</v>
      </c>
      <c r="AH314" s="27">
        <f t="shared" si="5"/>
        <v>0</v>
      </c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ht="15.75" customHeight="1">
      <c r="A315" s="23" t="s">
        <v>26</v>
      </c>
      <c r="B315" s="24">
        <f t="shared" si="6"/>
        <v>45604</v>
      </c>
      <c r="C315" s="25">
        <v>12.0</v>
      </c>
      <c r="D315" s="25" t="s">
        <v>22</v>
      </c>
      <c r="E315" s="22"/>
      <c r="F315" s="38"/>
      <c r="G315" s="39"/>
      <c r="H315" s="40"/>
      <c r="I315" s="39"/>
      <c r="J315" s="40"/>
      <c r="K315" s="39"/>
      <c r="L315" s="40"/>
      <c r="M315" s="39"/>
      <c r="N315" s="40"/>
      <c r="O315" s="39"/>
      <c r="P315" s="40"/>
      <c r="Q315" s="41"/>
      <c r="R315" s="38"/>
      <c r="S315" s="39"/>
      <c r="T315" s="40"/>
      <c r="U315" s="39"/>
      <c r="V315" s="40"/>
      <c r="W315" s="39"/>
      <c r="X315" s="40"/>
      <c r="Y315" s="39"/>
      <c r="Z315" s="40"/>
      <c r="AA315" s="39"/>
      <c r="AB315" s="40"/>
      <c r="AC315" s="41"/>
      <c r="AD315" s="42">
        <f t="shared" si="1"/>
        <v>0</v>
      </c>
      <c r="AE315" s="43">
        <f t="shared" si="2"/>
        <v>0</v>
      </c>
      <c r="AF315" s="25">
        <f t="shared" si="3"/>
        <v>0</v>
      </c>
      <c r="AG315" s="25">
        <f t="shared" si="4"/>
        <v>0</v>
      </c>
      <c r="AH315" s="27">
        <f t="shared" si="5"/>
        <v>0</v>
      </c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ht="15.75" customHeight="1">
      <c r="A316" s="23" t="s">
        <v>27</v>
      </c>
      <c r="B316" s="24">
        <f t="shared" si="6"/>
        <v>45605</v>
      </c>
      <c r="C316" s="25">
        <v>12.0</v>
      </c>
      <c r="D316" s="25" t="s">
        <v>22</v>
      </c>
      <c r="E316" s="22"/>
      <c r="F316" s="38"/>
      <c r="G316" s="39"/>
      <c r="H316" s="40"/>
      <c r="I316" s="39"/>
      <c r="J316" s="40"/>
      <c r="K316" s="39"/>
      <c r="L316" s="40"/>
      <c r="M316" s="39"/>
      <c r="N316" s="40"/>
      <c r="O316" s="39"/>
      <c r="P316" s="40"/>
      <c r="Q316" s="41"/>
      <c r="R316" s="38"/>
      <c r="S316" s="39"/>
      <c r="T316" s="40"/>
      <c r="U316" s="39"/>
      <c r="V316" s="40"/>
      <c r="W316" s="39"/>
      <c r="X316" s="40"/>
      <c r="Y316" s="39"/>
      <c r="Z316" s="40"/>
      <c r="AA316" s="39"/>
      <c r="AB316" s="40"/>
      <c r="AC316" s="41"/>
      <c r="AD316" s="42">
        <f t="shared" si="1"/>
        <v>0</v>
      </c>
      <c r="AE316" s="43">
        <f t="shared" si="2"/>
        <v>0</v>
      </c>
      <c r="AF316" s="25">
        <f t="shared" si="3"/>
        <v>0</v>
      </c>
      <c r="AG316" s="25">
        <f t="shared" si="4"/>
        <v>0</v>
      </c>
      <c r="AH316" s="27">
        <f t="shared" si="5"/>
        <v>0</v>
      </c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ht="15.75" customHeight="1">
      <c r="A317" s="28" t="s">
        <v>28</v>
      </c>
      <c r="B317" s="29">
        <f t="shared" si="6"/>
        <v>45606</v>
      </c>
      <c r="C317" s="30">
        <v>12.0</v>
      </c>
      <c r="D317" s="30" t="s">
        <v>22</v>
      </c>
      <c r="E317" s="31"/>
      <c r="F317" s="44"/>
      <c r="G317" s="45"/>
      <c r="H317" s="46"/>
      <c r="I317" s="45"/>
      <c r="J317" s="46"/>
      <c r="K317" s="45"/>
      <c r="L317" s="46"/>
      <c r="M317" s="45"/>
      <c r="N317" s="46"/>
      <c r="O317" s="45"/>
      <c r="P317" s="46"/>
      <c r="Q317" s="47"/>
      <c r="R317" s="44"/>
      <c r="S317" s="45"/>
      <c r="T317" s="46"/>
      <c r="U317" s="45"/>
      <c r="V317" s="46"/>
      <c r="W317" s="45"/>
      <c r="X317" s="46"/>
      <c r="Y317" s="45"/>
      <c r="Z317" s="46"/>
      <c r="AA317" s="45"/>
      <c r="AB317" s="46"/>
      <c r="AC317" s="47"/>
      <c r="AD317" s="48">
        <f t="shared" si="1"/>
        <v>0</v>
      </c>
      <c r="AE317" s="49">
        <f t="shared" si="2"/>
        <v>0</v>
      </c>
      <c r="AF317" s="30">
        <f t="shared" si="3"/>
        <v>0</v>
      </c>
      <c r="AG317" s="30">
        <f t="shared" si="4"/>
        <v>0</v>
      </c>
      <c r="AH317" s="36">
        <f t="shared" si="5"/>
        <v>0</v>
      </c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ht="15.75" customHeight="1">
      <c r="A318" s="14" t="s">
        <v>21</v>
      </c>
      <c r="B318" s="15">
        <f t="shared" si="6"/>
        <v>45607</v>
      </c>
      <c r="C318" s="16">
        <v>12.0</v>
      </c>
      <c r="D318" s="16" t="s">
        <v>29</v>
      </c>
      <c r="E318" s="17"/>
      <c r="F318" s="38"/>
      <c r="G318" s="39"/>
      <c r="H318" s="40"/>
      <c r="I318" s="39"/>
      <c r="J318" s="40"/>
      <c r="K318" s="39"/>
      <c r="L318" s="40"/>
      <c r="M318" s="39"/>
      <c r="N318" s="40"/>
      <c r="O318" s="39"/>
      <c r="P318" s="40"/>
      <c r="Q318" s="41"/>
      <c r="R318" s="38"/>
      <c r="S318" s="39"/>
      <c r="T318" s="40"/>
      <c r="U318" s="39"/>
      <c r="V318" s="40"/>
      <c r="W318" s="39"/>
      <c r="X318" s="40"/>
      <c r="Y318" s="39"/>
      <c r="Z318" s="40"/>
      <c r="AA318" s="39"/>
      <c r="AB318" s="40"/>
      <c r="AC318" s="41"/>
      <c r="AD318" s="50">
        <f t="shared" si="1"/>
        <v>0</v>
      </c>
      <c r="AE318" s="51">
        <f t="shared" si="2"/>
        <v>0</v>
      </c>
      <c r="AF318" s="16">
        <f t="shared" si="3"/>
        <v>0</v>
      </c>
      <c r="AG318" s="16">
        <f t="shared" si="4"/>
        <v>0</v>
      </c>
      <c r="AH318" s="37">
        <f t="shared" si="5"/>
        <v>0</v>
      </c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ht="15.75" customHeight="1">
      <c r="A319" s="23" t="s">
        <v>23</v>
      </c>
      <c r="B319" s="24">
        <f t="shared" si="6"/>
        <v>45608</v>
      </c>
      <c r="C319" s="25">
        <v>12.0</v>
      </c>
      <c r="D319" s="25" t="s">
        <v>29</v>
      </c>
      <c r="E319" s="22"/>
      <c r="F319" s="38"/>
      <c r="G319" s="39"/>
      <c r="H319" s="40"/>
      <c r="I319" s="39"/>
      <c r="J319" s="40"/>
      <c r="K319" s="39"/>
      <c r="L319" s="40"/>
      <c r="M319" s="39"/>
      <c r="N319" s="40"/>
      <c r="O319" s="39"/>
      <c r="P319" s="40"/>
      <c r="Q319" s="41"/>
      <c r="R319" s="38"/>
      <c r="S319" s="39"/>
      <c r="T319" s="40"/>
      <c r="U319" s="39"/>
      <c r="V319" s="40"/>
      <c r="W319" s="39"/>
      <c r="X319" s="40"/>
      <c r="Y319" s="39"/>
      <c r="Z319" s="40"/>
      <c r="AA319" s="39"/>
      <c r="AB319" s="40"/>
      <c r="AC319" s="41"/>
      <c r="AD319" s="42">
        <f t="shared" si="1"/>
        <v>0</v>
      </c>
      <c r="AE319" s="43">
        <f t="shared" si="2"/>
        <v>0</v>
      </c>
      <c r="AF319" s="25">
        <f t="shared" si="3"/>
        <v>0</v>
      </c>
      <c r="AG319" s="25">
        <f t="shared" si="4"/>
        <v>0</v>
      </c>
      <c r="AH319" s="27">
        <f t="shared" si="5"/>
        <v>0</v>
      </c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ht="15.75" customHeight="1">
      <c r="A320" s="23" t="s">
        <v>24</v>
      </c>
      <c r="B320" s="24">
        <f t="shared" si="6"/>
        <v>45609</v>
      </c>
      <c r="C320" s="25">
        <v>12.0</v>
      </c>
      <c r="D320" s="25" t="s">
        <v>29</v>
      </c>
      <c r="E320" s="22"/>
      <c r="F320" s="38"/>
      <c r="G320" s="39"/>
      <c r="H320" s="40"/>
      <c r="I320" s="39"/>
      <c r="J320" s="40"/>
      <c r="K320" s="39"/>
      <c r="L320" s="40"/>
      <c r="M320" s="39"/>
      <c r="N320" s="40"/>
      <c r="O320" s="39"/>
      <c r="P320" s="40"/>
      <c r="Q320" s="41"/>
      <c r="R320" s="38"/>
      <c r="S320" s="39"/>
      <c r="T320" s="40"/>
      <c r="U320" s="39"/>
      <c r="V320" s="40"/>
      <c r="W320" s="39"/>
      <c r="X320" s="40"/>
      <c r="Y320" s="39"/>
      <c r="Z320" s="40"/>
      <c r="AA320" s="39"/>
      <c r="AB320" s="40"/>
      <c r="AC320" s="41"/>
      <c r="AD320" s="42">
        <f t="shared" si="1"/>
        <v>0</v>
      </c>
      <c r="AE320" s="43">
        <f t="shared" si="2"/>
        <v>0</v>
      </c>
      <c r="AF320" s="25">
        <f t="shared" si="3"/>
        <v>0</v>
      </c>
      <c r="AG320" s="25">
        <f t="shared" si="4"/>
        <v>0</v>
      </c>
      <c r="AH320" s="27">
        <f t="shared" si="5"/>
        <v>0</v>
      </c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ht="15.75" customHeight="1">
      <c r="A321" s="23" t="s">
        <v>25</v>
      </c>
      <c r="B321" s="24">
        <f t="shared" si="6"/>
        <v>45610</v>
      </c>
      <c r="C321" s="25">
        <v>12.0</v>
      </c>
      <c r="D321" s="25" t="s">
        <v>29</v>
      </c>
      <c r="E321" s="22"/>
      <c r="F321" s="38"/>
      <c r="G321" s="39"/>
      <c r="H321" s="40"/>
      <c r="I321" s="39"/>
      <c r="J321" s="40"/>
      <c r="K321" s="39"/>
      <c r="L321" s="40"/>
      <c r="M321" s="39"/>
      <c r="N321" s="40"/>
      <c r="O321" s="39"/>
      <c r="P321" s="40"/>
      <c r="Q321" s="41"/>
      <c r="R321" s="38"/>
      <c r="S321" s="39"/>
      <c r="T321" s="40"/>
      <c r="U321" s="39"/>
      <c r="V321" s="40"/>
      <c r="W321" s="39"/>
      <c r="X321" s="40"/>
      <c r="Y321" s="39"/>
      <c r="Z321" s="40"/>
      <c r="AA321" s="39"/>
      <c r="AB321" s="40"/>
      <c r="AC321" s="41"/>
      <c r="AD321" s="42">
        <f t="shared" si="1"/>
        <v>0</v>
      </c>
      <c r="AE321" s="43">
        <f t="shared" si="2"/>
        <v>0</v>
      </c>
      <c r="AF321" s="25">
        <f t="shared" si="3"/>
        <v>0</v>
      </c>
      <c r="AG321" s="25">
        <f t="shared" si="4"/>
        <v>0</v>
      </c>
      <c r="AH321" s="27">
        <f t="shared" si="5"/>
        <v>0</v>
      </c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ht="15.75" customHeight="1">
      <c r="A322" s="23" t="s">
        <v>26</v>
      </c>
      <c r="B322" s="24">
        <f t="shared" si="6"/>
        <v>45611</v>
      </c>
      <c r="C322" s="25">
        <v>12.0</v>
      </c>
      <c r="D322" s="25" t="s">
        <v>29</v>
      </c>
      <c r="E322" s="22"/>
      <c r="F322" s="38"/>
      <c r="G322" s="39"/>
      <c r="H322" s="40"/>
      <c r="I322" s="39"/>
      <c r="J322" s="40"/>
      <c r="K322" s="39"/>
      <c r="L322" s="40"/>
      <c r="M322" s="39"/>
      <c r="N322" s="40"/>
      <c r="O322" s="39"/>
      <c r="P322" s="40"/>
      <c r="Q322" s="41"/>
      <c r="R322" s="38"/>
      <c r="S322" s="39"/>
      <c r="T322" s="40"/>
      <c r="U322" s="39"/>
      <c r="V322" s="40"/>
      <c r="W322" s="39"/>
      <c r="X322" s="40"/>
      <c r="Y322" s="39"/>
      <c r="Z322" s="40"/>
      <c r="AA322" s="39"/>
      <c r="AB322" s="40"/>
      <c r="AC322" s="41"/>
      <c r="AD322" s="42">
        <f t="shared" si="1"/>
        <v>0</v>
      </c>
      <c r="AE322" s="43">
        <f t="shared" si="2"/>
        <v>0</v>
      </c>
      <c r="AF322" s="25">
        <f t="shared" si="3"/>
        <v>0</v>
      </c>
      <c r="AG322" s="25">
        <f t="shared" si="4"/>
        <v>0</v>
      </c>
      <c r="AH322" s="27">
        <f t="shared" si="5"/>
        <v>0</v>
      </c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ht="15.75" customHeight="1">
      <c r="A323" s="23" t="s">
        <v>27</v>
      </c>
      <c r="B323" s="24">
        <f t="shared" si="6"/>
        <v>45612</v>
      </c>
      <c r="C323" s="25">
        <v>12.0</v>
      </c>
      <c r="D323" s="25" t="s">
        <v>29</v>
      </c>
      <c r="E323" s="22"/>
      <c r="F323" s="38"/>
      <c r="G323" s="39"/>
      <c r="H323" s="40"/>
      <c r="I323" s="39"/>
      <c r="J323" s="40"/>
      <c r="K323" s="39"/>
      <c r="L323" s="40"/>
      <c r="M323" s="39"/>
      <c r="N323" s="40"/>
      <c r="O323" s="39"/>
      <c r="P323" s="40"/>
      <c r="Q323" s="41"/>
      <c r="R323" s="38"/>
      <c r="S323" s="39"/>
      <c r="T323" s="40"/>
      <c r="U323" s="39"/>
      <c r="V323" s="40"/>
      <c r="W323" s="39"/>
      <c r="X323" s="40"/>
      <c r="Y323" s="39"/>
      <c r="Z323" s="40"/>
      <c r="AA323" s="39"/>
      <c r="AB323" s="40"/>
      <c r="AC323" s="41"/>
      <c r="AD323" s="42">
        <f t="shared" si="1"/>
        <v>0</v>
      </c>
      <c r="AE323" s="43">
        <f t="shared" si="2"/>
        <v>0</v>
      </c>
      <c r="AF323" s="25">
        <f t="shared" si="3"/>
        <v>0</v>
      </c>
      <c r="AG323" s="25">
        <f t="shared" si="4"/>
        <v>0</v>
      </c>
      <c r="AH323" s="27">
        <f t="shared" si="5"/>
        <v>0</v>
      </c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ht="15.75" customHeight="1">
      <c r="A324" s="28" t="s">
        <v>28</v>
      </c>
      <c r="B324" s="29">
        <f t="shared" si="6"/>
        <v>45613</v>
      </c>
      <c r="C324" s="30">
        <v>12.0</v>
      </c>
      <c r="D324" s="30" t="s">
        <v>29</v>
      </c>
      <c r="E324" s="31"/>
      <c r="F324" s="44"/>
      <c r="G324" s="45"/>
      <c r="H324" s="46"/>
      <c r="I324" s="45"/>
      <c r="J324" s="46"/>
      <c r="K324" s="45"/>
      <c r="L324" s="46"/>
      <c r="M324" s="45"/>
      <c r="N324" s="46"/>
      <c r="O324" s="45"/>
      <c r="P324" s="46"/>
      <c r="Q324" s="47"/>
      <c r="R324" s="44"/>
      <c r="S324" s="45"/>
      <c r="T324" s="46"/>
      <c r="U324" s="45"/>
      <c r="V324" s="46"/>
      <c r="W324" s="45"/>
      <c r="X324" s="46"/>
      <c r="Y324" s="45"/>
      <c r="Z324" s="46"/>
      <c r="AA324" s="45"/>
      <c r="AB324" s="46"/>
      <c r="AC324" s="47"/>
      <c r="AD324" s="48">
        <f t="shared" si="1"/>
        <v>0</v>
      </c>
      <c r="AE324" s="49">
        <f t="shared" si="2"/>
        <v>0</v>
      </c>
      <c r="AF324" s="30">
        <f t="shared" si="3"/>
        <v>0</v>
      </c>
      <c r="AG324" s="30">
        <f t="shared" si="4"/>
        <v>0</v>
      </c>
      <c r="AH324" s="36">
        <f t="shared" si="5"/>
        <v>0</v>
      </c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ht="15.75" customHeight="1">
      <c r="A325" s="14" t="s">
        <v>21</v>
      </c>
      <c r="B325" s="15">
        <f t="shared" si="6"/>
        <v>45614</v>
      </c>
      <c r="C325" s="16">
        <v>12.0</v>
      </c>
      <c r="D325" s="16" t="s">
        <v>30</v>
      </c>
      <c r="E325" s="17"/>
      <c r="F325" s="38"/>
      <c r="G325" s="39"/>
      <c r="H325" s="40"/>
      <c r="I325" s="39"/>
      <c r="J325" s="40"/>
      <c r="K325" s="39"/>
      <c r="L325" s="40"/>
      <c r="M325" s="39"/>
      <c r="N325" s="40"/>
      <c r="O325" s="39"/>
      <c r="P325" s="40"/>
      <c r="Q325" s="41"/>
      <c r="R325" s="38"/>
      <c r="S325" s="39"/>
      <c r="T325" s="40"/>
      <c r="U325" s="39"/>
      <c r="V325" s="40"/>
      <c r="W325" s="39"/>
      <c r="X325" s="40"/>
      <c r="Y325" s="39"/>
      <c r="Z325" s="40"/>
      <c r="AA325" s="39"/>
      <c r="AB325" s="40"/>
      <c r="AC325" s="41"/>
      <c r="AD325" s="50">
        <f t="shared" si="1"/>
        <v>0</v>
      </c>
      <c r="AE325" s="51">
        <f t="shared" si="2"/>
        <v>0</v>
      </c>
      <c r="AF325" s="16">
        <f t="shared" si="3"/>
        <v>0</v>
      </c>
      <c r="AG325" s="16">
        <f t="shared" si="4"/>
        <v>0</v>
      </c>
      <c r="AH325" s="37">
        <f t="shared" si="5"/>
        <v>0</v>
      </c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ht="15.75" customHeight="1">
      <c r="A326" s="23" t="s">
        <v>23</v>
      </c>
      <c r="B326" s="24">
        <f t="shared" si="6"/>
        <v>45615</v>
      </c>
      <c r="C326" s="25">
        <v>12.0</v>
      </c>
      <c r="D326" s="25" t="s">
        <v>30</v>
      </c>
      <c r="E326" s="22"/>
      <c r="F326" s="38"/>
      <c r="G326" s="39"/>
      <c r="H326" s="40"/>
      <c r="I326" s="39"/>
      <c r="J326" s="40"/>
      <c r="K326" s="39"/>
      <c r="L326" s="40"/>
      <c r="M326" s="39"/>
      <c r="N326" s="40"/>
      <c r="O326" s="39"/>
      <c r="P326" s="40"/>
      <c r="Q326" s="41"/>
      <c r="R326" s="38"/>
      <c r="S326" s="39"/>
      <c r="T326" s="40"/>
      <c r="U326" s="39"/>
      <c r="V326" s="40"/>
      <c r="W326" s="39"/>
      <c r="X326" s="40"/>
      <c r="Y326" s="39"/>
      <c r="Z326" s="40"/>
      <c r="AA326" s="39"/>
      <c r="AB326" s="40"/>
      <c r="AC326" s="41"/>
      <c r="AD326" s="42">
        <f t="shared" si="1"/>
        <v>0</v>
      </c>
      <c r="AE326" s="43">
        <f t="shared" si="2"/>
        <v>0</v>
      </c>
      <c r="AF326" s="25">
        <f t="shared" si="3"/>
        <v>0</v>
      </c>
      <c r="AG326" s="25">
        <f t="shared" si="4"/>
        <v>0</v>
      </c>
      <c r="AH326" s="27">
        <f t="shared" si="5"/>
        <v>0</v>
      </c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ht="15.75" customHeight="1">
      <c r="A327" s="23" t="s">
        <v>24</v>
      </c>
      <c r="B327" s="24">
        <f t="shared" si="6"/>
        <v>45616</v>
      </c>
      <c r="C327" s="25">
        <v>12.0</v>
      </c>
      <c r="D327" s="25" t="s">
        <v>30</v>
      </c>
      <c r="E327" s="22"/>
      <c r="F327" s="38"/>
      <c r="G327" s="39"/>
      <c r="H327" s="40"/>
      <c r="I327" s="39"/>
      <c r="J327" s="40"/>
      <c r="K327" s="39"/>
      <c r="L327" s="40"/>
      <c r="M327" s="39"/>
      <c r="N327" s="40"/>
      <c r="O327" s="39"/>
      <c r="P327" s="40"/>
      <c r="Q327" s="41"/>
      <c r="R327" s="38"/>
      <c r="S327" s="39"/>
      <c r="T327" s="40"/>
      <c r="U327" s="39"/>
      <c r="V327" s="40"/>
      <c r="W327" s="39"/>
      <c r="X327" s="40"/>
      <c r="Y327" s="39"/>
      <c r="Z327" s="40"/>
      <c r="AA327" s="39"/>
      <c r="AB327" s="40"/>
      <c r="AC327" s="41"/>
      <c r="AD327" s="42">
        <f t="shared" si="1"/>
        <v>0</v>
      </c>
      <c r="AE327" s="43">
        <f t="shared" si="2"/>
        <v>0</v>
      </c>
      <c r="AF327" s="25">
        <f t="shared" si="3"/>
        <v>0</v>
      </c>
      <c r="AG327" s="25">
        <f t="shared" si="4"/>
        <v>0</v>
      </c>
      <c r="AH327" s="27">
        <f t="shared" si="5"/>
        <v>0</v>
      </c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ht="15.75" customHeight="1">
      <c r="A328" s="23" t="s">
        <v>25</v>
      </c>
      <c r="B328" s="24">
        <f t="shared" si="6"/>
        <v>45617</v>
      </c>
      <c r="C328" s="25">
        <v>12.0</v>
      </c>
      <c r="D328" s="25" t="s">
        <v>30</v>
      </c>
      <c r="E328" s="22"/>
      <c r="F328" s="18"/>
      <c r="H328" s="19"/>
      <c r="J328" s="19"/>
      <c r="L328" s="19"/>
      <c r="N328" s="19"/>
      <c r="P328" s="19"/>
      <c r="Q328" s="20"/>
      <c r="R328" s="18"/>
      <c r="T328" s="19"/>
      <c r="V328" s="19"/>
      <c r="X328" s="19"/>
      <c r="Z328" s="19"/>
      <c r="AB328" s="19"/>
      <c r="AC328" s="20"/>
      <c r="AD328" s="26">
        <f t="shared" si="1"/>
        <v>0</v>
      </c>
      <c r="AE328" s="25">
        <f t="shared" si="2"/>
        <v>0</v>
      </c>
      <c r="AF328" s="25">
        <f t="shared" si="3"/>
        <v>0</v>
      </c>
      <c r="AG328" s="25">
        <f t="shared" si="4"/>
        <v>0</v>
      </c>
      <c r="AH328" s="27">
        <f t="shared" si="5"/>
        <v>0</v>
      </c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ht="15.75" customHeight="1">
      <c r="A329" s="23" t="s">
        <v>26</v>
      </c>
      <c r="B329" s="24">
        <f t="shared" si="6"/>
        <v>45618</v>
      </c>
      <c r="C329" s="25">
        <v>12.0</v>
      </c>
      <c r="D329" s="25" t="s">
        <v>30</v>
      </c>
      <c r="E329" s="22"/>
      <c r="F329" s="18"/>
      <c r="H329" s="19"/>
      <c r="J329" s="19"/>
      <c r="L329" s="19"/>
      <c r="N329" s="19"/>
      <c r="P329" s="19"/>
      <c r="Q329" s="20"/>
      <c r="R329" s="18"/>
      <c r="T329" s="19"/>
      <c r="V329" s="19"/>
      <c r="X329" s="19"/>
      <c r="Z329" s="19"/>
      <c r="AB329" s="19"/>
      <c r="AC329" s="20"/>
      <c r="AD329" s="26">
        <f t="shared" si="1"/>
        <v>0</v>
      </c>
      <c r="AE329" s="25">
        <f t="shared" si="2"/>
        <v>0</v>
      </c>
      <c r="AF329" s="25">
        <f t="shared" si="3"/>
        <v>0</v>
      </c>
      <c r="AG329" s="25">
        <f t="shared" si="4"/>
        <v>0</v>
      </c>
      <c r="AH329" s="27">
        <f t="shared" si="5"/>
        <v>0</v>
      </c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ht="15.75" customHeight="1">
      <c r="A330" s="23" t="s">
        <v>27</v>
      </c>
      <c r="B330" s="24">
        <f t="shared" si="6"/>
        <v>45619</v>
      </c>
      <c r="C330" s="25">
        <v>12.0</v>
      </c>
      <c r="D330" s="25" t="s">
        <v>30</v>
      </c>
      <c r="E330" s="22"/>
      <c r="F330" s="18"/>
      <c r="H330" s="19"/>
      <c r="J330" s="19"/>
      <c r="L330" s="19"/>
      <c r="N330" s="19"/>
      <c r="P330" s="19"/>
      <c r="Q330" s="20"/>
      <c r="R330" s="18"/>
      <c r="T330" s="19"/>
      <c r="V330" s="19"/>
      <c r="X330" s="19"/>
      <c r="Z330" s="19"/>
      <c r="AB330" s="19"/>
      <c r="AC330" s="20"/>
      <c r="AD330" s="26">
        <f t="shared" si="1"/>
        <v>0</v>
      </c>
      <c r="AE330" s="25">
        <f t="shared" si="2"/>
        <v>0</v>
      </c>
      <c r="AF330" s="25">
        <f t="shared" si="3"/>
        <v>0</v>
      </c>
      <c r="AG330" s="25">
        <f t="shared" si="4"/>
        <v>0</v>
      </c>
      <c r="AH330" s="27">
        <f t="shared" si="5"/>
        <v>0</v>
      </c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ht="15.75" customHeight="1">
      <c r="A331" s="28" t="s">
        <v>28</v>
      </c>
      <c r="B331" s="29">
        <f t="shared" si="6"/>
        <v>45620</v>
      </c>
      <c r="C331" s="30">
        <v>12.0</v>
      </c>
      <c r="D331" s="30" t="s">
        <v>30</v>
      </c>
      <c r="E331" s="31"/>
      <c r="F331" s="32"/>
      <c r="G331" s="7"/>
      <c r="H331" s="33"/>
      <c r="I331" s="7"/>
      <c r="J331" s="33"/>
      <c r="K331" s="7"/>
      <c r="L331" s="33"/>
      <c r="M331" s="7"/>
      <c r="N331" s="33"/>
      <c r="O331" s="7"/>
      <c r="P331" s="33"/>
      <c r="Q331" s="34"/>
      <c r="R331" s="32"/>
      <c r="S331" s="7"/>
      <c r="T331" s="33"/>
      <c r="U331" s="7"/>
      <c r="V331" s="33"/>
      <c r="W331" s="7"/>
      <c r="X331" s="33"/>
      <c r="Y331" s="7"/>
      <c r="Z331" s="33"/>
      <c r="AA331" s="7"/>
      <c r="AB331" s="33"/>
      <c r="AC331" s="34"/>
      <c r="AD331" s="35">
        <f t="shared" si="1"/>
        <v>0</v>
      </c>
      <c r="AE331" s="30">
        <f t="shared" si="2"/>
        <v>0</v>
      </c>
      <c r="AF331" s="30">
        <f t="shared" si="3"/>
        <v>0</v>
      </c>
      <c r="AG331" s="30">
        <f t="shared" si="4"/>
        <v>0</v>
      </c>
      <c r="AH331" s="36">
        <f t="shared" si="5"/>
        <v>0</v>
      </c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ht="15.75" customHeight="1">
      <c r="A332" s="14" t="s">
        <v>21</v>
      </c>
      <c r="B332" s="15">
        <f t="shared" si="6"/>
        <v>45621</v>
      </c>
      <c r="C332" s="16">
        <v>12.0</v>
      </c>
      <c r="D332" s="16" t="s">
        <v>31</v>
      </c>
      <c r="E332" s="17"/>
      <c r="F332" s="18"/>
      <c r="H332" s="19"/>
      <c r="J332" s="19"/>
      <c r="L332" s="19"/>
      <c r="N332" s="19"/>
      <c r="P332" s="19"/>
      <c r="Q332" s="20"/>
      <c r="R332" s="18"/>
      <c r="T332" s="19"/>
      <c r="V332" s="19"/>
      <c r="X332" s="19"/>
      <c r="Z332" s="19"/>
      <c r="AB332" s="19"/>
      <c r="AC332" s="20"/>
      <c r="AD332" s="21">
        <f t="shared" si="1"/>
        <v>0</v>
      </c>
      <c r="AE332" s="16">
        <f t="shared" si="2"/>
        <v>0</v>
      </c>
      <c r="AF332" s="16">
        <f t="shared" si="3"/>
        <v>0</v>
      </c>
      <c r="AG332" s="16">
        <f t="shared" si="4"/>
        <v>0</v>
      </c>
      <c r="AH332" s="37">
        <f t="shared" si="5"/>
        <v>0</v>
      </c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ht="15.75" customHeight="1">
      <c r="A333" s="23" t="s">
        <v>23</v>
      </c>
      <c r="B333" s="24">
        <f t="shared" si="6"/>
        <v>45622</v>
      </c>
      <c r="C333" s="25">
        <v>12.0</v>
      </c>
      <c r="D333" s="25" t="s">
        <v>31</v>
      </c>
      <c r="E333" s="22"/>
      <c r="F333" s="18"/>
      <c r="H333" s="19"/>
      <c r="J333" s="19"/>
      <c r="L333" s="19"/>
      <c r="N333" s="19"/>
      <c r="P333" s="19"/>
      <c r="Q333" s="20"/>
      <c r="R333" s="18"/>
      <c r="T333" s="19"/>
      <c r="V333" s="19"/>
      <c r="X333" s="19"/>
      <c r="Z333" s="19"/>
      <c r="AB333" s="19"/>
      <c r="AC333" s="20"/>
      <c r="AD333" s="26">
        <f t="shared" si="1"/>
        <v>0</v>
      </c>
      <c r="AE333" s="25">
        <f t="shared" si="2"/>
        <v>0</v>
      </c>
      <c r="AF333" s="25">
        <f t="shared" si="3"/>
        <v>0</v>
      </c>
      <c r="AG333" s="25">
        <f t="shared" si="4"/>
        <v>0</v>
      </c>
      <c r="AH333" s="27">
        <f t="shared" si="5"/>
        <v>0</v>
      </c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ht="15.75" customHeight="1">
      <c r="A334" s="23" t="s">
        <v>24</v>
      </c>
      <c r="B334" s="24">
        <f t="shared" si="6"/>
        <v>45623</v>
      </c>
      <c r="C334" s="25">
        <v>12.0</v>
      </c>
      <c r="D334" s="25" t="s">
        <v>31</v>
      </c>
      <c r="E334" s="22"/>
      <c r="F334" s="18"/>
      <c r="H334" s="19"/>
      <c r="J334" s="19"/>
      <c r="L334" s="19"/>
      <c r="N334" s="19"/>
      <c r="P334" s="19"/>
      <c r="Q334" s="20"/>
      <c r="R334" s="18"/>
      <c r="T334" s="19"/>
      <c r="V334" s="19"/>
      <c r="X334" s="19"/>
      <c r="Z334" s="19"/>
      <c r="AB334" s="19"/>
      <c r="AC334" s="20"/>
      <c r="AD334" s="26">
        <f t="shared" si="1"/>
        <v>0</v>
      </c>
      <c r="AE334" s="25">
        <f t="shared" si="2"/>
        <v>0</v>
      </c>
      <c r="AF334" s="25">
        <f t="shared" si="3"/>
        <v>0</v>
      </c>
      <c r="AG334" s="25">
        <f t="shared" si="4"/>
        <v>0</v>
      </c>
      <c r="AH334" s="27">
        <f t="shared" si="5"/>
        <v>0</v>
      </c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ht="15.75" customHeight="1">
      <c r="A335" s="23" t="s">
        <v>25</v>
      </c>
      <c r="B335" s="24">
        <f t="shared" si="6"/>
        <v>45624</v>
      </c>
      <c r="C335" s="25">
        <v>12.0</v>
      </c>
      <c r="D335" s="25" t="s">
        <v>31</v>
      </c>
      <c r="E335" s="22"/>
      <c r="F335" s="18"/>
      <c r="H335" s="19"/>
      <c r="J335" s="19"/>
      <c r="L335" s="19"/>
      <c r="N335" s="19"/>
      <c r="P335" s="19"/>
      <c r="Q335" s="20"/>
      <c r="R335" s="18"/>
      <c r="T335" s="19"/>
      <c r="V335" s="19"/>
      <c r="X335" s="19"/>
      <c r="Z335" s="19"/>
      <c r="AB335" s="19"/>
      <c r="AC335" s="20"/>
      <c r="AD335" s="26">
        <f t="shared" si="1"/>
        <v>0</v>
      </c>
      <c r="AE335" s="25">
        <f t="shared" si="2"/>
        <v>0</v>
      </c>
      <c r="AF335" s="25">
        <f t="shared" si="3"/>
        <v>0</v>
      </c>
      <c r="AG335" s="25">
        <f t="shared" si="4"/>
        <v>0</v>
      </c>
      <c r="AH335" s="27">
        <f t="shared" si="5"/>
        <v>0</v>
      </c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ht="15.75" customHeight="1">
      <c r="A336" s="23" t="s">
        <v>26</v>
      </c>
      <c r="B336" s="24">
        <f t="shared" si="6"/>
        <v>45625</v>
      </c>
      <c r="C336" s="25">
        <v>12.0</v>
      </c>
      <c r="D336" s="25" t="s">
        <v>31</v>
      </c>
      <c r="E336" s="22"/>
      <c r="F336" s="18"/>
      <c r="H336" s="19"/>
      <c r="J336" s="19"/>
      <c r="L336" s="19"/>
      <c r="N336" s="19"/>
      <c r="P336" s="19"/>
      <c r="Q336" s="20"/>
      <c r="R336" s="18"/>
      <c r="T336" s="19"/>
      <c r="V336" s="19"/>
      <c r="X336" s="19"/>
      <c r="Z336" s="19"/>
      <c r="AB336" s="19"/>
      <c r="AC336" s="20"/>
      <c r="AD336" s="26">
        <f t="shared" si="1"/>
        <v>0</v>
      </c>
      <c r="AE336" s="25">
        <f t="shared" si="2"/>
        <v>0</v>
      </c>
      <c r="AF336" s="25">
        <f t="shared" si="3"/>
        <v>0</v>
      </c>
      <c r="AG336" s="25">
        <f t="shared" si="4"/>
        <v>0</v>
      </c>
      <c r="AH336" s="27">
        <f t="shared" si="5"/>
        <v>0</v>
      </c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ht="15.75" customHeight="1">
      <c r="A337" s="23" t="s">
        <v>27</v>
      </c>
      <c r="B337" s="24">
        <f t="shared" si="6"/>
        <v>45626</v>
      </c>
      <c r="C337" s="25">
        <v>12.0</v>
      </c>
      <c r="D337" s="25" t="s">
        <v>31</v>
      </c>
      <c r="E337" s="22"/>
      <c r="F337" s="18"/>
      <c r="H337" s="19"/>
      <c r="J337" s="19"/>
      <c r="L337" s="19"/>
      <c r="N337" s="19"/>
      <c r="P337" s="19"/>
      <c r="Q337" s="20"/>
      <c r="R337" s="18"/>
      <c r="T337" s="19"/>
      <c r="V337" s="19"/>
      <c r="X337" s="19"/>
      <c r="Z337" s="19"/>
      <c r="AB337" s="19"/>
      <c r="AC337" s="20"/>
      <c r="AD337" s="26">
        <f t="shared" si="1"/>
        <v>0</v>
      </c>
      <c r="AE337" s="25">
        <f t="shared" si="2"/>
        <v>0</v>
      </c>
      <c r="AF337" s="25">
        <f t="shared" si="3"/>
        <v>0</v>
      </c>
      <c r="AG337" s="25">
        <f t="shared" si="4"/>
        <v>0</v>
      </c>
      <c r="AH337" s="27">
        <f t="shared" si="5"/>
        <v>0</v>
      </c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ht="15.75" customHeight="1">
      <c r="A338" s="28" t="s">
        <v>28</v>
      </c>
      <c r="B338" s="29">
        <f t="shared" si="6"/>
        <v>45627</v>
      </c>
      <c r="C338" s="30">
        <v>12.0</v>
      </c>
      <c r="D338" s="30" t="s">
        <v>31</v>
      </c>
      <c r="E338" s="31"/>
      <c r="F338" s="32"/>
      <c r="G338" s="7"/>
      <c r="H338" s="33"/>
      <c r="I338" s="7"/>
      <c r="J338" s="33"/>
      <c r="K338" s="7"/>
      <c r="L338" s="33"/>
      <c r="M338" s="7"/>
      <c r="N338" s="33"/>
      <c r="O338" s="7"/>
      <c r="P338" s="33"/>
      <c r="Q338" s="34"/>
      <c r="R338" s="32"/>
      <c r="S338" s="7"/>
      <c r="T338" s="33"/>
      <c r="U338" s="7"/>
      <c r="V338" s="33"/>
      <c r="W338" s="7"/>
      <c r="X338" s="33"/>
      <c r="Y338" s="7"/>
      <c r="Z338" s="33"/>
      <c r="AA338" s="7"/>
      <c r="AB338" s="33"/>
      <c r="AC338" s="34"/>
      <c r="AD338" s="35">
        <f t="shared" si="1"/>
        <v>0</v>
      </c>
      <c r="AE338" s="30">
        <f t="shared" si="2"/>
        <v>0</v>
      </c>
      <c r="AF338" s="30">
        <f t="shared" si="3"/>
        <v>0</v>
      </c>
      <c r="AG338" s="30">
        <f t="shared" si="4"/>
        <v>0</v>
      </c>
      <c r="AH338" s="36">
        <f t="shared" si="5"/>
        <v>0</v>
      </c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ht="15.75" customHeight="1">
      <c r="A339" s="14" t="s">
        <v>21</v>
      </c>
      <c r="B339" s="15">
        <f t="shared" si="6"/>
        <v>45628</v>
      </c>
      <c r="C339" s="16">
        <v>13.0</v>
      </c>
      <c r="D339" s="16" t="s">
        <v>29</v>
      </c>
      <c r="E339" s="17"/>
      <c r="F339" s="18"/>
      <c r="H339" s="19"/>
      <c r="J339" s="19"/>
      <c r="L339" s="19"/>
      <c r="N339" s="19"/>
      <c r="P339" s="19"/>
      <c r="Q339" s="20"/>
      <c r="R339" s="18"/>
      <c r="T339" s="19"/>
      <c r="V339" s="19"/>
      <c r="X339" s="19"/>
      <c r="Z339" s="19"/>
      <c r="AB339" s="19"/>
      <c r="AC339" s="20"/>
      <c r="AD339" s="21">
        <f t="shared" si="1"/>
        <v>0</v>
      </c>
      <c r="AE339" s="16">
        <f t="shared" si="2"/>
        <v>0</v>
      </c>
      <c r="AF339" s="16">
        <f t="shared" si="3"/>
        <v>0</v>
      </c>
      <c r="AG339" s="16">
        <f t="shared" si="4"/>
        <v>0</v>
      </c>
      <c r="AH339" s="37">
        <f t="shared" si="5"/>
        <v>0</v>
      </c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ht="15.75" customHeight="1">
      <c r="A340" s="23" t="s">
        <v>23</v>
      </c>
      <c r="B340" s="24">
        <f t="shared" si="6"/>
        <v>45629</v>
      </c>
      <c r="C340" s="25">
        <v>13.0</v>
      </c>
      <c r="D340" s="25" t="s">
        <v>29</v>
      </c>
      <c r="E340" s="22"/>
      <c r="F340" s="18"/>
      <c r="H340" s="19"/>
      <c r="J340" s="19"/>
      <c r="L340" s="19"/>
      <c r="N340" s="19"/>
      <c r="P340" s="19"/>
      <c r="Q340" s="20"/>
      <c r="R340" s="18"/>
      <c r="T340" s="19"/>
      <c r="V340" s="19"/>
      <c r="X340" s="19"/>
      <c r="Z340" s="19"/>
      <c r="AB340" s="19"/>
      <c r="AC340" s="20"/>
      <c r="AD340" s="26">
        <f t="shared" si="1"/>
        <v>0</v>
      </c>
      <c r="AE340" s="25">
        <f t="shared" si="2"/>
        <v>0</v>
      </c>
      <c r="AF340" s="25">
        <f t="shared" si="3"/>
        <v>0</v>
      </c>
      <c r="AG340" s="25">
        <f t="shared" si="4"/>
        <v>0</v>
      </c>
      <c r="AH340" s="27">
        <f t="shared" si="5"/>
        <v>0</v>
      </c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ht="15.75" customHeight="1">
      <c r="A341" s="23" t="s">
        <v>24</v>
      </c>
      <c r="B341" s="24">
        <f t="shared" si="6"/>
        <v>45630</v>
      </c>
      <c r="C341" s="25">
        <v>13.0</v>
      </c>
      <c r="D341" s="25" t="s">
        <v>29</v>
      </c>
      <c r="E341" s="22"/>
      <c r="F341" s="18"/>
      <c r="H341" s="19"/>
      <c r="J341" s="19"/>
      <c r="L341" s="19"/>
      <c r="N341" s="19"/>
      <c r="P341" s="19"/>
      <c r="Q341" s="20"/>
      <c r="R341" s="18"/>
      <c r="T341" s="19"/>
      <c r="V341" s="19"/>
      <c r="X341" s="19"/>
      <c r="Z341" s="19"/>
      <c r="AB341" s="19"/>
      <c r="AC341" s="20"/>
      <c r="AD341" s="26">
        <f t="shared" si="1"/>
        <v>0</v>
      </c>
      <c r="AE341" s="25">
        <f t="shared" si="2"/>
        <v>0</v>
      </c>
      <c r="AF341" s="25">
        <f t="shared" si="3"/>
        <v>0</v>
      </c>
      <c r="AG341" s="25">
        <f t="shared" si="4"/>
        <v>0</v>
      </c>
      <c r="AH341" s="27">
        <f t="shared" si="5"/>
        <v>0</v>
      </c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ht="15.75" customHeight="1">
      <c r="A342" s="23" t="s">
        <v>25</v>
      </c>
      <c r="B342" s="24">
        <f t="shared" si="6"/>
        <v>45631</v>
      </c>
      <c r="C342" s="25">
        <v>13.0</v>
      </c>
      <c r="D342" s="25" t="s">
        <v>29</v>
      </c>
      <c r="E342" s="22"/>
      <c r="F342" s="18"/>
      <c r="H342" s="19"/>
      <c r="J342" s="19"/>
      <c r="L342" s="19"/>
      <c r="N342" s="19"/>
      <c r="P342" s="19"/>
      <c r="Q342" s="20"/>
      <c r="R342" s="18"/>
      <c r="T342" s="19"/>
      <c r="V342" s="19"/>
      <c r="X342" s="19"/>
      <c r="Z342" s="19"/>
      <c r="AB342" s="19"/>
      <c r="AC342" s="20"/>
      <c r="AD342" s="26">
        <f t="shared" si="1"/>
        <v>0</v>
      </c>
      <c r="AE342" s="25">
        <f t="shared" si="2"/>
        <v>0</v>
      </c>
      <c r="AF342" s="25">
        <f t="shared" si="3"/>
        <v>0</v>
      </c>
      <c r="AG342" s="25">
        <f t="shared" si="4"/>
        <v>0</v>
      </c>
      <c r="AH342" s="27">
        <f t="shared" si="5"/>
        <v>0</v>
      </c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ht="15.75" customHeight="1">
      <c r="A343" s="23" t="s">
        <v>26</v>
      </c>
      <c r="B343" s="24">
        <f t="shared" si="6"/>
        <v>45632</v>
      </c>
      <c r="C343" s="25">
        <v>13.0</v>
      </c>
      <c r="D343" s="25" t="s">
        <v>29</v>
      </c>
      <c r="E343" s="22"/>
      <c r="F343" s="18"/>
      <c r="H343" s="19"/>
      <c r="J343" s="19"/>
      <c r="L343" s="19"/>
      <c r="N343" s="19"/>
      <c r="P343" s="19"/>
      <c r="Q343" s="20"/>
      <c r="R343" s="18"/>
      <c r="T343" s="19"/>
      <c r="V343" s="19"/>
      <c r="X343" s="19"/>
      <c r="Z343" s="19"/>
      <c r="AB343" s="19"/>
      <c r="AC343" s="20"/>
      <c r="AD343" s="26">
        <f t="shared" si="1"/>
        <v>0</v>
      </c>
      <c r="AE343" s="25">
        <f t="shared" si="2"/>
        <v>0</v>
      </c>
      <c r="AF343" s="25">
        <f t="shared" si="3"/>
        <v>0</v>
      </c>
      <c r="AG343" s="25">
        <f t="shared" si="4"/>
        <v>0</v>
      </c>
      <c r="AH343" s="27">
        <f t="shared" si="5"/>
        <v>0</v>
      </c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ht="15.75" customHeight="1">
      <c r="A344" s="23" t="s">
        <v>27</v>
      </c>
      <c r="B344" s="24">
        <f t="shared" si="6"/>
        <v>45633</v>
      </c>
      <c r="C344" s="25">
        <v>13.0</v>
      </c>
      <c r="D344" s="25" t="s">
        <v>29</v>
      </c>
      <c r="E344" s="22"/>
      <c r="F344" s="18"/>
      <c r="H344" s="19"/>
      <c r="J344" s="19"/>
      <c r="L344" s="19"/>
      <c r="N344" s="19"/>
      <c r="P344" s="19"/>
      <c r="Q344" s="20"/>
      <c r="R344" s="18"/>
      <c r="T344" s="19"/>
      <c r="V344" s="19"/>
      <c r="X344" s="19"/>
      <c r="Z344" s="19"/>
      <c r="AB344" s="19"/>
      <c r="AC344" s="20"/>
      <c r="AD344" s="26">
        <f t="shared" si="1"/>
        <v>0</v>
      </c>
      <c r="AE344" s="25">
        <f t="shared" si="2"/>
        <v>0</v>
      </c>
      <c r="AF344" s="25">
        <f t="shared" si="3"/>
        <v>0</v>
      </c>
      <c r="AG344" s="25">
        <f t="shared" si="4"/>
        <v>0</v>
      </c>
      <c r="AH344" s="27">
        <f t="shared" si="5"/>
        <v>0</v>
      </c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ht="15.75" customHeight="1">
      <c r="A345" s="28" t="s">
        <v>28</v>
      </c>
      <c r="B345" s="29">
        <f t="shared" si="6"/>
        <v>45634</v>
      </c>
      <c r="C345" s="30">
        <v>13.0</v>
      </c>
      <c r="D345" s="30" t="s">
        <v>29</v>
      </c>
      <c r="E345" s="31"/>
      <c r="F345" s="32"/>
      <c r="G345" s="7"/>
      <c r="H345" s="33"/>
      <c r="I345" s="7"/>
      <c r="J345" s="33"/>
      <c r="K345" s="7"/>
      <c r="L345" s="33"/>
      <c r="M345" s="7"/>
      <c r="N345" s="33"/>
      <c r="O345" s="7"/>
      <c r="P345" s="33"/>
      <c r="Q345" s="34"/>
      <c r="R345" s="32"/>
      <c r="S345" s="7"/>
      <c r="T345" s="33"/>
      <c r="U345" s="7"/>
      <c r="V345" s="33"/>
      <c r="W345" s="7"/>
      <c r="X345" s="33"/>
      <c r="Y345" s="7"/>
      <c r="Z345" s="33"/>
      <c r="AA345" s="7"/>
      <c r="AB345" s="33"/>
      <c r="AC345" s="34"/>
      <c r="AD345" s="35">
        <f t="shared" si="1"/>
        <v>0</v>
      </c>
      <c r="AE345" s="30">
        <f t="shared" si="2"/>
        <v>0</v>
      </c>
      <c r="AF345" s="30">
        <f t="shared" si="3"/>
        <v>0</v>
      </c>
      <c r="AG345" s="30">
        <f t="shared" si="4"/>
        <v>0</v>
      </c>
      <c r="AH345" s="36">
        <f t="shared" si="5"/>
        <v>0</v>
      </c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ht="15.75" customHeight="1">
      <c r="A346" s="14" t="s">
        <v>21</v>
      </c>
      <c r="B346" s="15">
        <f t="shared" si="6"/>
        <v>45635</v>
      </c>
      <c r="C346" s="16">
        <v>13.0</v>
      </c>
      <c r="D346" s="16" t="s">
        <v>30</v>
      </c>
      <c r="E346" s="17"/>
      <c r="F346" s="18"/>
      <c r="H346" s="19"/>
      <c r="J346" s="19"/>
      <c r="L346" s="19"/>
      <c r="N346" s="19"/>
      <c r="P346" s="19"/>
      <c r="Q346" s="20"/>
      <c r="R346" s="18"/>
      <c r="T346" s="19"/>
      <c r="V346" s="19"/>
      <c r="X346" s="19"/>
      <c r="Z346" s="19"/>
      <c r="AB346" s="19"/>
      <c r="AC346" s="20"/>
      <c r="AD346" s="21">
        <f t="shared" si="1"/>
        <v>0</v>
      </c>
      <c r="AE346" s="16">
        <f t="shared" si="2"/>
        <v>0</v>
      </c>
      <c r="AF346" s="16">
        <f t="shared" si="3"/>
        <v>0</v>
      </c>
      <c r="AG346" s="16">
        <f t="shared" si="4"/>
        <v>0</v>
      </c>
      <c r="AH346" s="37">
        <f t="shared" si="5"/>
        <v>0</v>
      </c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ht="15.75" customHeight="1">
      <c r="A347" s="23" t="s">
        <v>23</v>
      </c>
      <c r="B347" s="24">
        <f t="shared" si="6"/>
        <v>45636</v>
      </c>
      <c r="C347" s="25">
        <v>13.0</v>
      </c>
      <c r="D347" s="25" t="s">
        <v>30</v>
      </c>
      <c r="E347" s="22"/>
      <c r="F347" s="18"/>
      <c r="H347" s="19"/>
      <c r="J347" s="19"/>
      <c r="L347" s="19"/>
      <c r="N347" s="19"/>
      <c r="P347" s="19"/>
      <c r="Q347" s="20"/>
      <c r="R347" s="18"/>
      <c r="T347" s="19"/>
      <c r="V347" s="19"/>
      <c r="X347" s="19"/>
      <c r="Z347" s="19"/>
      <c r="AB347" s="19"/>
      <c r="AC347" s="20"/>
      <c r="AD347" s="26">
        <f t="shared" si="1"/>
        <v>0</v>
      </c>
      <c r="AE347" s="25">
        <f t="shared" si="2"/>
        <v>0</v>
      </c>
      <c r="AF347" s="25">
        <f t="shared" si="3"/>
        <v>0</v>
      </c>
      <c r="AG347" s="25">
        <f t="shared" si="4"/>
        <v>0</v>
      </c>
      <c r="AH347" s="27">
        <f t="shared" si="5"/>
        <v>0</v>
      </c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ht="15.75" customHeight="1">
      <c r="A348" s="23" t="s">
        <v>24</v>
      </c>
      <c r="B348" s="24">
        <f t="shared" si="6"/>
        <v>45637</v>
      </c>
      <c r="C348" s="25">
        <v>13.0</v>
      </c>
      <c r="D348" s="25" t="s">
        <v>30</v>
      </c>
      <c r="E348" s="22"/>
      <c r="F348" s="18"/>
      <c r="H348" s="19"/>
      <c r="J348" s="19"/>
      <c r="L348" s="19"/>
      <c r="N348" s="19"/>
      <c r="P348" s="19"/>
      <c r="Q348" s="20"/>
      <c r="R348" s="18"/>
      <c r="T348" s="19"/>
      <c r="V348" s="19"/>
      <c r="X348" s="19"/>
      <c r="Z348" s="19"/>
      <c r="AB348" s="19"/>
      <c r="AC348" s="20"/>
      <c r="AD348" s="26">
        <f t="shared" si="1"/>
        <v>0</v>
      </c>
      <c r="AE348" s="25">
        <f t="shared" si="2"/>
        <v>0</v>
      </c>
      <c r="AF348" s="25">
        <f t="shared" si="3"/>
        <v>0</v>
      </c>
      <c r="AG348" s="25">
        <f t="shared" si="4"/>
        <v>0</v>
      </c>
      <c r="AH348" s="27">
        <f t="shared" si="5"/>
        <v>0</v>
      </c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ht="15.75" customHeight="1">
      <c r="A349" s="23" t="s">
        <v>25</v>
      </c>
      <c r="B349" s="24">
        <f t="shared" si="6"/>
        <v>45638</v>
      </c>
      <c r="C349" s="25">
        <v>13.0</v>
      </c>
      <c r="D349" s="25" t="s">
        <v>30</v>
      </c>
      <c r="E349" s="22"/>
      <c r="F349" s="18"/>
      <c r="H349" s="19"/>
      <c r="J349" s="19"/>
      <c r="L349" s="19"/>
      <c r="N349" s="19"/>
      <c r="P349" s="19"/>
      <c r="Q349" s="20"/>
      <c r="R349" s="18"/>
      <c r="T349" s="19"/>
      <c r="V349" s="19"/>
      <c r="X349" s="19"/>
      <c r="Z349" s="19"/>
      <c r="AB349" s="19"/>
      <c r="AC349" s="20"/>
      <c r="AD349" s="26">
        <f t="shared" si="1"/>
        <v>0</v>
      </c>
      <c r="AE349" s="25">
        <f t="shared" si="2"/>
        <v>0</v>
      </c>
      <c r="AF349" s="25">
        <f t="shared" si="3"/>
        <v>0</v>
      </c>
      <c r="AG349" s="25">
        <f t="shared" si="4"/>
        <v>0</v>
      </c>
      <c r="AH349" s="27">
        <f t="shared" si="5"/>
        <v>0</v>
      </c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ht="15.75" customHeight="1">
      <c r="A350" s="23" t="s">
        <v>26</v>
      </c>
      <c r="B350" s="24">
        <f t="shared" si="6"/>
        <v>45639</v>
      </c>
      <c r="C350" s="25">
        <v>13.0</v>
      </c>
      <c r="D350" s="25" t="s">
        <v>30</v>
      </c>
      <c r="E350" s="22"/>
      <c r="F350" s="18"/>
      <c r="H350" s="19"/>
      <c r="J350" s="19"/>
      <c r="L350" s="19"/>
      <c r="N350" s="19"/>
      <c r="P350" s="19"/>
      <c r="Q350" s="20"/>
      <c r="R350" s="18"/>
      <c r="T350" s="19"/>
      <c r="V350" s="19"/>
      <c r="X350" s="19"/>
      <c r="Z350" s="19"/>
      <c r="AB350" s="19"/>
      <c r="AC350" s="20"/>
      <c r="AD350" s="26">
        <f t="shared" si="1"/>
        <v>0</v>
      </c>
      <c r="AE350" s="25">
        <f t="shared" si="2"/>
        <v>0</v>
      </c>
      <c r="AF350" s="25">
        <f t="shared" si="3"/>
        <v>0</v>
      </c>
      <c r="AG350" s="25">
        <f t="shared" si="4"/>
        <v>0</v>
      </c>
      <c r="AH350" s="27">
        <f t="shared" si="5"/>
        <v>0</v>
      </c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ht="15.75" customHeight="1">
      <c r="A351" s="23" t="s">
        <v>27</v>
      </c>
      <c r="B351" s="24">
        <f t="shared" si="6"/>
        <v>45640</v>
      </c>
      <c r="C351" s="25">
        <v>13.0</v>
      </c>
      <c r="D351" s="25" t="s">
        <v>30</v>
      </c>
      <c r="E351" s="22"/>
      <c r="F351" s="18"/>
      <c r="H351" s="19"/>
      <c r="J351" s="19"/>
      <c r="L351" s="19"/>
      <c r="N351" s="19"/>
      <c r="P351" s="19"/>
      <c r="Q351" s="20"/>
      <c r="R351" s="18"/>
      <c r="T351" s="19"/>
      <c r="V351" s="19"/>
      <c r="X351" s="19"/>
      <c r="Z351" s="19"/>
      <c r="AB351" s="19"/>
      <c r="AC351" s="20"/>
      <c r="AD351" s="26">
        <f t="shared" si="1"/>
        <v>0</v>
      </c>
      <c r="AE351" s="25">
        <f t="shared" si="2"/>
        <v>0</v>
      </c>
      <c r="AF351" s="25">
        <f t="shared" si="3"/>
        <v>0</v>
      </c>
      <c r="AG351" s="25">
        <f t="shared" si="4"/>
        <v>0</v>
      </c>
      <c r="AH351" s="27">
        <f t="shared" si="5"/>
        <v>0</v>
      </c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ht="15.75" customHeight="1">
      <c r="A352" s="28" t="s">
        <v>28</v>
      </c>
      <c r="B352" s="29">
        <f t="shared" si="6"/>
        <v>45641</v>
      </c>
      <c r="C352" s="30">
        <v>13.0</v>
      </c>
      <c r="D352" s="30" t="s">
        <v>30</v>
      </c>
      <c r="E352" s="31"/>
      <c r="F352" s="32"/>
      <c r="G352" s="7"/>
      <c r="H352" s="33"/>
      <c r="I352" s="7"/>
      <c r="J352" s="33"/>
      <c r="K352" s="7"/>
      <c r="L352" s="33"/>
      <c r="M352" s="7"/>
      <c r="N352" s="33"/>
      <c r="O352" s="7"/>
      <c r="P352" s="33"/>
      <c r="Q352" s="34"/>
      <c r="R352" s="32"/>
      <c r="S352" s="7"/>
      <c r="T352" s="33"/>
      <c r="U352" s="7"/>
      <c r="V352" s="33"/>
      <c r="W352" s="7"/>
      <c r="X352" s="33"/>
      <c r="Y352" s="7"/>
      <c r="Z352" s="33"/>
      <c r="AA352" s="7"/>
      <c r="AB352" s="33"/>
      <c r="AC352" s="34"/>
      <c r="AD352" s="35">
        <f t="shared" si="1"/>
        <v>0</v>
      </c>
      <c r="AE352" s="30">
        <f t="shared" si="2"/>
        <v>0</v>
      </c>
      <c r="AF352" s="30">
        <f t="shared" si="3"/>
        <v>0</v>
      </c>
      <c r="AG352" s="30">
        <f t="shared" si="4"/>
        <v>0</v>
      </c>
      <c r="AH352" s="36">
        <f t="shared" si="5"/>
        <v>0</v>
      </c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ht="15.75" customHeight="1">
      <c r="A353" s="14" t="s">
        <v>21</v>
      </c>
      <c r="B353" s="15">
        <f t="shared" si="6"/>
        <v>45642</v>
      </c>
      <c r="C353" s="16">
        <v>13.0</v>
      </c>
      <c r="D353" s="16" t="s">
        <v>31</v>
      </c>
      <c r="E353" s="17"/>
      <c r="F353" s="18"/>
      <c r="H353" s="19"/>
      <c r="J353" s="19"/>
      <c r="L353" s="19"/>
      <c r="N353" s="19"/>
      <c r="P353" s="19"/>
      <c r="Q353" s="20"/>
      <c r="R353" s="18"/>
      <c r="T353" s="19"/>
      <c r="V353" s="19"/>
      <c r="X353" s="19"/>
      <c r="Z353" s="19"/>
      <c r="AB353" s="19"/>
      <c r="AC353" s="20"/>
      <c r="AD353" s="21">
        <f t="shared" si="1"/>
        <v>0</v>
      </c>
      <c r="AE353" s="16">
        <f t="shared" si="2"/>
        <v>0</v>
      </c>
      <c r="AF353" s="16">
        <f t="shared" si="3"/>
        <v>0</v>
      </c>
      <c r="AG353" s="16">
        <f t="shared" si="4"/>
        <v>0</v>
      </c>
      <c r="AH353" s="37">
        <f t="shared" si="5"/>
        <v>0</v>
      </c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ht="15.75" customHeight="1">
      <c r="A354" s="23" t="s">
        <v>23</v>
      </c>
      <c r="B354" s="24">
        <f t="shared" si="6"/>
        <v>45643</v>
      </c>
      <c r="C354" s="25">
        <v>13.0</v>
      </c>
      <c r="D354" s="25" t="s">
        <v>31</v>
      </c>
      <c r="E354" s="22"/>
      <c r="F354" s="18"/>
      <c r="H354" s="19"/>
      <c r="J354" s="19"/>
      <c r="L354" s="19"/>
      <c r="N354" s="19"/>
      <c r="P354" s="19"/>
      <c r="Q354" s="20"/>
      <c r="R354" s="18"/>
      <c r="T354" s="19"/>
      <c r="V354" s="19"/>
      <c r="X354" s="19"/>
      <c r="Z354" s="19"/>
      <c r="AB354" s="19"/>
      <c r="AC354" s="20"/>
      <c r="AD354" s="26">
        <f t="shared" si="1"/>
        <v>0</v>
      </c>
      <c r="AE354" s="25">
        <f t="shared" si="2"/>
        <v>0</v>
      </c>
      <c r="AF354" s="25">
        <f t="shared" si="3"/>
        <v>0</v>
      </c>
      <c r="AG354" s="25">
        <f t="shared" si="4"/>
        <v>0</v>
      </c>
      <c r="AH354" s="27">
        <f t="shared" si="5"/>
        <v>0</v>
      </c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ht="15.75" customHeight="1">
      <c r="A355" s="23" t="s">
        <v>24</v>
      </c>
      <c r="B355" s="24">
        <f t="shared" si="6"/>
        <v>45644</v>
      </c>
      <c r="C355" s="25">
        <v>13.0</v>
      </c>
      <c r="D355" s="25" t="s">
        <v>31</v>
      </c>
      <c r="E355" s="22"/>
      <c r="F355" s="18"/>
      <c r="H355" s="19"/>
      <c r="J355" s="19"/>
      <c r="L355" s="19"/>
      <c r="N355" s="19"/>
      <c r="P355" s="19"/>
      <c r="Q355" s="20"/>
      <c r="R355" s="18"/>
      <c r="T355" s="19"/>
      <c r="V355" s="19"/>
      <c r="X355" s="19"/>
      <c r="Z355" s="19"/>
      <c r="AB355" s="19"/>
      <c r="AC355" s="20"/>
      <c r="AD355" s="26">
        <f t="shared" si="1"/>
        <v>0</v>
      </c>
      <c r="AE355" s="25">
        <f t="shared" si="2"/>
        <v>0</v>
      </c>
      <c r="AF355" s="25">
        <f t="shared" si="3"/>
        <v>0</v>
      </c>
      <c r="AG355" s="25">
        <f t="shared" si="4"/>
        <v>0</v>
      </c>
      <c r="AH355" s="27">
        <f t="shared" si="5"/>
        <v>0</v>
      </c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ht="15.75" customHeight="1">
      <c r="A356" s="23" t="s">
        <v>25</v>
      </c>
      <c r="B356" s="24">
        <f t="shared" si="6"/>
        <v>45645</v>
      </c>
      <c r="C356" s="25">
        <v>13.0</v>
      </c>
      <c r="D356" s="25" t="s">
        <v>31</v>
      </c>
      <c r="E356" s="22"/>
      <c r="F356" s="18"/>
      <c r="H356" s="19"/>
      <c r="J356" s="19"/>
      <c r="L356" s="19"/>
      <c r="N356" s="19"/>
      <c r="P356" s="19"/>
      <c r="Q356" s="20"/>
      <c r="R356" s="18"/>
      <c r="T356" s="19"/>
      <c r="V356" s="19"/>
      <c r="X356" s="19"/>
      <c r="Z356" s="19"/>
      <c r="AB356" s="19"/>
      <c r="AC356" s="20"/>
      <c r="AD356" s="26">
        <f t="shared" si="1"/>
        <v>0</v>
      </c>
      <c r="AE356" s="25">
        <f t="shared" si="2"/>
        <v>0</v>
      </c>
      <c r="AF356" s="25">
        <f t="shared" si="3"/>
        <v>0</v>
      </c>
      <c r="AG356" s="25">
        <f t="shared" si="4"/>
        <v>0</v>
      </c>
      <c r="AH356" s="27">
        <f t="shared" si="5"/>
        <v>0</v>
      </c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ht="15.75" customHeight="1">
      <c r="A357" s="23" t="s">
        <v>26</v>
      </c>
      <c r="B357" s="24">
        <f t="shared" si="6"/>
        <v>45646</v>
      </c>
      <c r="C357" s="25">
        <v>13.0</v>
      </c>
      <c r="D357" s="25" t="s">
        <v>31</v>
      </c>
      <c r="E357" s="22"/>
      <c r="F357" s="18"/>
      <c r="H357" s="19"/>
      <c r="J357" s="19"/>
      <c r="L357" s="19"/>
      <c r="N357" s="19"/>
      <c r="P357" s="19"/>
      <c r="Q357" s="20"/>
      <c r="R357" s="18"/>
      <c r="T357" s="19"/>
      <c r="V357" s="19"/>
      <c r="X357" s="19"/>
      <c r="Z357" s="19"/>
      <c r="AB357" s="19"/>
      <c r="AC357" s="20"/>
      <c r="AD357" s="26">
        <f t="shared" si="1"/>
        <v>0</v>
      </c>
      <c r="AE357" s="25">
        <f t="shared" si="2"/>
        <v>0</v>
      </c>
      <c r="AF357" s="25">
        <f t="shared" si="3"/>
        <v>0</v>
      </c>
      <c r="AG357" s="25">
        <f t="shared" si="4"/>
        <v>0</v>
      </c>
      <c r="AH357" s="27">
        <f t="shared" si="5"/>
        <v>0</v>
      </c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ht="15.75" customHeight="1">
      <c r="A358" s="23" t="s">
        <v>27</v>
      </c>
      <c r="B358" s="24">
        <f t="shared" si="6"/>
        <v>45647</v>
      </c>
      <c r="C358" s="25">
        <v>13.0</v>
      </c>
      <c r="D358" s="25" t="s">
        <v>31</v>
      </c>
      <c r="E358" s="22"/>
      <c r="F358" s="18"/>
      <c r="H358" s="19"/>
      <c r="J358" s="19"/>
      <c r="L358" s="19"/>
      <c r="N358" s="19"/>
      <c r="P358" s="19"/>
      <c r="Q358" s="20"/>
      <c r="R358" s="18"/>
      <c r="T358" s="19"/>
      <c r="V358" s="19"/>
      <c r="X358" s="19"/>
      <c r="Z358" s="19"/>
      <c r="AB358" s="19"/>
      <c r="AC358" s="20"/>
      <c r="AD358" s="26">
        <f t="shared" si="1"/>
        <v>0</v>
      </c>
      <c r="AE358" s="25">
        <f t="shared" si="2"/>
        <v>0</v>
      </c>
      <c r="AF358" s="25">
        <f t="shared" si="3"/>
        <v>0</v>
      </c>
      <c r="AG358" s="25">
        <f t="shared" si="4"/>
        <v>0</v>
      </c>
      <c r="AH358" s="27">
        <f t="shared" si="5"/>
        <v>0</v>
      </c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ht="15.75" customHeight="1">
      <c r="A359" s="28" t="s">
        <v>28</v>
      </c>
      <c r="B359" s="29">
        <f t="shared" si="6"/>
        <v>45648</v>
      </c>
      <c r="C359" s="30">
        <v>13.0</v>
      </c>
      <c r="D359" s="30" t="s">
        <v>31</v>
      </c>
      <c r="E359" s="31"/>
      <c r="F359" s="32"/>
      <c r="G359" s="7"/>
      <c r="H359" s="33"/>
      <c r="I359" s="7"/>
      <c r="J359" s="33"/>
      <c r="K359" s="7"/>
      <c r="L359" s="33"/>
      <c r="M359" s="7"/>
      <c r="N359" s="33"/>
      <c r="O359" s="7"/>
      <c r="P359" s="33"/>
      <c r="Q359" s="34"/>
      <c r="R359" s="32"/>
      <c r="S359" s="7"/>
      <c r="T359" s="33"/>
      <c r="U359" s="7"/>
      <c r="V359" s="33"/>
      <c r="W359" s="7"/>
      <c r="X359" s="33"/>
      <c r="Y359" s="7"/>
      <c r="Z359" s="33"/>
      <c r="AA359" s="7"/>
      <c r="AB359" s="33"/>
      <c r="AC359" s="34"/>
      <c r="AD359" s="35">
        <f t="shared" si="1"/>
        <v>0</v>
      </c>
      <c r="AE359" s="30">
        <f t="shared" si="2"/>
        <v>0</v>
      </c>
      <c r="AF359" s="30">
        <f t="shared" si="3"/>
        <v>0</v>
      </c>
      <c r="AG359" s="30">
        <f t="shared" si="4"/>
        <v>0</v>
      </c>
      <c r="AH359" s="36">
        <f t="shared" si="5"/>
        <v>0</v>
      </c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ht="15.75" customHeight="1">
      <c r="A360" s="52"/>
      <c r="B360" s="53"/>
      <c r="C360" s="19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5" t="s">
        <v>36</v>
      </c>
      <c r="AJ360" s="55">
        <v>1.0</v>
      </c>
      <c r="AK360" s="55">
        <v>2.0</v>
      </c>
      <c r="AL360" s="55">
        <v>3.0</v>
      </c>
      <c r="AM360" s="55">
        <v>4.0</v>
      </c>
      <c r="AN360" s="55">
        <v>5.0</v>
      </c>
      <c r="AO360" s="55">
        <v>6.0</v>
      </c>
      <c r="AP360" s="55">
        <v>7.0</v>
      </c>
      <c r="AQ360" s="55">
        <v>8.0</v>
      </c>
      <c r="AR360" s="55">
        <v>9.0</v>
      </c>
      <c r="AS360" s="55">
        <v>10.0</v>
      </c>
      <c r="AT360" s="55">
        <v>11.0</v>
      </c>
      <c r="AU360" s="55">
        <v>12.0</v>
      </c>
      <c r="AV360" s="55">
        <v>13.0</v>
      </c>
      <c r="AW360" s="55" t="s">
        <v>37</v>
      </c>
      <c r="AX360" s="56"/>
    </row>
    <row r="361" ht="15.75" customHeight="1">
      <c r="A361" s="52"/>
      <c r="B361" s="53"/>
      <c r="C361" s="19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7">
        <f>SUM(AD3:AD359)</f>
        <v>167760</v>
      </c>
      <c r="AE361" s="54"/>
      <c r="AF361" s="54"/>
      <c r="AG361" s="58">
        <f>SUM(AG3:AG359)</f>
        <v>8640</v>
      </c>
      <c r="AH361" s="54"/>
      <c r="AI361" s="55" t="s">
        <v>38</v>
      </c>
      <c r="AJ361" s="56">
        <f t="shared" ref="AJ361:AV361" si="7">SUMIF($C$3:$C$359, AJ360, $AE$3:$AE$359)</f>
        <v>0</v>
      </c>
      <c r="AK361" s="56">
        <f t="shared" si="7"/>
        <v>0</v>
      </c>
      <c r="AL361" s="56">
        <f t="shared" si="7"/>
        <v>0</v>
      </c>
      <c r="AM361" s="56">
        <f t="shared" si="7"/>
        <v>720</v>
      </c>
      <c r="AN361" s="56">
        <f t="shared" si="7"/>
        <v>1080</v>
      </c>
      <c r="AO361" s="56">
        <f t="shared" si="7"/>
        <v>1350</v>
      </c>
      <c r="AP361" s="56">
        <f t="shared" si="7"/>
        <v>810</v>
      </c>
      <c r="AQ361" s="56">
        <f t="shared" si="7"/>
        <v>765</v>
      </c>
      <c r="AR361" s="56">
        <f t="shared" si="7"/>
        <v>945</v>
      </c>
      <c r="AS361" s="56">
        <f t="shared" si="7"/>
        <v>495</v>
      </c>
      <c r="AT361" s="56">
        <f t="shared" si="7"/>
        <v>0</v>
      </c>
      <c r="AU361" s="56">
        <f t="shared" si="7"/>
        <v>0</v>
      </c>
      <c r="AV361" s="56">
        <f t="shared" si="7"/>
        <v>0</v>
      </c>
      <c r="AW361" s="55">
        <f>SUM(AJ361:AV361)</f>
        <v>6165</v>
      </c>
      <c r="AX361" s="56"/>
    </row>
    <row r="362" ht="15.75" customHeight="1">
      <c r="A362" s="52"/>
      <c r="B362" s="53"/>
      <c r="C362" s="19"/>
      <c r="D362" s="54"/>
      <c r="E362" s="59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5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5"/>
      <c r="AX362" s="56"/>
    </row>
    <row r="363" ht="15.75" customHeight="1">
      <c r="A363" s="52"/>
      <c r="B363" s="53"/>
      <c r="C363" s="19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5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5"/>
      <c r="AX363" s="56"/>
    </row>
    <row r="364" ht="15.75" customHeight="1">
      <c r="A364" s="52"/>
      <c r="B364" s="53"/>
      <c r="C364" s="19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5" t="s">
        <v>39</v>
      </c>
      <c r="AJ364" s="60">
        <f t="shared" ref="AJ364:AV364" si="8">SUMIF($C$3:$C$359, AJ360, $AD$3:$AD$359)</f>
        <v>0</v>
      </c>
      <c r="AK364" s="60">
        <f t="shared" si="8"/>
        <v>0</v>
      </c>
      <c r="AL364" s="60">
        <f t="shared" si="8"/>
        <v>0</v>
      </c>
      <c r="AM364" s="60">
        <f t="shared" si="8"/>
        <v>19080</v>
      </c>
      <c r="AN364" s="60">
        <f t="shared" si="8"/>
        <v>28800</v>
      </c>
      <c r="AO364" s="60">
        <f t="shared" si="8"/>
        <v>36720</v>
      </c>
      <c r="AP364" s="60">
        <f t="shared" si="8"/>
        <v>22320</v>
      </c>
      <c r="AQ364" s="60">
        <f t="shared" si="8"/>
        <v>21240</v>
      </c>
      <c r="AR364" s="60">
        <f t="shared" si="8"/>
        <v>26280</v>
      </c>
      <c r="AS364" s="60">
        <f t="shared" si="8"/>
        <v>13320</v>
      </c>
      <c r="AT364" s="60">
        <f t="shared" si="8"/>
        <v>0</v>
      </c>
      <c r="AU364" s="60">
        <f t="shared" si="8"/>
        <v>0</v>
      </c>
      <c r="AV364" s="60">
        <f t="shared" si="8"/>
        <v>0</v>
      </c>
      <c r="AW364" s="61">
        <f>SUM(AJ364:AV364)</f>
        <v>167760</v>
      </c>
      <c r="AX364" s="56"/>
    </row>
    <row r="365" ht="15.75" customHeight="1">
      <c r="A365" s="52"/>
      <c r="B365" s="53"/>
      <c r="C365" s="19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5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1"/>
      <c r="AX365" s="56"/>
    </row>
    <row r="366" ht="15.75" customHeight="1">
      <c r="A366" s="62"/>
      <c r="B366" s="54"/>
      <c r="C366" s="19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5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1"/>
      <c r="AX366" s="56"/>
    </row>
    <row r="367" ht="15.75" customHeight="1">
      <c r="A367" s="62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5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61"/>
      <c r="AX367" s="56"/>
    </row>
    <row r="368" ht="15.75" customHeight="1">
      <c r="A368" s="62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5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61"/>
      <c r="AX368" s="56"/>
    </row>
    <row r="369" ht="15.75" customHeight="1">
      <c r="A369" s="62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63" t="s">
        <v>40</v>
      </c>
      <c r="AJ369" s="64">
        <v>0.26</v>
      </c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61"/>
      <c r="AX369" s="56"/>
    </row>
    <row r="370" ht="15.75" customHeight="1">
      <c r="A370" s="62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5"/>
      <c r="AJ370" s="60">
        <f t="shared" ref="AJ370:AV370" si="9">SUM(AJ364:AJ366)*$AJ$369</f>
        <v>0</v>
      </c>
      <c r="AK370" s="60">
        <f t="shared" si="9"/>
        <v>0</v>
      </c>
      <c r="AL370" s="60">
        <f t="shared" si="9"/>
        <v>0</v>
      </c>
      <c r="AM370" s="60">
        <f t="shared" si="9"/>
        <v>4960.8</v>
      </c>
      <c r="AN370" s="60">
        <f t="shared" si="9"/>
        <v>7488</v>
      </c>
      <c r="AO370" s="60">
        <f t="shared" si="9"/>
        <v>9547.2</v>
      </c>
      <c r="AP370" s="60">
        <f t="shared" si="9"/>
        <v>5803.2</v>
      </c>
      <c r="AQ370" s="60">
        <f t="shared" si="9"/>
        <v>5522.4</v>
      </c>
      <c r="AR370" s="60">
        <f t="shared" si="9"/>
        <v>6832.8</v>
      </c>
      <c r="AS370" s="60">
        <f t="shared" si="9"/>
        <v>3463.2</v>
      </c>
      <c r="AT370" s="60">
        <f t="shared" si="9"/>
        <v>0</v>
      </c>
      <c r="AU370" s="60">
        <f t="shared" si="9"/>
        <v>0</v>
      </c>
      <c r="AV370" s="60">
        <f t="shared" si="9"/>
        <v>0</v>
      </c>
      <c r="AW370" s="61">
        <f>SUM(AJ370:AV370)</f>
        <v>43617.6</v>
      </c>
      <c r="AX370" s="65">
        <f>AW370/AW364</f>
        <v>0.26</v>
      </c>
    </row>
    <row r="371" ht="15.75" customHeight="1">
      <c r="A371" s="62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5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61"/>
      <c r="AX371" s="56"/>
    </row>
    <row r="372" ht="15.75" customHeight="1">
      <c r="A372" s="62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63" t="s">
        <v>41</v>
      </c>
      <c r="AJ372" s="64">
        <v>0.0</v>
      </c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61"/>
      <c r="AX372" s="56"/>
    </row>
    <row r="373" ht="15.75" customHeight="1">
      <c r="A373" s="62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5"/>
      <c r="AJ373" s="60">
        <f t="shared" ref="AJ373:AV373" si="10">$BB$372*SUM(AJ364:AJ366)</f>
        <v>0</v>
      </c>
      <c r="AK373" s="60">
        <f t="shared" si="10"/>
        <v>0</v>
      </c>
      <c r="AL373" s="60">
        <f t="shared" si="10"/>
        <v>0</v>
      </c>
      <c r="AM373" s="60">
        <f t="shared" si="10"/>
        <v>0</v>
      </c>
      <c r="AN373" s="60">
        <f t="shared" si="10"/>
        <v>0</v>
      </c>
      <c r="AO373" s="60">
        <f t="shared" si="10"/>
        <v>0</v>
      </c>
      <c r="AP373" s="60">
        <f t="shared" si="10"/>
        <v>0</v>
      </c>
      <c r="AQ373" s="60">
        <f t="shared" si="10"/>
        <v>0</v>
      </c>
      <c r="AR373" s="60">
        <f t="shared" si="10"/>
        <v>0</v>
      </c>
      <c r="AS373" s="60">
        <f t="shared" si="10"/>
        <v>0</v>
      </c>
      <c r="AT373" s="60">
        <f t="shared" si="10"/>
        <v>0</v>
      </c>
      <c r="AU373" s="60">
        <f t="shared" si="10"/>
        <v>0</v>
      </c>
      <c r="AV373" s="60">
        <f t="shared" si="10"/>
        <v>0</v>
      </c>
      <c r="AW373" s="61">
        <f>SUM(AJ373:AV373)</f>
        <v>0</v>
      </c>
      <c r="AX373" s="56"/>
    </row>
    <row r="374" ht="15.75" customHeight="1">
      <c r="A374" s="62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5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1"/>
      <c r="AX374" s="56"/>
    </row>
    <row r="375" ht="15.75" customHeight="1">
      <c r="A375" s="62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5" t="s">
        <v>42</v>
      </c>
      <c r="AJ375" s="60">
        <f>SUM(AJ376:AJ378)</f>
        <v>42000</v>
      </c>
      <c r="AK375" s="66" t="s">
        <v>43</v>
      </c>
      <c r="AL375" s="67">
        <f>SUM(AJ376:AJ378)/SUM(AM376:AM378)-1</f>
        <v>0.05</v>
      </c>
      <c r="AM375" s="68" t="s">
        <v>44</v>
      </c>
      <c r="AN375" s="56"/>
      <c r="AO375" s="56"/>
      <c r="AP375" s="56"/>
      <c r="AQ375" s="56"/>
      <c r="AR375" s="56"/>
      <c r="AS375" s="56"/>
      <c r="AT375" s="56"/>
      <c r="AU375" s="56"/>
      <c r="AV375" s="56"/>
      <c r="AW375" s="61"/>
      <c r="AX375" s="56"/>
    </row>
    <row r="376" ht="15.75" customHeight="1">
      <c r="A376" s="62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5" t="s">
        <v>45</v>
      </c>
      <c r="AJ376" s="60">
        <v>42000.0</v>
      </c>
      <c r="AK376" s="56"/>
      <c r="AL376" s="56"/>
      <c r="AM376" s="60">
        <v>40000.0</v>
      </c>
      <c r="AN376" s="56"/>
      <c r="AO376" s="56"/>
      <c r="AP376" s="56"/>
      <c r="AQ376" s="56"/>
      <c r="AR376" s="56"/>
      <c r="AS376" s="56"/>
      <c r="AT376" s="56"/>
      <c r="AU376" s="56"/>
      <c r="AV376" s="56"/>
      <c r="AW376" s="61"/>
      <c r="AX376" s="56"/>
    </row>
    <row r="377" ht="15.75" customHeight="1">
      <c r="A377" s="62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5" t="s">
        <v>46</v>
      </c>
      <c r="AJ377" s="60">
        <v>0.0</v>
      </c>
      <c r="AK377" s="56"/>
      <c r="AL377" s="56"/>
      <c r="AM377" s="60">
        <v>0.0</v>
      </c>
      <c r="AN377" s="56"/>
      <c r="AO377" s="56"/>
      <c r="AP377" s="56"/>
      <c r="AQ377" s="56"/>
      <c r="AR377" s="56"/>
      <c r="AS377" s="56"/>
      <c r="AT377" s="56"/>
      <c r="AU377" s="56"/>
      <c r="AV377" s="56"/>
      <c r="AW377" s="61"/>
      <c r="AX377" s="56"/>
    </row>
    <row r="378" ht="15.75" customHeight="1">
      <c r="A378" s="62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5" t="s">
        <v>47</v>
      </c>
      <c r="AJ378" s="60">
        <v>0.0</v>
      </c>
      <c r="AK378" s="56"/>
      <c r="AL378" s="56"/>
      <c r="AM378" s="60">
        <v>0.0</v>
      </c>
      <c r="AN378" s="56"/>
      <c r="AO378" s="56"/>
      <c r="AP378" s="56"/>
      <c r="AQ378" s="56"/>
      <c r="AR378" s="56"/>
      <c r="AS378" s="56"/>
      <c r="AT378" s="56"/>
      <c r="AU378" s="56"/>
      <c r="AV378" s="56"/>
      <c r="AW378" s="61"/>
      <c r="AX378" s="56"/>
    </row>
    <row r="379" ht="15.75" customHeight="1">
      <c r="A379" s="62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5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61"/>
      <c r="AX379" s="56"/>
    </row>
    <row r="380" ht="15.75" customHeight="1">
      <c r="A380" s="62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69" t="s">
        <v>48</v>
      </c>
      <c r="AJ380" s="70">
        <v>0.025</v>
      </c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61"/>
      <c r="AX380" s="56"/>
    </row>
    <row r="381" ht="15.75" customHeight="1">
      <c r="A381" s="62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69"/>
      <c r="AJ381" s="60">
        <f t="shared" ref="AJ381:AV381" si="11">$AJ$380 * AJ364</f>
        <v>0</v>
      </c>
      <c r="AK381" s="60">
        <f t="shared" si="11"/>
        <v>0</v>
      </c>
      <c r="AL381" s="60">
        <f t="shared" si="11"/>
        <v>0</v>
      </c>
      <c r="AM381" s="60">
        <f t="shared" si="11"/>
        <v>477</v>
      </c>
      <c r="AN381" s="60">
        <f t="shared" si="11"/>
        <v>720</v>
      </c>
      <c r="AO381" s="60">
        <f t="shared" si="11"/>
        <v>918</v>
      </c>
      <c r="AP381" s="60">
        <f t="shared" si="11"/>
        <v>558</v>
      </c>
      <c r="AQ381" s="60">
        <f t="shared" si="11"/>
        <v>531</v>
      </c>
      <c r="AR381" s="60">
        <f t="shared" si="11"/>
        <v>657</v>
      </c>
      <c r="AS381" s="60">
        <f t="shared" si="11"/>
        <v>333</v>
      </c>
      <c r="AT381" s="60">
        <f t="shared" si="11"/>
        <v>0</v>
      </c>
      <c r="AU381" s="60">
        <f t="shared" si="11"/>
        <v>0</v>
      </c>
      <c r="AV381" s="60">
        <f t="shared" si="11"/>
        <v>0</v>
      </c>
      <c r="AW381" s="61">
        <f>SUM(AJ381:AV381)</f>
        <v>4194</v>
      </c>
      <c r="AX381" s="56"/>
    </row>
    <row r="382" ht="15.75" customHeight="1">
      <c r="A382" s="62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5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5"/>
      <c r="AX382" s="56"/>
    </row>
    <row r="383" ht="15.75" customHeight="1">
      <c r="A383" s="62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69" t="s">
        <v>49</v>
      </c>
      <c r="AJ383" s="70">
        <v>0.015</v>
      </c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61"/>
      <c r="AX383" s="56"/>
    </row>
    <row r="384" ht="15.75" customHeight="1">
      <c r="A384" s="62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5"/>
      <c r="AJ384" s="60">
        <f t="shared" ref="AJ384:AV384" si="12">$AJ$383 * AJ364</f>
        <v>0</v>
      </c>
      <c r="AK384" s="60">
        <f t="shared" si="12"/>
        <v>0</v>
      </c>
      <c r="AL384" s="60">
        <f t="shared" si="12"/>
        <v>0</v>
      </c>
      <c r="AM384" s="60">
        <f t="shared" si="12"/>
        <v>286.2</v>
      </c>
      <c r="AN384" s="60">
        <f t="shared" si="12"/>
        <v>432</v>
      </c>
      <c r="AO384" s="60">
        <f t="shared" si="12"/>
        <v>550.8</v>
      </c>
      <c r="AP384" s="60">
        <f t="shared" si="12"/>
        <v>334.8</v>
      </c>
      <c r="AQ384" s="60">
        <f t="shared" si="12"/>
        <v>318.6</v>
      </c>
      <c r="AR384" s="60">
        <f t="shared" si="12"/>
        <v>394.2</v>
      </c>
      <c r="AS384" s="60">
        <f t="shared" si="12"/>
        <v>199.8</v>
      </c>
      <c r="AT384" s="60">
        <f t="shared" si="12"/>
        <v>0</v>
      </c>
      <c r="AU384" s="60">
        <f t="shared" si="12"/>
        <v>0</v>
      </c>
      <c r="AV384" s="60">
        <f t="shared" si="12"/>
        <v>0</v>
      </c>
      <c r="AW384" s="61">
        <f>SUM(AJ384:AV384)</f>
        <v>2516.4</v>
      </c>
      <c r="AX384" s="56"/>
    </row>
    <row r="385" ht="15.75" customHeight="1">
      <c r="A385" s="62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5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5"/>
      <c r="AX385" s="56"/>
    </row>
    <row r="386" ht="15.75" customHeight="1">
      <c r="A386" s="62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5" t="s">
        <v>50</v>
      </c>
      <c r="AJ386" s="60">
        <v>0.0</v>
      </c>
      <c r="AK386" s="60">
        <v>0.0</v>
      </c>
      <c r="AL386" s="60">
        <v>0.0</v>
      </c>
      <c r="AM386" s="60">
        <v>500.0</v>
      </c>
      <c r="AN386" s="60">
        <v>20.0</v>
      </c>
      <c r="AO386" s="60">
        <v>20.0</v>
      </c>
      <c r="AP386" s="60">
        <v>20.0</v>
      </c>
      <c r="AQ386" s="60">
        <v>20.0</v>
      </c>
      <c r="AR386" s="60">
        <v>20.0</v>
      </c>
      <c r="AS386" s="60">
        <v>20.0</v>
      </c>
      <c r="AT386" s="60">
        <v>0.0</v>
      </c>
      <c r="AU386" s="60">
        <v>0.0</v>
      </c>
      <c r="AV386" s="60">
        <v>0.0</v>
      </c>
      <c r="AW386" s="61">
        <f>SUM(AJ386:AV386)</f>
        <v>620</v>
      </c>
      <c r="AX386" s="56"/>
    </row>
    <row r="387" ht="15.75" customHeight="1">
      <c r="A387" s="62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61"/>
      <c r="AX387" s="56"/>
    </row>
    <row r="388" ht="15.75" customHeight="1">
      <c r="A388" s="62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71" t="s">
        <v>51</v>
      </c>
      <c r="AJ388" s="72"/>
      <c r="AK388" s="72"/>
      <c r="AL388" s="73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61"/>
      <c r="AX388" s="56"/>
    </row>
    <row r="389" ht="15.75" customHeight="1">
      <c r="A389" s="62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74" t="s">
        <v>52</v>
      </c>
      <c r="AJ389" s="56"/>
      <c r="AK389" s="56"/>
      <c r="AL389" s="75">
        <v>1000.0</v>
      </c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61"/>
      <c r="AX389" s="56"/>
    </row>
    <row r="390" ht="15.75" customHeight="1">
      <c r="A390" s="62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76" t="s">
        <v>53</v>
      </c>
      <c r="AJ390" s="56"/>
      <c r="AK390" s="56"/>
      <c r="AL390" s="75">
        <v>5000.0</v>
      </c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61"/>
      <c r="AX390" s="56"/>
    </row>
    <row r="391" ht="15.75" customHeight="1">
      <c r="A391" s="62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77" t="s">
        <v>54</v>
      </c>
      <c r="AJ391" s="56"/>
      <c r="AK391" s="56"/>
      <c r="AL391" s="78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61"/>
      <c r="AX391" s="56"/>
    </row>
    <row r="392" ht="15.75" customHeight="1">
      <c r="A392" s="62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74"/>
      <c r="AJ392" s="56"/>
      <c r="AK392" s="56"/>
      <c r="AL392" s="79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61"/>
      <c r="AX392" s="56"/>
    </row>
    <row r="393" ht="15.75" customHeight="1">
      <c r="A393" s="62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71" t="s">
        <v>55</v>
      </c>
      <c r="AJ393" s="56"/>
      <c r="AK393" s="56"/>
      <c r="AL393" s="79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61"/>
      <c r="AX393" s="56"/>
    </row>
    <row r="394" ht="15.75" customHeight="1">
      <c r="A394" s="62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74" t="s">
        <v>56</v>
      </c>
      <c r="AJ394" s="56"/>
      <c r="AK394" s="56"/>
      <c r="AL394" s="75"/>
      <c r="AM394" s="56"/>
      <c r="AN394" s="56" t="s">
        <v>57</v>
      </c>
      <c r="AO394" s="70">
        <v>0.05</v>
      </c>
      <c r="AP394" s="56"/>
      <c r="AQ394" s="56"/>
      <c r="AR394" s="56"/>
      <c r="AS394" s="56"/>
      <c r="AT394" s="56"/>
      <c r="AU394" s="56"/>
      <c r="AV394" s="56"/>
      <c r="AW394" s="61"/>
      <c r="AX394" s="56"/>
    </row>
    <row r="395" ht="15.75" customHeight="1">
      <c r="A395" s="62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76" t="s">
        <v>58</v>
      </c>
      <c r="AJ395" s="56"/>
      <c r="AK395" s="56"/>
      <c r="AL395" s="75"/>
      <c r="AM395" s="56"/>
      <c r="AN395" s="56" t="s">
        <v>59</v>
      </c>
      <c r="AO395" s="70">
        <v>0.072</v>
      </c>
      <c r="AP395" s="56"/>
      <c r="AQ395" s="56"/>
      <c r="AR395" s="56"/>
      <c r="AS395" s="56"/>
      <c r="AT395" s="56"/>
      <c r="AU395" s="56"/>
      <c r="AV395" s="56"/>
      <c r="AW395" s="55"/>
      <c r="AX395" s="56"/>
    </row>
    <row r="396" ht="15.75" customHeight="1">
      <c r="A396" s="62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77" t="s">
        <v>60</v>
      </c>
      <c r="AJ396" s="56"/>
      <c r="AK396" s="56"/>
      <c r="AL396" s="78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5"/>
      <c r="AX396" s="56"/>
    </row>
    <row r="397" ht="15.75" customHeight="1">
      <c r="A397" s="62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74"/>
      <c r="AJ397" s="56"/>
      <c r="AK397" s="56"/>
      <c r="AL397" s="79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5"/>
      <c r="AX397" s="56"/>
    </row>
    <row r="398" ht="15.75" customHeight="1">
      <c r="A398" s="62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71" t="s">
        <v>61</v>
      </c>
      <c r="AJ398" s="56"/>
      <c r="AK398" s="56"/>
      <c r="AL398" s="79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5"/>
      <c r="AX398" s="56"/>
    </row>
    <row r="399" ht="15.75" customHeight="1">
      <c r="A399" s="62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74" t="s">
        <v>62</v>
      </c>
      <c r="AJ399" s="56"/>
      <c r="AK399" s="56"/>
      <c r="AL399" s="75">
        <v>12000.0</v>
      </c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5"/>
      <c r="AX399" s="56"/>
    </row>
    <row r="400" ht="15.75" customHeight="1">
      <c r="A400" s="62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76" t="s">
        <v>63</v>
      </c>
      <c r="AJ400" s="56"/>
      <c r="AK400" s="56"/>
      <c r="AL400" s="75">
        <v>0.0</v>
      </c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5"/>
      <c r="AX400" s="56"/>
    </row>
    <row r="401" ht="15.75" customHeight="1">
      <c r="A401" s="62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77" t="s">
        <v>64</v>
      </c>
      <c r="AJ401" s="56"/>
      <c r="AK401" s="56"/>
      <c r="AL401" s="78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5"/>
      <c r="AX401" s="56"/>
    </row>
    <row r="402" ht="15.75" customHeight="1">
      <c r="A402" s="62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74"/>
      <c r="AJ402" s="56"/>
      <c r="AK402" s="56"/>
      <c r="AL402" s="79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5"/>
      <c r="AX402" s="56"/>
    </row>
    <row r="403" ht="15.75" customHeight="1">
      <c r="A403" s="62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71" t="s">
        <v>65</v>
      </c>
      <c r="AJ403" s="56"/>
      <c r="AK403" s="56"/>
      <c r="AL403" s="80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5"/>
      <c r="AX403" s="56"/>
    </row>
    <row r="404" ht="15.75" customHeight="1">
      <c r="A404" s="62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74" t="s">
        <v>66</v>
      </c>
      <c r="AJ404" s="56"/>
      <c r="AK404" s="56"/>
      <c r="AL404" s="75">
        <f>60*7</f>
        <v>420</v>
      </c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5"/>
      <c r="AX404" s="56"/>
    </row>
    <row r="405" ht="15.75" customHeight="1">
      <c r="A405" s="62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74" t="s">
        <v>67</v>
      </c>
      <c r="AJ405" s="56"/>
      <c r="AK405" s="56"/>
      <c r="AL405" s="75">
        <v>0.0</v>
      </c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5"/>
      <c r="AX405" s="56"/>
    </row>
    <row r="406" ht="15.75" customHeight="1">
      <c r="A406" s="62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76" t="s">
        <v>68</v>
      </c>
      <c r="AJ406" s="56"/>
      <c r="AK406" s="56"/>
      <c r="AL406" s="75">
        <v>0.0</v>
      </c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5"/>
      <c r="AX406" s="56"/>
    </row>
    <row r="407" ht="15.75" customHeight="1">
      <c r="A407" s="62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77" t="s">
        <v>69</v>
      </c>
      <c r="AJ407" s="56"/>
      <c r="AK407" s="56"/>
      <c r="AL407" s="78">
        <v>0.0</v>
      </c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5"/>
      <c r="AX407" s="56"/>
    </row>
    <row r="408" ht="15.75" customHeight="1">
      <c r="A408" s="62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74"/>
      <c r="AJ408" s="56"/>
      <c r="AK408" s="56"/>
      <c r="AL408" s="79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5"/>
      <c r="AX408" s="56"/>
    </row>
    <row r="409" ht="15.75" customHeight="1">
      <c r="A409" s="62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71" t="s">
        <v>70</v>
      </c>
      <c r="AJ409" s="56"/>
      <c r="AK409" s="56"/>
      <c r="AL409" s="75">
        <v>0.0</v>
      </c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5"/>
      <c r="AX409" s="56"/>
    </row>
    <row r="410" ht="15.75" customHeight="1">
      <c r="A410" s="62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74" t="s">
        <v>71</v>
      </c>
      <c r="AJ410" s="56"/>
      <c r="AK410" s="56"/>
      <c r="AL410" s="75">
        <v>2600.0</v>
      </c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5"/>
      <c r="AX410" s="56"/>
    </row>
    <row r="411" ht="15.75" customHeight="1">
      <c r="A411" s="62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76" t="s">
        <v>72</v>
      </c>
      <c r="AJ411" s="56"/>
      <c r="AK411" s="56"/>
      <c r="AL411" s="75">
        <v>7500.0</v>
      </c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5"/>
      <c r="AX411" s="56"/>
    </row>
    <row r="412" ht="15.75" customHeight="1">
      <c r="A412" s="62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77" t="s">
        <v>73</v>
      </c>
      <c r="AJ412" s="56"/>
      <c r="AK412" s="56"/>
      <c r="AL412" s="75">
        <v>0.0</v>
      </c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5"/>
      <c r="AX412" s="56"/>
    </row>
    <row r="413" ht="15.75" customHeight="1">
      <c r="A413" s="62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74"/>
      <c r="AJ413" s="56"/>
      <c r="AK413" s="56"/>
      <c r="AL413" s="78">
        <v>0.0</v>
      </c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5"/>
      <c r="AX413" s="56"/>
    </row>
    <row r="414" ht="15.75" customHeight="1">
      <c r="A414" s="62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71" t="s">
        <v>74</v>
      </c>
      <c r="AJ414" s="56"/>
      <c r="AK414" s="56"/>
      <c r="AL414" s="79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5"/>
      <c r="AX414" s="56"/>
    </row>
    <row r="415" ht="15.75" customHeight="1">
      <c r="A415" s="62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74" t="s">
        <v>75</v>
      </c>
      <c r="AJ415" s="56"/>
      <c r="AK415" s="56"/>
      <c r="AL415" s="75">
        <v>0.0</v>
      </c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5"/>
      <c r="AX415" s="56"/>
    </row>
    <row r="416" ht="15.75" customHeight="1">
      <c r="A416" s="62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76" t="s">
        <v>76</v>
      </c>
      <c r="AJ416" s="56"/>
      <c r="AK416" s="56"/>
      <c r="AL416" s="75">
        <v>500.0</v>
      </c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5"/>
      <c r="AX416" s="56"/>
    </row>
    <row r="417" ht="15.75" customHeight="1">
      <c r="A417" s="62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77" t="s">
        <v>77</v>
      </c>
      <c r="AJ417" s="56"/>
      <c r="AK417" s="56"/>
      <c r="AL417" s="78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5"/>
      <c r="AX417" s="56"/>
    </row>
    <row r="418" ht="15.75" customHeight="1">
      <c r="A418" s="62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74"/>
      <c r="AJ418" s="56"/>
      <c r="AK418" s="56"/>
      <c r="AL418" s="80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5"/>
      <c r="AX418" s="56"/>
    </row>
    <row r="419" ht="15.75" customHeight="1">
      <c r="A419" s="62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71" t="s">
        <v>78</v>
      </c>
      <c r="AJ419" s="56"/>
      <c r="AK419" s="56"/>
      <c r="AL419" s="75">
        <v>0.0</v>
      </c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5"/>
      <c r="AX419" s="56"/>
    </row>
    <row r="420" ht="15.75" customHeight="1">
      <c r="A420" s="62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74" t="s">
        <v>79</v>
      </c>
      <c r="AJ420" s="56"/>
      <c r="AK420" s="56"/>
      <c r="AL420" s="75">
        <v>350.0</v>
      </c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5"/>
      <c r="AX420" s="56"/>
    </row>
    <row r="421" ht="15.75" customHeight="1">
      <c r="A421" s="62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74" t="s">
        <v>80</v>
      </c>
      <c r="AJ421" s="56"/>
      <c r="AK421" s="56"/>
      <c r="AL421" s="75">
        <v>350.0</v>
      </c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5"/>
      <c r="AX421" s="56"/>
    </row>
    <row r="422" ht="15.75" customHeight="1">
      <c r="A422" s="62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76" t="s">
        <v>81</v>
      </c>
      <c r="AJ422" s="56"/>
      <c r="AK422" s="56"/>
      <c r="AL422" s="75">
        <v>0.0</v>
      </c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5"/>
      <c r="AX422" s="56"/>
    </row>
    <row r="423" ht="15.75" customHeight="1">
      <c r="A423" s="62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77" t="s">
        <v>82</v>
      </c>
      <c r="AJ423" s="56"/>
      <c r="AK423" s="56"/>
      <c r="AL423" s="75">
        <v>0.0</v>
      </c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5"/>
      <c r="AX423" s="56"/>
    </row>
    <row r="424" ht="15.75" customHeight="1">
      <c r="A424" s="62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74"/>
      <c r="AJ424" s="56"/>
      <c r="AK424" s="56"/>
      <c r="AL424" s="75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5"/>
      <c r="AX424" s="56"/>
    </row>
    <row r="425" ht="15.75" customHeight="1">
      <c r="A425" s="62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81" t="s">
        <v>83</v>
      </c>
      <c r="AJ425" s="56"/>
      <c r="AK425" s="56"/>
      <c r="AL425" s="78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5"/>
      <c r="AX425" s="56"/>
    </row>
    <row r="426" ht="15.75" customHeight="1">
      <c r="A426" s="62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82"/>
      <c r="AJ426" s="56"/>
      <c r="AK426" s="56"/>
      <c r="AL426" s="79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5"/>
      <c r="AX426" s="56"/>
    </row>
    <row r="427" ht="15.75" customHeight="1">
      <c r="A427" s="62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83"/>
      <c r="AJ427" s="56"/>
      <c r="AK427" s="56"/>
      <c r="AL427" s="78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5"/>
      <c r="AX427" s="56"/>
    </row>
    <row r="428" ht="15.75" customHeight="1">
      <c r="A428" s="62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84"/>
      <c r="AJ428" s="56"/>
      <c r="AK428" s="56"/>
      <c r="AL428" s="80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5"/>
      <c r="AX428" s="56"/>
    </row>
    <row r="429" ht="15.75" customHeight="1">
      <c r="A429" s="62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85"/>
      <c r="AJ429" s="86"/>
      <c r="AK429" s="86"/>
      <c r="AL429" s="87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5"/>
      <c r="AX429" s="56"/>
    </row>
    <row r="430" ht="15.75" customHeight="1">
      <c r="A430" s="62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ht="15.75" customHeight="1">
      <c r="A431" s="62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ht="15.75" customHeight="1">
      <c r="A432" s="62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ht="15.75" customHeight="1">
      <c r="A433" s="62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ht="15.75" customHeight="1">
      <c r="A434" s="62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ht="15.75" customHeight="1">
      <c r="A435" s="62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ht="15.75" customHeight="1">
      <c r="A436" s="62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ht="15.75" customHeight="1">
      <c r="A437" s="62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ht="15.75" customHeight="1">
      <c r="A438" s="62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ht="15.75" customHeight="1">
      <c r="A439" s="62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ht="15.75" customHeight="1">
      <c r="A440" s="62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ht="15.75" customHeight="1">
      <c r="A441" s="62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ht="15.75" customHeight="1">
      <c r="A442" s="62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ht="15.75" customHeight="1">
      <c r="A443" s="62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ht="15.75" customHeight="1">
      <c r="A444" s="62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ht="15.75" customHeight="1">
      <c r="A445" s="62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ht="15.75" customHeight="1">
      <c r="A446" s="62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ht="15.75" customHeight="1">
      <c r="A447" s="62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ht="15.75" customHeight="1">
      <c r="A448" s="62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ht="15.75" customHeight="1">
      <c r="A449" s="62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ht="15.75" customHeight="1">
      <c r="A450" s="62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ht="15.75" customHeight="1">
      <c r="A451" s="62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ht="15.75" customHeight="1">
      <c r="A452" s="62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ht="15.75" customHeight="1">
      <c r="A453" s="62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ht="15.75" customHeight="1">
      <c r="A454" s="62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ht="15.75" customHeight="1">
      <c r="A455" s="62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ht="15.75" customHeight="1">
      <c r="A456" s="62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ht="15.75" customHeight="1">
      <c r="A457" s="62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ht="15.75" customHeight="1">
      <c r="A458" s="62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ht="15.75" customHeight="1">
      <c r="A459" s="62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ht="15.75" customHeight="1">
      <c r="A460" s="62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ht="15.75" customHeight="1">
      <c r="A461" s="62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ht="15.75" customHeight="1">
      <c r="A462" s="62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ht="15.75" customHeight="1">
      <c r="A463" s="62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ht="15.75" customHeight="1">
      <c r="A464" s="62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ht="15.75" customHeight="1">
      <c r="A465" s="62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ht="15.75" customHeight="1">
      <c r="A466" s="62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ht="15.75" customHeight="1">
      <c r="A467" s="62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ht="15.75" customHeight="1">
      <c r="A468" s="62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ht="15.75" customHeight="1">
      <c r="A469" s="62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ht="15.75" customHeight="1">
      <c r="A470" s="62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ht="15.75" customHeight="1">
      <c r="A471" s="62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ht="15.75" customHeight="1">
      <c r="A472" s="62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ht="15.75" customHeight="1">
      <c r="A473" s="62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ht="15.75" customHeight="1">
      <c r="A474" s="62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ht="15.75" customHeight="1">
      <c r="A475" s="62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ht="15.75" customHeight="1">
      <c r="A476" s="62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ht="15.75" customHeight="1">
      <c r="A477" s="62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ht="15.75" customHeight="1">
      <c r="A478" s="62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ht="15.75" customHeight="1">
      <c r="A479" s="62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ht="15.75" customHeight="1">
      <c r="A480" s="62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ht="15.75" customHeight="1">
      <c r="A481" s="62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ht="15.75" customHeight="1">
      <c r="A482" s="62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ht="15.75" customHeight="1">
      <c r="A483" s="62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ht="15.75" customHeight="1">
      <c r="A484" s="62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ht="15.75" customHeight="1">
      <c r="A485" s="62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ht="15.75" customHeight="1">
      <c r="A486" s="62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ht="15.75" customHeight="1">
      <c r="A487" s="62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ht="15.75" customHeight="1">
      <c r="A488" s="62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ht="15.75" customHeight="1">
      <c r="A489" s="62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ht="15.75" customHeight="1">
      <c r="A490" s="62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ht="15.75" customHeight="1">
      <c r="A491" s="62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ht="15.75" customHeight="1">
      <c r="A492" s="62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ht="15.75" customHeight="1">
      <c r="A493" s="62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ht="15.75" customHeight="1">
      <c r="A494" s="62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ht="15.75" customHeight="1">
      <c r="A495" s="62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ht="15.75" customHeight="1">
      <c r="A496" s="62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ht="15.75" customHeight="1">
      <c r="A497" s="62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ht="15.75" customHeight="1">
      <c r="A498" s="62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ht="15.75" customHeight="1">
      <c r="A499" s="62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ht="15.75" customHeight="1">
      <c r="A500" s="62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  <row r="501" ht="15.75" customHeight="1">
      <c r="A501" s="62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</row>
    <row r="502" ht="15.75" customHeight="1">
      <c r="A502" s="62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</row>
    <row r="503" ht="15.75" customHeight="1">
      <c r="A503" s="62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</row>
    <row r="504" ht="15.75" customHeight="1">
      <c r="A504" s="62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</row>
    <row r="505" ht="15.75" customHeight="1">
      <c r="A505" s="62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</row>
    <row r="506" ht="15.75" customHeight="1">
      <c r="A506" s="62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</row>
    <row r="507" ht="15.75" customHeight="1">
      <c r="A507" s="62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</row>
    <row r="508" ht="15.75" customHeight="1">
      <c r="A508" s="62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</row>
    <row r="509" ht="15.75" customHeight="1">
      <c r="A509" s="62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</row>
    <row r="510" ht="15.75" customHeight="1">
      <c r="A510" s="62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</row>
    <row r="511" ht="15.75" customHeight="1">
      <c r="A511" s="62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</row>
    <row r="512" ht="15.75" customHeight="1">
      <c r="A512" s="62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</row>
    <row r="513" ht="15.75" customHeight="1">
      <c r="A513" s="62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</row>
    <row r="514" ht="15.75" customHeight="1">
      <c r="A514" s="62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</row>
    <row r="515" ht="15.75" customHeight="1">
      <c r="A515" s="62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</row>
    <row r="516" ht="15.75" customHeight="1">
      <c r="A516" s="62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</row>
    <row r="517" ht="15.75" customHeight="1">
      <c r="A517" s="62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</row>
    <row r="518" ht="15.75" customHeight="1">
      <c r="A518" s="62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</row>
    <row r="519" ht="15.75" customHeight="1">
      <c r="A519" s="62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</row>
    <row r="520" ht="15.75" customHeight="1">
      <c r="A520" s="62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</row>
    <row r="521" ht="15.75" customHeight="1">
      <c r="A521" s="62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</row>
    <row r="522" ht="15.75" customHeight="1">
      <c r="A522" s="62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</row>
    <row r="523" ht="15.75" customHeight="1">
      <c r="A523" s="62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</row>
    <row r="524" ht="15.75" customHeight="1">
      <c r="A524" s="62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</row>
    <row r="525" ht="15.75" customHeight="1">
      <c r="A525" s="62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</row>
    <row r="526" ht="15.75" customHeight="1">
      <c r="A526" s="62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</row>
    <row r="527" ht="15.75" customHeight="1">
      <c r="A527" s="62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</row>
    <row r="528" ht="15.75" customHeight="1">
      <c r="A528" s="62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</row>
    <row r="529" ht="15.75" customHeight="1">
      <c r="A529" s="62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</row>
    <row r="530" ht="15.75" customHeight="1">
      <c r="A530" s="62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</row>
    <row r="531" ht="15.75" customHeight="1">
      <c r="A531" s="62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</row>
    <row r="532" ht="15.75" customHeight="1">
      <c r="A532" s="62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</row>
    <row r="533" ht="15.75" customHeight="1">
      <c r="A533" s="62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</row>
    <row r="534" ht="15.75" customHeight="1">
      <c r="A534" s="62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</row>
    <row r="535" ht="15.75" customHeight="1">
      <c r="A535" s="62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</row>
    <row r="536" ht="15.75" customHeight="1">
      <c r="A536" s="62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</row>
    <row r="537" ht="15.75" customHeight="1">
      <c r="A537" s="62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</row>
    <row r="538" ht="15.75" customHeight="1">
      <c r="A538" s="62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</row>
    <row r="539" ht="15.75" customHeight="1">
      <c r="A539" s="62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</row>
    <row r="540" ht="15.75" customHeight="1">
      <c r="A540" s="62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</row>
    <row r="541" ht="15.75" customHeight="1">
      <c r="A541" s="62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</row>
    <row r="542" ht="15.75" customHeight="1">
      <c r="A542" s="62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</row>
    <row r="543" ht="15.75" customHeight="1">
      <c r="A543" s="62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</row>
    <row r="544" ht="15.75" customHeight="1">
      <c r="A544" s="62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</row>
    <row r="545" ht="15.75" customHeight="1">
      <c r="A545" s="62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</row>
    <row r="546" ht="15.75" customHeight="1">
      <c r="A546" s="62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</row>
    <row r="547" ht="15.75" customHeight="1">
      <c r="A547" s="62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</row>
    <row r="548" ht="15.75" customHeight="1">
      <c r="A548" s="62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</row>
    <row r="549" ht="15.75" customHeight="1">
      <c r="A549" s="62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</row>
    <row r="550" ht="15.75" customHeight="1">
      <c r="A550" s="62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</row>
    <row r="551" ht="15.75" customHeight="1">
      <c r="A551" s="62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</row>
    <row r="552" ht="15.75" customHeight="1">
      <c r="A552" s="62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</row>
    <row r="553" ht="15.75" customHeight="1">
      <c r="A553" s="62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</row>
    <row r="554" ht="15.75" customHeight="1">
      <c r="A554" s="62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</row>
    <row r="555" ht="15.75" customHeight="1">
      <c r="A555" s="62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</row>
    <row r="556" ht="15.75" customHeight="1">
      <c r="A556" s="62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</row>
    <row r="557" ht="15.75" customHeight="1">
      <c r="A557" s="62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</row>
    <row r="558" ht="15.75" customHeight="1">
      <c r="A558" s="62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</row>
    <row r="559" ht="15.75" customHeight="1">
      <c r="A559" s="62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</row>
    <row r="560" ht="15.75" customHeight="1">
      <c r="A560" s="62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</row>
    <row r="561" ht="15.75" customHeight="1">
      <c r="A561" s="62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</row>
    <row r="562" ht="15.75" customHeight="1">
      <c r="A562" s="62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</row>
    <row r="563" ht="15.75" customHeight="1">
      <c r="A563" s="62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</row>
    <row r="564" ht="15.75" customHeight="1">
      <c r="A564" s="62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</row>
    <row r="565" ht="15.75" customHeight="1">
      <c r="A565" s="62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</row>
    <row r="566" ht="15.75" customHeight="1">
      <c r="A566" s="62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</row>
    <row r="567" ht="15.75" customHeight="1">
      <c r="A567" s="62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</row>
    <row r="568" ht="15.75" customHeight="1">
      <c r="A568" s="62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</row>
    <row r="569" ht="15.75" customHeight="1">
      <c r="A569" s="62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</row>
    <row r="570" ht="15.75" customHeight="1">
      <c r="A570" s="62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</row>
    <row r="571" ht="15.75" customHeight="1">
      <c r="A571" s="62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</row>
    <row r="572" ht="15.75" customHeight="1">
      <c r="A572" s="62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</row>
    <row r="573" ht="15.75" customHeight="1">
      <c r="A573" s="62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</row>
    <row r="574" ht="15.75" customHeight="1">
      <c r="A574" s="62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</row>
    <row r="575" ht="15.75" customHeight="1">
      <c r="A575" s="62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</row>
    <row r="576" ht="15.75" customHeight="1">
      <c r="A576" s="62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</row>
    <row r="577" ht="15.75" customHeight="1">
      <c r="A577" s="62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</row>
    <row r="578" ht="15.75" customHeight="1">
      <c r="A578" s="62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</row>
    <row r="579" ht="15.75" customHeight="1">
      <c r="A579" s="62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</row>
    <row r="580" ht="15.75" customHeight="1">
      <c r="A580" s="62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</row>
    <row r="581" ht="15.75" customHeight="1">
      <c r="A581" s="62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</row>
    <row r="582" ht="15.75" customHeight="1">
      <c r="A582" s="62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</row>
    <row r="583" ht="15.75" customHeight="1">
      <c r="A583" s="62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</row>
    <row r="584" ht="15.75" customHeight="1">
      <c r="A584" s="62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</row>
    <row r="585" ht="15.75" customHeight="1">
      <c r="A585" s="62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</row>
    <row r="586" ht="15.75" customHeight="1">
      <c r="A586" s="62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</row>
    <row r="587" ht="15.75" customHeight="1">
      <c r="A587" s="62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</row>
    <row r="588" ht="15.75" customHeight="1">
      <c r="A588" s="62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</row>
    <row r="589" ht="15.75" customHeight="1">
      <c r="A589" s="62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</row>
    <row r="590" ht="15.75" customHeight="1">
      <c r="A590" s="62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</row>
    <row r="591" ht="15.75" customHeight="1">
      <c r="A591" s="62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</row>
    <row r="592" ht="15.75" customHeight="1">
      <c r="A592" s="62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</row>
    <row r="593" ht="15.75" customHeight="1">
      <c r="A593" s="62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</row>
    <row r="594" ht="15.75" customHeight="1">
      <c r="A594" s="62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</row>
    <row r="595" ht="15.75" customHeight="1">
      <c r="A595" s="62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</row>
    <row r="596" ht="15.75" customHeight="1">
      <c r="A596" s="62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</row>
    <row r="597" ht="15.75" customHeight="1">
      <c r="A597" s="62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</row>
    <row r="598" ht="15.75" customHeight="1">
      <c r="A598" s="62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</row>
    <row r="599" ht="15.75" customHeight="1">
      <c r="A599" s="62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</row>
    <row r="600" ht="15.75" customHeight="1">
      <c r="A600" s="62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</row>
    <row r="601" ht="15.75" customHeight="1">
      <c r="A601" s="62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</row>
    <row r="602" ht="15.75" customHeight="1">
      <c r="A602" s="62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</row>
    <row r="603" ht="15.75" customHeight="1">
      <c r="A603" s="62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</row>
    <row r="604" ht="15.75" customHeight="1">
      <c r="A604" s="62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</row>
    <row r="605" ht="15.75" customHeight="1">
      <c r="A605" s="62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</row>
    <row r="606" ht="15.75" customHeight="1">
      <c r="A606" s="62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</row>
    <row r="607" ht="15.75" customHeight="1">
      <c r="A607" s="62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</row>
    <row r="608" ht="15.75" customHeight="1">
      <c r="A608" s="62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</row>
    <row r="609" ht="15.75" customHeight="1">
      <c r="A609" s="62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</row>
    <row r="610" ht="15.75" customHeight="1">
      <c r="A610" s="62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</row>
    <row r="611" ht="15.75" customHeight="1">
      <c r="A611" s="62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</row>
    <row r="612" ht="15.75" customHeight="1">
      <c r="A612" s="62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</row>
    <row r="613" ht="15.75" customHeight="1">
      <c r="A613" s="62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</row>
    <row r="614" ht="15.75" customHeight="1">
      <c r="A614" s="62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</row>
    <row r="615" ht="15.75" customHeight="1">
      <c r="A615" s="62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</row>
    <row r="616" ht="15.75" customHeight="1">
      <c r="A616" s="62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</row>
    <row r="617" ht="15.75" customHeight="1">
      <c r="A617" s="62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</row>
    <row r="618" ht="15.75" customHeight="1">
      <c r="A618" s="62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</row>
    <row r="619" ht="15.75" customHeight="1">
      <c r="A619" s="62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</row>
    <row r="620" ht="15.75" customHeight="1">
      <c r="A620" s="62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</row>
    <row r="621" ht="15.75" customHeight="1">
      <c r="A621" s="62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</row>
    <row r="622" ht="15.75" customHeight="1">
      <c r="A622" s="62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</row>
    <row r="623" ht="15.75" customHeight="1">
      <c r="A623" s="62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</row>
    <row r="624" ht="15.75" customHeight="1">
      <c r="A624" s="62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</row>
    <row r="625" ht="15.75" customHeight="1">
      <c r="A625" s="62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</row>
  </sheetData>
  <mergeCells count="4288">
    <mergeCell ref="P3:Q3"/>
    <mergeCell ref="R3:S3"/>
    <mergeCell ref="P4:Q4"/>
    <mergeCell ref="R4:S4"/>
    <mergeCell ref="T3:U3"/>
    <mergeCell ref="V3:W3"/>
    <mergeCell ref="T4:U4"/>
    <mergeCell ref="V4:W4"/>
    <mergeCell ref="X3:Y3"/>
    <mergeCell ref="Z3:AA3"/>
    <mergeCell ref="X4:Y4"/>
    <mergeCell ref="Z4:AA4"/>
    <mergeCell ref="AB4:AC4"/>
    <mergeCell ref="A1:E1"/>
    <mergeCell ref="F1:Q1"/>
    <mergeCell ref="R1:AC1"/>
    <mergeCell ref="AD1:AH1"/>
    <mergeCell ref="F3:G3"/>
    <mergeCell ref="H3:I3"/>
    <mergeCell ref="J3:K3"/>
    <mergeCell ref="AB3:AC3"/>
    <mergeCell ref="L3:M3"/>
    <mergeCell ref="N3:O3"/>
    <mergeCell ref="F4:G4"/>
    <mergeCell ref="H4:I4"/>
    <mergeCell ref="J4:K4"/>
    <mergeCell ref="L4:M4"/>
    <mergeCell ref="N4:O4"/>
    <mergeCell ref="T5:U5"/>
    <mergeCell ref="V5:W5"/>
    <mergeCell ref="X5:Y5"/>
    <mergeCell ref="Z5:AA5"/>
    <mergeCell ref="AB5:AC5"/>
    <mergeCell ref="F5:G5"/>
    <mergeCell ref="H5:I5"/>
    <mergeCell ref="J5:K5"/>
    <mergeCell ref="L5:M5"/>
    <mergeCell ref="N5:O5"/>
    <mergeCell ref="P5:Q5"/>
    <mergeCell ref="R5:S5"/>
    <mergeCell ref="T9:U9"/>
    <mergeCell ref="V9:W9"/>
    <mergeCell ref="X9:Y9"/>
    <mergeCell ref="Z9:AA9"/>
    <mergeCell ref="AB9:AC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F301:G301"/>
    <mergeCell ref="H301:I301"/>
    <mergeCell ref="J301:K301"/>
    <mergeCell ref="L301:M301"/>
    <mergeCell ref="N301:O301"/>
    <mergeCell ref="P301:Q301"/>
    <mergeCell ref="R301:S301"/>
    <mergeCell ref="T358:U358"/>
    <mergeCell ref="V358:W358"/>
    <mergeCell ref="X358:Y358"/>
    <mergeCell ref="Z358:AA358"/>
    <mergeCell ref="AB358:AC358"/>
    <mergeCell ref="F358:G358"/>
    <mergeCell ref="H358:I358"/>
    <mergeCell ref="J358:K358"/>
    <mergeCell ref="L358:M358"/>
    <mergeCell ref="N358:O358"/>
    <mergeCell ref="P358:Q358"/>
    <mergeCell ref="R358:S358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F8:G8"/>
    <mergeCell ref="H8:I8"/>
    <mergeCell ref="J8:K8"/>
    <mergeCell ref="L8:M8"/>
    <mergeCell ref="N8:O8"/>
    <mergeCell ref="P8:Q8"/>
    <mergeCell ref="R8:S8"/>
    <mergeCell ref="T359:U359"/>
    <mergeCell ref="V359:W359"/>
    <mergeCell ref="X359:Y359"/>
    <mergeCell ref="Z359:AA359"/>
    <mergeCell ref="AB359:AC359"/>
    <mergeCell ref="F359:G359"/>
    <mergeCell ref="H359:I359"/>
    <mergeCell ref="J359:K359"/>
    <mergeCell ref="L359:M359"/>
    <mergeCell ref="N359:O359"/>
    <mergeCell ref="P359:Q359"/>
    <mergeCell ref="R359:S359"/>
    <mergeCell ref="T351:U351"/>
    <mergeCell ref="V351:W351"/>
    <mergeCell ref="X351:Y351"/>
    <mergeCell ref="Z351:AA351"/>
    <mergeCell ref="AB351:AC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F357:G357"/>
    <mergeCell ref="H357:I357"/>
    <mergeCell ref="J357:K357"/>
    <mergeCell ref="L357:M357"/>
    <mergeCell ref="N357:O357"/>
    <mergeCell ref="P357:Q357"/>
    <mergeCell ref="R357:S357"/>
    <mergeCell ref="T302:U302"/>
    <mergeCell ref="V302:W302"/>
    <mergeCell ref="X302:Y302"/>
    <mergeCell ref="Z302:AA302"/>
    <mergeCell ref="AB302:AC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F350:G350"/>
    <mergeCell ref="H350:I350"/>
    <mergeCell ref="J350:K350"/>
    <mergeCell ref="L350:M350"/>
    <mergeCell ref="N350:O350"/>
    <mergeCell ref="P350:Q350"/>
    <mergeCell ref="R350:S35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2023-12-15T15:14:56Z</dcterms:created>
  <dc:creator>Joseph Lessard</dc:creator>
</cp:coreProperties>
</file>