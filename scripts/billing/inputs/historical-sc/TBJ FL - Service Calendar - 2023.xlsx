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3" sheetId="1" r:id="rId5"/>
    <sheet state="visible" name="Actuals - 2023" sheetId="2" r:id="rId6"/>
    <sheet state="visible" name="Initial Projections - 2024 - Ma" sheetId="3" r:id="rId7"/>
    <sheet state="visible" name="Clicker Counts - 2023" sheetId="4" r:id="rId8"/>
    <sheet state="visible" name="Period 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<sst xmlns="http://schemas.openxmlformats.org/spreadsheetml/2006/main" count="3084" uniqueCount="85">
  <si>
    <t>Toronto Blue Jays @ Dunedin, FL</t>
  </si>
  <si>
    <t>Major League - PDC</t>
  </si>
  <si>
    <t>Minor League - PDC</t>
  </si>
  <si>
    <t>Single A Jays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</si>
  <si>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</si>
  <si>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</si>
  <si>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</si>
  <si>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</si>
  <si>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</si>
  <si>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</si>
  <si>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</si>
  <si>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</si>
  <si>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</si>
  <si>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</si>
  <si>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Umpire</t>
  </si>
  <si>
    <t>Post Game Meal</t>
  </si>
  <si>
    <t>Blank</t>
  </si>
  <si>
    <t>PRE-GAME</t>
  </si>
  <si>
    <t>POST-GAME</t>
  </si>
  <si>
    <t>Fun $$$$ Allocated</t>
  </si>
  <si>
    <t>Media Meals</t>
  </si>
  <si>
    <t>MLB G&amp;G - Pantry</t>
  </si>
  <si>
    <t>MiLB G&amp;G - Pantry</t>
  </si>
  <si>
    <t>MLB - Catering</t>
  </si>
  <si>
    <t>MiLB Scouts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</si>
  <si>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</si>
  <si>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</si>
  <si>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</si>
  <si>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</si>
  <si>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</si>
  <si>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</si>
  <si>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</si>
  <si>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/>
  </si>
  <si>
    <t>Tue</t>
  </si>
  <si>
    <t>Wed</t>
  </si>
  <si>
    <t>Thurs</t>
  </si>
  <si>
    <t>Power Bites</t>
  </si>
  <si>
    <t>Shake</t>
  </si>
  <si>
    <t>Fri</t>
  </si>
  <si>
    <t>Hotel 1 Breakfast</t>
  </si>
  <si>
    <t>Hotel 1 Lunch</t>
  </si>
  <si>
    <t>Hotel 1 Dinner</t>
  </si>
  <si>
    <t>Hotel 2 Breakfast</t>
  </si>
  <si>
    <t>Hotel 2 Lunch</t>
  </si>
  <si>
    <t>Hotel 2 Dinner</t>
  </si>
  <si>
    <t>Sat</t>
  </si>
  <si>
    <t>Sun</t>
  </si>
  <si>
    <t>Week 2</t>
  </si>
  <si>
    <t>Week 3</t>
  </si>
  <si>
    <t>Week 4</t>
  </si>
  <si>
    <t>Early Camp</t>
  </si>
  <si>
    <t>SPRING TRAINING</t>
  </si>
  <si>
    <t>FIRST home GAME</t>
  </si>
  <si>
    <t>Scouts Billed Seperate</t>
  </si>
  <si>
    <t>Canadian Team</t>
  </si>
  <si>
    <t>Billed Separate</t>
  </si>
  <si>
    <t>AllStar Break</t>
  </si>
  <si>
    <t>Draft Dinner</t>
  </si>
  <si>
    <t>New Drafted Players</t>
  </si>
  <si>
    <t>Food Truck</t>
  </si>
  <si>
    <t>Hurricane</t>
  </si>
  <si>
    <t>MLB @ TROPx2</t>
  </si>
  <si>
    <t>FOOD TRUCK</t>
  </si>
  <si>
    <t>Final FDL</t>
  </si>
  <si>
    <t>Sakura Sushi</t>
  </si>
  <si>
    <t>CLOSED</t>
  </si>
  <si>
    <t>FOR</t>
  </si>
  <si>
    <t>THANKSGIVING</t>
  </si>
  <si>
    <t>Turkey &amp; Tenderloin</t>
  </si>
  <si>
    <t>Meal of Thanks</t>
  </si>
  <si>
    <t>Closed for VIP</t>
  </si>
  <si>
    <t>Meal Rev</t>
  </si>
  <si>
    <t>Service Fee</t>
  </si>
  <si>
    <t>Grand Total</t>
  </si>
  <si>
    <t>Breakdown Per Period:</t>
  </si>
  <si>
    <t>Rev</t>
  </si>
  <si>
    <t>MiLB</t>
  </si>
  <si>
    <t>MLB</t>
  </si>
  <si>
    <t>Single A</t>
  </si>
  <si>
    <t>FOR THE</t>
  </si>
  <si>
    <t>HOLIDAYS</t>
  </si>
  <si>
    <t>Yearly Increase</t>
  </si>
  <si>
    <t>Sum of Total Revenue</t>
  </si>
  <si>
    <t>Sum of Total Charged Items</t>
  </si>
  <si>
    <t>Service Fee - 2022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</si>
</sst>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[Red]\(&quot;$&quot;#,##0\)"/>
    <numFmt numFmtId="165" formatCode="&quot;$&quot;#,##0.00_);[Red]\(&quot;$&quot;#,##0.00\)"/>
    <numFmt numFmtId="166" formatCode="&quot;$&quot;#,##0.00"/>
    <numFmt numFmtId="167" formatCode="&quot;$&quot;#,##0"/>
    <numFmt numFmtId="168" formatCode="_(* #,##0_);_(* \(#,##0\);_(* &quot;-&quot;??_);_(@_)"/>
  </numFmts>
  <fonts count="15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10.0"/>
      <color rgb="FFFF0000"/>
      <name val="Arial"/>
    </font>
    <font>
      <b/>
      <sz val="9.0"/>
      <color theme="1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165" xfId="0" applyAlignment="1" applyBorder="1" applyFont="1" applyNumberFormat="1">
      <alignment textRotation="90"/>
    </xf>
    <xf borderId="7" fillId="0" fontId="5" numFmtId="165" xfId="0" applyAlignment="1" applyBorder="1" applyFont="1" applyNumberFormat="1">
      <alignment readingOrder="0" textRotation="90"/>
    </xf>
    <xf borderId="7" fillId="0" fontId="1" numFmtId="165" xfId="0" applyAlignment="1" applyBorder="1" applyFont="1" applyNumberFormat="1">
      <alignment readingOrder="0" textRotation="90"/>
    </xf>
    <xf borderId="7" fillId="0" fontId="5" numFmtId="165" xfId="0" applyAlignment="1" applyBorder="1" applyFont="1" applyNumberFormat="1">
      <alignment textRotation="90"/>
    </xf>
    <xf borderId="7" fillId="2" fontId="1" numFmtId="165" xfId="0" applyAlignment="1" applyBorder="1" applyFill="1" applyFont="1" applyNumberFormat="1">
      <alignment readingOrder="0" textRotation="90"/>
    </xf>
    <xf borderId="7" fillId="2" fontId="5" numFmtId="165" xfId="0" applyAlignment="1" applyBorder="1" applyFill="1" applyFont="1" applyNumberFormat="1">
      <alignment readingOrder="0" textRotation="90"/>
    </xf>
    <xf borderId="7" fillId="5" fontId="4" numFmtId="0" xfId="0" applyAlignment="1" applyBorder="1" applyFill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11" fillId="0" fontId="2" numFmtId="0" xfId="0" applyBorder="1" applyFont="1"/>
    <xf borderId="10" fillId="2" fontId="6" numFmtId="0" xfId="0" applyAlignment="1" applyBorder="1" applyFill="1" applyFont="1">
      <alignment readingOrder="0"/>
    </xf>
    <xf quotePrefix="1" borderId="10" fillId="6" fontId="6" numFmtId="0" xfId="0" applyAlignment="1" applyBorder="1" applyFill="1" applyFont="1">
      <alignment readingOrder="0"/>
    </xf>
    <xf borderId="12" fillId="0" fontId="6" numFmtId="164" xfId="0" applyBorder="1" applyFont="1" applyNumberFormat="1"/>
    <xf borderId="11" fillId="0" fontId="6" numFmtId="164" xfId="0" applyBorder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1" fillId="0" fontId="6" numFmtId="0" xfId="0" applyBorder="1" applyFont="1"/>
    <xf borderId="10" fillId="0" fontId="6" numFmtId="164" xfId="0" applyBorder="1" applyFont="1" applyNumberFormat="1"/>
    <xf borderId="10" fillId="0" fontId="6" numFmtId="0" xfId="0" applyBorder="1" applyFont="1"/>
    <xf borderId="0" fillId="0" fontId="6" numFmtId="0" xfId="0" applyFont="1"/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0" fillId="7" fontId="6" numFmtId="0" xfId="0" applyBorder="1" applyFill="1" applyFont="1"/>
    <xf borderId="0" fillId="7" fontId="6" numFmtId="0" xfId="0" applyFill="1" applyFont="1"/>
    <xf borderId="1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5" fillId="0" fontId="6" numFmtId="0" xfId="0" applyBorder="1" applyFont="1"/>
    <xf borderId="12" fillId="2" fontId="6" numFmtId="0" xfId="0" applyBorder="1" applyFill="1" applyFont="1"/>
    <xf borderId="16" fillId="6" fontId="6" numFmtId="0" xfId="0" applyAlignment="1" applyBorder="1" applyFill="1" applyFont="1">
      <alignment readingOrder="0"/>
    </xf>
    <xf borderId="9" fillId="0" fontId="2" numFmtId="0" xfId="0" applyBorder="1" applyFont="1"/>
    <xf borderId="17" fillId="0" fontId="2" numFmtId="0" xfId="0" applyBorder="1" applyFont="1"/>
    <xf borderId="17" fillId="6" fontId="6" numFmtId="0" xfId="0" applyAlignment="1" applyBorder="1" applyFill="1" applyFont="1">
      <alignment readingOrder="0"/>
    </xf>
    <xf borderId="15" fillId="0" fontId="2" numFmtId="0" xfId="0" applyBorder="1" applyFont="1"/>
    <xf borderId="16" fillId="2" fontId="6" numFmtId="0" xfId="0" applyAlignment="1" applyBorder="1" applyFill="1" applyFont="1">
      <alignment readingOrder="0"/>
    </xf>
    <xf borderId="16" fillId="0" fontId="6" numFmtId="164" xfId="0" applyBorder="1" applyFont="1" applyNumberFormat="1"/>
    <xf borderId="15" fillId="0" fontId="6" numFmtId="164" xfId="0" applyBorder="1" applyFont="1" applyNumberFormat="1"/>
    <xf borderId="8" fillId="0" fontId="6" numFmtId="14" xfId="0" applyBorder="1" applyFont="1" applyNumberFormat="1"/>
    <xf borderId="9" fillId="0" fontId="6" numFmtId="164" xfId="0" applyBorder="1" applyFont="1" applyNumberFormat="1"/>
    <xf borderId="10" fillId="2" fontId="6" numFmtId="0" xfId="0" applyBorder="1" applyFill="1" applyFont="1"/>
    <xf borderId="16" fillId="0" fontId="6" numFmtId="0" xfId="0" applyBorder="1" applyFont="1"/>
    <xf borderId="17" fillId="0" fontId="6" numFmtId="0" xfId="0" applyBorder="1" applyFont="1"/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6" fillId="7" fontId="6" numFmtId="0" xfId="0" applyBorder="1" applyFill="1" applyFont="1"/>
    <xf borderId="17" fillId="7" fontId="6" numFmtId="0" xfId="0" applyBorder="1" applyFill="1" applyFont="1"/>
    <xf borderId="16" fillId="7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6" fillId="2" fontId="6" numFmtId="0" xfId="0" applyBorder="1" applyFill="1" applyFont="1"/>
    <xf borderId="8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0" fillId="6" fontId="6" numFmtId="0" xfId="0" applyFill="1" applyFont="1"/>
    <xf borderId="11" fillId="0" fontId="6" numFmtId="0" xfId="0" applyAlignment="1" applyBorder="1" applyFont="1">
      <alignment readingOrder="0"/>
    </xf>
    <xf borderId="10" fillId="7" fontId="7" numFmtId="0" xfId="0" applyAlignment="1" applyBorder="1" applyFill="1" applyFont="1">
      <alignment readingOrder="0"/>
    </xf>
    <xf borderId="0" fillId="7" fontId="7" numFmtId="0" xfId="0" applyAlignment="1" applyFill="1" applyFont="1">
      <alignment readingOrder="0"/>
    </xf>
    <xf borderId="15" fillId="0" fontId="6" numFmtId="0" xfId="0" applyAlignment="1" applyBorder="1" applyFont="1">
      <alignment readingOrder="0"/>
    </xf>
    <xf borderId="10" fillId="2" fontId="6" numFmtId="166" xfId="0" applyAlignment="1" applyBorder="1" applyFill="1" applyFont="1" applyNumberFormat="1">
      <alignment readingOrder="0"/>
    </xf>
    <xf borderId="10" fillId="2" fontId="8" numFmtId="166" xfId="0" applyAlignment="1" applyBorder="1" applyFill="1" applyFont="1" applyNumberFormat="1">
      <alignment readingOrder="0"/>
    </xf>
    <xf borderId="10" fillId="2" fontId="6" numFmtId="167" xfId="0" applyAlignment="1" applyBorder="1" applyFill="1" applyFont="1" applyNumberFormat="1">
      <alignment readingOrder="0"/>
    </xf>
    <xf borderId="11" fillId="0" fontId="6" numFmtId="0" xfId="0" applyAlignment="1" applyBorder="1" applyFont="1">
      <alignment horizontal="center" readingOrder="0"/>
    </xf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9" numFmtId="0" xfId="0" applyFont="1"/>
    <xf borderId="0" fillId="2" fontId="9" numFmtId="0" xfId="0" applyFill="1" applyFont="1"/>
    <xf borderId="0" fillId="0" fontId="10" numFmtId="0" xfId="0" applyFont="1"/>
    <xf borderId="0" fillId="0" fontId="10" numFmtId="164" xfId="0" applyFont="1" applyNumberFormat="1"/>
    <xf borderId="0" fillId="0" fontId="10" numFmtId="0" xfId="0" applyAlignment="1" applyFont="1">
      <alignment readingOrder="0"/>
    </xf>
    <xf borderId="0" fillId="0" fontId="10" numFmtId="3" xfId="0" applyFont="1" applyNumberFormat="1"/>
    <xf borderId="0" fillId="0" fontId="10" numFmtId="166" xfId="0" applyAlignment="1" applyFont="1" applyNumberFormat="1">
      <alignment readingOrder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66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right"/>
    </xf>
    <xf borderId="9" fillId="7" fontId="6" numFmtId="0" xfId="0" applyBorder="1" applyFill="1" applyFont="1"/>
    <xf borderId="10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11" fillId="9" fontId="12" numFmtId="0" xfId="0" applyAlignment="1" applyBorder="1" applyFill="1" applyFont="1">
      <alignment horizontal="center" readingOrder="0"/>
    </xf>
    <xf borderId="11" fillId="7" fontId="6" numFmtId="0" xfId="0" applyBorder="1" applyFill="1" applyFont="1"/>
    <xf borderId="15" fillId="7" fontId="6" numFmtId="0" xfId="0" applyBorder="1" applyFill="1" applyFont="1"/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0" fillId="0" fontId="9" numFmtId="0" xfId="0" applyBorder="1" applyFont="1"/>
    <xf borderId="11" fillId="0" fontId="9" numFmtId="0" xfId="0" applyBorder="1" applyFont="1"/>
    <xf borderId="11" fillId="0" fontId="10" numFmtId="0" xfId="0" applyBorder="1" applyFont="1"/>
    <xf borderId="11" fillId="7" fontId="6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readingOrder="0"/>
    </xf>
    <xf borderId="3" fillId="0" fontId="13" numFmtId="10" xfId="0" applyAlignment="1" applyBorder="1" applyFont="1" applyNumberFormat="1">
      <alignment readingOrder="0"/>
    </xf>
    <xf borderId="0" fillId="0" fontId="0" numFmtId="0" xfId="0" applyFont="1"/>
    <xf borderId="0" fillId="0" fontId="14" numFmtId="0" xfId="0" applyFont="1"/>
    <xf borderId="0" fillId="0" fontId="0" numFmtId="1" xfId="0" applyAlignment="1" applyFont="1" applyNumberFormat="1">
      <alignment horizontal="left"/>
    </xf>
    <xf borderId="0" fillId="0" fontId="0" numFmtId="167" xfId="0" applyFont="1" applyNumberFormat="1"/>
    <xf borderId="0" fillId="0" fontId="0" numFmtId="168" xfId="0" applyFont="1" applyNumberFormat="1"/>
    <xf borderId="0" fillId="0" fontId="0" numFmtId="0" xfId="0" applyAlignment="1" applyFont="1">
      <alignment horizontal="left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14" numFmtId="167" xfId="0" applyFont="1" applyNumberFormat="1"/>
    <xf borderId="16" fillId="0" fontId="9" numFmtId="0" xfId="0" applyBorder="1" applyFont="1"/>
    <xf borderId="15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Total 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'Period Summary'!$A$2:$A$15</c:f>
            </c:strRef>
          </c:cat>
          <c:val>
            <c:numRef>
              <c:f>'Period Summary'!$B$2:$B$15</c:f>
              <c:numCache/>
            </c:numRef>
          </c:val>
        </c:ser>
        <c:ser>
          <c:idx val="1"/>
          <c:order val="1"/>
          <c:tx>
            <c:v>Sum of Total Charged Items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'Period Summary'!$A$2:$A$15</c:f>
            </c:strRef>
          </c:cat>
          <c:val>
            <c:numRef>
              <c:f>'Period Summary'!$C$2:$C$15</c:f>
              <c:numCache/>
            </c:numRef>
          </c:val>
        </c:ser>
        <c:axId val="1599165367"/>
        <c:axId val="1254808642"/>
      </c:barChart>
      <c:catAx>
        <c:axId val="1599165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808642"/>
      </c:catAx>
      <c:valAx>
        <c:axId val="125480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916536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0</xdr:rowOff>
    </xdr:from>
    <xdr:ext cx="496252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AZ359" sheet="Projections - 2023"/>
  </cacheSource>
  <cacheFields>
    <cacheField name="Date" numFmtId="14">
      <sharedItems containsSemiMixedTypes="0" containsDate="1" containsString="0"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</sharedItems>
    </cacheField>
    <cacheField name="Perio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Week" numFmtId="0">
      <sharedItems>
        <s v="Week 1"/>
        <s v="Week 2"/>
        <s v="Week 3"/>
        <s v="Week 4"/>
      </sharedItems>
    </cacheField>
    <cacheField name="Camp Name" numFmtId="0">
      <sharedItems containsString="0" containsBlank="1">
        <m/>
      </sharedItems>
    </cacheField>
    <cacheField name="Breakfast" numFmtId="0">
      <sharedItems containsString="0" containsBlank="1" containsNumber="1" containsInteger="1">
        <m/>
        <n v="100.0"/>
        <n v="120.0"/>
        <n v="150.0"/>
        <n v="135.0"/>
        <n v="125.0"/>
      </sharedItems>
    </cacheField>
    <cacheField name="$20.29 " numFmtId="0">
      <sharedItems containsString="0" containsBlank="1">
        <m/>
      </sharedItems>
    </cacheField>
    <cacheField name="Lunch" numFmtId="0">
      <sharedItems containsString="0" containsBlank="1" containsNumber="1" containsInteger="1">
        <m/>
        <n v="100.0"/>
        <n v="120.0"/>
        <n v="150.0"/>
        <n v="135.0"/>
        <n v="125.0"/>
      </sharedItems>
    </cacheField>
    <cacheField name="$20.29 2" numFmtId="0">
      <sharedItems containsString="0" containsBlank="1">
        <m/>
      </sharedItems>
    </cacheField>
    <cacheField name="Dinner" numFmtId="0">
      <sharedItems containsString="0" containsBlank="1">
        <m/>
      </sharedItems>
    </cacheField>
    <cacheField name="$20.29 3" numFmtId="0">
      <sharedItems containsString="0" containsBlank="1">
        <m/>
      </sharedItems>
    </cacheField>
    <cacheField name="Umpire" numFmtId="0">
      <sharedItems containsString="0" containsBlank="1">
        <m/>
      </sharedItems>
    </cacheField>
    <cacheField name="$20.29 4" numFmtId="0">
      <sharedItems containsString="0" containsBlank="1">
        <m/>
      </sharedItems>
    </cacheField>
    <cacheField name="Power Bites" numFmtId="0">
      <sharedItems containsString="0" containsBlank="1">
        <m/>
      </sharedItems>
    </cacheField>
    <cacheField name="$1.50 " numFmtId="0">
      <sharedItems containsString="0" containsBlank="1">
        <m/>
      </sharedItems>
    </cacheField>
    <cacheField name="Shake" numFmtId="0">
      <sharedItems containsString="0" containsBlank="1">
        <m/>
      </sharedItems>
    </cacheField>
    <cacheField name="$1.50 2" numFmtId="0">
      <sharedItems containsString="0" containsBlank="1">
        <m/>
      </sharedItems>
    </cacheField>
    <cacheField name="breakfast2" numFmtId="0">
      <sharedItems containsString="0" containsBlank="1" containsNumber="1" containsInteger="1">
        <n v="0.0"/>
        <n v="90.0"/>
        <n v="75.0"/>
        <n v="200.0"/>
        <n v="225.0"/>
        <n v="185.0"/>
        <n v="130.0"/>
        <n v="25.0"/>
        <n v="120.0"/>
        <n v="100.0"/>
        <n v="50.0"/>
        <m/>
      </sharedItems>
    </cacheField>
    <cacheField name="$10.14 " numFmtId="0">
      <sharedItems containsString="0" containsBlank="1">
        <m/>
      </sharedItems>
    </cacheField>
    <cacheField name="lunch2" numFmtId="0">
      <sharedItems containsString="0" containsBlank="1" containsNumber="1" containsInteger="1">
        <n v="0.0"/>
        <n v="90.0"/>
        <n v="75.0"/>
        <n v="200.0"/>
        <n v="225.0"/>
        <n v="185.0"/>
        <n v="130.0"/>
        <n v="25.0"/>
        <n v="120.0"/>
        <n v="100.0"/>
        <n v="50.0"/>
        <m/>
      </sharedItems>
    </cacheField>
    <cacheField name="$10.14 2" numFmtId="0">
      <sharedItems containsString="0" containsBlank="1">
        <m/>
      </sharedItems>
    </cacheField>
    <cacheField name="dinner2" numFmtId="0">
      <sharedItems containsString="0" containsBlank="1">
        <m/>
      </sharedItems>
    </cacheField>
    <cacheField name="$10.14 3" numFmtId="0">
      <sharedItems containsString="0" containsBlank="1">
        <m/>
      </sharedItems>
    </cacheField>
    <cacheField name="power bites2" numFmtId="0">
      <sharedItems containsString="0" containsBlank="1">
        <m/>
      </sharedItems>
    </cacheField>
    <cacheField name="$1.50 3" numFmtId="0">
      <sharedItems containsString="0" containsBlank="1">
        <m/>
      </sharedItems>
    </cacheField>
    <cacheField name="shake2" numFmtId="0">
      <sharedItems containsString="0" containsBlank="1">
        <m/>
      </sharedItems>
    </cacheField>
    <cacheField name="$1.50 4" numFmtId="0">
      <sharedItems containsString="0" containsBlank="1">
        <m/>
      </sharedItems>
    </cacheField>
    <cacheField name="Blank" numFmtId="0">
      <sharedItems containsString="0" containsBlank="1">
        <m/>
      </sharedItems>
    </cacheField>
    <cacheField name="$0.00 " numFmtId="0">
      <sharedItems containsString="0" containsBlank="1">
        <m/>
      </sharedItems>
    </cacheField>
    <cacheField name="breakfast3" numFmtId="0">
      <sharedItems containsString="0" containsBlank="1">
        <m/>
      </sharedItems>
    </cacheField>
    <cacheField name="$14.50 " numFmtId="0">
      <sharedItems containsString="0" containsBlank="1">
        <m/>
      </sharedItems>
    </cacheField>
    <cacheField name="lunch3" numFmtId="0">
      <sharedItems containsString="0" containsBlank="1" containsNumber="1" containsInteger="1">
        <m/>
        <n v="40.0"/>
        <n v="0.0"/>
      </sharedItems>
    </cacheField>
    <cacheField name="$14.50 2" numFmtId="0">
      <sharedItems containsString="0" containsBlank="1">
        <m/>
      </sharedItems>
    </cacheField>
    <cacheField name="dinner3" numFmtId="0">
      <sharedItems containsString="0" containsBlank="1" containsNumber="1" containsInteger="1">
        <m/>
        <n v="40.0"/>
        <n v="0.0"/>
      </sharedItems>
    </cacheField>
    <cacheField name="$14.50 3" numFmtId="0">
      <sharedItems containsString="0" containsBlank="1">
        <m/>
      </sharedItems>
    </cacheField>
    <cacheField name="Hotel 1 Breakfast" numFmtId="0">
      <sharedItems containsString="0" containsBlank="1">
        <m/>
      </sharedItems>
    </cacheField>
    <cacheField name="$14.50 4" numFmtId="0">
      <sharedItems containsString="0" containsBlank="1">
        <m/>
      </sharedItems>
    </cacheField>
    <cacheField name="Hotel 1 Lunch" numFmtId="0">
      <sharedItems containsString="0" containsBlank="1">
        <m/>
      </sharedItems>
    </cacheField>
    <cacheField name="$14.50 5" numFmtId="0">
      <sharedItems containsString="0" containsBlank="1">
        <m/>
      </sharedItems>
    </cacheField>
    <cacheField name="Hotel 1 Dinner" numFmtId="0">
      <sharedItems containsString="0" containsBlank="1">
        <m/>
      </sharedItems>
    </cacheField>
    <cacheField name="$14.50 6" numFmtId="0">
      <sharedItems containsString="0" containsBlank="1">
        <m/>
      </sharedItems>
    </cacheField>
    <cacheField name="Hotel 2 Breakfast" numFmtId="0">
      <sharedItems containsString="0" containsBlank="1">
        <m/>
      </sharedItems>
    </cacheField>
    <cacheField name="$14.50 7" numFmtId="0">
      <sharedItems containsString="0" containsBlank="1">
        <m/>
      </sharedItems>
    </cacheField>
    <cacheField name="Hotel 2 Lunch" numFmtId="0">
      <sharedItems containsString="0" containsBlank="1">
        <m/>
      </sharedItems>
    </cacheField>
    <cacheField name="$14.50 8" numFmtId="0">
      <sharedItems containsString="0" containsBlank="1">
        <m/>
      </sharedItems>
    </cacheField>
    <cacheField name="Hotel 2 Dinner" numFmtId="0">
      <sharedItems containsString="0" containsBlank="1">
        <m/>
      </sharedItems>
    </cacheField>
    <cacheField name="$14.50 9" numFmtId="0">
      <sharedItems containsString="0" containsBlank="1">
        <m/>
      </sharedItems>
    </cacheField>
    <cacheField name="Total Revenue" numFmtId="164">
      <sharedItems containsSemiMixedTypes="0" containsString="0" containsNumber="1">
        <n v="0.0"/>
        <n v="1825.2"/>
        <n v="1521.0"/>
        <n v="8114.0"/>
        <n v="8925.599999999999"/>
        <n v="10650.0"/>
        <n v="10041.3"/>
        <n v="9635.5"/>
        <n v="4056.0"/>
        <n v="4911.8"/>
        <n v="3751.8"/>
        <n v="3796.4"/>
        <n v="2636.4"/>
        <n v="1667.0"/>
        <n v="2433.6000000000004"/>
        <n v="2028.0"/>
        <n v="1014.0"/>
      </sharedItems>
    </cacheField>
    <cacheField name="Total Meals" numFmtId="0">
      <sharedItems containsSemiMixedTypes="0" containsString="0" containsNumber="1" containsInteger="1">
        <n v="0.0"/>
        <n v="180.0"/>
        <n v="150.0"/>
        <n v="600.0"/>
        <n v="640.0"/>
        <n v="750.0"/>
        <n v="720.0"/>
        <n v="700.0"/>
        <n v="400.0"/>
        <n v="450.0"/>
        <n v="370.0"/>
        <n v="340.0"/>
        <n v="260.0"/>
        <n v="130.0"/>
        <n v="240.0"/>
        <n v="200.0"/>
        <n v="100.0"/>
      </sharedItems>
    </cacheField>
    <cacheField name="Total Snacks" numFmtId="0">
      <sharedItems containsSemiMixedTypes="0" containsString="0" containsNumber="1" containsInteger="1">
        <n v="0.0"/>
      </sharedItems>
    </cacheField>
    <cacheField name="Total Charged Items" numFmtId="0">
      <sharedItems containsSemiMixedTypes="0" containsString="0" containsNumber="1" containsInteger="1">
        <n v="0.0"/>
        <n v="180.0"/>
        <n v="150.0"/>
        <n v="600.0"/>
        <n v="640.0"/>
        <n v="750.0"/>
        <n v="720.0"/>
        <n v="700.0"/>
        <n v="400.0"/>
        <n v="450.0"/>
        <n v="370.0"/>
        <n v="340.0"/>
        <n v="260.0"/>
        <n v="130.0"/>
        <n v="240.0"/>
        <n v="200.0"/>
        <n v="100.0"/>
      </sharedItems>
    </cacheField>
    <cacheField name="Average $/Item" numFmtId="0">
      <sharedItems containsString="0" containsBlank="1" containsNumber="1">
        <m/>
        <n v="10.14"/>
        <n v="13.523333333333333"/>
        <n v="13.946249999999997"/>
        <n v="14.2"/>
        <n v="13.94625"/>
        <n v="13.765"/>
        <n v="10.915111111111111"/>
        <n v="11.165882352941177"/>
        <n v="12.823076923076924"/>
        <n v="10.14000000000000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eriod Summary" cacheId="0" dataCaption="" compact="0" compactData="0">
  <location ref="A1:C15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erio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eek" compact="0" outline="0" multipleItemSelectionAllowed="1" showAll="0">
      <items>
        <item x="0"/>
        <item x="1"/>
        <item x="2"/>
        <item x="3"/>
        <item t="default"/>
      </items>
    </pivotField>
    <pivotField name="Camp Name" compact="0" outline="0" multipleItemSelectionAllowed="1" showAll="0">
      <items>
        <item x="0"/>
        <item t="default"/>
      </items>
    </pivotField>
    <pivotField name="Breakfas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$20.29 " compact="0" outline="0" multipleItemSelectionAllowed="1" showAll="0">
      <items>
        <item x="0"/>
        <item t="default"/>
      </items>
    </pivotField>
    <pivotField name="Lunc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$20.29 2" compact="0" outline="0" multipleItemSelectionAllowed="1" showAll="0">
      <items>
        <item x="0"/>
        <item t="default"/>
      </items>
    </pivotField>
    <pivotField name="Dinner" compact="0" outline="0" multipleItemSelectionAllowed="1" showAll="0">
      <items>
        <item x="0"/>
        <item t="default"/>
      </items>
    </pivotField>
    <pivotField name="$20.29 3" compact="0" outline="0" multipleItemSelectionAllowed="1" showAll="0">
      <items>
        <item x="0"/>
        <item t="default"/>
      </items>
    </pivotField>
    <pivotField name="Umpire" compact="0" outline="0" multipleItemSelectionAllowed="1" showAll="0">
      <items>
        <item x="0"/>
        <item t="default"/>
      </items>
    </pivotField>
    <pivotField name="$20.29 4" compact="0" outline="0" multipleItemSelectionAllowed="1" showAll="0">
      <items>
        <item x="0"/>
        <item t="default"/>
      </items>
    </pivotField>
    <pivotField name="Power Bites" compact="0" outline="0" multipleItemSelectionAllowed="1" showAll="0">
      <items>
        <item x="0"/>
        <item t="default"/>
      </items>
    </pivotField>
    <pivotField name="$1.50 " compact="0" outline="0" multipleItemSelectionAllowed="1" showAll="0">
      <items>
        <item x="0"/>
        <item t="default"/>
      </items>
    </pivotField>
    <pivotField name="Shake" compact="0" outline="0" multipleItemSelectionAllowed="1" showAll="0">
      <items>
        <item x="0"/>
        <item t="default"/>
      </items>
    </pivotField>
    <pivotField name="$1.50 2" compact="0" outline="0" multipleItemSelectionAllowed="1" showAll="0">
      <items>
        <item x="0"/>
        <item t="default"/>
      </items>
    </pivotField>
    <pivotField name="breakfas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$10.14 " compact="0" outline="0" multipleItemSelectionAllowed="1" showAll="0">
      <items>
        <item x="0"/>
        <item t="default"/>
      </items>
    </pivotField>
    <pivotField name="lunch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$10.14 2" compact="0" outline="0" multipleItemSelectionAllowed="1" showAll="0">
      <items>
        <item x="0"/>
        <item t="default"/>
      </items>
    </pivotField>
    <pivotField name="dinner2" compact="0" outline="0" multipleItemSelectionAllowed="1" showAll="0">
      <items>
        <item x="0"/>
        <item t="default"/>
      </items>
    </pivotField>
    <pivotField name="$10.14 3" compact="0" outline="0" multipleItemSelectionAllowed="1" showAll="0">
      <items>
        <item x="0"/>
        <item t="default"/>
      </items>
    </pivotField>
    <pivotField name="power bites2" compact="0" outline="0" multipleItemSelectionAllowed="1" showAll="0">
      <items>
        <item x="0"/>
        <item t="default"/>
      </items>
    </pivotField>
    <pivotField name="$1.50 3" compact="0" outline="0" multipleItemSelectionAllowed="1" showAll="0">
      <items>
        <item x="0"/>
        <item t="default"/>
      </items>
    </pivotField>
    <pivotField name="shake2" compact="0" outline="0" multipleItemSelectionAllowed="1" showAll="0">
      <items>
        <item x="0"/>
        <item t="default"/>
      </items>
    </pivotField>
    <pivotField name="$1.50 4" compact="0" outline="0" multipleItemSelectionAllowed="1" showAll="0">
      <items>
        <item x="0"/>
        <item t="default"/>
      </items>
    </pivotField>
    <pivotField name="Blank" compact="0" outline="0" multipleItemSelectionAllowed="1" showAll="0">
      <items>
        <item x="0"/>
        <item t="default"/>
      </items>
    </pivotField>
    <pivotField name="$0.00 " compact="0" outline="0" multipleItemSelectionAllowed="1" showAll="0">
      <items>
        <item x="0"/>
        <item t="default"/>
      </items>
    </pivotField>
    <pivotField name="breakfast3" compact="0" outline="0" multipleItemSelectionAllowed="1" showAll="0">
      <items>
        <item x="0"/>
        <item t="default"/>
      </items>
    </pivotField>
    <pivotField name="$14.50 " compact="0" outline="0" multipleItemSelectionAllowed="1" showAll="0">
      <items>
        <item x="0"/>
        <item t="default"/>
      </items>
    </pivotField>
    <pivotField name="lunch3" compact="0" outline="0" multipleItemSelectionAllowed="1" showAll="0">
      <items>
        <item x="0"/>
        <item x="1"/>
        <item x="2"/>
        <item t="default"/>
      </items>
    </pivotField>
    <pivotField name="$14.50 2" compact="0" outline="0" multipleItemSelectionAllowed="1" showAll="0">
      <items>
        <item x="0"/>
        <item t="default"/>
      </items>
    </pivotField>
    <pivotField name="dinner3" compact="0" outline="0" multipleItemSelectionAllowed="1" showAll="0">
      <items>
        <item x="0"/>
        <item x="1"/>
        <item x="2"/>
        <item t="default"/>
      </items>
    </pivotField>
    <pivotField name="$14.50 3" compact="0" outline="0" multipleItemSelectionAllowed="1" showAll="0">
      <items>
        <item x="0"/>
        <item t="default"/>
      </items>
    </pivotField>
    <pivotField name="Hotel 1 Breakfast" compact="0" outline="0" multipleItemSelectionAllowed="1" showAll="0">
      <items>
        <item x="0"/>
        <item t="default"/>
      </items>
    </pivotField>
    <pivotField name="$14.50 4" compact="0" outline="0" multipleItemSelectionAllowed="1" showAll="0">
      <items>
        <item x="0"/>
        <item t="default"/>
      </items>
    </pivotField>
    <pivotField name="Hotel 1 Lunch" compact="0" outline="0" multipleItemSelectionAllowed="1" showAll="0">
      <items>
        <item x="0"/>
        <item t="default"/>
      </items>
    </pivotField>
    <pivotField name="$14.50 5" compact="0" outline="0" multipleItemSelectionAllowed="1" showAll="0">
      <items>
        <item x="0"/>
        <item t="default"/>
      </items>
    </pivotField>
    <pivotField name="Hotel 1 Dinner" compact="0" outline="0" multipleItemSelectionAllowed="1" showAll="0">
      <items>
        <item x="0"/>
        <item t="default"/>
      </items>
    </pivotField>
    <pivotField name="$14.50 6" compact="0" outline="0" multipleItemSelectionAllowed="1" showAll="0">
      <items>
        <item x="0"/>
        <item t="default"/>
      </items>
    </pivotField>
    <pivotField name="Hotel 2 Breakfast" compact="0" outline="0" multipleItemSelectionAllowed="1" showAll="0">
      <items>
        <item x="0"/>
        <item t="default"/>
      </items>
    </pivotField>
    <pivotField name="$14.50 7" compact="0" outline="0" multipleItemSelectionAllowed="1" showAll="0">
      <items>
        <item x="0"/>
        <item t="default"/>
      </items>
    </pivotField>
    <pivotField name="Hotel 2 Lunch" compact="0" outline="0" multipleItemSelectionAllowed="1" showAll="0">
      <items>
        <item x="0"/>
        <item t="default"/>
      </items>
    </pivotField>
    <pivotField name="$14.50 8" compact="0" outline="0" multipleItemSelectionAllowed="1" showAll="0">
      <items>
        <item x="0"/>
        <item t="default"/>
      </items>
    </pivotField>
    <pivotField name="Hotel 2 Dinner" compact="0" outline="0" multipleItemSelectionAllowed="1" showAll="0">
      <items>
        <item x="0"/>
        <item t="default"/>
      </items>
    </pivotField>
    <pivotField name="$14.50 9" compact="0" outline="0" multipleItemSelectionAllowed="1" showAll="0">
      <items>
        <item x="0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Me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Snacks" compact="0" outline="0" multipleItemSelectionAllowed="1" showAll="0">
      <items>
        <item x="0"/>
        <item t="default"/>
      </items>
    </pivotField>
    <pivotField name="Total Charged 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verage $/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colFields>
    <field x="-2"/>
  </colFields>
  <dataFields>
    <dataField name="Sum of Total Revenue" fld="46" baseField="0"/>
    <dataField name="Sum of Total Charged Items" fld="4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47" width="3.67"/>
    <col customWidth="1" min="48" max="48" width="10.78"/>
    <col customWidth="1" min="49" max="50" width="8.0"/>
    <col customWidth="1" min="51" max="51" width="11.44"/>
    <col customWidth="1" min="52" max="5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6" t="s">
        <v>4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  <c r="AV1" s="7" t="s">
        <v>5</v>
      </c>
      <c r="AW1" s="8"/>
      <c r="AX1" s="8"/>
      <c r="AY1" s="8"/>
      <c r="AZ1" s="9"/>
    </row>
    <row r="2" ht="130.5" customHeight="1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 t="s">
        <v>11</v>
      </c>
      <c r="G2" s="13">
        <v>20.29</v>
      </c>
      <c r="H2" s="12" t="s">
        <v>12</v>
      </c>
      <c r="I2" s="13">
        <v>20.29</v>
      </c>
      <c r="J2" s="12" t="s">
        <v>13</v>
      </c>
      <c r="K2" s="13">
        <v>20.29</v>
      </c>
      <c r="L2" s="14" t="s">
        <v>14</v>
      </c>
      <c r="M2" s="13">
        <v>20.29</v>
      </c>
      <c r="N2" s="14" t="s">
        <v>36</v>
      </c>
      <c r="O2" s="13">
        <v>1.5</v>
      </c>
      <c r="P2" s="14" t="s">
        <v>37</v>
      </c>
      <c r="Q2" s="13">
        <v>1.5</v>
      </c>
      <c r="R2" s="12" t="s">
        <v>11</v>
      </c>
      <c r="S2" s="13">
        <v>10.14</v>
      </c>
      <c r="T2" s="12" t="s">
        <v>12</v>
      </c>
      <c r="U2" s="13">
        <v>10.14</v>
      </c>
      <c r="V2" s="12" t="s">
        <v>13</v>
      </c>
      <c r="W2" s="13">
        <v>10.14</v>
      </c>
      <c r="X2" s="14" t="s">
        <v>36</v>
      </c>
      <c r="Y2" s="13">
        <v>1.5</v>
      </c>
      <c r="Z2" s="14" t="s">
        <v>37</v>
      </c>
      <c r="AA2" s="13">
        <v>1.5</v>
      </c>
      <c r="AB2" s="15" t="s">
        <v>16</v>
      </c>
      <c r="AC2" s="15">
        <v>0.0</v>
      </c>
      <c r="AD2" s="12" t="s">
        <v>11</v>
      </c>
      <c r="AE2" s="13">
        <v>14.5</v>
      </c>
      <c r="AF2" s="12" t="s">
        <v>12</v>
      </c>
      <c r="AG2" s="13">
        <v>14.5</v>
      </c>
      <c r="AH2" s="12" t="s">
        <v>13</v>
      </c>
      <c r="AI2" s="13">
        <v>14.5</v>
      </c>
      <c r="AJ2" s="14" t="s">
        <v>39</v>
      </c>
      <c r="AK2" s="13">
        <v>14.5</v>
      </c>
      <c r="AL2" s="14" t="s">
        <v>40</v>
      </c>
      <c r="AM2" s="13">
        <v>14.5</v>
      </c>
      <c r="AN2" s="14" t="s">
        <v>41</v>
      </c>
      <c r="AO2" s="13">
        <v>14.5</v>
      </c>
      <c r="AP2" s="14" t="s">
        <v>42</v>
      </c>
      <c r="AQ2" s="13">
        <v>14.5</v>
      </c>
      <c r="AR2" s="14" t="s">
        <v>43</v>
      </c>
      <c r="AS2" s="13">
        <v>14.5</v>
      </c>
      <c r="AT2" s="14" t="s">
        <v>44</v>
      </c>
      <c r="AU2" s="13">
        <v>14.5</v>
      </c>
      <c r="AV2" s="18" t="s">
        <v>25</v>
      </c>
      <c r="AW2" s="18" t="s">
        <v>26</v>
      </c>
      <c r="AX2" s="18" t="s">
        <v>27</v>
      </c>
      <c r="AY2" s="18" t="s">
        <v>28</v>
      </c>
      <c r="AZ2" s="18" t="s">
        <v>29</v>
      </c>
    </row>
    <row r="3" ht="15.75" customHeight="1">
      <c r="A3" s="19" t="s">
        <v>30</v>
      </c>
      <c r="B3" s="20">
        <v>44563.0</v>
      </c>
      <c r="C3" s="21">
        <v>1.0</v>
      </c>
      <c r="D3" s="22" t="s">
        <v>31</v>
      </c>
      <c r="E3" s="23"/>
      <c r="F3" s="36"/>
      <c r="H3" s="37"/>
      <c r="J3" s="37"/>
      <c r="L3" s="37"/>
      <c r="N3" s="37"/>
      <c r="P3" s="37"/>
      <c r="Q3" s="26"/>
      <c r="R3" s="38">
        <v>0.0</v>
      </c>
      <c r="T3" s="39">
        <v>0.0</v>
      </c>
      <c r="V3" s="37"/>
      <c r="X3" s="37"/>
      <c r="Z3" s="37"/>
      <c r="AB3" s="37"/>
      <c r="AC3" s="26"/>
      <c r="AD3" s="37"/>
      <c r="AF3" s="37"/>
      <c r="AH3" s="37"/>
      <c r="AJ3" s="36"/>
      <c r="AL3" s="37"/>
      <c r="AN3" s="37"/>
      <c r="AP3" s="37"/>
      <c r="AR3" s="37"/>
      <c r="AT3" s="37"/>
      <c r="AU3" s="26"/>
      <c r="AV3" s="29">
        <f t="shared" ref="AV3:AV359" si="1">(F3*G$2)+(H3*I$2)+(J3*K$2)+(L3*M$2)+(N3*O$2)+(P3*Q$2)+(R3*S$2)+(T3*U$2)+(V3*W$2)+(X3*Y$2)+(Z3*AA$2)+(AB3*AC$2)+(AJ3*AK$2)+(AL3*AM$2)+(AN3*AO$2)+(AP3*AQ$2)+(AR3*AS$2)+(AT3*AU$2)+(AD3*AE$2)+(AF3*AG$2)+(AH3*AI$2)</f>
        <v>0</v>
      </c>
      <c r="AW3" s="21">
        <f t="shared" ref="AW3:AW359" si="2">sum(F3,H3,J3,L3,R3,T3,V3,AD3,AF3,AH3,AJ3,AL3,AN3,AP3,AR3,AT3)</f>
        <v>0</v>
      </c>
      <c r="AX3" s="21">
        <f t="shared" ref="AX3:AX359" si="3">sum(N3,P3,X3,Z3)</f>
        <v>0</v>
      </c>
      <c r="AY3" s="21">
        <f t="shared" ref="AY3:AY359" si="4">sum(F3:AU3)</f>
        <v>0</v>
      </c>
      <c r="AZ3" s="30" t="str">
        <f t="shared" ref="AZ3:AZ359" si="5">iferror(AV3/AY3,"")</f>
        <v/>
      </c>
    </row>
    <row r="4" ht="15.75" customHeight="1">
      <c r="A4" s="31" t="s">
        <v>33</v>
      </c>
      <c r="B4" s="32">
        <f t="shared" ref="B4:B359" si="6">B3+1</f>
        <v>44564</v>
      </c>
      <c r="C4" s="33">
        <v>1.0</v>
      </c>
      <c r="D4" s="33" t="s">
        <v>31</v>
      </c>
      <c r="E4" s="34"/>
      <c r="F4" s="36"/>
      <c r="H4" s="37"/>
      <c r="J4" s="37"/>
      <c r="L4" s="37"/>
      <c r="N4" s="37"/>
      <c r="P4" s="37"/>
      <c r="Q4" s="26"/>
      <c r="R4" s="38">
        <v>0.0</v>
      </c>
      <c r="T4" s="39">
        <v>0.0</v>
      </c>
      <c r="V4" s="37"/>
      <c r="X4" s="37"/>
      <c r="Z4" s="37"/>
      <c r="AB4" s="37"/>
      <c r="AC4" s="26"/>
      <c r="AD4" s="37"/>
      <c r="AF4" s="37"/>
      <c r="AH4" s="37"/>
      <c r="AJ4" s="36"/>
      <c r="AL4" s="37"/>
      <c r="AN4" s="37"/>
      <c r="AP4" s="37"/>
      <c r="AR4" s="37"/>
      <c r="AT4" s="37"/>
      <c r="AU4" s="26"/>
      <c r="AV4" s="35">
        <f t="shared" si="1"/>
        <v>0</v>
      </c>
      <c r="AW4" s="33">
        <f t="shared" si="2"/>
        <v>0</v>
      </c>
      <c r="AX4" s="33">
        <f t="shared" si="3"/>
        <v>0</v>
      </c>
      <c r="AY4" s="33">
        <f t="shared" si="4"/>
        <v>0</v>
      </c>
      <c r="AZ4" s="30" t="str">
        <f t="shared" si="5"/>
        <v/>
      </c>
    </row>
    <row r="5" ht="15.75" customHeight="1">
      <c r="A5" s="31" t="s">
        <v>34</v>
      </c>
      <c r="B5" s="32">
        <f t="shared" si="6"/>
        <v>44565</v>
      </c>
      <c r="C5" s="33">
        <v>1.0</v>
      </c>
      <c r="D5" s="33" t="s">
        <v>31</v>
      </c>
      <c r="E5" s="34"/>
      <c r="F5" s="36"/>
      <c r="H5" s="37"/>
      <c r="J5" s="37"/>
      <c r="L5" s="37"/>
      <c r="N5" s="37"/>
      <c r="P5" s="37"/>
      <c r="Q5" s="26"/>
      <c r="R5" s="38">
        <v>0.0</v>
      </c>
      <c r="T5" s="39">
        <v>0.0</v>
      </c>
      <c r="V5" s="37"/>
      <c r="X5" s="37"/>
      <c r="Z5" s="37"/>
      <c r="AB5" s="37"/>
      <c r="AC5" s="26"/>
      <c r="AD5" s="37"/>
      <c r="AF5" s="37"/>
      <c r="AH5" s="37"/>
      <c r="AJ5" s="36"/>
      <c r="AL5" s="37"/>
      <c r="AN5" s="37"/>
      <c r="AP5" s="37"/>
      <c r="AR5" s="37"/>
      <c r="AT5" s="37"/>
      <c r="AU5" s="26"/>
      <c r="AV5" s="35">
        <f t="shared" si="1"/>
        <v>0</v>
      </c>
      <c r="AW5" s="33">
        <f t="shared" si="2"/>
        <v>0</v>
      </c>
      <c r="AX5" s="33">
        <f t="shared" si="3"/>
        <v>0</v>
      </c>
      <c r="AY5" s="33">
        <f t="shared" si="4"/>
        <v>0</v>
      </c>
      <c r="AZ5" s="30" t="str">
        <f t="shared" si="5"/>
        <v/>
      </c>
    </row>
    <row r="6" ht="15.75" customHeight="1">
      <c r="A6" s="31" t="s">
        <v>35</v>
      </c>
      <c r="B6" s="32">
        <f t="shared" si="6"/>
        <v>44566</v>
      </c>
      <c r="C6" s="33">
        <v>1.0</v>
      </c>
      <c r="D6" s="33" t="s">
        <v>31</v>
      </c>
      <c r="E6" s="34"/>
      <c r="F6" s="36"/>
      <c r="H6" s="37"/>
      <c r="J6" s="37"/>
      <c r="L6" s="37"/>
      <c r="N6" s="37"/>
      <c r="P6" s="37"/>
      <c r="Q6" s="26"/>
      <c r="R6" s="38">
        <v>0.0</v>
      </c>
      <c r="T6" s="39">
        <v>0.0</v>
      </c>
      <c r="V6" s="37"/>
      <c r="X6" s="37"/>
      <c r="Z6" s="37"/>
      <c r="AB6" s="37"/>
      <c r="AC6" s="26"/>
      <c r="AD6" s="37"/>
      <c r="AF6" s="37"/>
      <c r="AH6" s="37"/>
      <c r="AJ6" s="36"/>
      <c r="AL6" s="37"/>
      <c r="AN6" s="37"/>
      <c r="AP6" s="37"/>
      <c r="AR6" s="37"/>
      <c r="AT6" s="37"/>
      <c r="AU6" s="26"/>
      <c r="AV6" s="35">
        <f t="shared" si="1"/>
        <v>0</v>
      </c>
      <c r="AW6" s="33">
        <f t="shared" si="2"/>
        <v>0</v>
      </c>
      <c r="AX6" s="33">
        <f t="shared" si="3"/>
        <v>0</v>
      </c>
      <c r="AY6" s="33">
        <f t="shared" si="4"/>
        <v>0</v>
      </c>
      <c r="AZ6" s="30" t="str">
        <f t="shared" si="5"/>
        <v/>
      </c>
    </row>
    <row r="7" ht="15.75" customHeight="1">
      <c r="A7" s="31" t="s">
        <v>38</v>
      </c>
      <c r="B7" s="32">
        <f t="shared" si="6"/>
        <v>44567</v>
      </c>
      <c r="C7" s="33">
        <v>1.0</v>
      </c>
      <c r="D7" s="33" t="s">
        <v>31</v>
      </c>
      <c r="E7" s="34"/>
      <c r="F7" s="36"/>
      <c r="H7" s="37"/>
      <c r="J7" s="37"/>
      <c r="L7" s="37"/>
      <c r="N7" s="37"/>
      <c r="P7" s="37"/>
      <c r="Q7" s="26"/>
      <c r="R7" s="38">
        <v>0.0</v>
      </c>
      <c r="T7" s="39">
        <v>0.0</v>
      </c>
      <c r="V7" s="37"/>
      <c r="X7" s="37"/>
      <c r="Z7" s="37"/>
      <c r="AB7" s="37"/>
      <c r="AC7" s="26"/>
      <c r="AD7" s="37"/>
      <c r="AF7" s="37"/>
      <c r="AH7" s="37"/>
      <c r="AJ7" s="36"/>
      <c r="AL7" s="37"/>
      <c r="AN7" s="37"/>
      <c r="AP7" s="37"/>
      <c r="AR7" s="37"/>
      <c r="AT7" s="37"/>
      <c r="AU7" s="26"/>
      <c r="AV7" s="35">
        <f t="shared" si="1"/>
        <v>0</v>
      </c>
      <c r="AW7" s="33">
        <f t="shared" si="2"/>
        <v>0</v>
      </c>
      <c r="AX7" s="33">
        <f t="shared" si="3"/>
        <v>0</v>
      </c>
      <c r="AY7" s="33">
        <f t="shared" si="4"/>
        <v>0</v>
      </c>
      <c r="AZ7" s="30" t="str">
        <f t="shared" si="5"/>
        <v/>
      </c>
    </row>
    <row r="8" ht="15.75" customHeight="1">
      <c r="A8" s="31" t="s">
        <v>45</v>
      </c>
      <c r="B8" s="32">
        <f t="shared" si="6"/>
        <v>44568</v>
      </c>
      <c r="C8" s="33">
        <v>1.0</v>
      </c>
      <c r="D8" s="33" t="s">
        <v>31</v>
      </c>
      <c r="E8" s="34"/>
      <c r="F8" s="36"/>
      <c r="H8" s="37"/>
      <c r="J8" s="37"/>
      <c r="L8" s="37"/>
      <c r="N8" s="37"/>
      <c r="P8" s="37"/>
      <c r="Q8" s="26"/>
      <c r="R8" s="38">
        <v>0.0</v>
      </c>
      <c r="T8" s="39">
        <v>0.0</v>
      </c>
      <c r="V8" s="37"/>
      <c r="X8" s="37"/>
      <c r="Z8" s="37"/>
      <c r="AB8" s="37"/>
      <c r="AC8" s="26"/>
      <c r="AD8" s="37"/>
      <c r="AF8" s="37"/>
      <c r="AH8" s="37"/>
      <c r="AJ8" s="36"/>
      <c r="AL8" s="37"/>
      <c r="AN8" s="37"/>
      <c r="AP8" s="37"/>
      <c r="AR8" s="37"/>
      <c r="AT8" s="37"/>
      <c r="AU8" s="26"/>
      <c r="AV8" s="35">
        <f t="shared" si="1"/>
        <v>0</v>
      </c>
      <c r="AW8" s="33">
        <f t="shared" si="2"/>
        <v>0</v>
      </c>
      <c r="AX8" s="33">
        <f t="shared" si="3"/>
        <v>0</v>
      </c>
      <c r="AY8" s="33">
        <f t="shared" si="4"/>
        <v>0</v>
      </c>
      <c r="AZ8" s="30" t="str">
        <f t="shared" si="5"/>
        <v/>
      </c>
    </row>
    <row r="9" ht="15.75" customHeight="1">
      <c r="A9" s="44" t="s">
        <v>46</v>
      </c>
      <c r="B9" s="45">
        <f t="shared" si="6"/>
        <v>44569</v>
      </c>
      <c r="C9" s="46">
        <v>1.0</v>
      </c>
      <c r="D9" s="46" t="s">
        <v>31</v>
      </c>
      <c r="E9" s="47"/>
      <c r="F9" s="60"/>
      <c r="G9" s="51"/>
      <c r="H9" s="61"/>
      <c r="I9" s="51"/>
      <c r="J9" s="61"/>
      <c r="K9" s="51"/>
      <c r="L9" s="61"/>
      <c r="M9" s="51"/>
      <c r="N9" s="61"/>
      <c r="O9" s="51"/>
      <c r="P9" s="61"/>
      <c r="Q9" s="53"/>
      <c r="R9" s="62">
        <v>0.0</v>
      </c>
      <c r="S9" s="51"/>
      <c r="T9" s="63">
        <v>0.0</v>
      </c>
      <c r="U9" s="51"/>
      <c r="V9" s="61"/>
      <c r="W9" s="51"/>
      <c r="X9" s="61"/>
      <c r="Y9" s="51"/>
      <c r="Z9" s="61"/>
      <c r="AA9" s="51"/>
      <c r="AB9" s="61"/>
      <c r="AC9" s="53"/>
      <c r="AD9" s="61"/>
      <c r="AE9" s="51"/>
      <c r="AF9" s="61"/>
      <c r="AG9" s="51"/>
      <c r="AH9" s="61"/>
      <c r="AI9" s="51"/>
      <c r="AJ9" s="60"/>
      <c r="AK9" s="51"/>
      <c r="AL9" s="61"/>
      <c r="AM9" s="51"/>
      <c r="AN9" s="61"/>
      <c r="AO9" s="51"/>
      <c r="AP9" s="61"/>
      <c r="AQ9" s="51"/>
      <c r="AR9" s="61"/>
      <c r="AS9" s="51"/>
      <c r="AT9" s="61"/>
      <c r="AU9" s="53"/>
      <c r="AV9" s="55">
        <f t="shared" si="1"/>
        <v>0</v>
      </c>
      <c r="AW9" s="46">
        <f t="shared" si="2"/>
        <v>0</v>
      </c>
      <c r="AX9" s="46">
        <f t="shared" si="3"/>
        <v>0</v>
      </c>
      <c r="AY9" s="46">
        <f t="shared" si="4"/>
        <v>0</v>
      </c>
      <c r="AZ9" s="56" t="str">
        <f t="shared" si="5"/>
        <v/>
      </c>
    </row>
    <row r="10" ht="15.75" customHeight="1">
      <c r="A10" s="19" t="s">
        <v>30</v>
      </c>
      <c r="B10" s="57">
        <f t="shared" si="6"/>
        <v>44570</v>
      </c>
      <c r="C10" s="21">
        <v>1.0</v>
      </c>
      <c r="D10" s="21" t="s">
        <v>47</v>
      </c>
      <c r="E10" s="23"/>
      <c r="F10" s="36"/>
      <c r="H10" s="37"/>
      <c r="J10" s="37"/>
      <c r="L10" s="37"/>
      <c r="N10" s="37"/>
      <c r="P10" s="37"/>
      <c r="Q10" s="26"/>
      <c r="R10" s="38">
        <v>0.0</v>
      </c>
      <c r="T10" s="39">
        <v>0.0</v>
      </c>
      <c r="V10" s="37"/>
      <c r="X10" s="37"/>
      <c r="Z10" s="37"/>
      <c r="AB10" s="37"/>
      <c r="AC10" s="26"/>
      <c r="AD10" s="37"/>
      <c r="AF10" s="37"/>
      <c r="AH10" s="37"/>
      <c r="AJ10" s="36"/>
      <c r="AL10" s="37"/>
      <c r="AN10" s="37"/>
      <c r="AP10" s="37"/>
      <c r="AR10" s="37"/>
      <c r="AT10" s="37"/>
      <c r="AU10" s="26"/>
      <c r="AV10" s="29">
        <f t="shared" si="1"/>
        <v>0</v>
      </c>
      <c r="AW10" s="21">
        <f t="shared" si="2"/>
        <v>0</v>
      </c>
      <c r="AX10" s="21">
        <f t="shared" si="3"/>
        <v>0</v>
      </c>
      <c r="AY10" s="21">
        <f t="shared" si="4"/>
        <v>0</v>
      </c>
      <c r="AZ10" s="58" t="str">
        <f t="shared" si="5"/>
        <v/>
      </c>
    </row>
    <row r="11" ht="15.75" customHeight="1">
      <c r="A11" s="31" t="s">
        <v>33</v>
      </c>
      <c r="B11" s="32">
        <f t="shared" si="6"/>
        <v>44571</v>
      </c>
      <c r="C11" s="33">
        <v>1.0</v>
      </c>
      <c r="D11" s="33" t="s">
        <v>47</v>
      </c>
      <c r="E11" s="34"/>
      <c r="F11" s="36"/>
      <c r="H11" s="37"/>
      <c r="J11" s="37"/>
      <c r="L11" s="37"/>
      <c r="N11" s="37"/>
      <c r="P11" s="37"/>
      <c r="Q11" s="26"/>
      <c r="R11" s="38">
        <v>0.0</v>
      </c>
      <c r="T11" s="39">
        <v>0.0</v>
      </c>
      <c r="V11" s="37"/>
      <c r="X11" s="37"/>
      <c r="Z11" s="37"/>
      <c r="AB11" s="37"/>
      <c r="AC11" s="26"/>
      <c r="AD11" s="37"/>
      <c r="AF11" s="37"/>
      <c r="AH11" s="37"/>
      <c r="AJ11" s="36"/>
      <c r="AL11" s="37"/>
      <c r="AN11" s="37"/>
      <c r="AP11" s="37"/>
      <c r="AR11" s="37"/>
      <c r="AT11" s="37"/>
      <c r="AU11" s="26"/>
      <c r="AV11" s="35">
        <f t="shared" si="1"/>
        <v>0</v>
      </c>
      <c r="AW11" s="33">
        <f t="shared" si="2"/>
        <v>0</v>
      </c>
      <c r="AX11" s="33">
        <f t="shared" si="3"/>
        <v>0</v>
      </c>
      <c r="AY11" s="33">
        <f t="shared" si="4"/>
        <v>0</v>
      </c>
      <c r="AZ11" s="30" t="str">
        <f t="shared" si="5"/>
        <v/>
      </c>
    </row>
    <row r="12" ht="15.75" customHeight="1">
      <c r="A12" s="31" t="s">
        <v>34</v>
      </c>
      <c r="B12" s="32">
        <f t="shared" si="6"/>
        <v>44572</v>
      </c>
      <c r="C12" s="33">
        <v>1.0</v>
      </c>
      <c r="D12" s="33" t="s">
        <v>47</v>
      </c>
      <c r="E12" s="34"/>
      <c r="F12" s="36"/>
      <c r="H12" s="37"/>
      <c r="J12" s="37"/>
      <c r="L12" s="37"/>
      <c r="N12" s="37"/>
      <c r="P12" s="37"/>
      <c r="Q12" s="26"/>
      <c r="R12" s="38">
        <v>90.0</v>
      </c>
      <c r="T12" s="39">
        <v>90.0</v>
      </c>
      <c r="V12" s="37"/>
      <c r="X12" s="37"/>
      <c r="Z12" s="37"/>
      <c r="AB12" s="37"/>
      <c r="AC12" s="26"/>
      <c r="AD12" s="37"/>
      <c r="AF12" s="37"/>
      <c r="AH12" s="37"/>
      <c r="AJ12" s="36"/>
      <c r="AL12" s="37"/>
      <c r="AN12" s="37"/>
      <c r="AP12" s="37"/>
      <c r="AR12" s="37"/>
      <c r="AT12" s="37"/>
      <c r="AU12" s="26"/>
      <c r="AV12" s="35">
        <f t="shared" si="1"/>
        <v>1825.2</v>
      </c>
      <c r="AW12" s="33">
        <f t="shared" si="2"/>
        <v>180</v>
      </c>
      <c r="AX12" s="33">
        <f t="shared" si="3"/>
        <v>0</v>
      </c>
      <c r="AY12" s="33">
        <f t="shared" si="4"/>
        <v>180</v>
      </c>
      <c r="AZ12" s="30">
        <f t="shared" si="5"/>
        <v>10.14</v>
      </c>
    </row>
    <row r="13" ht="15.75" customHeight="1">
      <c r="A13" s="31" t="s">
        <v>35</v>
      </c>
      <c r="B13" s="32">
        <f t="shared" si="6"/>
        <v>44573</v>
      </c>
      <c r="C13" s="33">
        <v>1.0</v>
      </c>
      <c r="D13" s="33" t="s">
        <v>47</v>
      </c>
      <c r="E13" s="34"/>
      <c r="F13" s="36"/>
      <c r="H13" s="37"/>
      <c r="J13" s="37"/>
      <c r="L13" s="37"/>
      <c r="N13" s="37"/>
      <c r="P13" s="37"/>
      <c r="Q13" s="26"/>
      <c r="R13" s="38">
        <v>90.0</v>
      </c>
      <c r="T13" s="39">
        <v>90.0</v>
      </c>
      <c r="V13" s="37"/>
      <c r="X13" s="37"/>
      <c r="Z13" s="37"/>
      <c r="AB13" s="37"/>
      <c r="AC13" s="26"/>
      <c r="AD13" s="37"/>
      <c r="AF13" s="37"/>
      <c r="AH13" s="37"/>
      <c r="AJ13" s="36"/>
      <c r="AL13" s="37"/>
      <c r="AN13" s="37"/>
      <c r="AP13" s="37"/>
      <c r="AR13" s="37"/>
      <c r="AT13" s="37"/>
      <c r="AU13" s="26"/>
      <c r="AV13" s="35">
        <f t="shared" si="1"/>
        <v>1825.2</v>
      </c>
      <c r="AW13" s="33">
        <f t="shared" si="2"/>
        <v>180</v>
      </c>
      <c r="AX13" s="33">
        <f t="shared" si="3"/>
        <v>0</v>
      </c>
      <c r="AY13" s="33">
        <f t="shared" si="4"/>
        <v>180</v>
      </c>
      <c r="AZ13" s="30">
        <f t="shared" si="5"/>
        <v>10.14</v>
      </c>
    </row>
    <row r="14" ht="15.75" customHeight="1">
      <c r="A14" s="31" t="s">
        <v>38</v>
      </c>
      <c r="B14" s="32">
        <f t="shared" si="6"/>
        <v>44574</v>
      </c>
      <c r="C14" s="33">
        <v>1.0</v>
      </c>
      <c r="D14" s="33" t="s">
        <v>47</v>
      </c>
      <c r="E14" s="34"/>
      <c r="F14" s="36"/>
      <c r="H14" s="37"/>
      <c r="J14" s="37"/>
      <c r="L14" s="37"/>
      <c r="N14" s="37"/>
      <c r="P14" s="37"/>
      <c r="Q14" s="26"/>
      <c r="R14" s="38">
        <v>90.0</v>
      </c>
      <c r="T14" s="39">
        <v>90.0</v>
      </c>
      <c r="V14" s="37"/>
      <c r="X14" s="37"/>
      <c r="Z14" s="37"/>
      <c r="AB14" s="37"/>
      <c r="AC14" s="26"/>
      <c r="AD14" s="37"/>
      <c r="AF14" s="37"/>
      <c r="AH14" s="37"/>
      <c r="AJ14" s="36"/>
      <c r="AL14" s="37"/>
      <c r="AN14" s="37"/>
      <c r="AP14" s="37"/>
      <c r="AR14" s="37"/>
      <c r="AT14" s="37"/>
      <c r="AU14" s="26"/>
      <c r="AV14" s="35">
        <f t="shared" si="1"/>
        <v>1825.2</v>
      </c>
      <c r="AW14" s="33">
        <f t="shared" si="2"/>
        <v>180</v>
      </c>
      <c r="AX14" s="33">
        <f t="shared" si="3"/>
        <v>0</v>
      </c>
      <c r="AY14" s="33">
        <f t="shared" si="4"/>
        <v>180</v>
      </c>
      <c r="AZ14" s="30">
        <f t="shared" si="5"/>
        <v>10.14</v>
      </c>
    </row>
    <row r="15" ht="15.75" customHeight="1">
      <c r="A15" s="31" t="s">
        <v>45</v>
      </c>
      <c r="B15" s="32">
        <f t="shared" si="6"/>
        <v>44575</v>
      </c>
      <c r="C15" s="33">
        <v>1.0</v>
      </c>
      <c r="D15" s="33" t="s">
        <v>47</v>
      </c>
      <c r="E15" s="34"/>
      <c r="F15" s="36"/>
      <c r="H15" s="37"/>
      <c r="J15" s="37"/>
      <c r="L15" s="37"/>
      <c r="N15" s="37"/>
      <c r="P15" s="37"/>
      <c r="Q15" s="26"/>
      <c r="R15" s="38">
        <v>90.0</v>
      </c>
      <c r="T15" s="39">
        <v>90.0</v>
      </c>
      <c r="V15" s="37"/>
      <c r="X15" s="37"/>
      <c r="Z15" s="37"/>
      <c r="AB15" s="37"/>
      <c r="AC15" s="26"/>
      <c r="AD15" s="37"/>
      <c r="AF15" s="37"/>
      <c r="AH15" s="37"/>
      <c r="AJ15" s="36"/>
      <c r="AL15" s="37"/>
      <c r="AN15" s="37"/>
      <c r="AP15" s="37"/>
      <c r="AR15" s="37"/>
      <c r="AT15" s="37"/>
      <c r="AU15" s="26"/>
      <c r="AV15" s="35">
        <f t="shared" si="1"/>
        <v>1825.2</v>
      </c>
      <c r="AW15" s="33">
        <f t="shared" si="2"/>
        <v>180</v>
      </c>
      <c r="AX15" s="33">
        <f t="shared" si="3"/>
        <v>0</v>
      </c>
      <c r="AY15" s="33">
        <f t="shared" si="4"/>
        <v>180</v>
      </c>
      <c r="AZ15" s="30">
        <f t="shared" si="5"/>
        <v>10.14</v>
      </c>
    </row>
    <row r="16" ht="15.75" customHeight="1">
      <c r="A16" s="44" t="s">
        <v>46</v>
      </c>
      <c r="B16" s="45">
        <f t="shared" si="6"/>
        <v>44576</v>
      </c>
      <c r="C16" s="46">
        <v>1.0</v>
      </c>
      <c r="D16" s="46" t="s">
        <v>47</v>
      </c>
      <c r="E16" s="47"/>
      <c r="F16" s="60"/>
      <c r="G16" s="51"/>
      <c r="H16" s="61"/>
      <c r="I16" s="51"/>
      <c r="J16" s="61"/>
      <c r="K16" s="51"/>
      <c r="L16" s="61"/>
      <c r="M16" s="51"/>
      <c r="N16" s="61"/>
      <c r="O16" s="51"/>
      <c r="P16" s="61"/>
      <c r="Q16" s="53"/>
      <c r="R16" s="62">
        <v>0.0</v>
      </c>
      <c r="S16" s="51"/>
      <c r="T16" s="63">
        <v>0.0</v>
      </c>
      <c r="U16" s="51"/>
      <c r="V16" s="61"/>
      <c r="W16" s="51"/>
      <c r="X16" s="61"/>
      <c r="Y16" s="51"/>
      <c r="Z16" s="61"/>
      <c r="AA16" s="51"/>
      <c r="AB16" s="61"/>
      <c r="AC16" s="53"/>
      <c r="AD16" s="61"/>
      <c r="AE16" s="51"/>
      <c r="AF16" s="61"/>
      <c r="AG16" s="51"/>
      <c r="AH16" s="61"/>
      <c r="AI16" s="51"/>
      <c r="AJ16" s="60"/>
      <c r="AK16" s="51"/>
      <c r="AL16" s="61"/>
      <c r="AM16" s="51"/>
      <c r="AN16" s="61"/>
      <c r="AO16" s="51"/>
      <c r="AP16" s="61"/>
      <c r="AQ16" s="51"/>
      <c r="AR16" s="61"/>
      <c r="AS16" s="51"/>
      <c r="AT16" s="61"/>
      <c r="AU16" s="53"/>
      <c r="AV16" s="55">
        <f t="shared" si="1"/>
        <v>0</v>
      </c>
      <c r="AW16" s="46">
        <f t="shared" si="2"/>
        <v>0</v>
      </c>
      <c r="AX16" s="46">
        <f t="shared" si="3"/>
        <v>0</v>
      </c>
      <c r="AY16" s="46">
        <f t="shared" si="4"/>
        <v>0</v>
      </c>
      <c r="AZ16" s="56" t="str">
        <f t="shared" si="5"/>
        <v/>
      </c>
    </row>
    <row r="17" ht="15.75" customHeight="1">
      <c r="A17" s="19" t="s">
        <v>30</v>
      </c>
      <c r="B17" s="57">
        <f t="shared" si="6"/>
        <v>44577</v>
      </c>
      <c r="C17" s="21">
        <v>1.0</v>
      </c>
      <c r="D17" s="21" t="s">
        <v>48</v>
      </c>
      <c r="E17" s="23"/>
      <c r="F17" s="36"/>
      <c r="H17" s="37"/>
      <c r="J17" s="37"/>
      <c r="L17" s="37"/>
      <c r="N17" s="37"/>
      <c r="P17" s="37"/>
      <c r="Q17" s="26"/>
      <c r="R17" s="38">
        <v>90.0</v>
      </c>
      <c r="T17" s="39">
        <v>90.0</v>
      </c>
      <c r="V17" s="37"/>
      <c r="X17" s="37"/>
      <c r="Z17" s="37"/>
      <c r="AB17" s="37"/>
      <c r="AC17" s="26"/>
      <c r="AD17" s="37"/>
      <c r="AF17" s="37"/>
      <c r="AH17" s="37"/>
      <c r="AJ17" s="36"/>
      <c r="AL17" s="37"/>
      <c r="AN17" s="37"/>
      <c r="AP17" s="37"/>
      <c r="AR17" s="37"/>
      <c r="AT17" s="37"/>
      <c r="AU17" s="26"/>
      <c r="AV17" s="29">
        <f t="shared" si="1"/>
        <v>1825.2</v>
      </c>
      <c r="AW17" s="21">
        <f t="shared" si="2"/>
        <v>180</v>
      </c>
      <c r="AX17" s="21">
        <f t="shared" si="3"/>
        <v>0</v>
      </c>
      <c r="AY17" s="21">
        <f t="shared" si="4"/>
        <v>180</v>
      </c>
      <c r="AZ17" s="58">
        <f t="shared" si="5"/>
        <v>10.14</v>
      </c>
    </row>
    <row r="18" ht="15.75" customHeight="1">
      <c r="A18" s="31" t="s">
        <v>33</v>
      </c>
      <c r="B18" s="32">
        <f t="shared" si="6"/>
        <v>44578</v>
      </c>
      <c r="C18" s="33">
        <v>1.0</v>
      </c>
      <c r="D18" s="33" t="s">
        <v>48</v>
      </c>
      <c r="E18" s="34"/>
      <c r="F18" s="36"/>
      <c r="H18" s="37"/>
      <c r="J18" s="37"/>
      <c r="L18" s="37"/>
      <c r="N18" s="37"/>
      <c r="P18" s="37"/>
      <c r="Q18" s="26"/>
      <c r="R18" s="38">
        <v>90.0</v>
      </c>
      <c r="T18" s="39">
        <v>90.0</v>
      </c>
      <c r="V18" s="37"/>
      <c r="X18" s="37"/>
      <c r="Z18" s="37"/>
      <c r="AB18" s="37"/>
      <c r="AC18" s="26"/>
      <c r="AD18" s="37"/>
      <c r="AF18" s="37"/>
      <c r="AH18" s="37"/>
      <c r="AJ18" s="36"/>
      <c r="AL18" s="37"/>
      <c r="AN18" s="37"/>
      <c r="AP18" s="37"/>
      <c r="AR18" s="37"/>
      <c r="AT18" s="37"/>
      <c r="AU18" s="26"/>
      <c r="AV18" s="35">
        <f t="shared" si="1"/>
        <v>1825.2</v>
      </c>
      <c r="AW18" s="33">
        <f t="shared" si="2"/>
        <v>180</v>
      </c>
      <c r="AX18" s="33">
        <f t="shared" si="3"/>
        <v>0</v>
      </c>
      <c r="AY18" s="33">
        <f t="shared" si="4"/>
        <v>180</v>
      </c>
      <c r="AZ18" s="30">
        <f t="shared" si="5"/>
        <v>10.14</v>
      </c>
    </row>
    <row r="19" ht="15.75" customHeight="1">
      <c r="A19" s="31" t="s">
        <v>34</v>
      </c>
      <c r="B19" s="32">
        <f t="shared" si="6"/>
        <v>44579</v>
      </c>
      <c r="C19" s="33">
        <v>1.0</v>
      </c>
      <c r="D19" s="33" t="s">
        <v>48</v>
      </c>
      <c r="E19" s="34"/>
      <c r="F19" s="36"/>
      <c r="H19" s="37"/>
      <c r="J19" s="37"/>
      <c r="L19" s="37"/>
      <c r="N19" s="37"/>
      <c r="P19" s="37"/>
      <c r="Q19" s="26"/>
      <c r="R19" s="38">
        <v>90.0</v>
      </c>
      <c r="T19" s="39">
        <v>90.0</v>
      </c>
      <c r="V19" s="37"/>
      <c r="X19" s="37"/>
      <c r="Z19" s="37"/>
      <c r="AB19" s="37"/>
      <c r="AC19" s="26"/>
      <c r="AD19" s="37"/>
      <c r="AF19" s="37"/>
      <c r="AH19" s="37"/>
      <c r="AJ19" s="36"/>
      <c r="AL19" s="37"/>
      <c r="AN19" s="37"/>
      <c r="AP19" s="37"/>
      <c r="AR19" s="37"/>
      <c r="AT19" s="37"/>
      <c r="AU19" s="26"/>
      <c r="AV19" s="35">
        <f t="shared" si="1"/>
        <v>1825.2</v>
      </c>
      <c r="AW19" s="33">
        <f t="shared" si="2"/>
        <v>180</v>
      </c>
      <c r="AX19" s="33">
        <f t="shared" si="3"/>
        <v>0</v>
      </c>
      <c r="AY19" s="33">
        <f t="shared" si="4"/>
        <v>180</v>
      </c>
      <c r="AZ19" s="30">
        <f t="shared" si="5"/>
        <v>10.14</v>
      </c>
    </row>
    <row r="20" ht="15.75" customHeight="1">
      <c r="A20" s="31" t="s">
        <v>35</v>
      </c>
      <c r="B20" s="32">
        <f t="shared" si="6"/>
        <v>44580</v>
      </c>
      <c r="C20" s="33">
        <v>1.0</v>
      </c>
      <c r="D20" s="33" t="s">
        <v>48</v>
      </c>
      <c r="E20" s="34"/>
      <c r="F20" s="36"/>
      <c r="H20" s="37"/>
      <c r="J20" s="37"/>
      <c r="L20" s="37"/>
      <c r="N20" s="37"/>
      <c r="P20" s="37"/>
      <c r="Q20" s="26"/>
      <c r="R20" s="38">
        <v>90.0</v>
      </c>
      <c r="T20" s="39">
        <v>90.0</v>
      </c>
      <c r="V20" s="37"/>
      <c r="X20" s="37"/>
      <c r="Z20" s="37"/>
      <c r="AB20" s="37"/>
      <c r="AC20" s="26"/>
      <c r="AD20" s="37"/>
      <c r="AF20" s="37"/>
      <c r="AH20" s="37"/>
      <c r="AJ20" s="36"/>
      <c r="AL20" s="37"/>
      <c r="AN20" s="37"/>
      <c r="AP20" s="37"/>
      <c r="AR20" s="37"/>
      <c r="AT20" s="37"/>
      <c r="AU20" s="26"/>
      <c r="AV20" s="35">
        <f t="shared" si="1"/>
        <v>1825.2</v>
      </c>
      <c r="AW20" s="33">
        <f t="shared" si="2"/>
        <v>180</v>
      </c>
      <c r="AX20" s="33">
        <f t="shared" si="3"/>
        <v>0</v>
      </c>
      <c r="AY20" s="33">
        <f t="shared" si="4"/>
        <v>180</v>
      </c>
      <c r="AZ20" s="30">
        <f t="shared" si="5"/>
        <v>10.14</v>
      </c>
    </row>
    <row r="21" ht="15.75" customHeight="1">
      <c r="A21" s="31" t="s">
        <v>38</v>
      </c>
      <c r="B21" s="32">
        <f t="shared" si="6"/>
        <v>44581</v>
      </c>
      <c r="C21" s="33">
        <v>1.0</v>
      </c>
      <c r="D21" s="33" t="s">
        <v>48</v>
      </c>
      <c r="E21" s="34"/>
      <c r="F21" s="36"/>
      <c r="H21" s="37"/>
      <c r="J21" s="37"/>
      <c r="L21" s="37"/>
      <c r="N21" s="37"/>
      <c r="P21" s="37"/>
      <c r="Q21" s="26"/>
      <c r="R21" s="38">
        <v>90.0</v>
      </c>
      <c r="T21" s="39">
        <v>90.0</v>
      </c>
      <c r="V21" s="37"/>
      <c r="X21" s="37"/>
      <c r="Z21" s="37"/>
      <c r="AB21" s="37"/>
      <c r="AC21" s="26"/>
      <c r="AD21" s="37"/>
      <c r="AF21" s="37"/>
      <c r="AH21" s="37"/>
      <c r="AJ21" s="36"/>
      <c r="AL21" s="37"/>
      <c r="AN21" s="37"/>
      <c r="AP21" s="37"/>
      <c r="AR21" s="37"/>
      <c r="AT21" s="37"/>
      <c r="AU21" s="26"/>
      <c r="AV21" s="35">
        <f t="shared" si="1"/>
        <v>1825.2</v>
      </c>
      <c r="AW21" s="33">
        <f t="shared" si="2"/>
        <v>180</v>
      </c>
      <c r="AX21" s="33">
        <f t="shared" si="3"/>
        <v>0</v>
      </c>
      <c r="AY21" s="33">
        <f t="shared" si="4"/>
        <v>180</v>
      </c>
      <c r="AZ21" s="30">
        <f t="shared" si="5"/>
        <v>10.14</v>
      </c>
    </row>
    <row r="22" ht="15.75" customHeight="1">
      <c r="A22" s="31" t="s">
        <v>45</v>
      </c>
      <c r="B22" s="32">
        <f t="shared" si="6"/>
        <v>44582</v>
      </c>
      <c r="C22" s="33">
        <v>1.0</v>
      </c>
      <c r="D22" s="33" t="s">
        <v>48</v>
      </c>
      <c r="E22" s="34"/>
      <c r="F22" s="36"/>
      <c r="H22" s="37"/>
      <c r="J22" s="37"/>
      <c r="L22" s="37"/>
      <c r="N22" s="37"/>
      <c r="P22" s="37"/>
      <c r="Q22" s="26"/>
      <c r="R22" s="38">
        <v>90.0</v>
      </c>
      <c r="T22" s="39">
        <v>90.0</v>
      </c>
      <c r="V22" s="37"/>
      <c r="X22" s="37"/>
      <c r="Z22" s="37"/>
      <c r="AB22" s="37"/>
      <c r="AC22" s="26"/>
      <c r="AD22" s="37"/>
      <c r="AF22" s="37"/>
      <c r="AH22" s="37"/>
      <c r="AJ22" s="36"/>
      <c r="AL22" s="37"/>
      <c r="AN22" s="37"/>
      <c r="AP22" s="37"/>
      <c r="AR22" s="37"/>
      <c r="AT22" s="37"/>
      <c r="AU22" s="26"/>
      <c r="AV22" s="35">
        <f t="shared" si="1"/>
        <v>1825.2</v>
      </c>
      <c r="AW22" s="33">
        <f t="shared" si="2"/>
        <v>180</v>
      </c>
      <c r="AX22" s="33">
        <f t="shared" si="3"/>
        <v>0</v>
      </c>
      <c r="AY22" s="33">
        <f t="shared" si="4"/>
        <v>180</v>
      </c>
      <c r="AZ22" s="30">
        <f t="shared" si="5"/>
        <v>10.14</v>
      </c>
    </row>
    <row r="23" ht="15.75" customHeight="1">
      <c r="A23" s="44" t="s">
        <v>46</v>
      </c>
      <c r="B23" s="45">
        <f t="shared" si="6"/>
        <v>44583</v>
      </c>
      <c r="C23" s="46">
        <v>1.0</v>
      </c>
      <c r="D23" s="46" t="s">
        <v>48</v>
      </c>
      <c r="E23" s="47"/>
      <c r="F23" s="60"/>
      <c r="G23" s="51"/>
      <c r="H23" s="61"/>
      <c r="I23" s="51"/>
      <c r="J23" s="61"/>
      <c r="K23" s="51"/>
      <c r="L23" s="61"/>
      <c r="M23" s="51"/>
      <c r="N23" s="61"/>
      <c r="O23" s="51"/>
      <c r="P23" s="61"/>
      <c r="Q23" s="53"/>
      <c r="R23" s="62">
        <v>0.0</v>
      </c>
      <c r="S23" s="51"/>
      <c r="T23" s="63">
        <v>0.0</v>
      </c>
      <c r="U23" s="51"/>
      <c r="V23" s="61"/>
      <c r="W23" s="51"/>
      <c r="X23" s="61"/>
      <c r="Y23" s="51"/>
      <c r="Z23" s="61"/>
      <c r="AA23" s="51"/>
      <c r="AB23" s="61"/>
      <c r="AC23" s="53"/>
      <c r="AD23" s="61"/>
      <c r="AE23" s="51"/>
      <c r="AF23" s="61"/>
      <c r="AG23" s="51"/>
      <c r="AH23" s="61"/>
      <c r="AI23" s="51"/>
      <c r="AJ23" s="60"/>
      <c r="AK23" s="51"/>
      <c r="AL23" s="61"/>
      <c r="AM23" s="51"/>
      <c r="AN23" s="61"/>
      <c r="AO23" s="51"/>
      <c r="AP23" s="61"/>
      <c r="AQ23" s="51"/>
      <c r="AR23" s="61"/>
      <c r="AS23" s="51"/>
      <c r="AT23" s="61"/>
      <c r="AU23" s="53"/>
      <c r="AV23" s="55">
        <f t="shared" si="1"/>
        <v>0</v>
      </c>
      <c r="AW23" s="46">
        <f t="shared" si="2"/>
        <v>0</v>
      </c>
      <c r="AX23" s="46">
        <f t="shared" si="3"/>
        <v>0</v>
      </c>
      <c r="AY23" s="46">
        <f t="shared" si="4"/>
        <v>0</v>
      </c>
      <c r="AZ23" s="56" t="str">
        <f t="shared" si="5"/>
        <v/>
      </c>
    </row>
    <row r="24" ht="15.75" customHeight="1">
      <c r="A24" s="19" t="s">
        <v>30</v>
      </c>
      <c r="B24" s="57">
        <f t="shared" si="6"/>
        <v>44584</v>
      </c>
      <c r="C24" s="21">
        <v>1.0</v>
      </c>
      <c r="D24" s="21" t="s">
        <v>49</v>
      </c>
      <c r="E24" s="23"/>
      <c r="F24" s="36"/>
      <c r="H24" s="37"/>
      <c r="J24" s="37"/>
      <c r="L24" s="37"/>
      <c r="N24" s="37"/>
      <c r="P24" s="37"/>
      <c r="Q24" s="26"/>
      <c r="R24" s="38">
        <v>75.0</v>
      </c>
      <c r="T24" s="39">
        <v>75.0</v>
      </c>
      <c r="V24" s="37"/>
      <c r="X24" s="37"/>
      <c r="Z24" s="37"/>
      <c r="AB24" s="37"/>
      <c r="AC24" s="26"/>
      <c r="AD24" s="37"/>
      <c r="AF24" s="37"/>
      <c r="AH24" s="37"/>
      <c r="AJ24" s="36"/>
      <c r="AL24" s="37"/>
      <c r="AN24" s="37"/>
      <c r="AP24" s="37"/>
      <c r="AR24" s="37"/>
      <c r="AT24" s="37"/>
      <c r="AU24" s="26"/>
      <c r="AV24" s="29">
        <f t="shared" si="1"/>
        <v>1521</v>
      </c>
      <c r="AW24" s="21">
        <f t="shared" si="2"/>
        <v>150</v>
      </c>
      <c r="AX24" s="21">
        <f t="shared" si="3"/>
        <v>0</v>
      </c>
      <c r="AY24" s="21">
        <f t="shared" si="4"/>
        <v>150</v>
      </c>
      <c r="AZ24" s="58">
        <f t="shared" si="5"/>
        <v>10.14</v>
      </c>
    </row>
    <row r="25" ht="15.75" customHeight="1">
      <c r="A25" s="31" t="s">
        <v>33</v>
      </c>
      <c r="B25" s="32">
        <f t="shared" si="6"/>
        <v>44585</v>
      </c>
      <c r="C25" s="33">
        <v>1.0</v>
      </c>
      <c r="D25" s="33" t="s">
        <v>49</v>
      </c>
      <c r="E25" s="34"/>
      <c r="F25" s="36"/>
      <c r="H25" s="37"/>
      <c r="J25" s="37"/>
      <c r="L25" s="37"/>
      <c r="N25" s="37"/>
      <c r="P25" s="37"/>
      <c r="Q25" s="26"/>
      <c r="R25" s="38">
        <v>75.0</v>
      </c>
      <c r="T25" s="39">
        <v>75.0</v>
      </c>
      <c r="V25" s="37"/>
      <c r="X25" s="37"/>
      <c r="Z25" s="37"/>
      <c r="AB25" s="37"/>
      <c r="AC25" s="26"/>
      <c r="AD25" s="37"/>
      <c r="AF25" s="37"/>
      <c r="AH25" s="37"/>
      <c r="AJ25" s="36"/>
      <c r="AL25" s="37"/>
      <c r="AN25" s="37"/>
      <c r="AP25" s="37"/>
      <c r="AR25" s="37"/>
      <c r="AT25" s="37"/>
      <c r="AU25" s="26"/>
      <c r="AV25" s="35">
        <f t="shared" si="1"/>
        <v>1521</v>
      </c>
      <c r="AW25" s="33">
        <f t="shared" si="2"/>
        <v>150</v>
      </c>
      <c r="AX25" s="33">
        <f t="shared" si="3"/>
        <v>0</v>
      </c>
      <c r="AY25" s="33">
        <f t="shared" si="4"/>
        <v>150</v>
      </c>
      <c r="AZ25" s="30">
        <f t="shared" si="5"/>
        <v>10.14</v>
      </c>
    </row>
    <row r="26" ht="15.75" customHeight="1">
      <c r="A26" s="31" t="s">
        <v>34</v>
      </c>
      <c r="B26" s="32">
        <f t="shared" si="6"/>
        <v>44586</v>
      </c>
      <c r="C26" s="33">
        <v>1.0</v>
      </c>
      <c r="D26" s="33" t="s">
        <v>49</v>
      </c>
      <c r="E26" s="34"/>
      <c r="F26" s="36"/>
      <c r="H26" s="37"/>
      <c r="J26" s="37"/>
      <c r="L26" s="37"/>
      <c r="N26" s="37"/>
      <c r="P26" s="37"/>
      <c r="Q26" s="26"/>
      <c r="R26" s="38">
        <v>75.0</v>
      </c>
      <c r="T26" s="39">
        <v>75.0</v>
      </c>
      <c r="V26" s="37"/>
      <c r="X26" s="37"/>
      <c r="Z26" s="37"/>
      <c r="AB26" s="37"/>
      <c r="AC26" s="26"/>
      <c r="AD26" s="37"/>
      <c r="AF26" s="37"/>
      <c r="AH26" s="37"/>
      <c r="AJ26" s="36"/>
      <c r="AL26" s="37"/>
      <c r="AN26" s="37"/>
      <c r="AP26" s="37"/>
      <c r="AR26" s="37"/>
      <c r="AT26" s="37"/>
      <c r="AU26" s="26"/>
      <c r="AV26" s="35">
        <f t="shared" si="1"/>
        <v>1521</v>
      </c>
      <c r="AW26" s="33">
        <f t="shared" si="2"/>
        <v>150</v>
      </c>
      <c r="AX26" s="33">
        <f t="shared" si="3"/>
        <v>0</v>
      </c>
      <c r="AY26" s="33">
        <f t="shared" si="4"/>
        <v>150</v>
      </c>
      <c r="AZ26" s="30">
        <f t="shared" si="5"/>
        <v>10.14</v>
      </c>
    </row>
    <row r="27" ht="15.75" customHeight="1">
      <c r="A27" s="31" t="s">
        <v>35</v>
      </c>
      <c r="B27" s="32">
        <f t="shared" si="6"/>
        <v>44587</v>
      </c>
      <c r="C27" s="33">
        <v>1.0</v>
      </c>
      <c r="D27" s="33" t="s">
        <v>49</v>
      </c>
      <c r="E27" s="34"/>
      <c r="F27" s="36"/>
      <c r="H27" s="37"/>
      <c r="J27" s="37"/>
      <c r="L27" s="37"/>
      <c r="N27" s="37"/>
      <c r="P27" s="37"/>
      <c r="Q27" s="26"/>
      <c r="R27" s="38">
        <v>75.0</v>
      </c>
      <c r="T27" s="39">
        <v>75.0</v>
      </c>
      <c r="V27" s="37"/>
      <c r="X27" s="37"/>
      <c r="Z27" s="37"/>
      <c r="AB27" s="37"/>
      <c r="AC27" s="26"/>
      <c r="AD27" s="37"/>
      <c r="AF27" s="37"/>
      <c r="AH27" s="37"/>
      <c r="AJ27" s="36"/>
      <c r="AL27" s="37"/>
      <c r="AN27" s="37"/>
      <c r="AP27" s="37"/>
      <c r="AR27" s="37"/>
      <c r="AT27" s="37"/>
      <c r="AU27" s="26"/>
      <c r="AV27" s="35">
        <f t="shared" si="1"/>
        <v>1521</v>
      </c>
      <c r="AW27" s="33">
        <f t="shared" si="2"/>
        <v>150</v>
      </c>
      <c r="AX27" s="33">
        <f t="shared" si="3"/>
        <v>0</v>
      </c>
      <c r="AY27" s="33">
        <f t="shared" si="4"/>
        <v>150</v>
      </c>
      <c r="AZ27" s="30">
        <f t="shared" si="5"/>
        <v>10.14</v>
      </c>
    </row>
    <row r="28" ht="15.75" customHeight="1">
      <c r="A28" s="31" t="s">
        <v>38</v>
      </c>
      <c r="B28" s="32">
        <f t="shared" si="6"/>
        <v>44588</v>
      </c>
      <c r="C28" s="33">
        <v>1.0</v>
      </c>
      <c r="D28" s="33" t="s">
        <v>49</v>
      </c>
      <c r="E28" s="34"/>
      <c r="F28" s="36"/>
      <c r="H28" s="37"/>
      <c r="J28" s="37"/>
      <c r="L28" s="37"/>
      <c r="N28" s="37"/>
      <c r="P28" s="37"/>
      <c r="Q28" s="26"/>
      <c r="R28" s="38">
        <v>75.0</v>
      </c>
      <c r="T28" s="39">
        <v>75.0</v>
      </c>
      <c r="V28" s="37"/>
      <c r="X28" s="37"/>
      <c r="Z28" s="37"/>
      <c r="AB28" s="37"/>
      <c r="AC28" s="26"/>
      <c r="AD28" s="37"/>
      <c r="AF28" s="37"/>
      <c r="AH28" s="37"/>
      <c r="AJ28" s="36"/>
      <c r="AL28" s="37"/>
      <c r="AN28" s="37"/>
      <c r="AP28" s="37"/>
      <c r="AR28" s="37"/>
      <c r="AT28" s="37"/>
      <c r="AU28" s="26"/>
      <c r="AV28" s="35">
        <f t="shared" si="1"/>
        <v>1521</v>
      </c>
      <c r="AW28" s="33">
        <f t="shared" si="2"/>
        <v>150</v>
      </c>
      <c r="AX28" s="33">
        <f t="shared" si="3"/>
        <v>0</v>
      </c>
      <c r="AY28" s="33">
        <f t="shared" si="4"/>
        <v>150</v>
      </c>
      <c r="AZ28" s="30">
        <f t="shared" si="5"/>
        <v>10.14</v>
      </c>
    </row>
    <row r="29" ht="15.75" customHeight="1">
      <c r="A29" s="31" t="s">
        <v>45</v>
      </c>
      <c r="B29" s="32">
        <f t="shared" si="6"/>
        <v>44589</v>
      </c>
      <c r="C29" s="33">
        <v>1.0</v>
      </c>
      <c r="D29" s="33" t="s">
        <v>49</v>
      </c>
      <c r="E29" s="34"/>
      <c r="F29" s="36"/>
      <c r="H29" s="37"/>
      <c r="J29" s="37"/>
      <c r="L29" s="37"/>
      <c r="N29" s="37"/>
      <c r="P29" s="37"/>
      <c r="Q29" s="26"/>
      <c r="R29" s="38">
        <v>75.0</v>
      </c>
      <c r="T29" s="39">
        <v>75.0</v>
      </c>
      <c r="V29" s="37"/>
      <c r="X29" s="37"/>
      <c r="Z29" s="37"/>
      <c r="AB29" s="37"/>
      <c r="AC29" s="26"/>
      <c r="AD29" s="37"/>
      <c r="AF29" s="37"/>
      <c r="AH29" s="37"/>
      <c r="AJ29" s="36"/>
      <c r="AL29" s="37"/>
      <c r="AN29" s="37"/>
      <c r="AP29" s="37"/>
      <c r="AR29" s="37"/>
      <c r="AT29" s="37"/>
      <c r="AU29" s="26"/>
      <c r="AV29" s="35">
        <f t="shared" si="1"/>
        <v>1521</v>
      </c>
      <c r="AW29" s="33">
        <f t="shared" si="2"/>
        <v>150</v>
      </c>
      <c r="AX29" s="33">
        <f t="shared" si="3"/>
        <v>0</v>
      </c>
      <c r="AY29" s="33">
        <f t="shared" si="4"/>
        <v>150</v>
      </c>
      <c r="AZ29" s="30">
        <f t="shared" si="5"/>
        <v>10.14</v>
      </c>
    </row>
    <row r="30" ht="15.75" customHeight="1">
      <c r="A30" s="44" t="s">
        <v>46</v>
      </c>
      <c r="B30" s="45">
        <f t="shared" si="6"/>
        <v>44590</v>
      </c>
      <c r="C30" s="46">
        <v>1.0</v>
      </c>
      <c r="D30" s="46" t="s">
        <v>49</v>
      </c>
      <c r="E30" s="47"/>
      <c r="F30" s="60"/>
      <c r="G30" s="51"/>
      <c r="H30" s="61"/>
      <c r="I30" s="51"/>
      <c r="J30" s="61"/>
      <c r="K30" s="51"/>
      <c r="L30" s="61"/>
      <c r="M30" s="51"/>
      <c r="N30" s="61"/>
      <c r="O30" s="51"/>
      <c r="P30" s="61"/>
      <c r="Q30" s="53"/>
      <c r="R30" s="62">
        <v>0.0</v>
      </c>
      <c r="S30" s="51"/>
      <c r="T30" s="63">
        <v>0.0</v>
      </c>
      <c r="U30" s="51"/>
      <c r="V30" s="61"/>
      <c r="W30" s="51"/>
      <c r="X30" s="61"/>
      <c r="Y30" s="51"/>
      <c r="Z30" s="61"/>
      <c r="AA30" s="51"/>
      <c r="AB30" s="61"/>
      <c r="AC30" s="53"/>
      <c r="AD30" s="61"/>
      <c r="AE30" s="51"/>
      <c r="AF30" s="61"/>
      <c r="AG30" s="51"/>
      <c r="AH30" s="61"/>
      <c r="AI30" s="51"/>
      <c r="AJ30" s="60"/>
      <c r="AK30" s="51"/>
      <c r="AL30" s="61"/>
      <c r="AM30" s="51"/>
      <c r="AN30" s="61"/>
      <c r="AO30" s="51"/>
      <c r="AP30" s="61"/>
      <c r="AQ30" s="51"/>
      <c r="AR30" s="61"/>
      <c r="AS30" s="51"/>
      <c r="AT30" s="61"/>
      <c r="AU30" s="53"/>
      <c r="AV30" s="55">
        <f t="shared" si="1"/>
        <v>0</v>
      </c>
      <c r="AW30" s="46">
        <f t="shared" si="2"/>
        <v>0</v>
      </c>
      <c r="AX30" s="46">
        <f t="shared" si="3"/>
        <v>0</v>
      </c>
      <c r="AY30" s="46">
        <f t="shared" si="4"/>
        <v>0</v>
      </c>
      <c r="AZ30" s="56" t="str">
        <f t="shared" si="5"/>
        <v/>
      </c>
    </row>
    <row r="31" ht="15.75" customHeight="1">
      <c r="A31" s="19" t="s">
        <v>30</v>
      </c>
      <c r="B31" s="57">
        <f t="shared" si="6"/>
        <v>44591</v>
      </c>
      <c r="C31" s="69">
        <v>2.0</v>
      </c>
      <c r="D31" s="21" t="s">
        <v>31</v>
      </c>
      <c r="E31" s="23"/>
      <c r="F31" s="36"/>
      <c r="H31" s="37"/>
      <c r="J31" s="37"/>
      <c r="L31" s="37"/>
      <c r="N31" s="37"/>
      <c r="P31" s="37"/>
      <c r="Q31" s="26"/>
      <c r="R31" s="38">
        <v>75.0</v>
      </c>
      <c r="T31" s="39">
        <v>75.0</v>
      </c>
      <c r="V31" s="37"/>
      <c r="X31" s="37"/>
      <c r="Z31" s="37"/>
      <c r="AB31" s="37"/>
      <c r="AC31" s="26"/>
      <c r="AD31" s="37"/>
      <c r="AF31" s="37"/>
      <c r="AH31" s="37"/>
      <c r="AJ31" s="36"/>
      <c r="AL31" s="37"/>
      <c r="AN31" s="37"/>
      <c r="AP31" s="37"/>
      <c r="AR31" s="37"/>
      <c r="AT31" s="37"/>
      <c r="AU31" s="26"/>
      <c r="AV31" s="29">
        <f t="shared" si="1"/>
        <v>1521</v>
      </c>
      <c r="AW31" s="21">
        <f t="shared" si="2"/>
        <v>150</v>
      </c>
      <c r="AX31" s="21">
        <f t="shared" si="3"/>
        <v>0</v>
      </c>
      <c r="AY31" s="21">
        <f t="shared" si="4"/>
        <v>150</v>
      </c>
      <c r="AZ31" s="58">
        <f t="shared" si="5"/>
        <v>10.14</v>
      </c>
    </row>
    <row r="32" ht="15.75" customHeight="1">
      <c r="A32" s="31" t="s">
        <v>33</v>
      </c>
      <c r="B32" s="32">
        <f t="shared" si="6"/>
        <v>44592</v>
      </c>
      <c r="C32" s="70">
        <v>2.0</v>
      </c>
      <c r="D32" s="33" t="s">
        <v>31</v>
      </c>
      <c r="E32" s="34"/>
      <c r="F32" s="36"/>
      <c r="H32" s="37"/>
      <c r="J32" s="37"/>
      <c r="L32" s="37"/>
      <c r="N32" s="37"/>
      <c r="P32" s="37"/>
      <c r="Q32" s="26"/>
      <c r="R32" s="38">
        <v>75.0</v>
      </c>
      <c r="T32" s="39">
        <v>75.0</v>
      </c>
      <c r="V32" s="37"/>
      <c r="X32" s="37"/>
      <c r="Z32" s="37"/>
      <c r="AB32" s="37"/>
      <c r="AC32" s="26"/>
      <c r="AD32" s="37"/>
      <c r="AF32" s="37"/>
      <c r="AH32" s="37"/>
      <c r="AJ32" s="36"/>
      <c r="AL32" s="37"/>
      <c r="AN32" s="37"/>
      <c r="AP32" s="37"/>
      <c r="AR32" s="37"/>
      <c r="AT32" s="37"/>
      <c r="AU32" s="26"/>
      <c r="AV32" s="35">
        <f t="shared" si="1"/>
        <v>1521</v>
      </c>
      <c r="AW32" s="33">
        <f t="shared" si="2"/>
        <v>150</v>
      </c>
      <c r="AX32" s="33">
        <f t="shared" si="3"/>
        <v>0</v>
      </c>
      <c r="AY32" s="33">
        <f t="shared" si="4"/>
        <v>150</v>
      </c>
      <c r="AZ32" s="30">
        <f t="shared" si="5"/>
        <v>10.14</v>
      </c>
    </row>
    <row r="33" ht="15.75" customHeight="1">
      <c r="A33" s="31" t="s">
        <v>34</v>
      </c>
      <c r="B33" s="32">
        <f t="shared" si="6"/>
        <v>44593</v>
      </c>
      <c r="C33" s="70">
        <v>2.0</v>
      </c>
      <c r="D33" s="33" t="s">
        <v>31</v>
      </c>
      <c r="E33" s="34"/>
      <c r="F33" s="36"/>
      <c r="H33" s="37"/>
      <c r="J33" s="37"/>
      <c r="L33" s="37"/>
      <c r="N33" s="37"/>
      <c r="P33" s="37"/>
      <c r="Q33" s="26"/>
      <c r="R33" s="38">
        <v>75.0</v>
      </c>
      <c r="T33" s="39">
        <v>75.0</v>
      </c>
      <c r="V33" s="37"/>
      <c r="X33" s="37"/>
      <c r="Z33" s="37"/>
      <c r="AB33" s="37"/>
      <c r="AC33" s="26"/>
      <c r="AD33" s="37"/>
      <c r="AF33" s="37"/>
      <c r="AH33" s="37"/>
      <c r="AJ33" s="36"/>
      <c r="AL33" s="37"/>
      <c r="AN33" s="37"/>
      <c r="AP33" s="37"/>
      <c r="AR33" s="37"/>
      <c r="AT33" s="37"/>
      <c r="AU33" s="26"/>
      <c r="AV33" s="35">
        <f t="shared" si="1"/>
        <v>1521</v>
      </c>
      <c r="AW33" s="33">
        <f t="shared" si="2"/>
        <v>150</v>
      </c>
      <c r="AX33" s="33">
        <f t="shared" si="3"/>
        <v>0</v>
      </c>
      <c r="AY33" s="33">
        <f t="shared" si="4"/>
        <v>150</v>
      </c>
      <c r="AZ33" s="30">
        <f t="shared" si="5"/>
        <v>10.14</v>
      </c>
    </row>
    <row r="34" ht="15.75" customHeight="1">
      <c r="A34" s="31" t="s">
        <v>35</v>
      </c>
      <c r="B34" s="32">
        <f t="shared" si="6"/>
        <v>44594</v>
      </c>
      <c r="C34" s="70">
        <v>2.0</v>
      </c>
      <c r="D34" s="33" t="s">
        <v>31</v>
      </c>
      <c r="E34" s="34"/>
      <c r="F34" s="36"/>
      <c r="H34" s="37"/>
      <c r="J34" s="37"/>
      <c r="L34" s="37"/>
      <c r="N34" s="37"/>
      <c r="P34" s="37"/>
      <c r="Q34" s="26"/>
      <c r="R34" s="38">
        <v>75.0</v>
      </c>
      <c r="T34" s="39">
        <v>75.0</v>
      </c>
      <c r="V34" s="37"/>
      <c r="X34" s="37"/>
      <c r="Z34" s="37"/>
      <c r="AB34" s="37"/>
      <c r="AC34" s="26"/>
      <c r="AD34" s="37"/>
      <c r="AF34" s="37"/>
      <c r="AH34" s="37"/>
      <c r="AJ34" s="36"/>
      <c r="AL34" s="37"/>
      <c r="AN34" s="37"/>
      <c r="AP34" s="37"/>
      <c r="AR34" s="37"/>
      <c r="AT34" s="37"/>
      <c r="AU34" s="26"/>
      <c r="AV34" s="35">
        <f t="shared" si="1"/>
        <v>1521</v>
      </c>
      <c r="AW34" s="33">
        <f t="shared" si="2"/>
        <v>150</v>
      </c>
      <c r="AX34" s="33">
        <f t="shared" si="3"/>
        <v>0</v>
      </c>
      <c r="AY34" s="33">
        <f t="shared" si="4"/>
        <v>150</v>
      </c>
      <c r="AZ34" s="30">
        <f t="shared" si="5"/>
        <v>10.14</v>
      </c>
    </row>
    <row r="35" ht="15.75" customHeight="1">
      <c r="A35" s="31" t="s">
        <v>38</v>
      </c>
      <c r="B35" s="32">
        <f t="shared" si="6"/>
        <v>44595</v>
      </c>
      <c r="C35" s="70">
        <v>2.0</v>
      </c>
      <c r="D35" s="33" t="s">
        <v>31</v>
      </c>
      <c r="E35" s="34"/>
      <c r="F35" s="36"/>
      <c r="H35" s="37"/>
      <c r="J35" s="37"/>
      <c r="L35" s="37"/>
      <c r="N35" s="37"/>
      <c r="P35" s="37"/>
      <c r="Q35" s="26"/>
      <c r="R35" s="38">
        <v>75.0</v>
      </c>
      <c r="T35" s="39">
        <v>75.0</v>
      </c>
      <c r="V35" s="37"/>
      <c r="X35" s="37"/>
      <c r="Z35" s="37"/>
      <c r="AB35" s="37"/>
      <c r="AC35" s="26"/>
      <c r="AD35" s="37"/>
      <c r="AF35" s="37"/>
      <c r="AH35" s="37"/>
      <c r="AJ35" s="36"/>
      <c r="AL35" s="37"/>
      <c r="AN35" s="37"/>
      <c r="AP35" s="37"/>
      <c r="AR35" s="37"/>
      <c r="AT35" s="37"/>
      <c r="AU35" s="26"/>
      <c r="AV35" s="35">
        <f t="shared" si="1"/>
        <v>1521</v>
      </c>
      <c r="AW35" s="33">
        <f t="shared" si="2"/>
        <v>150</v>
      </c>
      <c r="AX35" s="33">
        <f t="shared" si="3"/>
        <v>0</v>
      </c>
      <c r="AY35" s="33">
        <f t="shared" si="4"/>
        <v>150</v>
      </c>
      <c r="AZ35" s="30">
        <f t="shared" si="5"/>
        <v>10.14</v>
      </c>
    </row>
    <row r="36" ht="15.75" customHeight="1">
      <c r="A36" s="31" t="s">
        <v>45</v>
      </c>
      <c r="B36" s="32">
        <f t="shared" si="6"/>
        <v>44596</v>
      </c>
      <c r="C36" s="70">
        <v>2.0</v>
      </c>
      <c r="D36" s="33" t="s">
        <v>31</v>
      </c>
      <c r="E36" s="34"/>
      <c r="F36" s="36"/>
      <c r="H36" s="37"/>
      <c r="J36" s="37"/>
      <c r="L36" s="37"/>
      <c r="N36" s="37"/>
      <c r="P36" s="37"/>
      <c r="Q36" s="26"/>
      <c r="R36" s="38">
        <v>75.0</v>
      </c>
      <c r="T36" s="39">
        <v>75.0</v>
      </c>
      <c r="V36" s="37"/>
      <c r="X36" s="37"/>
      <c r="Z36" s="37"/>
      <c r="AB36" s="37"/>
      <c r="AC36" s="26"/>
      <c r="AD36" s="37"/>
      <c r="AF36" s="37"/>
      <c r="AH36" s="37"/>
      <c r="AJ36" s="36"/>
      <c r="AL36" s="37"/>
      <c r="AN36" s="37"/>
      <c r="AP36" s="37"/>
      <c r="AR36" s="37"/>
      <c r="AT36" s="37"/>
      <c r="AU36" s="26"/>
      <c r="AV36" s="35">
        <f t="shared" si="1"/>
        <v>1521</v>
      </c>
      <c r="AW36" s="33">
        <f t="shared" si="2"/>
        <v>150</v>
      </c>
      <c r="AX36" s="33">
        <f t="shared" si="3"/>
        <v>0</v>
      </c>
      <c r="AY36" s="33">
        <f t="shared" si="4"/>
        <v>150</v>
      </c>
      <c r="AZ36" s="30">
        <f t="shared" si="5"/>
        <v>10.14</v>
      </c>
    </row>
    <row r="37" ht="15.75" customHeight="1">
      <c r="A37" s="44" t="s">
        <v>46</v>
      </c>
      <c r="B37" s="45">
        <f t="shared" si="6"/>
        <v>44597</v>
      </c>
      <c r="C37" s="71">
        <v>2.0</v>
      </c>
      <c r="D37" s="46" t="s">
        <v>31</v>
      </c>
      <c r="E37" s="47"/>
      <c r="F37" s="60"/>
      <c r="G37" s="51"/>
      <c r="H37" s="61"/>
      <c r="I37" s="51"/>
      <c r="J37" s="61"/>
      <c r="K37" s="51"/>
      <c r="L37" s="61"/>
      <c r="M37" s="51"/>
      <c r="N37" s="61"/>
      <c r="O37" s="51"/>
      <c r="P37" s="61"/>
      <c r="Q37" s="53"/>
      <c r="R37" s="62">
        <v>0.0</v>
      </c>
      <c r="S37" s="51"/>
      <c r="T37" s="63">
        <v>0.0</v>
      </c>
      <c r="U37" s="51"/>
      <c r="V37" s="61"/>
      <c r="W37" s="51"/>
      <c r="X37" s="61"/>
      <c r="Y37" s="51"/>
      <c r="Z37" s="61"/>
      <c r="AA37" s="51"/>
      <c r="AB37" s="61"/>
      <c r="AC37" s="53"/>
      <c r="AD37" s="61"/>
      <c r="AE37" s="51"/>
      <c r="AF37" s="61"/>
      <c r="AG37" s="51"/>
      <c r="AH37" s="61"/>
      <c r="AI37" s="51"/>
      <c r="AJ37" s="60"/>
      <c r="AK37" s="51"/>
      <c r="AL37" s="61"/>
      <c r="AM37" s="51"/>
      <c r="AN37" s="61"/>
      <c r="AO37" s="51"/>
      <c r="AP37" s="61"/>
      <c r="AQ37" s="51"/>
      <c r="AR37" s="61"/>
      <c r="AS37" s="51"/>
      <c r="AT37" s="61"/>
      <c r="AU37" s="53"/>
      <c r="AV37" s="55">
        <f t="shared" si="1"/>
        <v>0</v>
      </c>
      <c r="AW37" s="46">
        <f t="shared" si="2"/>
        <v>0</v>
      </c>
      <c r="AX37" s="46">
        <f t="shared" si="3"/>
        <v>0</v>
      </c>
      <c r="AY37" s="46">
        <f t="shared" si="4"/>
        <v>0</v>
      </c>
      <c r="AZ37" s="56" t="str">
        <f t="shared" si="5"/>
        <v/>
      </c>
    </row>
    <row r="38" ht="15.75" customHeight="1">
      <c r="A38" s="19" t="s">
        <v>30</v>
      </c>
      <c r="B38" s="57">
        <f t="shared" si="6"/>
        <v>44598</v>
      </c>
      <c r="C38" s="21">
        <v>2.0</v>
      </c>
      <c r="D38" s="21" t="s">
        <v>47</v>
      </c>
      <c r="E38" s="23"/>
      <c r="F38" s="36"/>
      <c r="H38" s="37"/>
      <c r="J38" s="37"/>
      <c r="L38" s="37"/>
      <c r="N38" s="37"/>
      <c r="P38" s="37"/>
      <c r="Q38" s="26"/>
      <c r="R38" s="38">
        <v>75.0</v>
      </c>
      <c r="T38" s="39">
        <v>75.0</v>
      </c>
      <c r="V38" s="37"/>
      <c r="X38" s="37"/>
      <c r="Z38" s="37"/>
      <c r="AB38" s="37"/>
      <c r="AC38" s="26"/>
      <c r="AD38" s="37"/>
      <c r="AF38" s="37"/>
      <c r="AH38" s="37"/>
      <c r="AJ38" s="36"/>
      <c r="AL38" s="37"/>
      <c r="AN38" s="37"/>
      <c r="AP38" s="37"/>
      <c r="AR38" s="37"/>
      <c r="AT38" s="37"/>
      <c r="AU38" s="26"/>
      <c r="AV38" s="29">
        <f t="shared" si="1"/>
        <v>1521</v>
      </c>
      <c r="AW38" s="21">
        <f t="shared" si="2"/>
        <v>150</v>
      </c>
      <c r="AX38" s="21">
        <f t="shared" si="3"/>
        <v>0</v>
      </c>
      <c r="AY38" s="21">
        <f t="shared" si="4"/>
        <v>150</v>
      </c>
      <c r="AZ38" s="58">
        <f t="shared" si="5"/>
        <v>10.14</v>
      </c>
    </row>
    <row r="39" ht="15.75" customHeight="1">
      <c r="A39" s="31" t="s">
        <v>33</v>
      </c>
      <c r="B39" s="32">
        <f t="shared" si="6"/>
        <v>44599</v>
      </c>
      <c r="C39" s="33">
        <v>2.0</v>
      </c>
      <c r="D39" s="33" t="s">
        <v>47</v>
      </c>
      <c r="E39" s="34"/>
      <c r="F39" s="36"/>
      <c r="H39" s="37"/>
      <c r="J39" s="37"/>
      <c r="L39" s="37"/>
      <c r="N39" s="37"/>
      <c r="P39" s="37"/>
      <c r="Q39" s="26"/>
      <c r="R39" s="38">
        <v>75.0</v>
      </c>
      <c r="T39" s="39">
        <v>75.0</v>
      </c>
      <c r="V39" s="37"/>
      <c r="X39" s="37"/>
      <c r="Z39" s="37"/>
      <c r="AB39" s="37"/>
      <c r="AC39" s="26"/>
      <c r="AD39" s="37"/>
      <c r="AF39" s="37"/>
      <c r="AH39" s="37"/>
      <c r="AJ39" s="36"/>
      <c r="AL39" s="37"/>
      <c r="AN39" s="37"/>
      <c r="AP39" s="37"/>
      <c r="AR39" s="37"/>
      <c r="AT39" s="37"/>
      <c r="AU39" s="26"/>
      <c r="AV39" s="35">
        <f t="shared" si="1"/>
        <v>1521</v>
      </c>
      <c r="AW39" s="33">
        <f t="shared" si="2"/>
        <v>150</v>
      </c>
      <c r="AX39" s="33">
        <f t="shared" si="3"/>
        <v>0</v>
      </c>
      <c r="AY39" s="33">
        <f t="shared" si="4"/>
        <v>150</v>
      </c>
      <c r="AZ39" s="30">
        <f t="shared" si="5"/>
        <v>10.14</v>
      </c>
    </row>
    <row r="40" ht="15.75" customHeight="1">
      <c r="A40" s="31" t="s">
        <v>34</v>
      </c>
      <c r="B40" s="32">
        <f t="shared" si="6"/>
        <v>44600</v>
      </c>
      <c r="C40" s="33">
        <v>2.0</v>
      </c>
      <c r="D40" s="33" t="s">
        <v>47</v>
      </c>
      <c r="E40" s="34"/>
      <c r="F40" s="36"/>
      <c r="H40" s="37"/>
      <c r="J40" s="37"/>
      <c r="L40" s="37"/>
      <c r="N40" s="37"/>
      <c r="P40" s="37"/>
      <c r="Q40" s="26"/>
      <c r="R40" s="38">
        <v>75.0</v>
      </c>
      <c r="T40" s="39">
        <v>75.0</v>
      </c>
      <c r="V40" s="37"/>
      <c r="X40" s="37"/>
      <c r="Z40" s="37"/>
      <c r="AB40" s="37"/>
      <c r="AC40" s="26"/>
      <c r="AD40" s="37"/>
      <c r="AF40" s="37"/>
      <c r="AH40" s="37"/>
      <c r="AJ40" s="36"/>
      <c r="AL40" s="37"/>
      <c r="AN40" s="37"/>
      <c r="AP40" s="37"/>
      <c r="AR40" s="37"/>
      <c r="AT40" s="37"/>
      <c r="AU40" s="26"/>
      <c r="AV40" s="35">
        <f t="shared" si="1"/>
        <v>1521</v>
      </c>
      <c r="AW40" s="33">
        <f t="shared" si="2"/>
        <v>150</v>
      </c>
      <c r="AX40" s="33">
        <f t="shared" si="3"/>
        <v>0</v>
      </c>
      <c r="AY40" s="33">
        <f t="shared" si="4"/>
        <v>150</v>
      </c>
      <c r="AZ40" s="30">
        <f t="shared" si="5"/>
        <v>10.14</v>
      </c>
    </row>
    <row r="41" ht="15.75" customHeight="1">
      <c r="A41" s="31" t="s">
        <v>35</v>
      </c>
      <c r="B41" s="32">
        <f t="shared" si="6"/>
        <v>44601</v>
      </c>
      <c r="C41" s="33">
        <v>2.0</v>
      </c>
      <c r="D41" s="33" t="s">
        <v>47</v>
      </c>
      <c r="E41" s="34"/>
      <c r="F41" s="36"/>
      <c r="H41" s="37"/>
      <c r="J41" s="37"/>
      <c r="L41" s="37"/>
      <c r="N41" s="37"/>
      <c r="P41" s="37"/>
      <c r="Q41" s="26"/>
      <c r="R41" s="38">
        <v>75.0</v>
      </c>
      <c r="T41" s="39">
        <v>75.0</v>
      </c>
      <c r="V41" s="37"/>
      <c r="X41" s="37"/>
      <c r="Z41" s="37"/>
      <c r="AB41" s="37"/>
      <c r="AC41" s="26"/>
      <c r="AD41" s="37"/>
      <c r="AF41" s="37"/>
      <c r="AH41" s="37"/>
      <c r="AJ41" s="36"/>
      <c r="AL41" s="37"/>
      <c r="AN41" s="37"/>
      <c r="AP41" s="37"/>
      <c r="AR41" s="37"/>
      <c r="AT41" s="37"/>
      <c r="AU41" s="26"/>
      <c r="AV41" s="35">
        <f t="shared" si="1"/>
        <v>1521</v>
      </c>
      <c r="AW41" s="33">
        <f t="shared" si="2"/>
        <v>150</v>
      </c>
      <c r="AX41" s="33">
        <f t="shared" si="3"/>
        <v>0</v>
      </c>
      <c r="AY41" s="33">
        <f t="shared" si="4"/>
        <v>150</v>
      </c>
      <c r="AZ41" s="30">
        <f t="shared" si="5"/>
        <v>10.14</v>
      </c>
    </row>
    <row r="42" ht="15.75" customHeight="1">
      <c r="A42" s="31" t="s">
        <v>38</v>
      </c>
      <c r="B42" s="32">
        <f t="shared" si="6"/>
        <v>44602</v>
      </c>
      <c r="C42" s="33">
        <v>2.0</v>
      </c>
      <c r="D42" s="33" t="s">
        <v>47</v>
      </c>
      <c r="E42" s="34"/>
      <c r="F42" s="36"/>
      <c r="H42" s="37"/>
      <c r="J42" s="37"/>
      <c r="L42" s="37"/>
      <c r="N42" s="37"/>
      <c r="P42" s="37"/>
      <c r="Q42" s="26"/>
      <c r="R42" s="38">
        <v>75.0</v>
      </c>
      <c r="T42" s="39">
        <v>75.0</v>
      </c>
      <c r="V42" s="37"/>
      <c r="X42" s="37"/>
      <c r="Z42" s="37"/>
      <c r="AB42" s="37"/>
      <c r="AC42" s="26"/>
      <c r="AD42" s="37"/>
      <c r="AF42" s="37"/>
      <c r="AH42" s="37"/>
      <c r="AJ42" s="36"/>
      <c r="AL42" s="37"/>
      <c r="AN42" s="37"/>
      <c r="AP42" s="37"/>
      <c r="AR42" s="37"/>
      <c r="AT42" s="37"/>
      <c r="AU42" s="26"/>
      <c r="AV42" s="35">
        <f t="shared" si="1"/>
        <v>1521</v>
      </c>
      <c r="AW42" s="33">
        <f t="shared" si="2"/>
        <v>150</v>
      </c>
      <c r="AX42" s="33">
        <f t="shared" si="3"/>
        <v>0</v>
      </c>
      <c r="AY42" s="33">
        <f t="shared" si="4"/>
        <v>150</v>
      </c>
      <c r="AZ42" s="30">
        <f t="shared" si="5"/>
        <v>10.14</v>
      </c>
    </row>
    <row r="43" ht="15.75" customHeight="1">
      <c r="A43" s="31" t="s">
        <v>45</v>
      </c>
      <c r="B43" s="32">
        <f t="shared" si="6"/>
        <v>44603</v>
      </c>
      <c r="C43" s="33">
        <v>2.0</v>
      </c>
      <c r="D43" s="33" t="s">
        <v>47</v>
      </c>
      <c r="E43" s="34"/>
      <c r="F43" s="36"/>
      <c r="H43" s="37"/>
      <c r="J43" s="37"/>
      <c r="L43" s="37"/>
      <c r="N43" s="37"/>
      <c r="P43" s="37"/>
      <c r="Q43" s="26"/>
      <c r="R43" s="38">
        <v>75.0</v>
      </c>
      <c r="T43" s="39">
        <v>75.0</v>
      </c>
      <c r="V43" s="37"/>
      <c r="X43" s="37"/>
      <c r="Z43" s="37"/>
      <c r="AB43" s="37"/>
      <c r="AC43" s="26"/>
      <c r="AD43" s="37"/>
      <c r="AF43" s="37"/>
      <c r="AH43" s="37"/>
      <c r="AJ43" s="36"/>
      <c r="AL43" s="37"/>
      <c r="AN43" s="37"/>
      <c r="AP43" s="37"/>
      <c r="AR43" s="37"/>
      <c r="AT43" s="37"/>
      <c r="AU43" s="26"/>
      <c r="AV43" s="35">
        <f t="shared" si="1"/>
        <v>1521</v>
      </c>
      <c r="AW43" s="33">
        <f t="shared" si="2"/>
        <v>150</v>
      </c>
      <c r="AX43" s="33">
        <f t="shared" si="3"/>
        <v>0</v>
      </c>
      <c r="AY43" s="33">
        <f t="shared" si="4"/>
        <v>150</v>
      </c>
      <c r="AZ43" s="30">
        <f t="shared" si="5"/>
        <v>10.14</v>
      </c>
    </row>
    <row r="44" ht="15.75" customHeight="1">
      <c r="A44" s="44" t="s">
        <v>46</v>
      </c>
      <c r="B44" s="45">
        <f t="shared" si="6"/>
        <v>44604</v>
      </c>
      <c r="C44" s="46">
        <v>2.0</v>
      </c>
      <c r="D44" s="46" t="s">
        <v>47</v>
      </c>
      <c r="E44" s="47"/>
      <c r="F44" s="60"/>
      <c r="G44" s="51"/>
      <c r="H44" s="61"/>
      <c r="I44" s="51"/>
      <c r="J44" s="61"/>
      <c r="K44" s="51"/>
      <c r="L44" s="61"/>
      <c r="M44" s="51"/>
      <c r="N44" s="61"/>
      <c r="O44" s="51"/>
      <c r="P44" s="61"/>
      <c r="Q44" s="53"/>
      <c r="R44" s="62">
        <v>0.0</v>
      </c>
      <c r="S44" s="51"/>
      <c r="T44" s="63">
        <v>0.0</v>
      </c>
      <c r="U44" s="51"/>
      <c r="V44" s="61"/>
      <c r="W44" s="51"/>
      <c r="X44" s="61"/>
      <c r="Y44" s="51"/>
      <c r="Z44" s="61"/>
      <c r="AA44" s="51"/>
      <c r="AB44" s="61"/>
      <c r="AC44" s="53"/>
      <c r="AD44" s="61"/>
      <c r="AE44" s="51"/>
      <c r="AF44" s="61"/>
      <c r="AG44" s="51"/>
      <c r="AH44" s="61"/>
      <c r="AI44" s="51"/>
      <c r="AJ44" s="60"/>
      <c r="AK44" s="51"/>
      <c r="AL44" s="61"/>
      <c r="AM44" s="51"/>
      <c r="AN44" s="61"/>
      <c r="AO44" s="51"/>
      <c r="AP44" s="61"/>
      <c r="AQ44" s="51"/>
      <c r="AR44" s="61"/>
      <c r="AS44" s="51"/>
      <c r="AT44" s="61"/>
      <c r="AU44" s="53"/>
      <c r="AV44" s="55">
        <f t="shared" si="1"/>
        <v>0</v>
      </c>
      <c r="AW44" s="46">
        <f t="shared" si="2"/>
        <v>0</v>
      </c>
      <c r="AX44" s="46">
        <f t="shared" si="3"/>
        <v>0</v>
      </c>
      <c r="AY44" s="46">
        <f t="shared" si="4"/>
        <v>0</v>
      </c>
      <c r="AZ44" s="56" t="str">
        <f t="shared" si="5"/>
        <v/>
      </c>
    </row>
    <row r="45" ht="15.75" customHeight="1">
      <c r="A45" s="19" t="s">
        <v>30</v>
      </c>
      <c r="B45" s="57">
        <f t="shared" si="6"/>
        <v>44605</v>
      </c>
      <c r="C45" s="21">
        <v>2.0</v>
      </c>
      <c r="D45" s="21" t="s">
        <v>48</v>
      </c>
      <c r="E45" s="23"/>
      <c r="F45" s="38">
        <v>100.0</v>
      </c>
      <c r="H45" s="39">
        <v>100.0</v>
      </c>
      <c r="J45" s="37"/>
      <c r="L45" s="37"/>
      <c r="N45" s="37"/>
      <c r="P45" s="37"/>
      <c r="Q45" s="26"/>
      <c r="R45" s="38">
        <v>200.0</v>
      </c>
      <c r="T45" s="39">
        <v>200.0</v>
      </c>
      <c r="V45" s="37"/>
      <c r="X45" s="37"/>
      <c r="Z45" s="37"/>
      <c r="AB45" s="37"/>
      <c r="AC45" s="26"/>
      <c r="AD45" s="37"/>
      <c r="AF45" s="37"/>
      <c r="AH45" s="37"/>
      <c r="AJ45" s="36"/>
      <c r="AL45" s="37"/>
      <c r="AN45" s="37"/>
      <c r="AP45" s="37"/>
      <c r="AR45" s="37"/>
      <c r="AT45" s="37"/>
      <c r="AU45" s="26"/>
      <c r="AV45" s="29">
        <f t="shared" si="1"/>
        <v>8114</v>
      </c>
      <c r="AW45" s="21">
        <f t="shared" si="2"/>
        <v>600</v>
      </c>
      <c r="AX45" s="21">
        <f t="shared" si="3"/>
        <v>0</v>
      </c>
      <c r="AY45" s="21">
        <f t="shared" si="4"/>
        <v>600</v>
      </c>
      <c r="AZ45" s="58">
        <f t="shared" si="5"/>
        <v>13.52333333</v>
      </c>
    </row>
    <row r="46" ht="15.75" customHeight="1">
      <c r="A46" s="31" t="s">
        <v>33</v>
      </c>
      <c r="B46" s="32">
        <f t="shared" si="6"/>
        <v>44606</v>
      </c>
      <c r="C46" s="33">
        <v>2.0</v>
      </c>
      <c r="D46" s="33" t="s">
        <v>48</v>
      </c>
      <c r="E46" s="34"/>
      <c r="F46" s="38">
        <v>100.0</v>
      </c>
      <c r="H46" s="39">
        <v>100.0</v>
      </c>
      <c r="J46" s="37"/>
      <c r="L46" s="37"/>
      <c r="N46" s="37"/>
      <c r="P46" s="37"/>
      <c r="Q46" s="26"/>
      <c r="R46" s="38">
        <v>200.0</v>
      </c>
      <c r="T46" s="39">
        <v>200.0</v>
      </c>
      <c r="V46" s="37"/>
      <c r="X46" s="37"/>
      <c r="Z46" s="37"/>
      <c r="AB46" s="37"/>
      <c r="AC46" s="26"/>
      <c r="AD46" s="37"/>
      <c r="AF46" s="37"/>
      <c r="AH46" s="37"/>
      <c r="AJ46" s="36"/>
      <c r="AL46" s="37"/>
      <c r="AN46" s="37"/>
      <c r="AP46" s="37"/>
      <c r="AR46" s="37"/>
      <c r="AT46" s="37"/>
      <c r="AU46" s="26"/>
      <c r="AV46" s="35">
        <f t="shared" si="1"/>
        <v>8114</v>
      </c>
      <c r="AW46" s="33">
        <f t="shared" si="2"/>
        <v>600</v>
      </c>
      <c r="AX46" s="33">
        <f t="shared" si="3"/>
        <v>0</v>
      </c>
      <c r="AY46" s="33">
        <f t="shared" si="4"/>
        <v>600</v>
      </c>
      <c r="AZ46" s="30">
        <f t="shared" si="5"/>
        <v>13.52333333</v>
      </c>
    </row>
    <row r="47" ht="15.75" customHeight="1">
      <c r="A47" s="31" t="s">
        <v>34</v>
      </c>
      <c r="B47" s="32">
        <f t="shared" si="6"/>
        <v>44607</v>
      </c>
      <c r="C47" s="33">
        <v>2.0</v>
      </c>
      <c r="D47" s="33" t="s">
        <v>48</v>
      </c>
      <c r="E47" s="34"/>
      <c r="F47" s="38">
        <v>120.0</v>
      </c>
      <c r="H47" s="39">
        <v>120.0</v>
      </c>
      <c r="J47" s="37"/>
      <c r="L47" s="37"/>
      <c r="N47" s="37"/>
      <c r="P47" s="37"/>
      <c r="Q47" s="26"/>
      <c r="R47" s="38">
        <v>200.0</v>
      </c>
      <c r="T47" s="39">
        <v>200.0</v>
      </c>
      <c r="V47" s="37"/>
      <c r="X47" s="37"/>
      <c r="Z47" s="37"/>
      <c r="AB47" s="37"/>
      <c r="AC47" s="26"/>
      <c r="AD47" s="37"/>
      <c r="AF47" s="37"/>
      <c r="AH47" s="37"/>
      <c r="AJ47" s="36"/>
      <c r="AL47" s="37"/>
      <c r="AN47" s="37"/>
      <c r="AP47" s="37"/>
      <c r="AR47" s="37"/>
      <c r="AT47" s="37"/>
      <c r="AU47" s="26"/>
      <c r="AV47" s="35">
        <f t="shared" si="1"/>
        <v>8925.6</v>
      </c>
      <c r="AW47" s="33">
        <f t="shared" si="2"/>
        <v>640</v>
      </c>
      <c r="AX47" s="33">
        <f t="shared" si="3"/>
        <v>0</v>
      </c>
      <c r="AY47" s="33">
        <f t="shared" si="4"/>
        <v>640</v>
      </c>
      <c r="AZ47" s="30">
        <f t="shared" si="5"/>
        <v>13.94625</v>
      </c>
    </row>
    <row r="48" ht="15.75" customHeight="1">
      <c r="A48" s="31" t="s">
        <v>35</v>
      </c>
      <c r="B48" s="32">
        <f t="shared" si="6"/>
        <v>44608</v>
      </c>
      <c r="C48" s="33">
        <v>2.0</v>
      </c>
      <c r="D48" s="33" t="s">
        <v>48</v>
      </c>
      <c r="E48" s="34"/>
      <c r="F48" s="38">
        <v>120.0</v>
      </c>
      <c r="H48" s="39">
        <v>120.0</v>
      </c>
      <c r="J48" s="37"/>
      <c r="L48" s="37"/>
      <c r="N48" s="37"/>
      <c r="P48" s="37"/>
      <c r="Q48" s="26"/>
      <c r="R48" s="38">
        <v>200.0</v>
      </c>
      <c r="T48" s="39">
        <v>200.0</v>
      </c>
      <c r="V48" s="37"/>
      <c r="X48" s="37"/>
      <c r="Z48" s="37"/>
      <c r="AB48" s="37"/>
      <c r="AC48" s="26"/>
      <c r="AD48" s="37"/>
      <c r="AF48" s="37"/>
      <c r="AH48" s="37"/>
      <c r="AJ48" s="36"/>
      <c r="AL48" s="37"/>
      <c r="AN48" s="37"/>
      <c r="AP48" s="37"/>
      <c r="AR48" s="37"/>
      <c r="AT48" s="37"/>
      <c r="AU48" s="26"/>
      <c r="AV48" s="35">
        <f t="shared" si="1"/>
        <v>8925.6</v>
      </c>
      <c r="AW48" s="33">
        <f t="shared" si="2"/>
        <v>640</v>
      </c>
      <c r="AX48" s="33">
        <f t="shared" si="3"/>
        <v>0</v>
      </c>
      <c r="AY48" s="33">
        <f t="shared" si="4"/>
        <v>640</v>
      </c>
      <c r="AZ48" s="30">
        <f t="shared" si="5"/>
        <v>13.94625</v>
      </c>
    </row>
    <row r="49" ht="15.75" customHeight="1">
      <c r="A49" s="31" t="s">
        <v>38</v>
      </c>
      <c r="B49" s="32">
        <f t="shared" si="6"/>
        <v>44609</v>
      </c>
      <c r="C49" s="33">
        <v>2.0</v>
      </c>
      <c r="D49" s="33" t="s">
        <v>48</v>
      </c>
      <c r="E49" s="34"/>
      <c r="F49" s="38">
        <v>120.0</v>
      </c>
      <c r="H49" s="39">
        <v>120.0</v>
      </c>
      <c r="J49" s="37"/>
      <c r="L49" s="37"/>
      <c r="N49" s="37"/>
      <c r="P49" s="37"/>
      <c r="Q49" s="26"/>
      <c r="R49" s="38">
        <v>200.0</v>
      </c>
      <c r="T49" s="39">
        <v>200.0</v>
      </c>
      <c r="V49" s="37"/>
      <c r="X49" s="37"/>
      <c r="Z49" s="37"/>
      <c r="AB49" s="37"/>
      <c r="AC49" s="26"/>
      <c r="AD49" s="37"/>
      <c r="AF49" s="37"/>
      <c r="AH49" s="37"/>
      <c r="AJ49" s="36"/>
      <c r="AL49" s="37"/>
      <c r="AN49" s="37"/>
      <c r="AP49" s="37"/>
      <c r="AR49" s="37"/>
      <c r="AT49" s="37"/>
      <c r="AU49" s="26"/>
      <c r="AV49" s="35">
        <f t="shared" si="1"/>
        <v>8925.6</v>
      </c>
      <c r="AW49" s="33">
        <f t="shared" si="2"/>
        <v>640</v>
      </c>
      <c r="AX49" s="33">
        <f t="shared" si="3"/>
        <v>0</v>
      </c>
      <c r="AY49" s="33">
        <f t="shared" si="4"/>
        <v>640</v>
      </c>
      <c r="AZ49" s="30">
        <f t="shared" si="5"/>
        <v>13.94625</v>
      </c>
    </row>
    <row r="50" ht="15.75" customHeight="1">
      <c r="A50" s="31" t="s">
        <v>45</v>
      </c>
      <c r="B50" s="32">
        <f t="shared" si="6"/>
        <v>44610</v>
      </c>
      <c r="C50" s="33">
        <v>2.0</v>
      </c>
      <c r="D50" s="33" t="s">
        <v>48</v>
      </c>
      <c r="E50" s="34"/>
      <c r="F50" s="38">
        <v>120.0</v>
      </c>
      <c r="H50" s="39">
        <v>120.0</v>
      </c>
      <c r="J50" s="37"/>
      <c r="L50" s="37"/>
      <c r="N50" s="37"/>
      <c r="P50" s="37"/>
      <c r="Q50" s="26"/>
      <c r="R50" s="38">
        <v>200.0</v>
      </c>
      <c r="T50" s="39">
        <v>200.0</v>
      </c>
      <c r="V50" s="37"/>
      <c r="X50" s="37"/>
      <c r="Z50" s="37"/>
      <c r="AB50" s="37"/>
      <c r="AC50" s="26"/>
      <c r="AD50" s="37"/>
      <c r="AF50" s="37"/>
      <c r="AH50" s="37"/>
      <c r="AJ50" s="36"/>
      <c r="AL50" s="37"/>
      <c r="AN50" s="37"/>
      <c r="AP50" s="37"/>
      <c r="AR50" s="37"/>
      <c r="AT50" s="37"/>
      <c r="AU50" s="26"/>
      <c r="AV50" s="35">
        <f t="shared" si="1"/>
        <v>8925.6</v>
      </c>
      <c r="AW50" s="33">
        <f t="shared" si="2"/>
        <v>640</v>
      </c>
      <c r="AX50" s="33">
        <f t="shared" si="3"/>
        <v>0</v>
      </c>
      <c r="AY50" s="33">
        <f t="shared" si="4"/>
        <v>640</v>
      </c>
      <c r="AZ50" s="30">
        <f t="shared" si="5"/>
        <v>13.94625</v>
      </c>
    </row>
    <row r="51" ht="15.75" customHeight="1">
      <c r="A51" s="44" t="s">
        <v>46</v>
      </c>
      <c r="B51" s="45">
        <f t="shared" si="6"/>
        <v>44611</v>
      </c>
      <c r="C51" s="46">
        <v>2.0</v>
      </c>
      <c r="D51" s="46" t="s">
        <v>48</v>
      </c>
      <c r="E51" s="47"/>
      <c r="F51" s="62">
        <v>120.0</v>
      </c>
      <c r="G51" s="51"/>
      <c r="H51" s="63">
        <v>120.0</v>
      </c>
      <c r="I51" s="51"/>
      <c r="J51" s="61"/>
      <c r="K51" s="51"/>
      <c r="L51" s="61"/>
      <c r="M51" s="51"/>
      <c r="N51" s="61"/>
      <c r="O51" s="51"/>
      <c r="P51" s="61"/>
      <c r="Q51" s="53"/>
      <c r="R51" s="62">
        <v>200.0</v>
      </c>
      <c r="S51" s="51"/>
      <c r="T51" s="63">
        <v>200.0</v>
      </c>
      <c r="U51" s="51"/>
      <c r="V51" s="61"/>
      <c r="W51" s="51"/>
      <c r="X51" s="61"/>
      <c r="Y51" s="51"/>
      <c r="Z51" s="61"/>
      <c r="AA51" s="51"/>
      <c r="AB51" s="61"/>
      <c r="AC51" s="53"/>
      <c r="AD51" s="61"/>
      <c r="AE51" s="51"/>
      <c r="AF51" s="61"/>
      <c r="AG51" s="51"/>
      <c r="AH51" s="61"/>
      <c r="AI51" s="51"/>
      <c r="AJ51" s="60"/>
      <c r="AK51" s="51"/>
      <c r="AL51" s="61"/>
      <c r="AM51" s="51"/>
      <c r="AN51" s="61"/>
      <c r="AO51" s="51"/>
      <c r="AP51" s="61"/>
      <c r="AQ51" s="51"/>
      <c r="AR51" s="61"/>
      <c r="AS51" s="51"/>
      <c r="AT51" s="61"/>
      <c r="AU51" s="53"/>
      <c r="AV51" s="55">
        <f t="shared" si="1"/>
        <v>8925.6</v>
      </c>
      <c r="AW51" s="46">
        <f t="shared" si="2"/>
        <v>640</v>
      </c>
      <c r="AX51" s="46">
        <f t="shared" si="3"/>
        <v>0</v>
      </c>
      <c r="AY51" s="46">
        <f t="shared" si="4"/>
        <v>640</v>
      </c>
      <c r="AZ51" s="56">
        <f t="shared" si="5"/>
        <v>13.94625</v>
      </c>
    </row>
    <row r="52" ht="15.75" customHeight="1">
      <c r="A52" s="19" t="s">
        <v>30</v>
      </c>
      <c r="B52" s="57">
        <f t="shared" si="6"/>
        <v>44612</v>
      </c>
      <c r="C52" s="21">
        <v>2.0</v>
      </c>
      <c r="D52" s="21" t="s">
        <v>49</v>
      </c>
      <c r="E52" s="23"/>
      <c r="F52" s="38">
        <v>150.0</v>
      </c>
      <c r="H52" s="39">
        <v>150.0</v>
      </c>
      <c r="J52" s="37"/>
      <c r="L52" s="37"/>
      <c r="N52" s="37"/>
      <c r="P52" s="37"/>
      <c r="Q52" s="26"/>
      <c r="R52" s="38">
        <v>225.0</v>
      </c>
      <c r="T52" s="39">
        <v>225.0</v>
      </c>
      <c r="V52" s="37"/>
      <c r="X52" s="37"/>
      <c r="Z52" s="37"/>
      <c r="AB52" s="37"/>
      <c r="AC52" s="26"/>
      <c r="AD52" s="37"/>
      <c r="AF52" s="37"/>
      <c r="AH52" s="37"/>
      <c r="AJ52" s="36"/>
      <c r="AL52" s="37"/>
      <c r="AN52" s="37"/>
      <c r="AP52" s="37"/>
      <c r="AR52" s="37"/>
      <c r="AT52" s="37"/>
      <c r="AU52" s="26"/>
      <c r="AV52" s="29">
        <f t="shared" si="1"/>
        <v>10650</v>
      </c>
      <c r="AW52" s="21">
        <f t="shared" si="2"/>
        <v>750</v>
      </c>
      <c r="AX52" s="21">
        <f t="shared" si="3"/>
        <v>0</v>
      </c>
      <c r="AY52" s="21">
        <f t="shared" si="4"/>
        <v>750</v>
      </c>
      <c r="AZ52" s="58">
        <f t="shared" si="5"/>
        <v>14.2</v>
      </c>
    </row>
    <row r="53" ht="15.75" customHeight="1">
      <c r="A53" s="31" t="s">
        <v>33</v>
      </c>
      <c r="B53" s="32">
        <f t="shared" si="6"/>
        <v>44613</v>
      </c>
      <c r="C53" s="33">
        <v>2.0</v>
      </c>
      <c r="D53" s="33" t="s">
        <v>49</v>
      </c>
      <c r="E53" s="34"/>
      <c r="F53" s="38">
        <v>150.0</v>
      </c>
      <c r="H53" s="39">
        <v>150.0</v>
      </c>
      <c r="J53" s="37"/>
      <c r="L53" s="37"/>
      <c r="N53" s="37"/>
      <c r="P53" s="37"/>
      <c r="Q53" s="26"/>
      <c r="R53" s="38">
        <v>225.0</v>
      </c>
      <c r="T53" s="39">
        <v>225.0</v>
      </c>
      <c r="V53" s="37"/>
      <c r="X53" s="37"/>
      <c r="Z53" s="37"/>
      <c r="AB53" s="37"/>
      <c r="AC53" s="26"/>
      <c r="AD53" s="37"/>
      <c r="AF53" s="37"/>
      <c r="AH53" s="37"/>
      <c r="AJ53" s="36"/>
      <c r="AL53" s="37"/>
      <c r="AN53" s="37"/>
      <c r="AP53" s="37"/>
      <c r="AR53" s="37"/>
      <c r="AT53" s="37"/>
      <c r="AU53" s="26"/>
      <c r="AV53" s="35">
        <f t="shared" si="1"/>
        <v>10650</v>
      </c>
      <c r="AW53" s="33">
        <f t="shared" si="2"/>
        <v>750</v>
      </c>
      <c r="AX53" s="33">
        <f t="shared" si="3"/>
        <v>0</v>
      </c>
      <c r="AY53" s="33">
        <f t="shared" si="4"/>
        <v>750</v>
      </c>
      <c r="AZ53" s="30">
        <f t="shared" si="5"/>
        <v>14.2</v>
      </c>
    </row>
    <row r="54" ht="15.75" customHeight="1">
      <c r="A54" s="31" t="s">
        <v>34</v>
      </c>
      <c r="B54" s="32">
        <f t="shared" si="6"/>
        <v>44614</v>
      </c>
      <c r="C54" s="33">
        <v>2.0</v>
      </c>
      <c r="D54" s="33" t="s">
        <v>49</v>
      </c>
      <c r="E54" s="34"/>
      <c r="F54" s="38">
        <v>150.0</v>
      </c>
      <c r="H54" s="39">
        <v>150.0</v>
      </c>
      <c r="J54" s="37"/>
      <c r="L54" s="37"/>
      <c r="N54" s="37"/>
      <c r="P54" s="37"/>
      <c r="Q54" s="26"/>
      <c r="R54" s="38">
        <v>225.0</v>
      </c>
      <c r="T54" s="39">
        <v>225.0</v>
      </c>
      <c r="V54" s="37"/>
      <c r="X54" s="37"/>
      <c r="Z54" s="37"/>
      <c r="AB54" s="37"/>
      <c r="AC54" s="26"/>
      <c r="AD54" s="37"/>
      <c r="AF54" s="37"/>
      <c r="AH54" s="37"/>
      <c r="AJ54" s="36"/>
      <c r="AL54" s="37"/>
      <c r="AN54" s="37"/>
      <c r="AP54" s="37"/>
      <c r="AR54" s="37"/>
      <c r="AT54" s="37"/>
      <c r="AU54" s="26"/>
      <c r="AV54" s="35">
        <f t="shared" si="1"/>
        <v>10650</v>
      </c>
      <c r="AW54" s="33">
        <f t="shared" si="2"/>
        <v>750</v>
      </c>
      <c r="AX54" s="33">
        <f t="shared" si="3"/>
        <v>0</v>
      </c>
      <c r="AY54" s="33">
        <f t="shared" si="4"/>
        <v>750</v>
      </c>
      <c r="AZ54" s="30">
        <f t="shared" si="5"/>
        <v>14.2</v>
      </c>
    </row>
    <row r="55" ht="15.75" customHeight="1">
      <c r="A55" s="31" t="s">
        <v>35</v>
      </c>
      <c r="B55" s="32">
        <f t="shared" si="6"/>
        <v>44615</v>
      </c>
      <c r="C55" s="33">
        <v>2.0</v>
      </c>
      <c r="D55" s="33" t="s">
        <v>49</v>
      </c>
      <c r="E55" s="34"/>
      <c r="F55" s="38">
        <v>150.0</v>
      </c>
      <c r="H55" s="39">
        <v>150.0</v>
      </c>
      <c r="J55" s="37"/>
      <c r="L55" s="37"/>
      <c r="N55" s="37"/>
      <c r="P55" s="37"/>
      <c r="Q55" s="26"/>
      <c r="R55" s="38">
        <v>225.0</v>
      </c>
      <c r="T55" s="39">
        <v>225.0</v>
      </c>
      <c r="V55" s="37"/>
      <c r="X55" s="37"/>
      <c r="Z55" s="37"/>
      <c r="AB55" s="37"/>
      <c r="AC55" s="26"/>
      <c r="AD55" s="37"/>
      <c r="AF55" s="37"/>
      <c r="AH55" s="37"/>
      <c r="AJ55" s="36"/>
      <c r="AL55" s="37"/>
      <c r="AN55" s="37"/>
      <c r="AP55" s="37"/>
      <c r="AR55" s="37"/>
      <c r="AT55" s="37"/>
      <c r="AU55" s="26"/>
      <c r="AV55" s="35">
        <f t="shared" si="1"/>
        <v>10650</v>
      </c>
      <c r="AW55" s="33">
        <f t="shared" si="2"/>
        <v>750</v>
      </c>
      <c r="AX55" s="33">
        <f t="shared" si="3"/>
        <v>0</v>
      </c>
      <c r="AY55" s="33">
        <f t="shared" si="4"/>
        <v>750</v>
      </c>
      <c r="AZ55" s="30">
        <f t="shared" si="5"/>
        <v>14.2</v>
      </c>
    </row>
    <row r="56" ht="15.75" customHeight="1">
      <c r="A56" s="31" t="s">
        <v>38</v>
      </c>
      <c r="B56" s="32">
        <f t="shared" si="6"/>
        <v>44616</v>
      </c>
      <c r="C56" s="33">
        <v>2.0</v>
      </c>
      <c r="D56" s="33" t="s">
        <v>49</v>
      </c>
      <c r="E56" s="34"/>
      <c r="F56" s="38">
        <v>150.0</v>
      </c>
      <c r="H56" s="39">
        <v>150.0</v>
      </c>
      <c r="J56" s="37"/>
      <c r="L56" s="37"/>
      <c r="N56" s="37"/>
      <c r="P56" s="37"/>
      <c r="Q56" s="26"/>
      <c r="R56" s="38">
        <v>225.0</v>
      </c>
      <c r="T56" s="39">
        <v>225.0</v>
      </c>
      <c r="V56" s="37"/>
      <c r="X56" s="37"/>
      <c r="Z56" s="37"/>
      <c r="AB56" s="37"/>
      <c r="AC56" s="26"/>
      <c r="AD56" s="37"/>
      <c r="AF56" s="37"/>
      <c r="AH56" s="37"/>
      <c r="AJ56" s="36"/>
      <c r="AL56" s="37"/>
      <c r="AN56" s="37"/>
      <c r="AP56" s="37"/>
      <c r="AR56" s="37"/>
      <c r="AT56" s="37"/>
      <c r="AU56" s="26"/>
      <c r="AV56" s="35">
        <f t="shared" si="1"/>
        <v>10650</v>
      </c>
      <c r="AW56" s="33">
        <f t="shared" si="2"/>
        <v>750</v>
      </c>
      <c r="AX56" s="33">
        <f t="shared" si="3"/>
        <v>0</v>
      </c>
      <c r="AY56" s="33">
        <f t="shared" si="4"/>
        <v>750</v>
      </c>
      <c r="AZ56" s="30">
        <f t="shared" si="5"/>
        <v>14.2</v>
      </c>
    </row>
    <row r="57" ht="15.75" customHeight="1">
      <c r="A57" s="31" t="s">
        <v>45</v>
      </c>
      <c r="B57" s="32">
        <f t="shared" si="6"/>
        <v>44617</v>
      </c>
      <c r="C57" s="33">
        <v>2.0</v>
      </c>
      <c r="D57" s="33" t="s">
        <v>49</v>
      </c>
      <c r="E57" s="34"/>
      <c r="F57" s="38">
        <v>150.0</v>
      </c>
      <c r="H57" s="39">
        <v>150.0</v>
      </c>
      <c r="J57" s="37"/>
      <c r="L57" s="37"/>
      <c r="N57" s="37"/>
      <c r="P57" s="37"/>
      <c r="Q57" s="26"/>
      <c r="R57" s="38">
        <v>225.0</v>
      </c>
      <c r="T57" s="39">
        <v>225.0</v>
      </c>
      <c r="V57" s="37"/>
      <c r="X57" s="37"/>
      <c r="Z57" s="37"/>
      <c r="AB57" s="37"/>
      <c r="AC57" s="26"/>
      <c r="AD57" s="37"/>
      <c r="AF57" s="37"/>
      <c r="AH57" s="37"/>
      <c r="AJ57" s="36"/>
      <c r="AL57" s="37"/>
      <c r="AN57" s="37"/>
      <c r="AP57" s="37"/>
      <c r="AR57" s="37"/>
      <c r="AT57" s="37"/>
      <c r="AU57" s="26"/>
      <c r="AV57" s="35">
        <f t="shared" si="1"/>
        <v>10650</v>
      </c>
      <c r="AW57" s="33">
        <f t="shared" si="2"/>
        <v>750</v>
      </c>
      <c r="AX57" s="33">
        <f t="shared" si="3"/>
        <v>0</v>
      </c>
      <c r="AY57" s="33">
        <f t="shared" si="4"/>
        <v>750</v>
      </c>
      <c r="AZ57" s="30">
        <f t="shared" si="5"/>
        <v>14.2</v>
      </c>
    </row>
    <row r="58" ht="15.75" customHeight="1">
      <c r="A58" s="44" t="s">
        <v>46</v>
      </c>
      <c r="B58" s="45">
        <f t="shared" si="6"/>
        <v>44618</v>
      </c>
      <c r="C58" s="46">
        <v>2.0</v>
      </c>
      <c r="D58" s="46" t="s">
        <v>49</v>
      </c>
      <c r="E58" s="47"/>
      <c r="F58" s="62">
        <v>150.0</v>
      </c>
      <c r="G58" s="51"/>
      <c r="H58" s="63">
        <v>150.0</v>
      </c>
      <c r="I58" s="51"/>
      <c r="J58" s="61"/>
      <c r="K58" s="51"/>
      <c r="L58" s="61"/>
      <c r="M58" s="51"/>
      <c r="N58" s="61"/>
      <c r="O58" s="51"/>
      <c r="P58" s="61"/>
      <c r="Q58" s="53"/>
      <c r="R58" s="62">
        <v>225.0</v>
      </c>
      <c r="S58" s="51"/>
      <c r="T58" s="63">
        <v>225.0</v>
      </c>
      <c r="U58" s="51"/>
      <c r="V58" s="61"/>
      <c r="W58" s="51"/>
      <c r="X58" s="61"/>
      <c r="Y58" s="51"/>
      <c r="Z58" s="61"/>
      <c r="AA58" s="51"/>
      <c r="AB58" s="61"/>
      <c r="AC58" s="53"/>
      <c r="AD58" s="61"/>
      <c r="AE58" s="51"/>
      <c r="AF58" s="61"/>
      <c r="AG58" s="51"/>
      <c r="AH58" s="61"/>
      <c r="AI58" s="51"/>
      <c r="AJ58" s="60"/>
      <c r="AK58" s="51"/>
      <c r="AL58" s="61"/>
      <c r="AM58" s="51"/>
      <c r="AN58" s="61"/>
      <c r="AO58" s="51"/>
      <c r="AP58" s="61"/>
      <c r="AQ58" s="51"/>
      <c r="AR58" s="61"/>
      <c r="AS58" s="51"/>
      <c r="AT58" s="61"/>
      <c r="AU58" s="53"/>
      <c r="AV58" s="55">
        <f t="shared" si="1"/>
        <v>10650</v>
      </c>
      <c r="AW58" s="46">
        <f t="shared" si="2"/>
        <v>750</v>
      </c>
      <c r="AX58" s="46">
        <f t="shared" si="3"/>
        <v>0</v>
      </c>
      <c r="AY58" s="46">
        <f t="shared" si="4"/>
        <v>750</v>
      </c>
      <c r="AZ58" s="56">
        <f t="shared" si="5"/>
        <v>14.2</v>
      </c>
    </row>
    <row r="59" ht="15.75" customHeight="1">
      <c r="A59" s="19" t="s">
        <v>30</v>
      </c>
      <c r="B59" s="57">
        <f t="shared" si="6"/>
        <v>44619</v>
      </c>
      <c r="C59" s="21">
        <v>3.0</v>
      </c>
      <c r="D59" s="21" t="s">
        <v>31</v>
      </c>
      <c r="E59" s="23"/>
      <c r="F59" s="38">
        <v>150.0</v>
      </c>
      <c r="H59" s="39">
        <v>150.0</v>
      </c>
      <c r="J59" s="37"/>
      <c r="L59" s="37"/>
      <c r="N59" s="37"/>
      <c r="P59" s="37"/>
      <c r="Q59" s="26"/>
      <c r="R59" s="38">
        <v>225.0</v>
      </c>
      <c r="T59" s="39">
        <v>225.0</v>
      </c>
      <c r="V59" s="37"/>
      <c r="X59" s="37"/>
      <c r="Z59" s="37"/>
      <c r="AB59" s="37"/>
      <c r="AC59" s="26"/>
      <c r="AD59" s="37"/>
      <c r="AF59" s="37"/>
      <c r="AH59" s="37"/>
      <c r="AJ59" s="36"/>
      <c r="AL59" s="37"/>
      <c r="AN59" s="37"/>
      <c r="AP59" s="37"/>
      <c r="AR59" s="37"/>
      <c r="AT59" s="37"/>
      <c r="AU59" s="26"/>
      <c r="AV59" s="29">
        <f t="shared" si="1"/>
        <v>10650</v>
      </c>
      <c r="AW59" s="21">
        <f t="shared" si="2"/>
        <v>750</v>
      </c>
      <c r="AX59" s="21">
        <f t="shared" si="3"/>
        <v>0</v>
      </c>
      <c r="AY59" s="21">
        <f t="shared" si="4"/>
        <v>750</v>
      </c>
      <c r="AZ59" s="58">
        <f t="shared" si="5"/>
        <v>14.2</v>
      </c>
    </row>
    <row r="60" ht="15.75" customHeight="1">
      <c r="A60" s="31" t="s">
        <v>33</v>
      </c>
      <c r="B60" s="32">
        <f t="shared" si="6"/>
        <v>44620</v>
      </c>
      <c r="C60" s="33">
        <v>3.0</v>
      </c>
      <c r="D60" s="33" t="s">
        <v>31</v>
      </c>
      <c r="E60" s="34"/>
      <c r="F60" s="38">
        <v>150.0</v>
      </c>
      <c r="H60" s="39">
        <v>150.0</v>
      </c>
      <c r="J60" s="37"/>
      <c r="L60" s="37"/>
      <c r="N60" s="37"/>
      <c r="P60" s="37"/>
      <c r="Q60" s="26"/>
      <c r="R60" s="38">
        <v>225.0</v>
      </c>
      <c r="T60" s="39">
        <v>225.0</v>
      </c>
      <c r="V60" s="37"/>
      <c r="X60" s="37"/>
      <c r="Z60" s="37"/>
      <c r="AB60" s="37"/>
      <c r="AC60" s="26"/>
      <c r="AD60" s="37"/>
      <c r="AF60" s="37"/>
      <c r="AH60" s="37"/>
      <c r="AJ60" s="36"/>
      <c r="AL60" s="37"/>
      <c r="AN60" s="37"/>
      <c r="AP60" s="37"/>
      <c r="AR60" s="37"/>
      <c r="AT60" s="37"/>
      <c r="AU60" s="26"/>
      <c r="AV60" s="35">
        <f t="shared" si="1"/>
        <v>10650</v>
      </c>
      <c r="AW60" s="33">
        <f t="shared" si="2"/>
        <v>750</v>
      </c>
      <c r="AX60" s="33">
        <f t="shared" si="3"/>
        <v>0</v>
      </c>
      <c r="AY60" s="33">
        <f t="shared" si="4"/>
        <v>750</v>
      </c>
      <c r="AZ60" s="30">
        <f t="shared" si="5"/>
        <v>14.2</v>
      </c>
    </row>
    <row r="61" ht="15.75" customHeight="1">
      <c r="A61" s="31" t="s">
        <v>34</v>
      </c>
      <c r="B61" s="32">
        <f t="shared" si="6"/>
        <v>44621</v>
      </c>
      <c r="C61" s="33">
        <v>3.0</v>
      </c>
      <c r="D61" s="33" t="s">
        <v>31</v>
      </c>
      <c r="E61" s="34"/>
      <c r="F61" s="38">
        <v>150.0</v>
      </c>
      <c r="H61" s="39">
        <v>150.0</v>
      </c>
      <c r="J61" s="37"/>
      <c r="L61" s="37"/>
      <c r="N61" s="37"/>
      <c r="P61" s="37"/>
      <c r="Q61" s="26"/>
      <c r="R61" s="38">
        <v>225.0</v>
      </c>
      <c r="T61" s="39">
        <v>225.0</v>
      </c>
      <c r="V61" s="37"/>
      <c r="X61" s="37"/>
      <c r="Z61" s="37"/>
      <c r="AB61" s="37"/>
      <c r="AC61" s="26"/>
      <c r="AD61" s="37"/>
      <c r="AF61" s="37"/>
      <c r="AH61" s="37"/>
      <c r="AJ61" s="36"/>
      <c r="AL61" s="37"/>
      <c r="AN61" s="37"/>
      <c r="AP61" s="37"/>
      <c r="AR61" s="37"/>
      <c r="AT61" s="37"/>
      <c r="AU61" s="26"/>
      <c r="AV61" s="35">
        <f t="shared" si="1"/>
        <v>10650</v>
      </c>
      <c r="AW61" s="33">
        <f t="shared" si="2"/>
        <v>750</v>
      </c>
      <c r="AX61" s="33">
        <f t="shared" si="3"/>
        <v>0</v>
      </c>
      <c r="AY61" s="33">
        <f t="shared" si="4"/>
        <v>750</v>
      </c>
      <c r="AZ61" s="30">
        <f t="shared" si="5"/>
        <v>14.2</v>
      </c>
    </row>
    <row r="62" ht="15.75" customHeight="1">
      <c r="A62" s="31" t="s">
        <v>35</v>
      </c>
      <c r="B62" s="32">
        <f t="shared" si="6"/>
        <v>44622</v>
      </c>
      <c r="C62" s="33">
        <v>3.0</v>
      </c>
      <c r="D62" s="33" t="s">
        <v>31</v>
      </c>
      <c r="E62" s="34"/>
      <c r="F62" s="38">
        <v>150.0</v>
      </c>
      <c r="H62" s="39">
        <v>150.0</v>
      </c>
      <c r="J62" s="37"/>
      <c r="L62" s="37"/>
      <c r="N62" s="37"/>
      <c r="P62" s="37"/>
      <c r="Q62" s="26"/>
      <c r="R62" s="38">
        <v>225.0</v>
      </c>
      <c r="T62" s="39">
        <v>225.0</v>
      </c>
      <c r="V62" s="37"/>
      <c r="X62" s="37"/>
      <c r="Z62" s="37"/>
      <c r="AB62" s="37"/>
      <c r="AC62" s="26"/>
      <c r="AD62" s="37"/>
      <c r="AF62" s="37"/>
      <c r="AH62" s="37"/>
      <c r="AJ62" s="36"/>
      <c r="AL62" s="37"/>
      <c r="AN62" s="37"/>
      <c r="AP62" s="37"/>
      <c r="AR62" s="37"/>
      <c r="AT62" s="37"/>
      <c r="AU62" s="26"/>
      <c r="AV62" s="35">
        <f t="shared" si="1"/>
        <v>10650</v>
      </c>
      <c r="AW62" s="33">
        <f t="shared" si="2"/>
        <v>750</v>
      </c>
      <c r="AX62" s="33">
        <f t="shared" si="3"/>
        <v>0</v>
      </c>
      <c r="AY62" s="33">
        <f t="shared" si="4"/>
        <v>750</v>
      </c>
      <c r="AZ62" s="30">
        <f t="shared" si="5"/>
        <v>14.2</v>
      </c>
    </row>
    <row r="63" ht="15.75" customHeight="1">
      <c r="A63" s="31" t="s">
        <v>38</v>
      </c>
      <c r="B63" s="32">
        <f t="shared" si="6"/>
        <v>44623</v>
      </c>
      <c r="C63" s="33">
        <v>3.0</v>
      </c>
      <c r="D63" s="33" t="s">
        <v>31</v>
      </c>
      <c r="E63" s="34"/>
      <c r="F63" s="38">
        <v>150.0</v>
      </c>
      <c r="H63" s="39">
        <v>150.0</v>
      </c>
      <c r="J63" s="37"/>
      <c r="L63" s="37"/>
      <c r="N63" s="37"/>
      <c r="P63" s="37"/>
      <c r="Q63" s="26"/>
      <c r="R63" s="38">
        <v>225.0</v>
      </c>
      <c r="T63" s="39">
        <v>225.0</v>
      </c>
      <c r="V63" s="37"/>
      <c r="X63" s="37"/>
      <c r="Z63" s="37"/>
      <c r="AB63" s="37"/>
      <c r="AC63" s="26"/>
      <c r="AD63" s="37"/>
      <c r="AF63" s="37"/>
      <c r="AH63" s="37"/>
      <c r="AJ63" s="36"/>
      <c r="AL63" s="37"/>
      <c r="AN63" s="37"/>
      <c r="AP63" s="37"/>
      <c r="AR63" s="37"/>
      <c r="AT63" s="37"/>
      <c r="AU63" s="26"/>
      <c r="AV63" s="35">
        <f t="shared" si="1"/>
        <v>10650</v>
      </c>
      <c r="AW63" s="33">
        <f t="shared" si="2"/>
        <v>750</v>
      </c>
      <c r="AX63" s="33">
        <f t="shared" si="3"/>
        <v>0</v>
      </c>
      <c r="AY63" s="33">
        <f t="shared" si="4"/>
        <v>750</v>
      </c>
      <c r="AZ63" s="30">
        <f t="shared" si="5"/>
        <v>14.2</v>
      </c>
    </row>
    <row r="64" ht="15.75" customHeight="1">
      <c r="A64" s="31" t="s">
        <v>45</v>
      </c>
      <c r="B64" s="32">
        <f t="shared" si="6"/>
        <v>44624</v>
      </c>
      <c r="C64" s="33">
        <v>3.0</v>
      </c>
      <c r="D64" s="33" t="s">
        <v>31</v>
      </c>
      <c r="E64" s="34"/>
      <c r="F64" s="38">
        <v>150.0</v>
      </c>
      <c r="H64" s="39">
        <v>150.0</v>
      </c>
      <c r="J64" s="37"/>
      <c r="L64" s="37"/>
      <c r="N64" s="37"/>
      <c r="P64" s="37"/>
      <c r="Q64" s="26"/>
      <c r="R64" s="38">
        <v>225.0</v>
      </c>
      <c r="T64" s="39">
        <v>225.0</v>
      </c>
      <c r="V64" s="37"/>
      <c r="X64" s="37"/>
      <c r="Z64" s="37"/>
      <c r="AB64" s="37"/>
      <c r="AC64" s="26"/>
      <c r="AD64" s="37"/>
      <c r="AF64" s="37"/>
      <c r="AH64" s="37"/>
      <c r="AJ64" s="36"/>
      <c r="AL64" s="37"/>
      <c r="AN64" s="37"/>
      <c r="AP64" s="37"/>
      <c r="AR64" s="37"/>
      <c r="AT64" s="37"/>
      <c r="AU64" s="26"/>
      <c r="AV64" s="35">
        <f t="shared" si="1"/>
        <v>10650</v>
      </c>
      <c r="AW64" s="33">
        <f t="shared" si="2"/>
        <v>750</v>
      </c>
      <c r="AX64" s="33">
        <f t="shared" si="3"/>
        <v>0</v>
      </c>
      <c r="AY64" s="33">
        <f t="shared" si="4"/>
        <v>750</v>
      </c>
      <c r="AZ64" s="30">
        <f t="shared" si="5"/>
        <v>14.2</v>
      </c>
    </row>
    <row r="65" ht="15.75" customHeight="1">
      <c r="A65" s="44" t="s">
        <v>46</v>
      </c>
      <c r="B65" s="45">
        <f t="shared" si="6"/>
        <v>44625</v>
      </c>
      <c r="C65" s="46">
        <v>3.0</v>
      </c>
      <c r="D65" s="46" t="s">
        <v>31</v>
      </c>
      <c r="E65" s="47"/>
      <c r="F65" s="62">
        <v>150.0</v>
      </c>
      <c r="G65" s="51"/>
      <c r="H65" s="63">
        <v>150.0</v>
      </c>
      <c r="I65" s="51"/>
      <c r="J65" s="61"/>
      <c r="K65" s="51"/>
      <c r="L65" s="61"/>
      <c r="M65" s="51"/>
      <c r="N65" s="61"/>
      <c r="O65" s="51"/>
      <c r="P65" s="61"/>
      <c r="Q65" s="53"/>
      <c r="R65" s="62">
        <v>225.0</v>
      </c>
      <c r="S65" s="51"/>
      <c r="T65" s="63">
        <v>225.0</v>
      </c>
      <c r="U65" s="51"/>
      <c r="V65" s="61"/>
      <c r="W65" s="51"/>
      <c r="X65" s="61"/>
      <c r="Y65" s="51"/>
      <c r="Z65" s="61"/>
      <c r="AA65" s="51"/>
      <c r="AB65" s="61"/>
      <c r="AC65" s="53"/>
      <c r="AD65" s="61"/>
      <c r="AE65" s="51"/>
      <c r="AF65" s="61"/>
      <c r="AG65" s="51"/>
      <c r="AH65" s="61"/>
      <c r="AI65" s="51"/>
      <c r="AJ65" s="60"/>
      <c r="AK65" s="51"/>
      <c r="AL65" s="61"/>
      <c r="AM65" s="51"/>
      <c r="AN65" s="61"/>
      <c r="AO65" s="51"/>
      <c r="AP65" s="61"/>
      <c r="AQ65" s="51"/>
      <c r="AR65" s="61"/>
      <c r="AS65" s="51"/>
      <c r="AT65" s="61"/>
      <c r="AU65" s="53"/>
      <c r="AV65" s="55">
        <f t="shared" si="1"/>
        <v>10650</v>
      </c>
      <c r="AW65" s="46">
        <f t="shared" si="2"/>
        <v>750</v>
      </c>
      <c r="AX65" s="46">
        <f t="shared" si="3"/>
        <v>0</v>
      </c>
      <c r="AY65" s="46">
        <f t="shared" si="4"/>
        <v>750</v>
      </c>
      <c r="AZ65" s="56">
        <f t="shared" si="5"/>
        <v>14.2</v>
      </c>
    </row>
    <row r="66" ht="15.75" customHeight="1">
      <c r="A66" s="19" t="s">
        <v>30</v>
      </c>
      <c r="B66" s="57">
        <f t="shared" si="6"/>
        <v>44626</v>
      </c>
      <c r="C66" s="21">
        <v>3.0</v>
      </c>
      <c r="D66" s="21" t="s">
        <v>47</v>
      </c>
      <c r="E66" s="23"/>
      <c r="F66" s="38">
        <v>150.0</v>
      </c>
      <c r="H66" s="39">
        <v>150.0</v>
      </c>
      <c r="J66" s="37"/>
      <c r="L66" s="37"/>
      <c r="N66" s="37"/>
      <c r="P66" s="37"/>
      <c r="Q66" s="26"/>
      <c r="R66" s="38">
        <v>225.0</v>
      </c>
      <c r="T66" s="39">
        <v>225.0</v>
      </c>
      <c r="V66" s="37"/>
      <c r="X66" s="37"/>
      <c r="Z66" s="37"/>
      <c r="AB66" s="37"/>
      <c r="AC66" s="26"/>
      <c r="AD66" s="37"/>
      <c r="AF66" s="37"/>
      <c r="AH66" s="37"/>
      <c r="AJ66" s="36"/>
      <c r="AL66" s="37"/>
      <c r="AN66" s="37"/>
      <c r="AP66" s="37"/>
      <c r="AR66" s="37"/>
      <c r="AT66" s="37"/>
      <c r="AU66" s="26"/>
      <c r="AV66" s="29">
        <f t="shared" si="1"/>
        <v>10650</v>
      </c>
      <c r="AW66" s="21">
        <f t="shared" si="2"/>
        <v>750</v>
      </c>
      <c r="AX66" s="21">
        <f t="shared" si="3"/>
        <v>0</v>
      </c>
      <c r="AY66" s="21">
        <f t="shared" si="4"/>
        <v>750</v>
      </c>
      <c r="AZ66" s="58">
        <f t="shared" si="5"/>
        <v>14.2</v>
      </c>
    </row>
    <row r="67" ht="15.75" customHeight="1">
      <c r="A67" s="31" t="s">
        <v>33</v>
      </c>
      <c r="B67" s="32">
        <f t="shared" si="6"/>
        <v>44627</v>
      </c>
      <c r="C67" s="33">
        <v>3.0</v>
      </c>
      <c r="D67" s="33" t="s">
        <v>47</v>
      </c>
      <c r="E67" s="34"/>
      <c r="F67" s="38">
        <v>150.0</v>
      </c>
      <c r="H67" s="39">
        <v>150.0</v>
      </c>
      <c r="J67" s="37"/>
      <c r="L67" s="37"/>
      <c r="N67" s="37"/>
      <c r="P67" s="37"/>
      <c r="Q67" s="26"/>
      <c r="R67" s="38">
        <v>225.0</v>
      </c>
      <c r="T67" s="39">
        <v>225.0</v>
      </c>
      <c r="V67" s="37"/>
      <c r="X67" s="37"/>
      <c r="Z67" s="37"/>
      <c r="AB67" s="37"/>
      <c r="AC67" s="26"/>
      <c r="AD67" s="37"/>
      <c r="AF67" s="37"/>
      <c r="AH67" s="37"/>
      <c r="AJ67" s="36"/>
      <c r="AL67" s="37"/>
      <c r="AN67" s="37"/>
      <c r="AP67" s="37"/>
      <c r="AR67" s="37"/>
      <c r="AT67" s="37"/>
      <c r="AU67" s="26"/>
      <c r="AV67" s="35">
        <f t="shared" si="1"/>
        <v>10650</v>
      </c>
      <c r="AW67" s="33">
        <f t="shared" si="2"/>
        <v>750</v>
      </c>
      <c r="AX67" s="33">
        <f t="shared" si="3"/>
        <v>0</v>
      </c>
      <c r="AY67" s="33">
        <f t="shared" si="4"/>
        <v>750</v>
      </c>
      <c r="AZ67" s="30">
        <f t="shared" si="5"/>
        <v>14.2</v>
      </c>
    </row>
    <row r="68" ht="15.75" customHeight="1">
      <c r="A68" s="31" t="s">
        <v>34</v>
      </c>
      <c r="B68" s="32">
        <f t="shared" si="6"/>
        <v>44628</v>
      </c>
      <c r="C68" s="33">
        <v>3.0</v>
      </c>
      <c r="D68" s="33" t="s">
        <v>47</v>
      </c>
      <c r="E68" s="34"/>
      <c r="F68" s="38">
        <v>150.0</v>
      </c>
      <c r="H68" s="39">
        <v>150.0</v>
      </c>
      <c r="J68" s="37"/>
      <c r="L68" s="37"/>
      <c r="N68" s="37"/>
      <c r="P68" s="37"/>
      <c r="Q68" s="26"/>
      <c r="R68" s="38">
        <v>225.0</v>
      </c>
      <c r="T68" s="39">
        <v>225.0</v>
      </c>
      <c r="V68" s="37"/>
      <c r="X68" s="37"/>
      <c r="Z68" s="37"/>
      <c r="AB68" s="37"/>
      <c r="AC68" s="26"/>
      <c r="AD68" s="37"/>
      <c r="AF68" s="37"/>
      <c r="AH68" s="37"/>
      <c r="AJ68" s="36"/>
      <c r="AL68" s="37"/>
      <c r="AN68" s="37"/>
      <c r="AP68" s="37"/>
      <c r="AR68" s="37"/>
      <c r="AT68" s="37"/>
      <c r="AU68" s="26"/>
      <c r="AV68" s="35">
        <f t="shared" si="1"/>
        <v>10650</v>
      </c>
      <c r="AW68" s="33">
        <f t="shared" si="2"/>
        <v>750</v>
      </c>
      <c r="AX68" s="33">
        <f t="shared" si="3"/>
        <v>0</v>
      </c>
      <c r="AY68" s="33">
        <f t="shared" si="4"/>
        <v>750</v>
      </c>
      <c r="AZ68" s="30">
        <f t="shared" si="5"/>
        <v>14.2</v>
      </c>
    </row>
    <row r="69" ht="15.75" customHeight="1">
      <c r="A69" s="31" t="s">
        <v>35</v>
      </c>
      <c r="B69" s="32">
        <f t="shared" si="6"/>
        <v>44629</v>
      </c>
      <c r="C69" s="33">
        <v>3.0</v>
      </c>
      <c r="D69" s="33" t="s">
        <v>47</v>
      </c>
      <c r="E69" s="34"/>
      <c r="F69" s="38">
        <v>150.0</v>
      </c>
      <c r="H69" s="39">
        <v>150.0</v>
      </c>
      <c r="J69" s="37"/>
      <c r="L69" s="37"/>
      <c r="N69" s="37"/>
      <c r="P69" s="37"/>
      <c r="Q69" s="26"/>
      <c r="R69" s="38">
        <v>225.0</v>
      </c>
      <c r="T69" s="39">
        <v>225.0</v>
      </c>
      <c r="V69" s="37"/>
      <c r="X69" s="37"/>
      <c r="Z69" s="37"/>
      <c r="AB69" s="37"/>
      <c r="AC69" s="26"/>
      <c r="AD69" s="37"/>
      <c r="AF69" s="37"/>
      <c r="AH69" s="37"/>
      <c r="AJ69" s="36"/>
      <c r="AL69" s="37"/>
      <c r="AN69" s="37"/>
      <c r="AP69" s="37"/>
      <c r="AR69" s="37"/>
      <c r="AT69" s="37"/>
      <c r="AU69" s="26"/>
      <c r="AV69" s="35">
        <f t="shared" si="1"/>
        <v>10650</v>
      </c>
      <c r="AW69" s="33">
        <f t="shared" si="2"/>
        <v>750</v>
      </c>
      <c r="AX69" s="33">
        <f t="shared" si="3"/>
        <v>0</v>
      </c>
      <c r="AY69" s="33">
        <f t="shared" si="4"/>
        <v>750</v>
      </c>
      <c r="AZ69" s="30">
        <f t="shared" si="5"/>
        <v>14.2</v>
      </c>
    </row>
    <row r="70" ht="15.75" customHeight="1">
      <c r="A70" s="31" t="s">
        <v>38</v>
      </c>
      <c r="B70" s="32">
        <f t="shared" si="6"/>
        <v>44630</v>
      </c>
      <c r="C70" s="33">
        <v>3.0</v>
      </c>
      <c r="D70" s="33" t="s">
        <v>47</v>
      </c>
      <c r="E70" s="34"/>
      <c r="F70" s="38">
        <v>150.0</v>
      </c>
      <c r="H70" s="39">
        <v>150.0</v>
      </c>
      <c r="J70" s="37"/>
      <c r="L70" s="37"/>
      <c r="N70" s="37"/>
      <c r="P70" s="37"/>
      <c r="Q70" s="26"/>
      <c r="R70" s="38">
        <v>225.0</v>
      </c>
      <c r="T70" s="39">
        <v>225.0</v>
      </c>
      <c r="V70" s="37"/>
      <c r="X70" s="37"/>
      <c r="Z70" s="37"/>
      <c r="AB70" s="37"/>
      <c r="AC70" s="26"/>
      <c r="AD70" s="37"/>
      <c r="AF70" s="37"/>
      <c r="AH70" s="37"/>
      <c r="AJ70" s="36"/>
      <c r="AL70" s="37"/>
      <c r="AN70" s="37"/>
      <c r="AP70" s="37"/>
      <c r="AR70" s="37"/>
      <c r="AT70" s="37"/>
      <c r="AU70" s="26"/>
      <c r="AV70" s="35">
        <f t="shared" si="1"/>
        <v>10650</v>
      </c>
      <c r="AW70" s="33">
        <f t="shared" si="2"/>
        <v>750</v>
      </c>
      <c r="AX70" s="33">
        <f t="shared" si="3"/>
        <v>0</v>
      </c>
      <c r="AY70" s="33">
        <f t="shared" si="4"/>
        <v>750</v>
      </c>
      <c r="AZ70" s="30">
        <f t="shared" si="5"/>
        <v>14.2</v>
      </c>
    </row>
    <row r="71" ht="15.75" customHeight="1">
      <c r="A71" s="31" t="s">
        <v>45</v>
      </c>
      <c r="B71" s="32">
        <f t="shared" si="6"/>
        <v>44631</v>
      </c>
      <c r="C71" s="33">
        <v>3.0</v>
      </c>
      <c r="D71" s="33" t="s">
        <v>47</v>
      </c>
      <c r="E71" s="34"/>
      <c r="F71" s="38">
        <v>150.0</v>
      </c>
      <c r="H71" s="39">
        <v>150.0</v>
      </c>
      <c r="J71" s="37"/>
      <c r="L71" s="37"/>
      <c r="N71" s="37"/>
      <c r="P71" s="37"/>
      <c r="Q71" s="26"/>
      <c r="R71" s="38">
        <v>225.0</v>
      </c>
      <c r="T71" s="39">
        <v>225.0</v>
      </c>
      <c r="V71" s="37"/>
      <c r="X71" s="37"/>
      <c r="Z71" s="37"/>
      <c r="AB71" s="37"/>
      <c r="AC71" s="26"/>
      <c r="AD71" s="37"/>
      <c r="AF71" s="37"/>
      <c r="AH71" s="37"/>
      <c r="AJ71" s="36"/>
      <c r="AL71" s="37"/>
      <c r="AN71" s="37"/>
      <c r="AP71" s="37"/>
      <c r="AR71" s="37"/>
      <c r="AT71" s="37"/>
      <c r="AU71" s="26"/>
      <c r="AV71" s="35">
        <f t="shared" si="1"/>
        <v>10650</v>
      </c>
      <c r="AW71" s="33">
        <f t="shared" si="2"/>
        <v>750</v>
      </c>
      <c r="AX71" s="33">
        <f t="shared" si="3"/>
        <v>0</v>
      </c>
      <c r="AY71" s="33">
        <f t="shared" si="4"/>
        <v>750</v>
      </c>
      <c r="AZ71" s="30">
        <f t="shared" si="5"/>
        <v>14.2</v>
      </c>
    </row>
    <row r="72" ht="15.75" customHeight="1">
      <c r="A72" s="44" t="s">
        <v>46</v>
      </c>
      <c r="B72" s="45">
        <f t="shared" si="6"/>
        <v>44632</v>
      </c>
      <c r="C72" s="46">
        <v>3.0</v>
      </c>
      <c r="D72" s="46" t="s">
        <v>47</v>
      </c>
      <c r="E72" s="47"/>
      <c r="F72" s="62">
        <v>150.0</v>
      </c>
      <c r="G72" s="51"/>
      <c r="H72" s="63">
        <v>150.0</v>
      </c>
      <c r="I72" s="51"/>
      <c r="J72" s="61"/>
      <c r="K72" s="51"/>
      <c r="L72" s="61"/>
      <c r="M72" s="51"/>
      <c r="N72" s="61"/>
      <c r="O72" s="51"/>
      <c r="P72" s="61"/>
      <c r="Q72" s="53"/>
      <c r="R72" s="62">
        <v>225.0</v>
      </c>
      <c r="S72" s="51"/>
      <c r="T72" s="63">
        <v>225.0</v>
      </c>
      <c r="U72" s="51"/>
      <c r="V72" s="61"/>
      <c r="W72" s="51"/>
      <c r="X72" s="61"/>
      <c r="Y72" s="51"/>
      <c r="Z72" s="61"/>
      <c r="AA72" s="51"/>
      <c r="AB72" s="61"/>
      <c r="AC72" s="53"/>
      <c r="AD72" s="61"/>
      <c r="AE72" s="51"/>
      <c r="AF72" s="61"/>
      <c r="AG72" s="51"/>
      <c r="AH72" s="61"/>
      <c r="AI72" s="51"/>
      <c r="AJ72" s="60"/>
      <c r="AK72" s="51"/>
      <c r="AL72" s="61"/>
      <c r="AM72" s="51"/>
      <c r="AN72" s="61"/>
      <c r="AO72" s="51"/>
      <c r="AP72" s="61"/>
      <c r="AQ72" s="51"/>
      <c r="AR72" s="61"/>
      <c r="AS72" s="51"/>
      <c r="AT72" s="61"/>
      <c r="AU72" s="53"/>
      <c r="AV72" s="55">
        <f t="shared" si="1"/>
        <v>10650</v>
      </c>
      <c r="AW72" s="46">
        <f t="shared" si="2"/>
        <v>750</v>
      </c>
      <c r="AX72" s="46">
        <f t="shared" si="3"/>
        <v>0</v>
      </c>
      <c r="AY72" s="46">
        <f t="shared" si="4"/>
        <v>750</v>
      </c>
      <c r="AZ72" s="56">
        <f t="shared" si="5"/>
        <v>14.2</v>
      </c>
    </row>
    <row r="73" ht="15.75" customHeight="1">
      <c r="A73" s="19" t="s">
        <v>30</v>
      </c>
      <c r="B73" s="57">
        <f t="shared" si="6"/>
        <v>44633</v>
      </c>
      <c r="C73" s="21">
        <v>3.0</v>
      </c>
      <c r="D73" s="21" t="s">
        <v>48</v>
      </c>
      <c r="E73" s="23"/>
      <c r="F73" s="38">
        <v>135.0</v>
      </c>
      <c r="H73" s="39">
        <v>135.0</v>
      </c>
      <c r="J73" s="37"/>
      <c r="L73" s="37"/>
      <c r="N73" s="37"/>
      <c r="P73" s="37"/>
      <c r="Q73" s="26"/>
      <c r="R73" s="38">
        <v>225.0</v>
      </c>
      <c r="T73" s="39">
        <v>225.0</v>
      </c>
      <c r="V73" s="37"/>
      <c r="X73" s="37"/>
      <c r="Z73" s="37"/>
      <c r="AB73" s="37"/>
      <c r="AC73" s="26"/>
      <c r="AD73" s="37"/>
      <c r="AF73" s="37"/>
      <c r="AH73" s="37"/>
      <c r="AJ73" s="36"/>
      <c r="AL73" s="37"/>
      <c r="AN73" s="37"/>
      <c r="AP73" s="37"/>
      <c r="AR73" s="37"/>
      <c r="AT73" s="37"/>
      <c r="AU73" s="26"/>
      <c r="AV73" s="29">
        <f t="shared" si="1"/>
        <v>10041.3</v>
      </c>
      <c r="AW73" s="21">
        <f t="shared" si="2"/>
        <v>720</v>
      </c>
      <c r="AX73" s="21">
        <f t="shared" si="3"/>
        <v>0</v>
      </c>
      <c r="AY73" s="21">
        <f t="shared" si="4"/>
        <v>720</v>
      </c>
      <c r="AZ73" s="58">
        <f t="shared" si="5"/>
        <v>13.94625</v>
      </c>
    </row>
    <row r="74" ht="15.75" customHeight="1">
      <c r="A74" s="31" t="s">
        <v>33</v>
      </c>
      <c r="B74" s="32">
        <f t="shared" si="6"/>
        <v>44634</v>
      </c>
      <c r="C74" s="33">
        <v>3.0</v>
      </c>
      <c r="D74" s="33" t="s">
        <v>48</v>
      </c>
      <c r="E74" s="34"/>
      <c r="F74" s="38">
        <v>135.0</v>
      </c>
      <c r="H74" s="39">
        <v>135.0</v>
      </c>
      <c r="J74" s="37"/>
      <c r="L74" s="37"/>
      <c r="N74" s="37"/>
      <c r="P74" s="37"/>
      <c r="Q74" s="26"/>
      <c r="R74" s="38">
        <v>225.0</v>
      </c>
      <c r="T74" s="39">
        <v>225.0</v>
      </c>
      <c r="V74" s="37"/>
      <c r="X74" s="37"/>
      <c r="Z74" s="37"/>
      <c r="AB74" s="37"/>
      <c r="AC74" s="26"/>
      <c r="AD74" s="37"/>
      <c r="AF74" s="37"/>
      <c r="AH74" s="37"/>
      <c r="AJ74" s="36"/>
      <c r="AL74" s="37"/>
      <c r="AN74" s="37"/>
      <c r="AP74" s="37"/>
      <c r="AR74" s="37"/>
      <c r="AT74" s="37"/>
      <c r="AU74" s="26"/>
      <c r="AV74" s="35">
        <f t="shared" si="1"/>
        <v>10041.3</v>
      </c>
      <c r="AW74" s="33">
        <f t="shared" si="2"/>
        <v>720</v>
      </c>
      <c r="AX74" s="33">
        <f t="shared" si="3"/>
        <v>0</v>
      </c>
      <c r="AY74" s="33">
        <f t="shared" si="4"/>
        <v>720</v>
      </c>
      <c r="AZ74" s="30">
        <f t="shared" si="5"/>
        <v>13.94625</v>
      </c>
    </row>
    <row r="75" ht="15.75" customHeight="1">
      <c r="A75" s="31" t="s">
        <v>34</v>
      </c>
      <c r="B75" s="32">
        <f t="shared" si="6"/>
        <v>44635</v>
      </c>
      <c r="C75" s="33">
        <v>3.0</v>
      </c>
      <c r="D75" s="33" t="s">
        <v>48</v>
      </c>
      <c r="E75" s="34"/>
      <c r="F75" s="38">
        <v>135.0</v>
      </c>
      <c r="H75" s="39">
        <v>135.0</v>
      </c>
      <c r="J75" s="37"/>
      <c r="L75" s="37"/>
      <c r="N75" s="37"/>
      <c r="P75" s="37"/>
      <c r="Q75" s="26"/>
      <c r="R75" s="38">
        <v>225.0</v>
      </c>
      <c r="T75" s="39">
        <v>225.0</v>
      </c>
      <c r="V75" s="37"/>
      <c r="X75" s="37"/>
      <c r="Z75" s="37"/>
      <c r="AB75" s="37"/>
      <c r="AC75" s="26"/>
      <c r="AD75" s="37"/>
      <c r="AF75" s="37"/>
      <c r="AH75" s="37"/>
      <c r="AJ75" s="36"/>
      <c r="AL75" s="37"/>
      <c r="AN75" s="37"/>
      <c r="AP75" s="37"/>
      <c r="AR75" s="37"/>
      <c r="AT75" s="37"/>
      <c r="AU75" s="26"/>
      <c r="AV75" s="35">
        <f t="shared" si="1"/>
        <v>10041.3</v>
      </c>
      <c r="AW75" s="33">
        <f t="shared" si="2"/>
        <v>720</v>
      </c>
      <c r="AX75" s="33">
        <f t="shared" si="3"/>
        <v>0</v>
      </c>
      <c r="AY75" s="33">
        <f t="shared" si="4"/>
        <v>720</v>
      </c>
      <c r="AZ75" s="30">
        <f t="shared" si="5"/>
        <v>13.94625</v>
      </c>
    </row>
    <row r="76" ht="15.75" customHeight="1">
      <c r="A76" s="31" t="s">
        <v>35</v>
      </c>
      <c r="B76" s="32">
        <f t="shared" si="6"/>
        <v>44636</v>
      </c>
      <c r="C76" s="33">
        <v>3.0</v>
      </c>
      <c r="D76" s="33" t="s">
        <v>48</v>
      </c>
      <c r="E76" s="34"/>
      <c r="F76" s="38">
        <v>135.0</v>
      </c>
      <c r="H76" s="39">
        <v>135.0</v>
      </c>
      <c r="J76" s="37"/>
      <c r="L76" s="37"/>
      <c r="N76" s="37"/>
      <c r="P76" s="37"/>
      <c r="Q76" s="26"/>
      <c r="R76" s="38">
        <v>225.0</v>
      </c>
      <c r="T76" s="39">
        <v>225.0</v>
      </c>
      <c r="V76" s="37"/>
      <c r="X76" s="37"/>
      <c r="Z76" s="37"/>
      <c r="AB76" s="37"/>
      <c r="AC76" s="26"/>
      <c r="AD76" s="37"/>
      <c r="AF76" s="37"/>
      <c r="AH76" s="37"/>
      <c r="AJ76" s="36"/>
      <c r="AL76" s="37"/>
      <c r="AN76" s="37"/>
      <c r="AP76" s="37"/>
      <c r="AR76" s="37"/>
      <c r="AT76" s="37"/>
      <c r="AU76" s="26"/>
      <c r="AV76" s="35">
        <f t="shared" si="1"/>
        <v>10041.3</v>
      </c>
      <c r="AW76" s="33">
        <f t="shared" si="2"/>
        <v>720</v>
      </c>
      <c r="AX76" s="33">
        <f t="shared" si="3"/>
        <v>0</v>
      </c>
      <c r="AY76" s="33">
        <f t="shared" si="4"/>
        <v>720</v>
      </c>
      <c r="AZ76" s="30">
        <f t="shared" si="5"/>
        <v>13.94625</v>
      </c>
    </row>
    <row r="77" ht="15.75" customHeight="1">
      <c r="A77" s="31" t="s">
        <v>38</v>
      </c>
      <c r="B77" s="32">
        <f t="shared" si="6"/>
        <v>44637</v>
      </c>
      <c r="C77" s="33">
        <v>3.0</v>
      </c>
      <c r="D77" s="33" t="s">
        <v>48</v>
      </c>
      <c r="E77" s="34"/>
      <c r="F77" s="38">
        <v>135.0</v>
      </c>
      <c r="H77" s="39">
        <v>135.0</v>
      </c>
      <c r="J77" s="37"/>
      <c r="L77" s="37"/>
      <c r="N77" s="37"/>
      <c r="P77" s="37"/>
      <c r="Q77" s="26"/>
      <c r="R77" s="38">
        <v>225.0</v>
      </c>
      <c r="T77" s="39">
        <v>225.0</v>
      </c>
      <c r="V77" s="37"/>
      <c r="X77" s="37"/>
      <c r="Z77" s="37"/>
      <c r="AB77" s="37"/>
      <c r="AC77" s="26"/>
      <c r="AD77" s="37"/>
      <c r="AF77" s="37"/>
      <c r="AH77" s="37"/>
      <c r="AJ77" s="36"/>
      <c r="AL77" s="37"/>
      <c r="AN77" s="37"/>
      <c r="AP77" s="37"/>
      <c r="AR77" s="37"/>
      <c r="AT77" s="37"/>
      <c r="AU77" s="26"/>
      <c r="AV77" s="35">
        <f t="shared" si="1"/>
        <v>10041.3</v>
      </c>
      <c r="AW77" s="33">
        <f t="shared" si="2"/>
        <v>720</v>
      </c>
      <c r="AX77" s="33">
        <f t="shared" si="3"/>
        <v>0</v>
      </c>
      <c r="AY77" s="33">
        <f t="shared" si="4"/>
        <v>720</v>
      </c>
      <c r="AZ77" s="30">
        <f t="shared" si="5"/>
        <v>13.94625</v>
      </c>
    </row>
    <row r="78" ht="15.75" customHeight="1">
      <c r="A78" s="31" t="s">
        <v>45</v>
      </c>
      <c r="B78" s="32">
        <f t="shared" si="6"/>
        <v>44638</v>
      </c>
      <c r="C78" s="33">
        <v>3.0</v>
      </c>
      <c r="D78" s="33" t="s">
        <v>48</v>
      </c>
      <c r="E78" s="34"/>
      <c r="F78" s="38">
        <v>135.0</v>
      </c>
      <c r="H78" s="39">
        <v>135.0</v>
      </c>
      <c r="J78" s="37"/>
      <c r="L78" s="37"/>
      <c r="N78" s="37"/>
      <c r="P78" s="37"/>
      <c r="Q78" s="26"/>
      <c r="R78" s="38">
        <v>225.0</v>
      </c>
      <c r="T78" s="39">
        <v>225.0</v>
      </c>
      <c r="V78" s="37"/>
      <c r="X78" s="37"/>
      <c r="Z78" s="37"/>
      <c r="AB78" s="37"/>
      <c r="AC78" s="26"/>
      <c r="AD78" s="37"/>
      <c r="AF78" s="37"/>
      <c r="AH78" s="37"/>
      <c r="AJ78" s="36"/>
      <c r="AL78" s="37"/>
      <c r="AN78" s="37"/>
      <c r="AP78" s="37"/>
      <c r="AR78" s="37"/>
      <c r="AT78" s="37"/>
      <c r="AU78" s="26"/>
      <c r="AV78" s="35">
        <f t="shared" si="1"/>
        <v>10041.3</v>
      </c>
      <c r="AW78" s="33">
        <f t="shared" si="2"/>
        <v>720</v>
      </c>
      <c r="AX78" s="33">
        <f t="shared" si="3"/>
        <v>0</v>
      </c>
      <c r="AY78" s="33">
        <f t="shared" si="4"/>
        <v>720</v>
      </c>
      <c r="AZ78" s="30">
        <f t="shared" si="5"/>
        <v>13.94625</v>
      </c>
    </row>
    <row r="79" ht="15.75" customHeight="1">
      <c r="A79" s="44" t="s">
        <v>46</v>
      </c>
      <c r="B79" s="45">
        <f t="shared" si="6"/>
        <v>44639</v>
      </c>
      <c r="C79" s="46">
        <v>3.0</v>
      </c>
      <c r="D79" s="46" t="s">
        <v>48</v>
      </c>
      <c r="E79" s="47"/>
      <c r="F79" s="62">
        <v>135.0</v>
      </c>
      <c r="G79" s="51"/>
      <c r="H79" s="63">
        <v>135.0</v>
      </c>
      <c r="I79" s="51"/>
      <c r="J79" s="61"/>
      <c r="K79" s="51"/>
      <c r="L79" s="61"/>
      <c r="M79" s="51"/>
      <c r="N79" s="61"/>
      <c r="O79" s="51"/>
      <c r="P79" s="61"/>
      <c r="Q79" s="53"/>
      <c r="R79" s="62">
        <v>225.0</v>
      </c>
      <c r="S79" s="51"/>
      <c r="T79" s="63">
        <v>225.0</v>
      </c>
      <c r="U79" s="51"/>
      <c r="V79" s="61"/>
      <c r="W79" s="51"/>
      <c r="X79" s="61"/>
      <c r="Y79" s="51"/>
      <c r="Z79" s="61"/>
      <c r="AA79" s="51"/>
      <c r="AB79" s="61"/>
      <c r="AC79" s="53"/>
      <c r="AD79" s="61"/>
      <c r="AE79" s="51"/>
      <c r="AF79" s="61"/>
      <c r="AG79" s="51"/>
      <c r="AH79" s="61"/>
      <c r="AI79" s="51"/>
      <c r="AJ79" s="60"/>
      <c r="AK79" s="51"/>
      <c r="AL79" s="61"/>
      <c r="AM79" s="51"/>
      <c r="AN79" s="61"/>
      <c r="AO79" s="51"/>
      <c r="AP79" s="61"/>
      <c r="AQ79" s="51"/>
      <c r="AR79" s="61"/>
      <c r="AS79" s="51"/>
      <c r="AT79" s="61"/>
      <c r="AU79" s="53"/>
      <c r="AV79" s="55">
        <f t="shared" si="1"/>
        <v>10041.3</v>
      </c>
      <c r="AW79" s="46">
        <f t="shared" si="2"/>
        <v>720</v>
      </c>
      <c r="AX79" s="46">
        <f t="shared" si="3"/>
        <v>0</v>
      </c>
      <c r="AY79" s="46">
        <f t="shared" si="4"/>
        <v>720</v>
      </c>
      <c r="AZ79" s="56">
        <f t="shared" si="5"/>
        <v>13.94625</v>
      </c>
    </row>
    <row r="80" ht="15.75" customHeight="1">
      <c r="A80" s="19" t="s">
        <v>30</v>
      </c>
      <c r="B80" s="57">
        <f t="shared" si="6"/>
        <v>44640</v>
      </c>
      <c r="C80" s="21">
        <v>3.0</v>
      </c>
      <c r="D80" s="21" t="s">
        <v>49</v>
      </c>
      <c r="E80" s="23"/>
      <c r="F80" s="38">
        <v>125.0</v>
      </c>
      <c r="H80" s="39">
        <v>125.0</v>
      </c>
      <c r="J80" s="37"/>
      <c r="L80" s="37"/>
      <c r="N80" s="37"/>
      <c r="P80" s="37"/>
      <c r="Q80" s="26"/>
      <c r="R80" s="38">
        <v>225.0</v>
      </c>
      <c r="T80" s="39">
        <v>225.0</v>
      </c>
      <c r="V80" s="37"/>
      <c r="X80" s="37"/>
      <c r="Z80" s="37"/>
      <c r="AB80" s="37"/>
      <c r="AC80" s="26"/>
      <c r="AD80" s="37"/>
      <c r="AF80" s="37"/>
      <c r="AH80" s="37"/>
      <c r="AJ80" s="36"/>
      <c r="AL80" s="37"/>
      <c r="AN80" s="37"/>
      <c r="AP80" s="37"/>
      <c r="AR80" s="37"/>
      <c r="AT80" s="37"/>
      <c r="AU80" s="26"/>
      <c r="AV80" s="29">
        <f t="shared" si="1"/>
        <v>9635.5</v>
      </c>
      <c r="AW80" s="21">
        <f t="shared" si="2"/>
        <v>700</v>
      </c>
      <c r="AX80" s="21">
        <f t="shared" si="3"/>
        <v>0</v>
      </c>
      <c r="AY80" s="21">
        <f t="shared" si="4"/>
        <v>700</v>
      </c>
      <c r="AZ80" s="58">
        <f t="shared" si="5"/>
        <v>13.765</v>
      </c>
    </row>
    <row r="81" ht="15.75" customHeight="1">
      <c r="A81" s="31" t="s">
        <v>33</v>
      </c>
      <c r="B81" s="32">
        <f t="shared" si="6"/>
        <v>44641</v>
      </c>
      <c r="C81" s="33">
        <v>3.0</v>
      </c>
      <c r="D81" s="33" t="s">
        <v>49</v>
      </c>
      <c r="E81" s="34"/>
      <c r="F81" s="38">
        <v>125.0</v>
      </c>
      <c r="H81" s="39">
        <v>125.0</v>
      </c>
      <c r="J81" s="37"/>
      <c r="L81" s="37"/>
      <c r="N81" s="37"/>
      <c r="P81" s="37"/>
      <c r="Q81" s="26"/>
      <c r="R81" s="38">
        <v>225.0</v>
      </c>
      <c r="T81" s="39">
        <v>225.0</v>
      </c>
      <c r="V81" s="37"/>
      <c r="X81" s="37"/>
      <c r="Z81" s="37"/>
      <c r="AB81" s="37"/>
      <c r="AC81" s="26"/>
      <c r="AD81" s="37"/>
      <c r="AF81" s="37"/>
      <c r="AH81" s="37"/>
      <c r="AJ81" s="36"/>
      <c r="AL81" s="37"/>
      <c r="AN81" s="37"/>
      <c r="AP81" s="37"/>
      <c r="AR81" s="37"/>
      <c r="AT81" s="37"/>
      <c r="AU81" s="26"/>
      <c r="AV81" s="35">
        <f t="shared" si="1"/>
        <v>9635.5</v>
      </c>
      <c r="AW81" s="33">
        <f t="shared" si="2"/>
        <v>700</v>
      </c>
      <c r="AX81" s="33">
        <f t="shared" si="3"/>
        <v>0</v>
      </c>
      <c r="AY81" s="33">
        <f t="shared" si="4"/>
        <v>700</v>
      </c>
      <c r="AZ81" s="30">
        <f t="shared" si="5"/>
        <v>13.765</v>
      </c>
    </row>
    <row r="82" ht="15.75" customHeight="1">
      <c r="A82" s="31" t="s">
        <v>34</v>
      </c>
      <c r="B82" s="32">
        <f t="shared" si="6"/>
        <v>44642</v>
      </c>
      <c r="C82" s="33">
        <v>3.0</v>
      </c>
      <c r="D82" s="33" t="s">
        <v>49</v>
      </c>
      <c r="E82" s="34"/>
      <c r="F82" s="38">
        <v>125.0</v>
      </c>
      <c r="H82" s="39">
        <v>125.0</v>
      </c>
      <c r="J82" s="37"/>
      <c r="L82" s="37"/>
      <c r="N82" s="37"/>
      <c r="P82" s="37"/>
      <c r="Q82" s="26"/>
      <c r="R82" s="38">
        <v>225.0</v>
      </c>
      <c r="T82" s="39">
        <v>225.0</v>
      </c>
      <c r="V82" s="37"/>
      <c r="X82" s="37"/>
      <c r="Z82" s="37"/>
      <c r="AB82" s="37"/>
      <c r="AC82" s="26"/>
      <c r="AD82" s="37"/>
      <c r="AF82" s="37"/>
      <c r="AH82" s="37"/>
      <c r="AJ82" s="36"/>
      <c r="AL82" s="37"/>
      <c r="AN82" s="37"/>
      <c r="AP82" s="37"/>
      <c r="AR82" s="37"/>
      <c r="AT82" s="37"/>
      <c r="AU82" s="26"/>
      <c r="AV82" s="35">
        <f t="shared" si="1"/>
        <v>9635.5</v>
      </c>
      <c r="AW82" s="33">
        <f t="shared" si="2"/>
        <v>700</v>
      </c>
      <c r="AX82" s="33">
        <f t="shared" si="3"/>
        <v>0</v>
      </c>
      <c r="AY82" s="33">
        <f t="shared" si="4"/>
        <v>700</v>
      </c>
      <c r="AZ82" s="30">
        <f t="shared" si="5"/>
        <v>13.765</v>
      </c>
    </row>
    <row r="83" ht="15.75" customHeight="1">
      <c r="A83" s="31" t="s">
        <v>35</v>
      </c>
      <c r="B83" s="32">
        <f t="shared" si="6"/>
        <v>44643</v>
      </c>
      <c r="C83" s="33">
        <v>3.0</v>
      </c>
      <c r="D83" s="33" t="s">
        <v>49</v>
      </c>
      <c r="E83" s="34"/>
      <c r="F83" s="38">
        <v>125.0</v>
      </c>
      <c r="H83" s="39">
        <v>125.0</v>
      </c>
      <c r="J83" s="37"/>
      <c r="L83" s="37"/>
      <c r="N83" s="37"/>
      <c r="P83" s="37"/>
      <c r="Q83" s="26"/>
      <c r="R83" s="38">
        <v>225.0</v>
      </c>
      <c r="T83" s="39">
        <v>225.0</v>
      </c>
      <c r="V83" s="37"/>
      <c r="X83" s="37"/>
      <c r="Z83" s="37"/>
      <c r="AB83" s="37"/>
      <c r="AC83" s="26"/>
      <c r="AD83" s="37"/>
      <c r="AF83" s="37"/>
      <c r="AH83" s="37"/>
      <c r="AJ83" s="36"/>
      <c r="AL83" s="37"/>
      <c r="AN83" s="37"/>
      <c r="AP83" s="37"/>
      <c r="AR83" s="37"/>
      <c r="AT83" s="37"/>
      <c r="AU83" s="26"/>
      <c r="AV83" s="35">
        <f t="shared" si="1"/>
        <v>9635.5</v>
      </c>
      <c r="AW83" s="33">
        <f t="shared" si="2"/>
        <v>700</v>
      </c>
      <c r="AX83" s="33">
        <f t="shared" si="3"/>
        <v>0</v>
      </c>
      <c r="AY83" s="33">
        <f t="shared" si="4"/>
        <v>700</v>
      </c>
      <c r="AZ83" s="30">
        <f t="shared" si="5"/>
        <v>13.765</v>
      </c>
    </row>
    <row r="84" ht="15.75" customHeight="1">
      <c r="A84" s="31" t="s">
        <v>38</v>
      </c>
      <c r="B84" s="32">
        <f t="shared" si="6"/>
        <v>44644</v>
      </c>
      <c r="C84" s="33">
        <v>3.0</v>
      </c>
      <c r="D84" s="33" t="s">
        <v>49</v>
      </c>
      <c r="E84" s="34"/>
      <c r="F84" s="38">
        <v>125.0</v>
      </c>
      <c r="H84" s="39">
        <v>125.0</v>
      </c>
      <c r="J84" s="37"/>
      <c r="L84" s="37"/>
      <c r="N84" s="37"/>
      <c r="P84" s="37"/>
      <c r="Q84" s="26"/>
      <c r="R84" s="38">
        <v>225.0</v>
      </c>
      <c r="T84" s="39">
        <v>225.0</v>
      </c>
      <c r="V84" s="37"/>
      <c r="X84" s="37"/>
      <c r="Z84" s="37"/>
      <c r="AB84" s="37"/>
      <c r="AC84" s="26"/>
      <c r="AD84" s="37"/>
      <c r="AF84" s="37"/>
      <c r="AH84" s="37"/>
      <c r="AJ84" s="36"/>
      <c r="AL84" s="37"/>
      <c r="AN84" s="37"/>
      <c r="AP84" s="37"/>
      <c r="AR84" s="37"/>
      <c r="AT84" s="37"/>
      <c r="AU84" s="26"/>
      <c r="AV84" s="35">
        <f t="shared" si="1"/>
        <v>9635.5</v>
      </c>
      <c r="AW84" s="33">
        <f t="shared" si="2"/>
        <v>700</v>
      </c>
      <c r="AX84" s="33">
        <f t="shared" si="3"/>
        <v>0</v>
      </c>
      <c r="AY84" s="33">
        <f t="shared" si="4"/>
        <v>700</v>
      </c>
      <c r="AZ84" s="30">
        <f t="shared" si="5"/>
        <v>13.765</v>
      </c>
    </row>
    <row r="85" ht="15.75" customHeight="1">
      <c r="A85" s="31" t="s">
        <v>45</v>
      </c>
      <c r="B85" s="32">
        <f t="shared" si="6"/>
        <v>44645</v>
      </c>
      <c r="C85" s="33">
        <v>3.0</v>
      </c>
      <c r="D85" s="33" t="s">
        <v>49</v>
      </c>
      <c r="E85" s="34"/>
      <c r="F85" s="38">
        <v>125.0</v>
      </c>
      <c r="H85" s="39">
        <v>125.0</v>
      </c>
      <c r="J85" s="37"/>
      <c r="L85" s="37"/>
      <c r="N85" s="37"/>
      <c r="P85" s="37"/>
      <c r="Q85" s="26"/>
      <c r="R85" s="38">
        <v>225.0</v>
      </c>
      <c r="T85" s="39">
        <v>225.0</v>
      </c>
      <c r="V85" s="37"/>
      <c r="X85" s="37"/>
      <c r="Z85" s="37"/>
      <c r="AB85" s="37"/>
      <c r="AC85" s="26"/>
      <c r="AD85" s="37"/>
      <c r="AF85" s="37"/>
      <c r="AH85" s="37"/>
      <c r="AJ85" s="36"/>
      <c r="AL85" s="37"/>
      <c r="AN85" s="37"/>
      <c r="AP85" s="37"/>
      <c r="AR85" s="37"/>
      <c r="AT85" s="37"/>
      <c r="AU85" s="26"/>
      <c r="AV85" s="35">
        <f t="shared" si="1"/>
        <v>9635.5</v>
      </c>
      <c r="AW85" s="33">
        <f t="shared" si="2"/>
        <v>700</v>
      </c>
      <c r="AX85" s="33">
        <f t="shared" si="3"/>
        <v>0</v>
      </c>
      <c r="AY85" s="33">
        <f t="shared" si="4"/>
        <v>700</v>
      </c>
      <c r="AZ85" s="30">
        <f t="shared" si="5"/>
        <v>13.765</v>
      </c>
    </row>
    <row r="86" ht="15.75" customHeight="1">
      <c r="A86" s="44" t="s">
        <v>46</v>
      </c>
      <c r="B86" s="45">
        <f t="shared" si="6"/>
        <v>44646</v>
      </c>
      <c r="C86" s="46">
        <v>3.0</v>
      </c>
      <c r="D86" s="46" t="s">
        <v>49</v>
      </c>
      <c r="E86" s="47"/>
      <c r="F86" s="62">
        <v>125.0</v>
      </c>
      <c r="G86" s="51"/>
      <c r="H86" s="63">
        <v>125.0</v>
      </c>
      <c r="I86" s="51"/>
      <c r="J86" s="61"/>
      <c r="K86" s="51"/>
      <c r="L86" s="61"/>
      <c r="M86" s="51"/>
      <c r="N86" s="61"/>
      <c r="O86" s="51"/>
      <c r="P86" s="61"/>
      <c r="Q86" s="53"/>
      <c r="R86" s="62">
        <v>225.0</v>
      </c>
      <c r="S86" s="51"/>
      <c r="T86" s="63">
        <v>225.0</v>
      </c>
      <c r="U86" s="51"/>
      <c r="V86" s="61"/>
      <c r="W86" s="51"/>
      <c r="X86" s="61"/>
      <c r="Y86" s="51"/>
      <c r="Z86" s="61"/>
      <c r="AA86" s="51"/>
      <c r="AB86" s="61"/>
      <c r="AC86" s="53"/>
      <c r="AD86" s="61"/>
      <c r="AE86" s="51"/>
      <c r="AF86" s="61"/>
      <c r="AG86" s="51"/>
      <c r="AH86" s="61"/>
      <c r="AI86" s="51"/>
      <c r="AJ86" s="60"/>
      <c r="AK86" s="51"/>
      <c r="AL86" s="61"/>
      <c r="AM86" s="51"/>
      <c r="AN86" s="61"/>
      <c r="AO86" s="51"/>
      <c r="AP86" s="61"/>
      <c r="AQ86" s="51"/>
      <c r="AR86" s="61"/>
      <c r="AS86" s="51"/>
      <c r="AT86" s="61"/>
      <c r="AU86" s="53"/>
      <c r="AV86" s="55">
        <f t="shared" si="1"/>
        <v>9635.5</v>
      </c>
      <c r="AW86" s="46">
        <f t="shared" si="2"/>
        <v>700</v>
      </c>
      <c r="AX86" s="46">
        <f t="shared" si="3"/>
        <v>0</v>
      </c>
      <c r="AY86" s="46">
        <f t="shared" si="4"/>
        <v>700</v>
      </c>
      <c r="AZ86" s="56">
        <f t="shared" si="5"/>
        <v>13.765</v>
      </c>
    </row>
    <row r="87" ht="15.75" customHeight="1">
      <c r="A87" s="19" t="s">
        <v>30</v>
      </c>
      <c r="B87" s="57">
        <f t="shared" si="6"/>
        <v>44647</v>
      </c>
      <c r="C87" s="21">
        <v>4.0</v>
      </c>
      <c r="D87" s="21" t="s">
        <v>31</v>
      </c>
      <c r="E87" s="23"/>
      <c r="F87" s="36"/>
      <c r="H87" s="37"/>
      <c r="J87" s="37"/>
      <c r="L87" s="37"/>
      <c r="N87" s="37"/>
      <c r="P87" s="37"/>
      <c r="Q87" s="26"/>
      <c r="R87" s="38">
        <v>200.0</v>
      </c>
      <c r="T87" s="39">
        <v>200.0</v>
      </c>
      <c r="V87" s="37"/>
      <c r="X87" s="37"/>
      <c r="Z87" s="37"/>
      <c r="AB87" s="37"/>
      <c r="AC87" s="26"/>
      <c r="AD87" s="37"/>
      <c r="AF87" s="37"/>
      <c r="AH87" s="37"/>
      <c r="AJ87" s="36"/>
      <c r="AL87" s="37"/>
      <c r="AN87" s="37"/>
      <c r="AP87" s="37"/>
      <c r="AR87" s="37"/>
      <c r="AT87" s="37"/>
      <c r="AU87" s="26"/>
      <c r="AV87" s="29">
        <f t="shared" si="1"/>
        <v>4056</v>
      </c>
      <c r="AW87" s="21">
        <f t="shared" si="2"/>
        <v>400</v>
      </c>
      <c r="AX87" s="21">
        <f t="shared" si="3"/>
        <v>0</v>
      </c>
      <c r="AY87" s="21">
        <f t="shared" si="4"/>
        <v>400</v>
      </c>
      <c r="AZ87" s="58">
        <f t="shared" si="5"/>
        <v>10.14</v>
      </c>
    </row>
    <row r="88" ht="15.75" customHeight="1">
      <c r="A88" s="31" t="s">
        <v>33</v>
      </c>
      <c r="B88" s="32">
        <f t="shared" si="6"/>
        <v>44648</v>
      </c>
      <c r="C88" s="33">
        <v>4.0</v>
      </c>
      <c r="D88" s="33" t="s">
        <v>31</v>
      </c>
      <c r="E88" s="34"/>
      <c r="F88" s="36"/>
      <c r="H88" s="37"/>
      <c r="J88" s="37"/>
      <c r="L88" s="37"/>
      <c r="N88" s="37"/>
      <c r="P88" s="37"/>
      <c r="Q88" s="26"/>
      <c r="R88" s="38">
        <v>200.0</v>
      </c>
      <c r="T88" s="39">
        <v>200.0</v>
      </c>
      <c r="V88" s="37"/>
      <c r="X88" s="37"/>
      <c r="Z88" s="37"/>
      <c r="AB88" s="37"/>
      <c r="AC88" s="26"/>
      <c r="AD88" s="37"/>
      <c r="AF88" s="37"/>
      <c r="AH88" s="37"/>
      <c r="AJ88" s="36"/>
      <c r="AL88" s="37"/>
      <c r="AN88" s="37"/>
      <c r="AP88" s="37"/>
      <c r="AR88" s="37"/>
      <c r="AT88" s="37"/>
      <c r="AU88" s="26"/>
      <c r="AV88" s="35">
        <f t="shared" si="1"/>
        <v>4056</v>
      </c>
      <c r="AW88" s="33">
        <f t="shared" si="2"/>
        <v>400</v>
      </c>
      <c r="AX88" s="33">
        <f t="shared" si="3"/>
        <v>0</v>
      </c>
      <c r="AY88" s="33">
        <f t="shared" si="4"/>
        <v>400</v>
      </c>
      <c r="AZ88" s="30">
        <f t="shared" si="5"/>
        <v>10.14</v>
      </c>
    </row>
    <row r="89" ht="15.75" customHeight="1">
      <c r="A89" s="31" t="s">
        <v>34</v>
      </c>
      <c r="B89" s="32">
        <f t="shared" si="6"/>
        <v>44649</v>
      </c>
      <c r="C89" s="33">
        <v>4.0</v>
      </c>
      <c r="D89" s="33" t="s">
        <v>31</v>
      </c>
      <c r="E89" s="34"/>
      <c r="F89" s="36"/>
      <c r="H89" s="37"/>
      <c r="J89" s="37"/>
      <c r="L89" s="37"/>
      <c r="N89" s="37"/>
      <c r="P89" s="37"/>
      <c r="Q89" s="26"/>
      <c r="R89" s="38">
        <v>200.0</v>
      </c>
      <c r="T89" s="39">
        <v>200.0</v>
      </c>
      <c r="V89" s="37"/>
      <c r="X89" s="37"/>
      <c r="Z89" s="37"/>
      <c r="AB89" s="37"/>
      <c r="AC89" s="26"/>
      <c r="AD89" s="37"/>
      <c r="AF89" s="37"/>
      <c r="AH89" s="37"/>
      <c r="AJ89" s="36"/>
      <c r="AL89" s="37"/>
      <c r="AN89" s="37"/>
      <c r="AP89" s="37"/>
      <c r="AR89" s="37"/>
      <c r="AT89" s="37"/>
      <c r="AU89" s="26"/>
      <c r="AV89" s="35">
        <f t="shared" si="1"/>
        <v>4056</v>
      </c>
      <c r="AW89" s="33">
        <f t="shared" si="2"/>
        <v>400</v>
      </c>
      <c r="AX89" s="33">
        <f t="shared" si="3"/>
        <v>0</v>
      </c>
      <c r="AY89" s="33">
        <f t="shared" si="4"/>
        <v>400</v>
      </c>
      <c r="AZ89" s="30">
        <f t="shared" si="5"/>
        <v>10.14</v>
      </c>
    </row>
    <row r="90" ht="15.75" customHeight="1">
      <c r="A90" s="31" t="s">
        <v>35</v>
      </c>
      <c r="B90" s="32">
        <f t="shared" si="6"/>
        <v>44650</v>
      </c>
      <c r="C90" s="33">
        <v>4.0</v>
      </c>
      <c r="D90" s="33" t="s">
        <v>31</v>
      </c>
      <c r="E90" s="34"/>
      <c r="F90" s="36"/>
      <c r="H90" s="37"/>
      <c r="J90" s="37"/>
      <c r="L90" s="37"/>
      <c r="N90" s="37"/>
      <c r="P90" s="37"/>
      <c r="Q90" s="26"/>
      <c r="R90" s="38">
        <v>200.0</v>
      </c>
      <c r="T90" s="39">
        <v>200.0</v>
      </c>
      <c r="V90" s="37"/>
      <c r="X90" s="37"/>
      <c r="Z90" s="37"/>
      <c r="AB90" s="37"/>
      <c r="AC90" s="26"/>
      <c r="AD90" s="37"/>
      <c r="AF90" s="37"/>
      <c r="AH90" s="37"/>
      <c r="AJ90" s="36"/>
      <c r="AL90" s="37"/>
      <c r="AN90" s="37"/>
      <c r="AP90" s="37"/>
      <c r="AR90" s="37"/>
      <c r="AT90" s="37"/>
      <c r="AU90" s="26"/>
      <c r="AV90" s="35">
        <f t="shared" si="1"/>
        <v>4056</v>
      </c>
      <c r="AW90" s="33">
        <f t="shared" si="2"/>
        <v>400</v>
      </c>
      <c r="AX90" s="33">
        <f t="shared" si="3"/>
        <v>0</v>
      </c>
      <c r="AY90" s="33">
        <f t="shared" si="4"/>
        <v>400</v>
      </c>
      <c r="AZ90" s="30">
        <f t="shared" si="5"/>
        <v>10.14</v>
      </c>
    </row>
    <row r="91" ht="15.75" customHeight="1">
      <c r="A91" s="31" t="s">
        <v>38</v>
      </c>
      <c r="B91" s="32">
        <f t="shared" si="6"/>
        <v>44651</v>
      </c>
      <c r="C91" s="33">
        <v>4.0</v>
      </c>
      <c r="D91" s="33" t="s">
        <v>31</v>
      </c>
      <c r="E91" s="34"/>
      <c r="F91" s="36"/>
      <c r="H91" s="37"/>
      <c r="J91" s="37"/>
      <c r="L91" s="37"/>
      <c r="N91" s="37"/>
      <c r="P91" s="37"/>
      <c r="Q91" s="26"/>
      <c r="R91" s="38">
        <v>200.0</v>
      </c>
      <c r="T91" s="39">
        <v>200.0</v>
      </c>
      <c r="V91" s="37"/>
      <c r="X91" s="37"/>
      <c r="Z91" s="37"/>
      <c r="AB91" s="37"/>
      <c r="AC91" s="26"/>
      <c r="AD91" s="37"/>
      <c r="AF91" s="37"/>
      <c r="AH91" s="37"/>
      <c r="AJ91" s="36"/>
      <c r="AL91" s="37"/>
      <c r="AN91" s="37"/>
      <c r="AP91" s="37"/>
      <c r="AR91" s="37"/>
      <c r="AT91" s="37"/>
      <c r="AU91" s="26"/>
      <c r="AV91" s="35">
        <f t="shared" si="1"/>
        <v>4056</v>
      </c>
      <c r="AW91" s="33">
        <f t="shared" si="2"/>
        <v>400</v>
      </c>
      <c r="AX91" s="33">
        <f t="shared" si="3"/>
        <v>0</v>
      </c>
      <c r="AY91" s="33">
        <f t="shared" si="4"/>
        <v>400</v>
      </c>
      <c r="AZ91" s="30">
        <f t="shared" si="5"/>
        <v>10.14</v>
      </c>
    </row>
    <row r="92" ht="15.75" customHeight="1">
      <c r="A92" s="31" t="s">
        <v>45</v>
      </c>
      <c r="B92" s="32">
        <f t="shared" si="6"/>
        <v>44652</v>
      </c>
      <c r="C92" s="33">
        <v>4.0</v>
      </c>
      <c r="D92" s="33" t="s">
        <v>31</v>
      </c>
      <c r="E92" s="34"/>
      <c r="F92" s="36"/>
      <c r="H92" s="37"/>
      <c r="J92" s="37"/>
      <c r="L92" s="37"/>
      <c r="N92" s="37"/>
      <c r="P92" s="37"/>
      <c r="Q92" s="26"/>
      <c r="R92" s="38">
        <v>200.0</v>
      </c>
      <c r="T92" s="39">
        <v>200.0</v>
      </c>
      <c r="V92" s="37"/>
      <c r="X92" s="37"/>
      <c r="Z92" s="37"/>
      <c r="AB92" s="37"/>
      <c r="AC92" s="26"/>
      <c r="AD92" s="37"/>
      <c r="AF92" s="37"/>
      <c r="AH92" s="37"/>
      <c r="AJ92" s="36"/>
      <c r="AL92" s="37"/>
      <c r="AN92" s="37"/>
      <c r="AP92" s="37"/>
      <c r="AR92" s="37"/>
      <c r="AT92" s="37"/>
      <c r="AU92" s="26"/>
      <c r="AV92" s="35">
        <f t="shared" si="1"/>
        <v>4056</v>
      </c>
      <c r="AW92" s="33">
        <f t="shared" si="2"/>
        <v>400</v>
      </c>
      <c r="AX92" s="33">
        <f t="shared" si="3"/>
        <v>0</v>
      </c>
      <c r="AY92" s="33">
        <f t="shared" si="4"/>
        <v>400</v>
      </c>
      <c r="AZ92" s="30">
        <f t="shared" si="5"/>
        <v>10.14</v>
      </c>
    </row>
    <row r="93" ht="15.75" customHeight="1">
      <c r="A93" s="44" t="s">
        <v>46</v>
      </c>
      <c r="B93" s="45">
        <f t="shared" si="6"/>
        <v>44653</v>
      </c>
      <c r="C93" s="46">
        <v>4.0</v>
      </c>
      <c r="D93" s="46" t="s">
        <v>31</v>
      </c>
      <c r="E93" s="47"/>
      <c r="F93" s="60"/>
      <c r="G93" s="51"/>
      <c r="H93" s="61"/>
      <c r="I93" s="51"/>
      <c r="J93" s="61"/>
      <c r="K93" s="51"/>
      <c r="L93" s="61"/>
      <c r="M93" s="51"/>
      <c r="N93" s="61"/>
      <c r="O93" s="51"/>
      <c r="P93" s="61"/>
      <c r="Q93" s="53"/>
      <c r="R93" s="62">
        <v>0.0</v>
      </c>
      <c r="S93" s="51"/>
      <c r="T93" s="63">
        <v>0.0</v>
      </c>
      <c r="U93" s="51"/>
      <c r="V93" s="61"/>
      <c r="W93" s="51"/>
      <c r="X93" s="61"/>
      <c r="Y93" s="51"/>
      <c r="Z93" s="61"/>
      <c r="AA93" s="51"/>
      <c r="AB93" s="61"/>
      <c r="AC93" s="53"/>
      <c r="AD93" s="61"/>
      <c r="AE93" s="51"/>
      <c r="AF93" s="61"/>
      <c r="AG93" s="51"/>
      <c r="AH93" s="61"/>
      <c r="AI93" s="51"/>
      <c r="AJ93" s="60"/>
      <c r="AK93" s="51"/>
      <c r="AL93" s="61"/>
      <c r="AM93" s="51"/>
      <c r="AN93" s="61"/>
      <c r="AO93" s="51"/>
      <c r="AP93" s="61"/>
      <c r="AQ93" s="51"/>
      <c r="AR93" s="61"/>
      <c r="AS93" s="51"/>
      <c r="AT93" s="61"/>
      <c r="AU93" s="53"/>
      <c r="AV93" s="55">
        <f t="shared" si="1"/>
        <v>0</v>
      </c>
      <c r="AW93" s="46">
        <f t="shared" si="2"/>
        <v>0</v>
      </c>
      <c r="AX93" s="46">
        <f t="shared" si="3"/>
        <v>0</v>
      </c>
      <c r="AY93" s="46">
        <f t="shared" si="4"/>
        <v>0</v>
      </c>
      <c r="AZ93" s="56" t="str">
        <f t="shared" si="5"/>
        <v/>
      </c>
    </row>
    <row r="94" ht="15.75" customHeight="1">
      <c r="A94" s="19" t="s">
        <v>30</v>
      </c>
      <c r="B94" s="57">
        <f t="shared" si="6"/>
        <v>44654</v>
      </c>
      <c r="C94" s="21">
        <v>4.0</v>
      </c>
      <c r="D94" s="21" t="s">
        <v>47</v>
      </c>
      <c r="E94" s="23"/>
      <c r="F94" s="36"/>
      <c r="H94" s="37"/>
      <c r="J94" s="37"/>
      <c r="L94" s="37"/>
      <c r="N94" s="37"/>
      <c r="P94" s="37"/>
      <c r="Q94" s="26"/>
      <c r="R94" s="38">
        <v>185.0</v>
      </c>
      <c r="T94" s="39">
        <v>185.0</v>
      </c>
      <c r="V94" s="37"/>
      <c r="X94" s="37"/>
      <c r="Z94" s="37"/>
      <c r="AB94" s="37"/>
      <c r="AC94" s="26"/>
      <c r="AD94" s="37"/>
      <c r="AF94" s="39">
        <v>40.0</v>
      </c>
      <c r="AH94" s="39">
        <v>40.0</v>
      </c>
      <c r="AJ94" s="36"/>
      <c r="AL94" s="37"/>
      <c r="AN94" s="37"/>
      <c r="AP94" s="37"/>
      <c r="AR94" s="37"/>
      <c r="AT94" s="37"/>
      <c r="AU94" s="26"/>
      <c r="AV94" s="29">
        <f t="shared" si="1"/>
        <v>4911.8</v>
      </c>
      <c r="AW94" s="21">
        <f t="shared" si="2"/>
        <v>450</v>
      </c>
      <c r="AX94" s="21">
        <f t="shared" si="3"/>
        <v>0</v>
      </c>
      <c r="AY94" s="21">
        <f t="shared" si="4"/>
        <v>450</v>
      </c>
      <c r="AZ94" s="58">
        <f t="shared" si="5"/>
        <v>10.91511111</v>
      </c>
    </row>
    <row r="95" ht="15.75" customHeight="1">
      <c r="A95" s="31" t="s">
        <v>33</v>
      </c>
      <c r="B95" s="32">
        <f t="shared" si="6"/>
        <v>44655</v>
      </c>
      <c r="C95" s="33">
        <v>4.0</v>
      </c>
      <c r="D95" s="33" t="s">
        <v>47</v>
      </c>
      <c r="E95" s="34"/>
      <c r="F95" s="36"/>
      <c r="H95" s="37"/>
      <c r="J95" s="37"/>
      <c r="L95" s="37"/>
      <c r="N95" s="37"/>
      <c r="P95" s="37"/>
      <c r="Q95" s="26"/>
      <c r="R95" s="38">
        <v>185.0</v>
      </c>
      <c r="T95" s="39">
        <v>185.0</v>
      </c>
      <c r="V95" s="37"/>
      <c r="X95" s="37"/>
      <c r="Z95" s="37"/>
      <c r="AB95" s="37"/>
      <c r="AC95" s="26"/>
      <c r="AD95" s="37"/>
      <c r="AF95" s="39">
        <v>40.0</v>
      </c>
      <c r="AH95" s="39">
        <v>40.0</v>
      </c>
      <c r="AJ95" s="36"/>
      <c r="AL95" s="37"/>
      <c r="AN95" s="37"/>
      <c r="AP95" s="37"/>
      <c r="AR95" s="37"/>
      <c r="AT95" s="37"/>
      <c r="AU95" s="26"/>
      <c r="AV95" s="35">
        <f t="shared" si="1"/>
        <v>4911.8</v>
      </c>
      <c r="AW95" s="33">
        <f t="shared" si="2"/>
        <v>450</v>
      </c>
      <c r="AX95" s="33">
        <f t="shared" si="3"/>
        <v>0</v>
      </c>
      <c r="AY95" s="33">
        <f t="shared" si="4"/>
        <v>450</v>
      </c>
      <c r="AZ95" s="30">
        <f t="shared" si="5"/>
        <v>10.91511111</v>
      </c>
    </row>
    <row r="96" ht="15.75" customHeight="1">
      <c r="A96" s="31" t="s">
        <v>34</v>
      </c>
      <c r="B96" s="32">
        <f t="shared" si="6"/>
        <v>44656</v>
      </c>
      <c r="C96" s="33">
        <v>4.0</v>
      </c>
      <c r="D96" s="33" t="s">
        <v>47</v>
      </c>
      <c r="E96" s="34"/>
      <c r="F96" s="36"/>
      <c r="H96" s="37"/>
      <c r="J96" s="37"/>
      <c r="L96" s="37"/>
      <c r="N96" s="37"/>
      <c r="P96" s="37"/>
      <c r="Q96" s="26"/>
      <c r="R96" s="38">
        <v>185.0</v>
      </c>
      <c r="T96" s="39">
        <v>185.0</v>
      </c>
      <c r="V96" s="37"/>
      <c r="X96" s="37"/>
      <c r="Z96" s="37"/>
      <c r="AB96" s="37"/>
      <c r="AC96" s="26"/>
      <c r="AD96" s="37"/>
      <c r="AF96" s="39">
        <v>40.0</v>
      </c>
      <c r="AH96" s="39">
        <v>40.0</v>
      </c>
      <c r="AJ96" s="36"/>
      <c r="AL96" s="37"/>
      <c r="AN96" s="37"/>
      <c r="AP96" s="37"/>
      <c r="AR96" s="37"/>
      <c r="AT96" s="37"/>
      <c r="AU96" s="26"/>
      <c r="AV96" s="35">
        <f t="shared" si="1"/>
        <v>4911.8</v>
      </c>
      <c r="AW96" s="33">
        <f t="shared" si="2"/>
        <v>450</v>
      </c>
      <c r="AX96" s="33">
        <f t="shared" si="3"/>
        <v>0</v>
      </c>
      <c r="AY96" s="33">
        <f t="shared" si="4"/>
        <v>450</v>
      </c>
      <c r="AZ96" s="30">
        <f t="shared" si="5"/>
        <v>10.91511111</v>
      </c>
    </row>
    <row r="97" ht="15.75" customHeight="1">
      <c r="A97" s="31" t="s">
        <v>35</v>
      </c>
      <c r="B97" s="32">
        <f t="shared" si="6"/>
        <v>44657</v>
      </c>
      <c r="C97" s="33">
        <v>4.0</v>
      </c>
      <c r="D97" s="33" t="s">
        <v>47</v>
      </c>
      <c r="E97" s="34"/>
      <c r="F97" s="36"/>
      <c r="H97" s="37"/>
      <c r="J97" s="37"/>
      <c r="L97" s="37"/>
      <c r="N97" s="37"/>
      <c r="P97" s="37"/>
      <c r="Q97" s="26"/>
      <c r="R97" s="38">
        <v>185.0</v>
      </c>
      <c r="T97" s="39">
        <v>185.0</v>
      </c>
      <c r="V97" s="37"/>
      <c r="X97" s="37"/>
      <c r="Z97" s="37"/>
      <c r="AB97" s="37"/>
      <c r="AC97" s="26"/>
      <c r="AD97" s="37"/>
      <c r="AF97" s="39">
        <v>40.0</v>
      </c>
      <c r="AH97" s="39">
        <v>40.0</v>
      </c>
      <c r="AJ97" s="36"/>
      <c r="AL97" s="37"/>
      <c r="AN97" s="37"/>
      <c r="AP97" s="37"/>
      <c r="AR97" s="37"/>
      <c r="AT97" s="37"/>
      <c r="AU97" s="26"/>
      <c r="AV97" s="35">
        <f t="shared" si="1"/>
        <v>4911.8</v>
      </c>
      <c r="AW97" s="33">
        <f t="shared" si="2"/>
        <v>450</v>
      </c>
      <c r="AX97" s="33">
        <f t="shared" si="3"/>
        <v>0</v>
      </c>
      <c r="AY97" s="33">
        <f t="shared" si="4"/>
        <v>450</v>
      </c>
      <c r="AZ97" s="30">
        <f t="shared" si="5"/>
        <v>10.91511111</v>
      </c>
    </row>
    <row r="98" ht="15.75" customHeight="1">
      <c r="A98" s="31" t="s">
        <v>38</v>
      </c>
      <c r="B98" s="32">
        <f t="shared" si="6"/>
        <v>44658</v>
      </c>
      <c r="C98" s="33">
        <v>4.0</v>
      </c>
      <c r="D98" s="33" t="s">
        <v>47</v>
      </c>
      <c r="E98" s="34"/>
      <c r="F98" s="36"/>
      <c r="H98" s="37"/>
      <c r="J98" s="37"/>
      <c r="L98" s="37"/>
      <c r="N98" s="37"/>
      <c r="P98" s="37"/>
      <c r="Q98" s="26"/>
      <c r="R98" s="38">
        <v>185.0</v>
      </c>
      <c r="T98" s="39">
        <v>185.0</v>
      </c>
      <c r="V98" s="37"/>
      <c r="X98" s="37"/>
      <c r="Z98" s="37"/>
      <c r="AB98" s="37"/>
      <c r="AC98" s="26"/>
      <c r="AD98" s="37"/>
      <c r="AF98" s="39">
        <v>40.0</v>
      </c>
      <c r="AH98" s="39">
        <v>40.0</v>
      </c>
      <c r="AJ98" s="36"/>
      <c r="AL98" s="37"/>
      <c r="AN98" s="37"/>
      <c r="AP98" s="37"/>
      <c r="AR98" s="37"/>
      <c r="AT98" s="37"/>
      <c r="AU98" s="26"/>
      <c r="AV98" s="35">
        <f t="shared" si="1"/>
        <v>4911.8</v>
      </c>
      <c r="AW98" s="33">
        <f t="shared" si="2"/>
        <v>450</v>
      </c>
      <c r="AX98" s="33">
        <f t="shared" si="3"/>
        <v>0</v>
      </c>
      <c r="AY98" s="33">
        <f t="shared" si="4"/>
        <v>450</v>
      </c>
      <c r="AZ98" s="30">
        <f t="shared" si="5"/>
        <v>10.91511111</v>
      </c>
    </row>
    <row r="99" ht="15.75" customHeight="1">
      <c r="A99" s="31" t="s">
        <v>45</v>
      </c>
      <c r="B99" s="32">
        <f t="shared" si="6"/>
        <v>44659</v>
      </c>
      <c r="C99" s="33">
        <v>4.0</v>
      </c>
      <c r="D99" s="33" t="s">
        <v>47</v>
      </c>
      <c r="E99" s="34"/>
      <c r="F99" s="36"/>
      <c r="H99" s="37"/>
      <c r="J99" s="37"/>
      <c r="L99" s="37"/>
      <c r="N99" s="37"/>
      <c r="P99" s="37"/>
      <c r="Q99" s="26"/>
      <c r="R99" s="38">
        <v>185.0</v>
      </c>
      <c r="T99" s="39">
        <v>185.0</v>
      </c>
      <c r="V99" s="37"/>
      <c r="X99" s="37"/>
      <c r="Z99" s="37"/>
      <c r="AB99" s="37"/>
      <c r="AC99" s="26"/>
      <c r="AD99" s="37"/>
      <c r="AF99" s="39">
        <v>0.0</v>
      </c>
      <c r="AH99" s="39">
        <v>0.0</v>
      </c>
      <c r="AJ99" s="36"/>
      <c r="AL99" s="37"/>
      <c r="AN99" s="37"/>
      <c r="AP99" s="37"/>
      <c r="AR99" s="37"/>
      <c r="AT99" s="37"/>
      <c r="AU99" s="26"/>
      <c r="AV99" s="35">
        <f t="shared" si="1"/>
        <v>3751.8</v>
      </c>
      <c r="AW99" s="33">
        <f t="shared" si="2"/>
        <v>370</v>
      </c>
      <c r="AX99" s="33">
        <f t="shared" si="3"/>
        <v>0</v>
      </c>
      <c r="AY99" s="33">
        <f t="shared" si="4"/>
        <v>370</v>
      </c>
      <c r="AZ99" s="30">
        <f t="shared" si="5"/>
        <v>10.14</v>
      </c>
    </row>
    <row r="100" ht="15.75" customHeight="1">
      <c r="A100" s="44" t="s">
        <v>46</v>
      </c>
      <c r="B100" s="45">
        <f t="shared" si="6"/>
        <v>44660</v>
      </c>
      <c r="C100" s="46">
        <v>4.0</v>
      </c>
      <c r="D100" s="46" t="s">
        <v>47</v>
      </c>
      <c r="E100" s="47"/>
      <c r="F100" s="60"/>
      <c r="G100" s="51"/>
      <c r="H100" s="61"/>
      <c r="I100" s="51"/>
      <c r="J100" s="61"/>
      <c r="K100" s="51"/>
      <c r="L100" s="61"/>
      <c r="M100" s="51"/>
      <c r="N100" s="61"/>
      <c r="O100" s="51"/>
      <c r="P100" s="61"/>
      <c r="Q100" s="53"/>
      <c r="R100" s="62">
        <v>0.0</v>
      </c>
      <c r="S100" s="51"/>
      <c r="T100" s="63">
        <v>0.0</v>
      </c>
      <c r="U100" s="51"/>
      <c r="V100" s="61"/>
      <c r="W100" s="51"/>
      <c r="X100" s="61"/>
      <c r="Y100" s="51"/>
      <c r="Z100" s="61"/>
      <c r="AA100" s="51"/>
      <c r="AB100" s="61"/>
      <c r="AC100" s="53"/>
      <c r="AD100" s="61"/>
      <c r="AE100" s="51"/>
      <c r="AF100" s="63">
        <v>0.0</v>
      </c>
      <c r="AG100" s="51"/>
      <c r="AH100" s="63">
        <v>0.0</v>
      </c>
      <c r="AI100" s="51"/>
      <c r="AJ100" s="60"/>
      <c r="AK100" s="51"/>
      <c r="AL100" s="61"/>
      <c r="AM100" s="51"/>
      <c r="AN100" s="61"/>
      <c r="AO100" s="51"/>
      <c r="AP100" s="61"/>
      <c r="AQ100" s="51"/>
      <c r="AR100" s="61"/>
      <c r="AS100" s="51"/>
      <c r="AT100" s="61"/>
      <c r="AU100" s="53"/>
      <c r="AV100" s="55">
        <f t="shared" si="1"/>
        <v>0</v>
      </c>
      <c r="AW100" s="46">
        <f t="shared" si="2"/>
        <v>0</v>
      </c>
      <c r="AX100" s="46">
        <f t="shared" si="3"/>
        <v>0</v>
      </c>
      <c r="AY100" s="46">
        <f t="shared" si="4"/>
        <v>0</v>
      </c>
      <c r="AZ100" s="56" t="str">
        <f t="shared" si="5"/>
        <v/>
      </c>
    </row>
    <row r="101" ht="15.75" customHeight="1">
      <c r="A101" s="19" t="s">
        <v>30</v>
      </c>
      <c r="B101" s="57">
        <f t="shared" si="6"/>
        <v>44661</v>
      </c>
      <c r="C101" s="21">
        <v>4.0</v>
      </c>
      <c r="D101" s="21" t="s">
        <v>48</v>
      </c>
      <c r="E101" s="23"/>
      <c r="F101" s="36"/>
      <c r="H101" s="37"/>
      <c r="J101" s="37"/>
      <c r="L101" s="37"/>
      <c r="N101" s="37"/>
      <c r="P101" s="37"/>
      <c r="Q101" s="26"/>
      <c r="R101" s="38">
        <v>185.0</v>
      </c>
      <c r="T101" s="39">
        <v>185.0</v>
      </c>
      <c r="V101" s="37"/>
      <c r="X101" s="37"/>
      <c r="Z101" s="37"/>
      <c r="AB101" s="37"/>
      <c r="AC101" s="26"/>
      <c r="AD101" s="37"/>
      <c r="AF101" s="37"/>
      <c r="AH101" s="37"/>
      <c r="AJ101" s="36"/>
      <c r="AL101" s="37"/>
      <c r="AN101" s="37"/>
      <c r="AP101" s="37"/>
      <c r="AR101" s="37"/>
      <c r="AT101" s="37"/>
      <c r="AU101" s="26"/>
      <c r="AV101" s="29">
        <f t="shared" si="1"/>
        <v>3751.8</v>
      </c>
      <c r="AW101" s="21">
        <f t="shared" si="2"/>
        <v>370</v>
      </c>
      <c r="AX101" s="21">
        <f t="shared" si="3"/>
        <v>0</v>
      </c>
      <c r="AY101" s="21">
        <f t="shared" si="4"/>
        <v>370</v>
      </c>
      <c r="AZ101" s="58">
        <f t="shared" si="5"/>
        <v>10.14</v>
      </c>
    </row>
    <row r="102" ht="15.75" customHeight="1">
      <c r="A102" s="31" t="s">
        <v>33</v>
      </c>
      <c r="B102" s="32">
        <f t="shared" si="6"/>
        <v>44662</v>
      </c>
      <c r="C102" s="33">
        <v>4.0</v>
      </c>
      <c r="D102" s="33" t="s">
        <v>48</v>
      </c>
      <c r="E102" s="34"/>
      <c r="F102" s="36"/>
      <c r="H102" s="37"/>
      <c r="J102" s="37"/>
      <c r="L102" s="37"/>
      <c r="N102" s="37"/>
      <c r="P102" s="37"/>
      <c r="Q102" s="26"/>
      <c r="R102" s="38">
        <v>185.0</v>
      </c>
      <c r="T102" s="39">
        <v>185.0</v>
      </c>
      <c r="V102" s="37"/>
      <c r="X102" s="37"/>
      <c r="Z102" s="37"/>
      <c r="AB102" s="37"/>
      <c r="AC102" s="26"/>
      <c r="AD102" s="37"/>
      <c r="AF102" s="37"/>
      <c r="AH102" s="37"/>
      <c r="AJ102" s="36"/>
      <c r="AL102" s="37"/>
      <c r="AN102" s="37"/>
      <c r="AP102" s="37"/>
      <c r="AR102" s="37"/>
      <c r="AT102" s="37"/>
      <c r="AU102" s="26"/>
      <c r="AV102" s="35">
        <f t="shared" si="1"/>
        <v>3751.8</v>
      </c>
      <c r="AW102" s="33">
        <f t="shared" si="2"/>
        <v>370</v>
      </c>
      <c r="AX102" s="33">
        <f t="shared" si="3"/>
        <v>0</v>
      </c>
      <c r="AY102" s="33">
        <f t="shared" si="4"/>
        <v>370</v>
      </c>
      <c r="AZ102" s="30">
        <f t="shared" si="5"/>
        <v>10.14</v>
      </c>
    </row>
    <row r="103" ht="15.75" customHeight="1">
      <c r="A103" s="31" t="s">
        <v>34</v>
      </c>
      <c r="B103" s="32">
        <f t="shared" si="6"/>
        <v>44663</v>
      </c>
      <c r="C103" s="33">
        <v>4.0</v>
      </c>
      <c r="D103" s="33" t="s">
        <v>48</v>
      </c>
      <c r="E103" s="34"/>
      <c r="F103" s="36"/>
      <c r="H103" s="37"/>
      <c r="J103" s="37"/>
      <c r="L103" s="37"/>
      <c r="N103" s="37"/>
      <c r="P103" s="37"/>
      <c r="Q103" s="26"/>
      <c r="R103" s="38">
        <v>185.0</v>
      </c>
      <c r="T103" s="39">
        <v>185.0</v>
      </c>
      <c r="V103" s="37"/>
      <c r="X103" s="37"/>
      <c r="Z103" s="37"/>
      <c r="AB103" s="37"/>
      <c r="AC103" s="26"/>
      <c r="AD103" s="37"/>
      <c r="AF103" s="37"/>
      <c r="AH103" s="37"/>
      <c r="AJ103" s="36"/>
      <c r="AL103" s="37"/>
      <c r="AN103" s="37"/>
      <c r="AP103" s="37"/>
      <c r="AR103" s="37"/>
      <c r="AT103" s="37"/>
      <c r="AU103" s="26"/>
      <c r="AV103" s="35">
        <f t="shared" si="1"/>
        <v>3751.8</v>
      </c>
      <c r="AW103" s="33">
        <f t="shared" si="2"/>
        <v>370</v>
      </c>
      <c r="AX103" s="33">
        <f t="shared" si="3"/>
        <v>0</v>
      </c>
      <c r="AY103" s="33">
        <f t="shared" si="4"/>
        <v>370</v>
      </c>
      <c r="AZ103" s="30">
        <f t="shared" si="5"/>
        <v>10.14</v>
      </c>
    </row>
    <row r="104" ht="15.75" customHeight="1">
      <c r="A104" s="31" t="s">
        <v>35</v>
      </c>
      <c r="B104" s="32">
        <f t="shared" si="6"/>
        <v>44664</v>
      </c>
      <c r="C104" s="33">
        <v>4.0</v>
      </c>
      <c r="D104" s="33" t="s">
        <v>48</v>
      </c>
      <c r="E104" s="34"/>
      <c r="F104" s="36"/>
      <c r="H104" s="37"/>
      <c r="J104" s="37"/>
      <c r="L104" s="37"/>
      <c r="N104" s="37"/>
      <c r="P104" s="37"/>
      <c r="Q104" s="26"/>
      <c r="R104" s="38">
        <v>185.0</v>
      </c>
      <c r="T104" s="39">
        <v>185.0</v>
      </c>
      <c r="V104" s="37"/>
      <c r="X104" s="37"/>
      <c r="Z104" s="37"/>
      <c r="AB104" s="37"/>
      <c r="AC104" s="26"/>
      <c r="AD104" s="37"/>
      <c r="AF104" s="37"/>
      <c r="AH104" s="37"/>
      <c r="AJ104" s="36"/>
      <c r="AL104" s="37"/>
      <c r="AN104" s="37"/>
      <c r="AP104" s="37"/>
      <c r="AR104" s="37"/>
      <c r="AT104" s="37"/>
      <c r="AU104" s="26"/>
      <c r="AV104" s="35">
        <f t="shared" si="1"/>
        <v>3751.8</v>
      </c>
      <c r="AW104" s="33">
        <f t="shared" si="2"/>
        <v>370</v>
      </c>
      <c r="AX104" s="33">
        <f t="shared" si="3"/>
        <v>0</v>
      </c>
      <c r="AY104" s="33">
        <f t="shared" si="4"/>
        <v>370</v>
      </c>
      <c r="AZ104" s="30">
        <f t="shared" si="5"/>
        <v>10.14</v>
      </c>
    </row>
    <row r="105" ht="15.75" customHeight="1">
      <c r="A105" s="31" t="s">
        <v>38</v>
      </c>
      <c r="B105" s="32">
        <f t="shared" si="6"/>
        <v>44665</v>
      </c>
      <c r="C105" s="33">
        <v>4.0</v>
      </c>
      <c r="D105" s="33" t="s">
        <v>48</v>
      </c>
      <c r="E105" s="34"/>
      <c r="F105" s="36"/>
      <c r="H105" s="37"/>
      <c r="J105" s="37"/>
      <c r="L105" s="37"/>
      <c r="N105" s="37"/>
      <c r="P105" s="37"/>
      <c r="Q105" s="26"/>
      <c r="R105" s="38">
        <v>185.0</v>
      </c>
      <c r="T105" s="39">
        <v>185.0</v>
      </c>
      <c r="V105" s="37"/>
      <c r="X105" s="37"/>
      <c r="Z105" s="37"/>
      <c r="AB105" s="37"/>
      <c r="AC105" s="26"/>
      <c r="AD105" s="37"/>
      <c r="AF105" s="37"/>
      <c r="AH105" s="37"/>
      <c r="AJ105" s="36"/>
      <c r="AL105" s="37"/>
      <c r="AN105" s="37"/>
      <c r="AP105" s="37"/>
      <c r="AR105" s="37"/>
      <c r="AT105" s="37"/>
      <c r="AU105" s="26"/>
      <c r="AV105" s="35">
        <f t="shared" si="1"/>
        <v>3751.8</v>
      </c>
      <c r="AW105" s="33">
        <f t="shared" si="2"/>
        <v>370</v>
      </c>
      <c r="AX105" s="33">
        <f t="shared" si="3"/>
        <v>0</v>
      </c>
      <c r="AY105" s="33">
        <f t="shared" si="4"/>
        <v>370</v>
      </c>
      <c r="AZ105" s="30">
        <f t="shared" si="5"/>
        <v>10.14</v>
      </c>
    </row>
    <row r="106" ht="15.75" customHeight="1">
      <c r="A106" s="31" t="s">
        <v>45</v>
      </c>
      <c r="B106" s="32">
        <f t="shared" si="6"/>
        <v>44666</v>
      </c>
      <c r="C106" s="33">
        <v>4.0</v>
      </c>
      <c r="D106" s="33" t="s">
        <v>48</v>
      </c>
      <c r="E106" s="34"/>
      <c r="F106" s="36"/>
      <c r="H106" s="37"/>
      <c r="J106" s="37"/>
      <c r="L106" s="37"/>
      <c r="N106" s="37"/>
      <c r="P106" s="37"/>
      <c r="Q106" s="26"/>
      <c r="R106" s="38">
        <v>185.0</v>
      </c>
      <c r="T106" s="39">
        <v>185.0</v>
      </c>
      <c r="V106" s="37"/>
      <c r="X106" s="37"/>
      <c r="Z106" s="37"/>
      <c r="AB106" s="37"/>
      <c r="AC106" s="26"/>
      <c r="AD106" s="37"/>
      <c r="AF106" s="37"/>
      <c r="AH106" s="37"/>
      <c r="AJ106" s="36"/>
      <c r="AL106" s="37"/>
      <c r="AN106" s="37"/>
      <c r="AP106" s="37"/>
      <c r="AR106" s="37"/>
      <c r="AT106" s="37"/>
      <c r="AU106" s="26"/>
      <c r="AV106" s="35">
        <f t="shared" si="1"/>
        <v>3751.8</v>
      </c>
      <c r="AW106" s="33">
        <f t="shared" si="2"/>
        <v>370</v>
      </c>
      <c r="AX106" s="33">
        <f t="shared" si="3"/>
        <v>0</v>
      </c>
      <c r="AY106" s="33">
        <f t="shared" si="4"/>
        <v>370</v>
      </c>
      <c r="AZ106" s="30">
        <f t="shared" si="5"/>
        <v>10.14</v>
      </c>
    </row>
    <row r="107" ht="15.75" customHeight="1">
      <c r="A107" s="44" t="s">
        <v>46</v>
      </c>
      <c r="B107" s="45">
        <f t="shared" si="6"/>
        <v>44667</v>
      </c>
      <c r="C107" s="46">
        <v>4.0</v>
      </c>
      <c r="D107" s="46" t="s">
        <v>48</v>
      </c>
      <c r="E107" s="47"/>
      <c r="F107" s="60"/>
      <c r="G107" s="51"/>
      <c r="H107" s="61"/>
      <c r="I107" s="51"/>
      <c r="J107" s="61"/>
      <c r="K107" s="51"/>
      <c r="L107" s="61"/>
      <c r="M107" s="51"/>
      <c r="N107" s="61"/>
      <c r="O107" s="51"/>
      <c r="P107" s="61"/>
      <c r="Q107" s="53"/>
      <c r="R107" s="62">
        <v>0.0</v>
      </c>
      <c r="S107" s="51"/>
      <c r="T107" s="63">
        <v>0.0</v>
      </c>
      <c r="U107" s="51"/>
      <c r="V107" s="61"/>
      <c r="W107" s="51"/>
      <c r="X107" s="61"/>
      <c r="Y107" s="51"/>
      <c r="Z107" s="61"/>
      <c r="AA107" s="51"/>
      <c r="AB107" s="61"/>
      <c r="AC107" s="53"/>
      <c r="AD107" s="61"/>
      <c r="AE107" s="51"/>
      <c r="AF107" s="61"/>
      <c r="AG107" s="51"/>
      <c r="AH107" s="61"/>
      <c r="AI107" s="51"/>
      <c r="AJ107" s="60"/>
      <c r="AK107" s="51"/>
      <c r="AL107" s="61"/>
      <c r="AM107" s="51"/>
      <c r="AN107" s="61"/>
      <c r="AO107" s="51"/>
      <c r="AP107" s="61"/>
      <c r="AQ107" s="51"/>
      <c r="AR107" s="61"/>
      <c r="AS107" s="51"/>
      <c r="AT107" s="61"/>
      <c r="AU107" s="53"/>
      <c r="AV107" s="55">
        <f t="shared" si="1"/>
        <v>0</v>
      </c>
      <c r="AW107" s="46">
        <f t="shared" si="2"/>
        <v>0</v>
      </c>
      <c r="AX107" s="46">
        <f t="shared" si="3"/>
        <v>0</v>
      </c>
      <c r="AY107" s="46">
        <f t="shared" si="4"/>
        <v>0</v>
      </c>
      <c r="AZ107" s="56" t="str">
        <f t="shared" si="5"/>
        <v/>
      </c>
    </row>
    <row r="108" ht="15.75" customHeight="1">
      <c r="A108" s="19" t="s">
        <v>30</v>
      </c>
      <c r="B108" s="57">
        <f t="shared" si="6"/>
        <v>44668</v>
      </c>
      <c r="C108" s="21">
        <v>4.0</v>
      </c>
      <c r="D108" s="21" t="s">
        <v>49</v>
      </c>
      <c r="E108" s="23"/>
      <c r="F108" s="36"/>
      <c r="H108" s="37"/>
      <c r="J108" s="37"/>
      <c r="L108" s="37"/>
      <c r="N108" s="37"/>
      <c r="P108" s="37"/>
      <c r="Q108" s="26"/>
      <c r="R108" s="38">
        <v>185.0</v>
      </c>
      <c r="T108" s="39">
        <v>185.0</v>
      </c>
      <c r="V108" s="37"/>
      <c r="X108" s="37"/>
      <c r="Z108" s="37"/>
      <c r="AB108" s="37"/>
      <c r="AC108" s="26"/>
      <c r="AD108" s="37"/>
      <c r="AF108" s="39">
        <v>40.0</v>
      </c>
      <c r="AH108" s="39">
        <v>40.0</v>
      </c>
      <c r="AJ108" s="36"/>
      <c r="AL108" s="37"/>
      <c r="AN108" s="37"/>
      <c r="AP108" s="37"/>
      <c r="AR108" s="37"/>
      <c r="AT108" s="37"/>
      <c r="AU108" s="26"/>
      <c r="AV108" s="29">
        <f t="shared" si="1"/>
        <v>4911.8</v>
      </c>
      <c r="AW108" s="21">
        <f t="shared" si="2"/>
        <v>450</v>
      </c>
      <c r="AX108" s="21">
        <f t="shared" si="3"/>
        <v>0</v>
      </c>
      <c r="AY108" s="21">
        <f t="shared" si="4"/>
        <v>450</v>
      </c>
      <c r="AZ108" s="58">
        <f t="shared" si="5"/>
        <v>10.91511111</v>
      </c>
    </row>
    <row r="109" ht="15.75" customHeight="1">
      <c r="A109" s="31" t="s">
        <v>33</v>
      </c>
      <c r="B109" s="32">
        <f t="shared" si="6"/>
        <v>44669</v>
      </c>
      <c r="C109" s="33">
        <v>4.0</v>
      </c>
      <c r="D109" s="33" t="s">
        <v>49</v>
      </c>
      <c r="E109" s="34"/>
      <c r="F109" s="36"/>
      <c r="H109" s="37"/>
      <c r="J109" s="37"/>
      <c r="L109" s="37"/>
      <c r="N109" s="37"/>
      <c r="P109" s="37"/>
      <c r="Q109" s="26"/>
      <c r="R109" s="38">
        <v>185.0</v>
      </c>
      <c r="T109" s="39">
        <v>185.0</v>
      </c>
      <c r="V109" s="37"/>
      <c r="X109" s="37"/>
      <c r="Z109" s="37"/>
      <c r="AB109" s="37"/>
      <c r="AC109" s="26"/>
      <c r="AD109" s="37"/>
      <c r="AF109" s="39">
        <v>40.0</v>
      </c>
      <c r="AH109" s="39">
        <v>40.0</v>
      </c>
      <c r="AJ109" s="36"/>
      <c r="AL109" s="37"/>
      <c r="AN109" s="37"/>
      <c r="AP109" s="37"/>
      <c r="AR109" s="37"/>
      <c r="AT109" s="37"/>
      <c r="AU109" s="26"/>
      <c r="AV109" s="35">
        <f t="shared" si="1"/>
        <v>4911.8</v>
      </c>
      <c r="AW109" s="33">
        <f t="shared" si="2"/>
        <v>450</v>
      </c>
      <c r="AX109" s="33">
        <f t="shared" si="3"/>
        <v>0</v>
      </c>
      <c r="AY109" s="33">
        <f t="shared" si="4"/>
        <v>450</v>
      </c>
      <c r="AZ109" s="30">
        <f t="shared" si="5"/>
        <v>10.91511111</v>
      </c>
    </row>
    <row r="110" ht="15.75" customHeight="1">
      <c r="A110" s="31" t="s">
        <v>34</v>
      </c>
      <c r="B110" s="32">
        <f t="shared" si="6"/>
        <v>44670</v>
      </c>
      <c r="C110" s="33">
        <v>4.0</v>
      </c>
      <c r="D110" s="33" t="s">
        <v>49</v>
      </c>
      <c r="E110" s="34"/>
      <c r="F110" s="36"/>
      <c r="H110" s="37"/>
      <c r="J110" s="37"/>
      <c r="L110" s="37"/>
      <c r="N110" s="37"/>
      <c r="P110" s="37"/>
      <c r="Q110" s="26"/>
      <c r="R110" s="38">
        <v>185.0</v>
      </c>
      <c r="T110" s="39">
        <v>185.0</v>
      </c>
      <c r="V110" s="37"/>
      <c r="X110" s="37"/>
      <c r="Z110" s="37"/>
      <c r="AB110" s="37"/>
      <c r="AC110" s="26"/>
      <c r="AD110" s="37"/>
      <c r="AF110" s="39">
        <v>40.0</v>
      </c>
      <c r="AH110" s="39">
        <v>40.0</v>
      </c>
      <c r="AJ110" s="36"/>
      <c r="AL110" s="37"/>
      <c r="AN110" s="37"/>
      <c r="AP110" s="37"/>
      <c r="AR110" s="37"/>
      <c r="AT110" s="37"/>
      <c r="AU110" s="26"/>
      <c r="AV110" s="35">
        <f t="shared" si="1"/>
        <v>4911.8</v>
      </c>
      <c r="AW110" s="33">
        <f t="shared" si="2"/>
        <v>450</v>
      </c>
      <c r="AX110" s="33">
        <f t="shared" si="3"/>
        <v>0</v>
      </c>
      <c r="AY110" s="33">
        <f t="shared" si="4"/>
        <v>450</v>
      </c>
      <c r="AZ110" s="30">
        <f t="shared" si="5"/>
        <v>10.91511111</v>
      </c>
    </row>
    <row r="111" ht="15.75" customHeight="1">
      <c r="A111" s="31" t="s">
        <v>35</v>
      </c>
      <c r="B111" s="32">
        <f t="shared" si="6"/>
        <v>44671</v>
      </c>
      <c r="C111" s="33">
        <v>4.0</v>
      </c>
      <c r="D111" s="33" t="s">
        <v>49</v>
      </c>
      <c r="E111" s="34"/>
      <c r="F111" s="36"/>
      <c r="H111" s="37"/>
      <c r="J111" s="37"/>
      <c r="L111" s="37"/>
      <c r="N111" s="37"/>
      <c r="P111" s="37"/>
      <c r="Q111" s="26"/>
      <c r="R111" s="38">
        <v>185.0</v>
      </c>
      <c r="T111" s="39">
        <v>185.0</v>
      </c>
      <c r="V111" s="37"/>
      <c r="X111" s="37"/>
      <c r="Z111" s="37"/>
      <c r="AB111" s="37"/>
      <c r="AC111" s="26"/>
      <c r="AD111" s="37"/>
      <c r="AF111" s="39">
        <v>40.0</v>
      </c>
      <c r="AH111" s="39">
        <v>40.0</v>
      </c>
      <c r="AJ111" s="36"/>
      <c r="AL111" s="37"/>
      <c r="AN111" s="37"/>
      <c r="AP111" s="37"/>
      <c r="AR111" s="37"/>
      <c r="AT111" s="37"/>
      <c r="AU111" s="26"/>
      <c r="AV111" s="35">
        <f t="shared" si="1"/>
        <v>4911.8</v>
      </c>
      <c r="AW111" s="33">
        <f t="shared" si="2"/>
        <v>450</v>
      </c>
      <c r="AX111" s="33">
        <f t="shared" si="3"/>
        <v>0</v>
      </c>
      <c r="AY111" s="33">
        <f t="shared" si="4"/>
        <v>450</v>
      </c>
      <c r="AZ111" s="30">
        <f t="shared" si="5"/>
        <v>10.91511111</v>
      </c>
    </row>
    <row r="112" ht="15.75" customHeight="1">
      <c r="A112" s="31" t="s">
        <v>38</v>
      </c>
      <c r="B112" s="32">
        <f t="shared" si="6"/>
        <v>44672</v>
      </c>
      <c r="C112" s="33">
        <v>4.0</v>
      </c>
      <c r="D112" s="33" t="s">
        <v>49</v>
      </c>
      <c r="E112" s="34"/>
      <c r="F112" s="36"/>
      <c r="H112" s="37"/>
      <c r="J112" s="37"/>
      <c r="L112" s="37"/>
      <c r="N112" s="37"/>
      <c r="P112" s="37"/>
      <c r="Q112" s="26"/>
      <c r="R112" s="38">
        <v>185.0</v>
      </c>
      <c r="T112" s="39">
        <v>185.0</v>
      </c>
      <c r="V112" s="37"/>
      <c r="X112" s="37"/>
      <c r="Z112" s="37"/>
      <c r="AB112" s="37"/>
      <c r="AC112" s="26"/>
      <c r="AD112" s="37"/>
      <c r="AF112" s="39">
        <v>40.0</v>
      </c>
      <c r="AH112" s="39">
        <v>40.0</v>
      </c>
      <c r="AJ112" s="36"/>
      <c r="AL112" s="37"/>
      <c r="AN112" s="37"/>
      <c r="AP112" s="37"/>
      <c r="AR112" s="37"/>
      <c r="AT112" s="37"/>
      <c r="AU112" s="26"/>
      <c r="AV112" s="35">
        <f t="shared" si="1"/>
        <v>4911.8</v>
      </c>
      <c r="AW112" s="33">
        <f t="shared" si="2"/>
        <v>450</v>
      </c>
      <c r="AX112" s="33">
        <f t="shared" si="3"/>
        <v>0</v>
      </c>
      <c r="AY112" s="33">
        <f t="shared" si="4"/>
        <v>450</v>
      </c>
      <c r="AZ112" s="30">
        <f t="shared" si="5"/>
        <v>10.91511111</v>
      </c>
    </row>
    <row r="113" ht="15.75" customHeight="1">
      <c r="A113" s="31" t="s">
        <v>45</v>
      </c>
      <c r="B113" s="32">
        <f t="shared" si="6"/>
        <v>44673</v>
      </c>
      <c r="C113" s="33">
        <v>4.0</v>
      </c>
      <c r="D113" s="33" t="s">
        <v>49</v>
      </c>
      <c r="E113" s="34"/>
      <c r="F113" s="36"/>
      <c r="H113" s="37"/>
      <c r="J113" s="37"/>
      <c r="L113" s="37"/>
      <c r="N113" s="37"/>
      <c r="P113" s="37"/>
      <c r="Q113" s="26"/>
      <c r="R113" s="38">
        <v>185.0</v>
      </c>
      <c r="T113" s="39">
        <v>185.0</v>
      </c>
      <c r="V113" s="37"/>
      <c r="X113" s="37"/>
      <c r="Z113" s="37"/>
      <c r="AB113" s="37"/>
      <c r="AC113" s="26"/>
      <c r="AD113" s="37"/>
      <c r="AF113" s="39">
        <v>0.0</v>
      </c>
      <c r="AH113" s="39">
        <v>0.0</v>
      </c>
      <c r="AJ113" s="36"/>
      <c r="AL113" s="37"/>
      <c r="AN113" s="37"/>
      <c r="AP113" s="37"/>
      <c r="AR113" s="37"/>
      <c r="AT113" s="37"/>
      <c r="AU113" s="26"/>
      <c r="AV113" s="35">
        <f t="shared" si="1"/>
        <v>3751.8</v>
      </c>
      <c r="AW113" s="33">
        <f t="shared" si="2"/>
        <v>370</v>
      </c>
      <c r="AX113" s="33">
        <f t="shared" si="3"/>
        <v>0</v>
      </c>
      <c r="AY113" s="33">
        <f t="shared" si="4"/>
        <v>370</v>
      </c>
      <c r="AZ113" s="30">
        <f t="shared" si="5"/>
        <v>10.14</v>
      </c>
    </row>
    <row r="114" ht="15.75" customHeight="1">
      <c r="A114" s="44" t="s">
        <v>46</v>
      </c>
      <c r="B114" s="45">
        <f t="shared" si="6"/>
        <v>44674</v>
      </c>
      <c r="C114" s="46">
        <v>4.0</v>
      </c>
      <c r="D114" s="46" t="s">
        <v>49</v>
      </c>
      <c r="E114" s="47"/>
      <c r="F114" s="60"/>
      <c r="G114" s="51"/>
      <c r="H114" s="61"/>
      <c r="I114" s="51"/>
      <c r="J114" s="61"/>
      <c r="K114" s="51"/>
      <c r="L114" s="61"/>
      <c r="M114" s="51"/>
      <c r="N114" s="61"/>
      <c r="O114" s="51"/>
      <c r="P114" s="61"/>
      <c r="Q114" s="53"/>
      <c r="R114" s="62">
        <v>0.0</v>
      </c>
      <c r="S114" s="51"/>
      <c r="T114" s="63">
        <v>0.0</v>
      </c>
      <c r="U114" s="51"/>
      <c r="V114" s="61"/>
      <c r="W114" s="51"/>
      <c r="X114" s="61"/>
      <c r="Y114" s="51"/>
      <c r="Z114" s="61"/>
      <c r="AA114" s="51"/>
      <c r="AB114" s="61"/>
      <c r="AC114" s="53"/>
      <c r="AD114" s="61"/>
      <c r="AE114" s="51"/>
      <c r="AF114" s="63">
        <v>0.0</v>
      </c>
      <c r="AG114" s="51"/>
      <c r="AH114" s="63">
        <v>0.0</v>
      </c>
      <c r="AI114" s="51"/>
      <c r="AJ114" s="60"/>
      <c r="AK114" s="51"/>
      <c r="AL114" s="61"/>
      <c r="AM114" s="51"/>
      <c r="AN114" s="61"/>
      <c r="AO114" s="51"/>
      <c r="AP114" s="61"/>
      <c r="AQ114" s="51"/>
      <c r="AR114" s="61"/>
      <c r="AS114" s="51"/>
      <c r="AT114" s="61"/>
      <c r="AU114" s="53"/>
      <c r="AV114" s="55">
        <f t="shared" si="1"/>
        <v>0</v>
      </c>
      <c r="AW114" s="46">
        <f t="shared" si="2"/>
        <v>0</v>
      </c>
      <c r="AX114" s="46">
        <f t="shared" si="3"/>
        <v>0</v>
      </c>
      <c r="AY114" s="46">
        <f t="shared" si="4"/>
        <v>0</v>
      </c>
      <c r="AZ114" s="56" t="str">
        <f t="shared" si="5"/>
        <v/>
      </c>
    </row>
    <row r="115" ht="15.75" customHeight="1">
      <c r="A115" s="19" t="s">
        <v>30</v>
      </c>
      <c r="B115" s="57">
        <f t="shared" si="6"/>
        <v>44675</v>
      </c>
      <c r="C115" s="21">
        <v>5.0</v>
      </c>
      <c r="D115" s="21" t="s">
        <v>31</v>
      </c>
      <c r="E115" s="23"/>
      <c r="F115" s="36"/>
      <c r="H115" s="37"/>
      <c r="J115" s="37"/>
      <c r="L115" s="37"/>
      <c r="N115" s="37"/>
      <c r="P115" s="37"/>
      <c r="Q115" s="26"/>
      <c r="R115" s="38">
        <v>185.0</v>
      </c>
      <c r="T115" s="39">
        <v>185.0</v>
      </c>
      <c r="V115" s="37"/>
      <c r="X115" s="37"/>
      <c r="Z115" s="37"/>
      <c r="AB115" s="37"/>
      <c r="AC115" s="26"/>
      <c r="AD115" s="37"/>
      <c r="AF115" s="37"/>
      <c r="AH115" s="37"/>
      <c r="AJ115" s="36"/>
      <c r="AL115" s="37"/>
      <c r="AN115" s="37"/>
      <c r="AP115" s="37"/>
      <c r="AR115" s="37"/>
      <c r="AT115" s="37"/>
      <c r="AU115" s="26"/>
      <c r="AV115" s="29">
        <f t="shared" si="1"/>
        <v>3751.8</v>
      </c>
      <c r="AW115" s="21">
        <f t="shared" si="2"/>
        <v>370</v>
      </c>
      <c r="AX115" s="21">
        <f t="shared" si="3"/>
        <v>0</v>
      </c>
      <c r="AY115" s="21">
        <f t="shared" si="4"/>
        <v>370</v>
      </c>
      <c r="AZ115" s="58">
        <f t="shared" si="5"/>
        <v>10.14</v>
      </c>
    </row>
    <row r="116" ht="15.75" customHeight="1">
      <c r="A116" s="31" t="s">
        <v>33</v>
      </c>
      <c r="B116" s="32">
        <f t="shared" si="6"/>
        <v>44676</v>
      </c>
      <c r="C116" s="33">
        <v>5.0</v>
      </c>
      <c r="D116" s="33" t="s">
        <v>31</v>
      </c>
      <c r="E116" s="34"/>
      <c r="F116" s="36"/>
      <c r="H116" s="37"/>
      <c r="J116" s="37"/>
      <c r="L116" s="37"/>
      <c r="N116" s="37"/>
      <c r="P116" s="37"/>
      <c r="Q116" s="26"/>
      <c r="R116" s="38">
        <v>185.0</v>
      </c>
      <c r="T116" s="39">
        <v>185.0</v>
      </c>
      <c r="V116" s="37"/>
      <c r="X116" s="37"/>
      <c r="Z116" s="37"/>
      <c r="AB116" s="37"/>
      <c r="AC116" s="26"/>
      <c r="AD116" s="37"/>
      <c r="AF116" s="37"/>
      <c r="AH116" s="37"/>
      <c r="AJ116" s="36"/>
      <c r="AL116" s="37"/>
      <c r="AN116" s="37"/>
      <c r="AP116" s="37"/>
      <c r="AR116" s="37"/>
      <c r="AT116" s="37"/>
      <c r="AU116" s="26"/>
      <c r="AV116" s="35">
        <f t="shared" si="1"/>
        <v>3751.8</v>
      </c>
      <c r="AW116" s="33">
        <f t="shared" si="2"/>
        <v>370</v>
      </c>
      <c r="AX116" s="33">
        <f t="shared" si="3"/>
        <v>0</v>
      </c>
      <c r="AY116" s="33">
        <f t="shared" si="4"/>
        <v>370</v>
      </c>
      <c r="AZ116" s="30">
        <f t="shared" si="5"/>
        <v>10.14</v>
      </c>
    </row>
    <row r="117" ht="15.75" customHeight="1">
      <c r="A117" s="31" t="s">
        <v>34</v>
      </c>
      <c r="B117" s="32">
        <f t="shared" si="6"/>
        <v>44677</v>
      </c>
      <c r="C117" s="33">
        <v>5.0</v>
      </c>
      <c r="D117" s="33" t="s">
        <v>31</v>
      </c>
      <c r="E117" s="34"/>
      <c r="F117" s="36"/>
      <c r="H117" s="37"/>
      <c r="J117" s="37"/>
      <c r="L117" s="37"/>
      <c r="N117" s="37"/>
      <c r="P117" s="37"/>
      <c r="Q117" s="26"/>
      <c r="R117" s="38">
        <v>185.0</v>
      </c>
      <c r="T117" s="39">
        <v>185.0</v>
      </c>
      <c r="V117" s="37"/>
      <c r="X117" s="37"/>
      <c r="Z117" s="37"/>
      <c r="AB117" s="37"/>
      <c r="AC117" s="26"/>
      <c r="AD117" s="37"/>
      <c r="AF117" s="37"/>
      <c r="AH117" s="37"/>
      <c r="AJ117" s="36"/>
      <c r="AL117" s="37"/>
      <c r="AN117" s="37"/>
      <c r="AP117" s="37"/>
      <c r="AR117" s="37"/>
      <c r="AT117" s="37"/>
      <c r="AU117" s="26"/>
      <c r="AV117" s="35">
        <f t="shared" si="1"/>
        <v>3751.8</v>
      </c>
      <c r="AW117" s="33">
        <f t="shared" si="2"/>
        <v>370</v>
      </c>
      <c r="AX117" s="33">
        <f t="shared" si="3"/>
        <v>0</v>
      </c>
      <c r="AY117" s="33">
        <f t="shared" si="4"/>
        <v>370</v>
      </c>
      <c r="AZ117" s="30">
        <f t="shared" si="5"/>
        <v>10.14</v>
      </c>
    </row>
    <row r="118" ht="15.75" customHeight="1">
      <c r="A118" s="31" t="s">
        <v>35</v>
      </c>
      <c r="B118" s="32">
        <f t="shared" si="6"/>
        <v>44678</v>
      </c>
      <c r="C118" s="33">
        <v>5.0</v>
      </c>
      <c r="D118" s="33" t="s">
        <v>31</v>
      </c>
      <c r="E118" s="34"/>
      <c r="F118" s="36"/>
      <c r="H118" s="37"/>
      <c r="J118" s="37"/>
      <c r="L118" s="37"/>
      <c r="N118" s="37"/>
      <c r="P118" s="37"/>
      <c r="Q118" s="26"/>
      <c r="R118" s="38">
        <v>185.0</v>
      </c>
      <c r="T118" s="39">
        <v>185.0</v>
      </c>
      <c r="V118" s="37"/>
      <c r="X118" s="37"/>
      <c r="Z118" s="37"/>
      <c r="AB118" s="37"/>
      <c r="AC118" s="26"/>
      <c r="AD118" s="37"/>
      <c r="AF118" s="37"/>
      <c r="AH118" s="37"/>
      <c r="AJ118" s="36"/>
      <c r="AL118" s="37"/>
      <c r="AN118" s="37"/>
      <c r="AP118" s="37"/>
      <c r="AR118" s="37"/>
      <c r="AT118" s="37"/>
      <c r="AU118" s="26"/>
      <c r="AV118" s="35">
        <f t="shared" si="1"/>
        <v>3751.8</v>
      </c>
      <c r="AW118" s="33">
        <f t="shared" si="2"/>
        <v>370</v>
      </c>
      <c r="AX118" s="33">
        <f t="shared" si="3"/>
        <v>0</v>
      </c>
      <c r="AY118" s="33">
        <f t="shared" si="4"/>
        <v>370</v>
      </c>
      <c r="AZ118" s="30">
        <f t="shared" si="5"/>
        <v>10.14</v>
      </c>
    </row>
    <row r="119" ht="15.75" customHeight="1">
      <c r="A119" s="31" t="s">
        <v>38</v>
      </c>
      <c r="B119" s="32">
        <f t="shared" si="6"/>
        <v>44679</v>
      </c>
      <c r="C119" s="33">
        <v>5.0</v>
      </c>
      <c r="D119" s="33" t="s">
        <v>31</v>
      </c>
      <c r="E119" s="34"/>
      <c r="F119" s="36"/>
      <c r="H119" s="37"/>
      <c r="J119" s="37"/>
      <c r="L119" s="37"/>
      <c r="N119" s="37"/>
      <c r="P119" s="37"/>
      <c r="Q119" s="26"/>
      <c r="R119" s="38">
        <v>185.0</v>
      </c>
      <c r="T119" s="39">
        <v>185.0</v>
      </c>
      <c r="V119" s="37"/>
      <c r="X119" s="37"/>
      <c r="Z119" s="37"/>
      <c r="AB119" s="37"/>
      <c r="AC119" s="26"/>
      <c r="AD119" s="37"/>
      <c r="AF119" s="37"/>
      <c r="AH119" s="37"/>
      <c r="AJ119" s="36"/>
      <c r="AL119" s="37"/>
      <c r="AN119" s="37"/>
      <c r="AP119" s="37"/>
      <c r="AR119" s="37"/>
      <c r="AT119" s="37"/>
      <c r="AU119" s="26"/>
      <c r="AV119" s="35">
        <f t="shared" si="1"/>
        <v>3751.8</v>
      </c>
      <c r="AW119" s="33">
        <f t="shared" si="2"/>
        <v>370</v>
      </c>
      <c r="AX119" s="33">
        <f t="shared" si="3"/>
        <v>0</v>
      </c>
      <c r="AY119" s="33">
        <f t="shared" si="4"/>
        <v>370</v>
      </c>
      <c r="AZ119" s="30">
        <f t="shared" si="5"/>
        <v>10.14</v>
      </c>
    </row>
    <row r="120" ht="15.75" customHeight="1">
      <c r="A120" s="31" t="s">
        <v>45</v>
      </c>
      <c r="B120" s="32">
        <f t="shared" si="6"/>
        <v>44680</v>
      </c>
      <c r="C120" s="33">
        <v>5.0</v>
      </c>
      <c r="D120" s="33" t="s">
        <v>31</v>
      </c>
      <c r="E120" s="34"/>
      <c r="F120" s="36"/>
      <c r="H120" s="37"/>
      <c r="J120" s="37"/>
      <c r="L120" s="37"/>
      <c r="N120" s="37"/>
      <c r="P120" s="37"/>
      <c r="Q120" s="26"/>
      <c r="R120" s="38">
        <v>185.0</v>
      </c>
      <c r="T120" s="39">
        <v>185.0</v>
      </c>
      <c r="V120" s="37"/>
      <c r="X120" s="37"/>
      <c r="Z120" s="37"/>
      <c r="AB120" s="37"/>
      <c r="AC120" s="26"/>
      <c r="AD120" s="37"/>
      <c r="AF120" s="37"/>
      <c r="AH120" s="37"/>
      <c r="AJ120" s="36"/>
      <c r="AL120" s="37"/>
      <c r="AN120" s="37"/>
      <c r="AP120" s="37"/>
      <c r="AR120" s="37"/>
      <c r="AT120" s="37"/>
      <c r="AU120" s="26"/>
      <c r="AV120" s="35">
        <f t="shared" si="1"/>
        <v>3751.8</v>
      </c>
      <c r="AW120" s="33">
        <f t="shared" si="2"/>
        <v>370</v>
      </c>
      <c r="AX120" s="33">
        <f t="shared" si="3"/>
        <v>0</v>
      </c>
      <c r="AY120" s="33">
        <f t="shared" si="4"/>
        <v>370</v>
      </c>
      <c r="AZ120" s="30">
        <f t="shared" si="5"/>
        <v>10.14</v>
      </c>
    </row>
    <row r="121" ht="15.75" customHeight="1">
      <c r="A121" s="44" t="s">
        <v>46</v>
      </c>
      <c r="B121" s="45">
        <f t="shared" si="6"/>
        <v>44681</v>
      </c>
      <c r="C121" s="46">
        <v>5.0</v>
      </c>
      <c r="D121" s="46" t="s">
        <v>31</v>
      </c>
      <c r="E121" s="47"/>
      <c r="F121" s="60"/>
      <c r="G121" s="51"/>
      <c r="H121" s="61"/>
      <c r="I121" s="51"/>
      <c r="J121" s="61"/>
      <c r="K121" s="51"/>
      <c r="L121" s="61"/>
      <c r="M121" s="51"/>
      <c r="N121" s="61"/>
      <c r="O121" s="51"/>
      <c r="P121" s="61"/>
      <c r="Q121" s="53"/>
      <c r="R121" s="62">
        <v>0.0</v>
      </c>
      <c r="S121" s="51"/>
      <c r="T121" s="63">
        <v>0.0</v>
      </c>
      <c r="U121" s="51"/>
      <c r="V121" s="61"/>
      <c r="W121" s="51"/>
      <c r="X121" s="61"/>
      <c r="Y121" s="51"/>
      <c r="Z121" s="61"/>
      <c r="AA121" s="51"/>
      <c r="AB121" s="61"/>
      <c r="AC121" s="53"/>
      <c r="AD121" s="61"/>
      <c r="AE121" s="51"/>
      <c r="AF121" s="61"/>
      <c r="AG121" s="51"/>
      <c r="AH121" s="61"/>
      <c r="AI121" s="51"/>
      <c r="AJ121" s="60"/>
      <c r="AK121" s="51"/>
      <c r="AL121" s="61"/>
      <c r="AM121" s="51"/>
      <c r="AN121" s="61"/>
      <c r="AO121" s="51"/>
      <c r="AP121" s="61"/>
      <c r="AQ121" s="51"/>
      <c r="AR121" s="61"/>
      <c r="AS121" s="51"/>
      <c r="AT121" s="61"/>
      <c r="AU121" s="53"/>
      <c r="AV121" s="55">
        <f t="shared" si="1"/>
        <v>0</v>
      </c>
      <c r="AW121" s="46">
        <f t="shared" si="2"/>
        <v>0</v>
      </c>
      <c r="AX121" s="46">
        <f t="shared" si="3"/>
        <v>0</v>
      </c>
      <c r="AY121" s="46">
        <f t="shared" si="4"/>
        <v>0</v>
      </c>
      <c r="AZ121" s="56" t="str">
        <f t="shared" si="5"/>
        <v/>
      </c>
    </row>
    <row r="122" ht="15.75" customHeight="1">
      <c r="A122" s="19" t="s">
        <v>30</v>
      </c>
      <c r="B122" s="57">
        <f t="shared" si="6"/>
        <v>44682</v>
      </c>
      <c r="C122" s="21">
        <v>5.0</v>
      </c>
      <c r="D122" s="21" t="s">
        <v>47</v>
      </c>
      <c r="E122" s="23"/>
      <c r="F122" s="36"/>
      <c r="H122" s="37"/>
      <c r="J122" s="37"/>
      <c r="L122" s="37"/>
      <c r="N122" s="37"/>
      <c r="P122" s="37"/>
      <c r="Q122" s="26"/>
      <c r="R122" s="38">
        <v>185.0</v>
      </c>
      <c r="T122" s="39">
        <v>185.0</v>
      </c>
      <c r="V122" s="37"/>
      <c r="X122" s="37"/>
      <c r="Z122" s="37"/>
      <c r="AB122" s="37"/>
      <c r="AC122" s="26"/>
      <c r="AD122" s="37"/>
      <c r="AF122" s="39">
        <v>40.0</v>
      </c>
      <c r="AH122" s="39">
        <v>40.0</v>
      </c>
      <c r="AJ122" s="36"/>
      <c r="AL122" s="37"/>
      <c r="AN122" s="37"/>
      <c r="AP122" s="37"/>
      <c r="AR122" s="37"/>
      <c r="AT122" s="37"/>
      <c r="AU122" s="26"/>
      <c r="AV122" s="29">
        <f t="shared" si="1"/>
        <v>4911.8</v>
      </c>
      <c r="AW122" s="21">
        <f t="shared" si="2"/>
        <v>450</v>
      </c>
      <c r="AX122" s="21">
        <f t="shared" si="3"/>
        <v>0</v>
      </c>
      <c r="AY122" s="21">
        <f t="shared" si="4"/>
        <v>450</v>
      </c>
      <c r="AZ122" s="58">
        <f t="shared" si="5"/>
        <v>10.91511111</v>
      </c>
    </row>
    <row r="123" ht="15.75" customHeight="1">
      <c r="A123" s="31" t="s">
        <v>33</v>
      </c>
      <c r="B123" s="32">
        <f t="shared" si="6"/>
        <v>44683</v>
      </c>
      <c r="C123" s="33">
        <v>5.0</v>
      </c>
      <c r="D123" s="33" t="s">
        <v>47</v>
      </c>
      <c r="E123" s="34"/>
      <c r="F123" s="36"/>
      <c r="H123" s="37"/>
      <c r="J123" s="37"/>
      <c r="L123" s="37"/>
      <c r="N123" s="37"/>
      <c r="P123" s="37"/>
      <c r="Q123" s="26"/>
      <c r="R123" s="38">
        <v>185.0</v>
      </c>
      <c r="T123" s="39">
        <v>185.0</v>
      </c>
      <c r="V123" s="37"/>
      <c r="X123" s="37"/>
      <c r="Z123" s="37"/>
      <c r="AB123" s="37"/>
      <c r="AC123" s="26"/>
      <c r="AD123" s="37"/>
      <c r="AF123" s="39">
        <v>40.0</v>
      </c>
      <c r="AH123" s="39">
        <v>40.0</v>
      </c>
      <c r="AJ123" s="36"/>
      <c r="AL123" s="37"/>
      <c r="AN123" s="37"/>
      <c r="AP123" s="37"/>
      <c r="AR123" s="37"/>
      <c r="AT123" s="37"/>
      <c r="AU123" s="26"/>
      <c r="AV123" s="35">
        <f t="shared" si="1"/>
        <v>4911.8</v>
      </c>
      <c r="AW123" s="33">
        <f t="shared" si="2"/>
        <v>450</v>
      </c>
      <c r="AX123" s="33">
        <f t="shared" si="3"/>
        <v>0</v>
      </c>
      <c r="AY123" s="33">
        <f t="shared" si="4"/>
        <v>450</v>
      </c>
      <c r="AZ123" s="30">
        <f t="shared" si="5"/>
        <v>10.91511111</v>
      </c>
    </row>
    <row r="124" ht="15.75" customHeight="1">
      <c r="A124" s="31" t="s">
        <v>34</v>
      </c>
      <c r="B124" s="32">
        <f t="shared" si="6"/>
        <v>44684</v>
      </c>
      <c r="C124" s="33">
        <v>5.0</v>
      </c>
      <c r="D124" s="33" t="s">
        <v>47</v>
      </c>
      <c r="E124" s="34"/>
      <c r="F124" s="36"/>
      <c r="H124" s="37"/>
      <c r="J124" s="37"/>
      <c r="L124" s="37"/>
      <c r="N124" s="37"/>
      <c r="P124" s="37"/>
      <c r="Q124" s="26"/>
      <c r="R124" s="38">
        <v>185.0</v>
      </c>
      <c r="T124" s="39">
        <v>185.0</v>
      </c>
      <c r="V124" s="37"/>
      <c r="X124" s="37"/>
      <c r="Z124" s="37"/>
      <c r="AB124" s="37"/>
      <c r="AC124" s="26"/>
      <c r="AD124" s="37"/>
      <c r="AF124" s="39">
        <v>40.0</v>
      </c>
      <c r="AH124" s="39">
        <v>40.0</v>
      </c>
      <c r="AJ124" s="36"/>
      <c r="AL124" s="37"/>
      <c r="AN124" s="37"/>
      <c r="AP124" s="37"/>
      <c r="AR124" s="37"/>
      <c r="AT124" s="37"/>
      <c r="AU124" s="26"/>
      <c r="AV124" s="35">
        <f t="shared" si="1"/>
        <v>4911.8</v>
      </c>
      <c r="AW124" s="33">
        <f t="shared" si="2"/>
        <v>450</v>
      </c>
      <c r="AX124" s="33">
        <f t="shared" si="3"/>
        <v>0</v>
      </c>
      <c r="AY124" s="33">
        <f t="shared" si="4"/>
        <v>450</v>
      </c>
      <c r="AZ124" s="30">
        <f t="shared" si="5"/>
        <v>10.91511111</v>
      </c>
    </row>
    <row r="125" ht="15.75" customHeight="1">
      <c r="A125" s="31" t="s">
        <v>35</v>
      </c>
      <c r="B125" s="32">
        <f t="shared" si="6"/>
        <v>44685</v>
      </c>
      <c r="C125" s="33">
        <v>5.0</v>
      </c>
      <c r="D125" s="33" t="s">
        <v>47</v>
      </c>
      <c r="E125" s="34"/>
      <c r="F125" s="36"/>
      <c r="H125" s="37"/>
      <c r="J125" s="37"/>
      <c r="L125" s="37"/>
      <c r="N125" s="37"/>
      <c r="P125" s="37"/>
      <c r="Q125" s="26"/>
      <c r="R125" s="38">
        <v>185.0</v>
      </c>
      <c r="T125" s="39">
        <v>185.0</v>
      </c>
      <c r="V125" s="37"/>
      <c r="X125" s="37"/>
      <c r="Z125" s="37"/>
      <c r="AB125" s="37"/>
      <c r="AC125" s="26"/>
      <c r="AD125" s="37"/>
      <c r="AF125" s="39">
        <v>40.0</v>
      </c>
      <c r="AH125" s="39">
        <v>40.0</v>
      </c>
      <c r="AJ125" s="36"/>
      <c r="AL125" s="37"/>
      <c r="AN125" s="37"/>
      <c r="AP125" s="37"/>
      <c r="AR125" s="37"/>
      <c r="AT125" s="37"/>
      <c r="AU125" s="26"/>
      <c r="AV125" s="35">
        <f t="shared" si="1"/>
        <v>4911.8</v>
      </c>
      <c r="AW125" s="33">
        <f t="shared" si="2"/>
        <v>450</v>
      </c>
      <c r="AX125" s="33">
        <f t="shared" si="3"/>
        <v>0</v>
      </c>
      <c r="AY125" s="33">
        <f t="shared" si="4"/>
        <v>450</v>
      </c>
      <c r="AZ125" s="30">
        <f t="shared" si="5"/>
        <v>10.91511111</v>
      </c>
    </row>
    <row r="126" ht="15.75" customHeight="1">
      <c r="A126" s="31" t="s">
        <v>38</v>
      </c>
      <c r="B126" s="32">
        <f t="shared" si="6"/>
        <v>44686</v>
      </c>
      <c r="C126" s="33">
        <v>5.0</v>
      </c>
      <c r="D126" s="33" t="s">
        <v>47</v>
      </c>
      <c r="E126" s="34"/>
      <c r="F126" s="36"/>
      <c r="H126" s="37"/>
      <c r="J126" s="37"/>
      <c r="L126" s="37"/>
      <c r="N126" s="37"/>
      <c r="P126" s="37"/>
      <c r="Q126" s="26"/>
      <c r="R126" s="38">
        <v>185.0</v>
      </c>
      <c r="T126" s="39">
        <v>185.0</v>
      </c>
      <c r="V126" s="37"/>
      <c r="X126" s="37"/>
      <c r="Z126" s="37"/>
      <c r="AB126" s="37"/>
      <c r="AC126" s="26"/>
      <c r="AD126" s="37"/>
      <c r="AF126" s="39">
        <v>40.0</v>
      </c>
      <c r="AH126" s="39">
        <v>40.0</v>
      </c>
      <c r="AJ126" s="36"/>
      <c r="AL126" s="37"/>
      <c r="AN126" s="37"/>
      <c r="AP126" s="37"/>
      <c r="AR126" s="37"/>
      <c r="AT126" s="37"/>
      <c r="AU126" s="26"/>
      <c r="AV126" s="35">
        <f t="shared" si="1"/>
        <v>4911.8</v>
      </c>
      <c r="AW126" s="33">
        <f t="shared" si="2"/>
        <v>450</v>
      </c>
      <c r="AX126" s="33">
        <f t="shared" si="3"/>
        <v>0</v>
      </c>
      <c r="AY126" s="33">
        <f t="shared" si="4"/>
        <v>450</v>
      </c>
      <c r="AZ126" s="30">
        <f t="shared" si="5"/>
        <v>10.91511111</v>
      </c>
    </row>
    <row r="127" ht="15.75" customHeight="1">
      <c r="A127" s="31" t="s">
        <v>45</v>
      </c>
      <c r="B127" s="32">
        <f t="shared" si="6"/>
        <v>44687</v>
      </c>
      <c r="C127" s="33">
        <v>5.0</v>
      </c>
      <c r="D127" s="33" t="s">
        <v>47</v>
      </c>
      <c r="E127" s="34"/>
      <c r="F127" s="36"/>
      <c r="H127" s="37"/>
      <c r="J127" s="37"/>
      <c r="L127" s="37"/>
      <c r="N127" s="37"/>
      <c r="P127" s="37"/>
      <c r="Q127" s="26"/>
      <c r="R127" s="38">
        <v>185.0</v>
      </c>
      <c r="T127" s="39">
        <v>185.0</v>
      </c>
      <c r="V127" s="37"/>
      <c r="X127" s="37"/>
      <c r="Z127" s="37"/>
      <c r="AB127" s="37"/>
      <c r="AC127" s="26"/>
      <c r="AD127" s="37"/>
      <c r="AF127" s="39">
        <v>0.0</v>
      </c>
      <c r="AH127" s="39">
        <v>0.0</v>
      </c>
      <c r="AJ127" s="36"/>
      <c r="AL127" s="37"/>
      <c r="AN127" s="37"/>
      <c r="AP127" s="37"/>
      <c r="AR127" s="37"/>
      <c r="AT127" s="37"/>
      <c r="AU127" s="26"/>
      <c r="AV127" s="35">
        <f t="shared" si="1"/>
        <v>3751.8</v>
      </c>
      <c r="AW127" s="33">
        <f t="shared" si="2"/>
        <v>370</v>
      </c>
      <c r="AX127" s="33">
        <f t="shared" si="3"/>
        <v>0</v>
      </c>
      <c r="AY127" s="33">
        <f t="shared" si="4"/>
        <v>370</v>
      </c>
      <c r="AZ127" s="30">
        <f t="shared" si="5"/>
        <v>10.14</v>
      </c>
    </row>
    <row r="128" ht="15.75" customHeight="1">
      <c r="A128" s="44" t="s">
        <v>46</v>
      </c>
      <c r="B128" s="45">
        <f t="shared" si="6"/>
        <v>44688</v>
      </c>
      <c r="C128" s="46">
        <v>5.0</v>
      </c>
      <c r="D128" s="46" t="s">
        <v>47</v>
      </c>
      <c r="E128" s="47"/>
      <c r="F128" s="60"/>
      <c r="G128" s="51"/>
      <c r="H128" s="61"/>
      <c r="I128" s="51"/>
      <c r="J128" s="61"/>
      <c r="K128" s="51"/>
      <c r="L128" s="61"/>
      <c r="M128" s="51"/>
      <c r="N128" s="61"/>
      <c r="O128" s="51"/>
      <c r="P128" s="61"/>
      <c r="Q128" s="53"/>
      <c r="R128" s="62">
        <v>0.0</v>
      </c>
      <c r="S128" s="51"/>
      <c r="T128" s="63">
        <v>0.0</v>
      </c>
      <c r="U128" s="51"/>
      <c r="V128" s="61"/>
      <c r="W128" s="51"/>
      <c r="X128" s="61"/>
      <c r="Y128" s="51"/>
      <c r="Z128" s="61"/>
      <c r="AA128" s="51"/>
      <c r="AB128" s="61"/>
      <c r="AC128" s="53"/>
      <c r="AD128" s="61"/>
      <c r="AE128" s="51"/>
      <c r="AF128" s="63">
        <v>0.0</v>
      </c>
      <c r="AG128" s="51"/>
      <c r="AH128" s="63">
        <v>0.0</v>
      </c>
      <c r="AI128" s="51"/>
      <c r="AJ128" s="60"/>
      <c r="AK128" s="51"/>
      <c r="AL128" s="61"/>
      <c r="AM128" s="51"/>
      <c r="AN128" s="61"/>
      <c r="AO128" s="51"/>
      <c r="AP128" s="61"/>
      <c r="AQ128" s="51"/>
      <c r="AR128" s="61"/>
      <c r="AS128" s="51"/>
      <c r="AT128" s="61"/>
      <c r="AU128" s="53"/>
      <c r="AV128" s="55">
        <f t="shared" si="1"/>
        <v>0</v>
      </c>
      <c r="AW128" s="46">
        <f t="shared" si="2"/>
        <v>0</v>
      </c>
      <c r="AX128" s="46">
        <f t="shared" si="3"/>
        <v>0</v>
      </c>
      <c r="AY128" s="46">
        <f t="shared" si="4"/>
        <v>0</v>
      </c>
      <c r="AZ128" s="56" t="str">
        <f t="shared" si="5"/>
        <v/>
      </c>
    </row>
    <row r="129" ht="15.75" customHeight="1">
      <c r="A129" s="19" t="s">
        <v>30</v>
      </c>
      <c r="B129" s="57">
        <f t="shared" si="6"/>
        <v>44689</v>
      </c>
      <c r="C129" s="21">
        <v>5.0</v>
      </c>
      <c r="D129" s="21" t="s">
        <v>48</v>
      </c>
      <c r="E129" s="23"/>
      <c r="F129" s="36"/>
      <c r="H129" s="37"/>
      <c r="J129" s="37"/>
      <c r="L129" s="37"/>
      <c r="N129" s="37"/>
      <c r="P129" s="37"/>
      <c r="Q129" s="26"/>
      <c r="R129" s="38">
        <v>185.0</v>
      </c>
      <c r="T129" s="39">
        <v>185.0</v>
      </c>
      <c r="V129" s="37"/>
      <c r="X129" s="37"/>
      <c r="Z129" s="37"/>
      <c r="AB129" s="37"/>
      <c r="AC129" s="26"/>
      <c r="AD129" s="37"/>
      <c r="AF129" s="37"/>
      <c r="AH129" s="37"/>
      <c r="AJ129" s="36"/>
      <c r="AL129" s="37"/>
      <c r="AN129" s="37"/>
      <c r="AP129" s="37"/>
      <c r="AR129" s="37"/>
      <c r="AT129" s="37"/>
      <c r="AU129" s="26"/>
      <c r="AV129" s="29">
        <f t="shared" si="1"/>
        <v>3751.8</v>
      </c>
      <c r="AW129" s="21">
        <f t="shared" si="2"/>
        <v>370</v>
      </c>
      <c r="AX129" s="21">
        <f t="shared" si="3"/>
        <v>0</v>
      </c>
      <c r="AY129" s="21">
        <f t="shared" si="4"/>
        <v>370</v>
      </c>
      <c r="AZ129" s="58">
        <f t="shared" si="5"/>
        <v>10.14</v>
      </c>
    </row>
    <row r="130" ht="15.75" customHeight="1">
      <c r="A130" s="31" t="s">
        <v>33</v>
      </c>
      <c r="B130" s="32">
        <f t="shared" si="6"/>
        <v>44690</v>
      </c>
      <c r="C130" s="33">
        <v>5.0</v>
      </c>
      <c r="D130" s="33" t="s">
        <v>48</v>
      </c>
      <c r="E130" s="34"/>
      <c r="F130" s="36"/>
      <c r="H130" s="37"/>
      <c r="J130" s="37"/>
      <c r="L130" s="37"/>
      <c r="N130" s="37"/>
      <c r="P130" s="37"/>
      <c r="Q130" s="26"/>
      <c r="R130" s="38">
        <v>185.0</v>
      </c>
      <c r="T130" s="39">
        <v>185.0</v>
      </c>
      <c r="V130" s="37"/>
      <c r="X130" s="37"/>
      <c r="Z130" s="37"/>
      <c r="AB130" s="37"/>
      <c r="AC130" s="26"/>
      <c r="AD130" s="37"/>
      <c r="AF130" s="37"/>
      <c r="AH130" s="37"/>
      <c r="AJ130" s="36"/>
      <c r="AL130" s="37"/>
      <c r="AN130" s="37"/>
      <c r="AP130" s="37"/>
      <c r="AR130" s="37"/>
      <c r="AT130" s="37"/>
      <c r="AU130" s="26"/>
      <c r="AV130" s="35">
        <f t="shared" si="1"/>
        <v>3751.8</v>
      </c>
      <c r="AW130" s="33">
        <f t="shared" si="2"/>
        <v>370</v>
      </c>
      <c r="AX130" s="33">
        <f t="shared" si="3"/>
        <v>0</v>
      </c>
      <c r="AY130" s="33">
        <f t="shared" si="4"/>
        <v>370</v>
      </c>
      <c r="AZ130" s="30">
        <f t="shared" si="5"/>
        <v>10.14</v>
      </c>
    </row>
    <row r="131" ht="15.75" customHeight="1">
      <c r="A131" s="31" t="s">
        <v>34</v>
      </c>
      <c r="B131" s="32">
        <f t="shared" si="6"/>
        <v>44691</v>
      </c>
      <c r="C131" s="33">
        <v>5.0</v>
      </c>
      <c r="D131" s="33" t="s">
        <v>48</v>
      </c>
      <c r="E131" s="34"/>
      <c r="F131" s="36"/>
      <c r="H131" s="37"/>
      <c r="J131" s="37"/>
      <c r="L131" s="37"/>
      <c r="N131" s="37"/>
      <c r="P131" s="37"/>
      <c r="Q131" s="26"/>
      <c r="R131" s="38">
        <v>185.0</v>
      </c>
      <c r="T131" s="39">
        <v>185.0</v>
      </c>
      <c r="V131" s="37"/>
      <c r="X131" s="37"/>
      <c r="Z131" s="37"/>
      <c r="AB131" s="37"/>
      <c r="AC131" s="26"/>
      <c r="AD131" s="37"/>
      <c r="AF131" s="37"/>
      <c r="AH131" s="37"/>
      <c r="AJ131" s="36"/>
      <c r="AL131" s="37"/>
      <c r="AN131" s="37"/>
      <c r="AP131" s="37"/>
      <c r="AR131" s="37"/>
      <c r="AT131" s="37"/>
      <c r="AU131" s="26"/>
      <c r="AV131" s="35">
        <f t="shared" si="1"/>
        <v>3751.8</v>
      </c>
      <c r="AW131" s="33">
        <f t="shared" si="2"/>
        <v>370</v>
      </c>
      <c r="AX131" s="33">
        <f t="shared" si="3"/>
        <v>0</v>
      </c>
      <c r="AY131" s="33">
        <f t="shared" si="4"/>
        <v>370</v>
      </c>
      <c r="AZ131" s="30">
        <f t="shared" si="5"/>
        <v>10.14</v>
      </c>
    </row>
    <row r="132" ht="15.75" customHeight="1">
      <c r="A132" s="31" t="s">
        <v>35</v>
      </c>
      <c r="B132" s="32">
        <f t="shared" si="6"/>
        <v>44692</v>
      </c>
      <c r="C132" s="33">
        <v>5.0</v>
      </c>
      <c r="D132" s="33" t="s">
        <v>48</v>
      </c>
      <c r="E132" s="34"/>
      <c r="F132" s="36"/>
      <c r="H132" s="37"/>
      <c r="J132" s="37"/>
      <c r="L132" s="37"/>
      <c r="N132" s="37"/>
      <c r="P132" s="37"/>
      <c r="Q132" s="26"/>
      <c r="R132" s="38">
        <v>185.0</v>
      </c>
      <c r="T132" s="39">
        <v>185.0</v>
      </c>
      <c r="V132" s="37"/>
      <c r="X132" s="37"/>
      <c r="Z132" s="37"/>
      <c r="AB132" s="37"/>
      <c r="AC132" s="26"/>
      <c r="AD132" s="37"/>
      <c r="AF132" s="37"/>
      <c r="AH132" s="37"/>
      <c r="AJ132" s="36"/>
      <c r="AL132" s="37"/>
      <c r="AN132" s="37"/>
      <c r="AP132" s="37"/>
      <c r="AR132" s="37"/>
      <c r="AT132" s="37"/>
      <c r="AU132" s="26"/>
      <c r="AV132" s="35">
        <f t="shared" si="1"/>
        <v>3751.8</v>
      </c>
      <c r="AW132" s="33">
        <f t="shared" si="2"/>
        <v>370</v>
      </c>
      <c r="AX132" s="33">
        <f t="shared" si="3"/>
        <v>0</v>
      </c>
      <c r="AY132" s="33">
        <f t="shared" si="4"/>
        <v>370</v>
      </c>
      <c r="AZ132" s="30">
        <f t="shared" si="5"/>
        <v>10.14</v>
      </c>
    </row>
    <row r="133" ht="15.75" customHeight="1">
      <c r="A133" s="31" t="s">
        <v>38</v>
      </c>
      <c r="B133" s="32">
        <f t="shared" si="6"/>
        <v>44693</v>
      </c>
      <c r="C133" s="33">
        <v>5.0</v>
      </c>
      <c r="D133" s="33" t="s">
        <v>48</v>
      </c>
      <c r="E133" s="34"/>
      <c r="F133" s="36"/>
      <c r="H133" s="37"/>
      <c r="J133" s="37"/>
      <c r="L133" s="37"/>
      <c r="N133" s="37"/>
      <c r="P133" s="37"/>
      <c r="Q133" s="26"/>
      <c r="R133" s="38">
        <v>185.0</v>
      </c>
      <c r="T133" s="39">
        <v>185.0</v>
      </c>
      <c r="V133" s="37"/>
      <c r="X133" s="37"/>
      <c r="Z133" s="37"/>
      <c r="AB133" s="37"/>
      <c r="AC133" s="26"/>
      <c r="AD133" s="37"/>
      <c r="AF133" s="37"/>
      <c r="AH133" s="37"/>
      <c r="AJ133" s="36"/>
      <c r="AL133" s="37"/>
      <c r="AN133" s="37"/>
      <c r="AP133" s="37"/>
      <c r="AR133" s="37"/>
      <c r="AT133" s="37"/>
      <c r="AU133" s="26"/>
      <c r="AV133" s="35">
        <f t="shared" si="1"/>
        <v>3751.8</v>
      </c>
      <c r="AW133" s="33">
        <f t="shared" si="2"/>
        <v>370</v>
      </c>
      <c r="AX133" s="33">
        <f t="shared" si="3"/>
        <v>0</v>
      </c>
      <c r="AY133" s="33">
        <f t="shared" si="4"/>
        <v>370</v>
      </c>
      <c r="AZ133" s="30">
        <f t="shared" si="5"/>
        <v>10.14</v>
      </c>
    </row>
    <row r="134" ht="15.75" customHeight="1">
      <c r="A134" s="31" t="s">
        <v>45</v>
      </c>
      <c r="B134" s="32">
        <f t="shared" si="6"/>
        <v>44694</v>
      </c>
      <c r="C134" s="33">
        <v>5.0</v>
      </c>
      <c r="D134" s="33" t="s">
        <v>48</v>
      </c>
      <c r="E134" s="34"/>
      <c r="F134" s="36"/>
      <c r="H134" s="37"/>
      <c r="J134" s="37"/>
      <c r="L134" s="37"/>
      <c r="N134" s="37"/>
      <c r="P134" s="37"/>
      <c r="Q134" s="26"/>
      <c r="R134" s="38">
        <v>185.0</v>
      </c>
      <c r="T134" s="39">
        <v>185.0</v>
      </c>
      <c r="V134" s="37"/>
      <c r="X134" s="37"/>
      <c r="Z134" s="37"/>
      <c r="AB134" s="37"/>
      <c r="AC134" s="26"/>
      <c r="AD134" s="37"/>
      <c r="AF134" s="37"/>
      <c r="AH134" s="37"/>
      <c r="AJ134" s="36"/>
      <c r="AL134" s="37"/>
      <c r="AN134" s="37"/>
      <c r="AP134" s="37"/>
      <c r="AR134" s="37"/>
      <c r="AT134" s="37"/>
      <c r="AU134" s="26"/>
      <c r="AV134" s="35">
        <f t="shared" si="1"/>
        <v>3751.8</v>
      </c>
      <c r="AW134" s="33">
        <f t="shared" si="2"/>
        <v>370</v>
      </c>
      <c r="AX134" s="33">
        <f t="shared" si="3"/>
        <v>0</v>
      </c>
      <c r="AY134" s="33">
        <f t="shared" si="4"/>
        <v>370</v>
      </c>
      <c r="AZ134" s="30">
        <f t="shared" si="5"/>
        <v>10.14</v>
      </c>
    </row>
    <row r="135" ht="15.75" customHeight="1">
      <c r="A135" s="44" t="s">
        <v>46</v>
      </c>
      <c r="B135" s="45">
        <f t="shared" si="6"/>
        <v>44695</v>
      </c>
      <c r="C135" s="46">
        <v>5.0</v>
      </c>
      <c r="D135" s="46" t="s">
        <v>48</v>
      </c>
      <c r="E135" s="47"/>
      <c r="F135" s="60"/>
      <c r="G135" s="51"/>
      <c r="H135" s="61"/>
      <c r="I135" s="51"/>
      <c r="J135" s="61"/>
      <c r="K135" s="51"/>
      <c r="L135" s="61"/>
      <c r="M135" s="51"/>
      <c r="N135" s="61"/>
      <c r="O135" s="51"/>
      <c r="P135" s="61"/>
      <c r="Q135" s="53"/>
      <c r="R135" s="62">
        <v>0.0</v>
      </c>
      <c r="S135" s="51"/>
      <c r="T135" s="63">
        <v>0.0</v>
      </c>
      <c r="U135" s="51"/>
      <c r="V135" s="61"/>
      <c r="W135" s="51"/>
      <c r="X135" s="61"/>
      <c r="Y135" s="51"/>
      <c r="Z135" s="61"/>
      <c r="AA135" s="51"/>
      <c r="AB135" s="61"/>
      <c r="AC135" s="53"/>
      <c r="AD135" s="61"/>
      <c r="AE135" s="51"/>
      <c r="AF135" s="61"/>
      <c r="AG135" s="51"/>
      <c r="AH135" s="61"/>
      <c r="AI135" s="51"/>
      <c r="AJ135" s="60"/>
      <c r="AK135" s="51"/>
      <c r="AL135" s="61"/>
      <c r="AM135" s="51"/>
      <c r="AN135" s="61"/>
      <c r="AO135" s="51"/>
      <c r="AP135" s="61"/>
      <c r="AQ135" s="51"/>
      <c r="AR135" s="61"/>
      <c r="AS135" s="51"/>
      <c r="AT135" s="61"/>
      <c r="AU135" s="53"/>
      <c r="AV135" s="55">
        <f t="shared" si="1"/>
        <v>0</v>
      </c>
      <c r="AW135" s="46">
        <f t="shared" si="2"/>
        <v>0</v>
      </c>
      <c r="AX135" s="46">
        <f t="shared" si="3"/>
        <v>0</v>
      </c>
      <c r="AY135" s="46">
        <f t="shared" si="4"/>
        <v>0</v>
      </c>
      <c r="AZ135" s="56" t="str">
        <f t="shared" si="5"/>
        <v/>
      </c>
    </row>
    <row r="136" ht="15.75" customHeight="1">
      <c r="A136" s="19" t="s">
        <v>30</v>
      </c>
      <c r="B136" s="57">
        <f t="shared" si="6"/>
        <v>44696</v>
      </c>
      <c r="C136" s="21">
        <v>5.0</v>
      </c>
      <c r="D136" s="21" t="s">
        <v>49</v>
      </c>
      <c r="E136" s="23"/>
      <c r="F136" s="36"/>
      <c r="H136" s="37"/>
      <c r="J136" s="37"/>
      <c r="L136" s="37"/>
      <c r="N136" s="37"/>
      <c r="P136" s="37"/>
      <c r="Q136" s="26"/>
      <c r="R136" s="38">
        <v>185.0</v>
      </c>
      <c r="T136" s="39">
        <v>185.0</v>
      </c>
      <c r="V136" s="37"/>
      <c r="X136" s="37"/>
      <c r="Z136" s="37"/>
      <c r="AB136" s="37"/>
      <c r="AC136" s="26"/>
      <c r="AD136" s="37"/>
      <c r="AF136" s="39">
        <v>40.0</v>
      </c>
      <c r="AH136" s="39">
        <v>40.0</v>
      </c>
      <c r="AJ136" s="36"/>
      <c r="AL136" s="37"/>
      <c r="AN136" s="37"/>
      <c r="AP136" s="37"/>
      <c r="AR136" s="37"/>
      <c r="AT136" s="37"/>
      <c r="AU136" s="26"/>
      <c r="AV136" s="29">
        <f t="shared" si="1"/>
        <v>4911.8</v>
      </c>
      <c r="AW136" s="21">
        <f t="shared" si="2"/>
        <v>450</v>
      </c>
      <c r="AX136" s="21">
        <f t="shared" si="3"/>
        <v>0</v>
      </c>
      <c r="AY136" s="21">
        <f t="shared" si="4"/>
        <v>450</v>
      </c>
      <c r="AZ136" s="58">
        <f t="shared" si="5"/>
        <v>10.91511111</v>
      </c>
    </row>
    <row r="137" ht="15.75" customHeight="1">
      <c r="A137" s="31" t="s">
        <v>33</v>
      </c>
      <c r="B137" s="32">
        <f t="shared" si="6"/>
        <v>44697</v>
      </c>
      <c r="C137" s="33">
        <v>5.0</v>
      </c>
      <c r="D137" s="33" t="s">
        <v>49</v>
      </c>
      <c r="E137" s="34"/>
      <c r="F137" s="36"/>
      <c r="H137" s="37"/>
      <c r="J137" s="37"/>
      <c r="L137" s="37"/>
      <c r="N137" s="37"/>
      <c r="P137" s="37"/>
      <c r="Q137" s="26"/>
      <c r="R137" s="38">
        <v>185.0</v>
      </c>
      <c r="T137" s="39">
        <v>185.0</v>
      </c>
      <c r="V137" s="37"/>
      <c r="X137" s="37"/>
      <c r="Z137" s="37"/>
      <c r="AB137" s="37"/>
      <c r="AC137" s="26"/>
      <c r="AD137" s="37"/>
      <c r="AF137" s="39">
        <v>40.0</v>
      </c>
      <c r="AH137" s="39">
        <v>40.0</v>
      </c>
      <c r="AJ137" s="36"/>
      <c r="AL137" s="37"/>
      <c r="AN137" s="37"/>
      <c r="AP137" s="37"/>
      <c r="AR137" s="37"/>
      <c r="AT137" s="37"/>
      <c r="AU137" s="26"/>
      <c r="AV137" s="35">
        <f t="shared" si="1"/>
        <v>4911.8</v>
      </c>
      <c r="AW137" s="33">
        <f t="shared" si="2"/>
        <v>450</v>
      </c>
      <c r="AX137" s="33">
        <f t="shared" si="3"/>
        <v>0</v>
      </c>
      <c r="AY137" s="33">
        <f t="shared" si="4"/>
        <v>450</v>
      </c>
      <c r="AZ137" s="30">
        <f t="shared" si="5"/>
        <v>10.91511111</v>
      </c>
    </row>
    <row r="138" ht="15.75" customHeight="1">
      <c r="A138" s="31" t="s">
        <v>34</v>
      </c>
      <c r="B138" s="32">
        <f t="shared" si="6"/>
        <v>44698</v>
      </c>
      <c r="C138" s="33">
        <v>5.0</v>
      </c>
      <c r="D138" s="33" t="s">
        <v>49</v>
      </c>
      <c r="E138" s="34"/>
      <c r="F138" s="36"/>
      <c r="H138" s="37"/>
      <c r="J138" s="37"/>
      <c r="L138" s="37"/>
      <c r="N138" s="37"/>
      <c r="P138" s="37"/>
      <c r="Q138" s="26"/>
      <c r="R138" s="38">
        <v>185.0</v>
      </c>
      <c r="T138" s="39">
        <v>185.0</v>
      </c>
      <c r="V138" s="37"/>
      <c r="X138" s="37"/>
      <c r="Z138" s="37"/>
      <c r="AB138" s="37"/>
      <c r="AC138" s="26"/>
      <c r="AD138" s="37"/>
      <c r="AF138" s="39">
        <v>40.0</v>
      </c>
      <c r="AH138" s="39">
        <v>40.0</v>
      </c>
      <c r="AJ138" s="36"/>
      <c r="AL138" s="37"/>
      <c r="AN138" s="37"/>
      <c r="AP138" s="37"/>
      <c r="AR138" s="37"/>
      <c r="AT138" s="37"/>
      <c r="AU138" s="26"/>
      <c r="AV138" s="35">
        <f t="shared" si="1"/>
        <v>4911.8</v>
      </c>
      <c r="AW138" s="33">
        <f t="shared" si="2"/>
        <v>450</v>
      </c>
      <c r="AX138" s="33">
        <f t="shared" si="3"/>
        <v>0</v>
      </c>
      <c r="AY138" s="33">
        <f t="shared" si="4"/>
        <v>450</v>
      </c>
      <c r="AZ138" s="30">
        <f t="shared" si="5"/>
        <v>10.91511111</v>
      </c>
    </row>
    <row r="139" ht="15.75" customHeight="1">
      <c r="A139" s="31" t="s">
        <v>35</v>
      </c>
      <c r="B139" s="32">
        <f t="shared" si="6"/>
        <v>44699</v>
      </c>
      <c r="C139" s="33">
        <v>5.0</v>
      </c>
      <c r="D139" s="33" t="s">
        <v>49</v>
      </c>
      <c r="E139" s="34"/>
      <c r="F139" s="36"/>
      <c r="H139" s="37"/>
      <c r="J139" s="37"/>
      <c r="L139" s="37"/>
      <c r="N139" s="37"/>
      <c r="P139" s="37"/>
      <c r="Q139" s="26"/>
      <c r="R139" s="38">
        <v>185.0</v>
      </c>
      <c r="T139" s="39">
        <v>185.0</v>
      </c>
      <c r="V139" s="37"/>
      <c r="X139" s="37"/>
      <c r="Z139" s="37"/>
      <c r="AB139" s="37"/>
      <c r="AC139" s="26"/>
      <c r="AD139" s="37"/>
      <c r="AF139" s="39">
        <v>40.0</v>
      </c>
      <c r="AH139" s="39">
        <v>40.0</v>
      </c>
      <c r="AJ139" s="36"/>
      <c r="AL139" s="37"/>
      <c r="AN139" s="37"/>
      <c r="AP139" s="37"/>
      <c r="AR139" s="37"/>
      <c r="AT139" s="37"/>
      <c r="AU139" s="26"/>
      <c r="AV139" s="35">
        <f t="shared" si="1"/>
        <v>4911.8</v>
      </c>
      <c r="AW139" s="33">
        <f t="shared" si="2"/>
        <v>450</v>
      </c>
      <c r="AX139" s="33">
        <f t="shared" si="3"/>
        <v>0</v>
      </c>
      <c r="AY139" s="33">
        <f t="shared" si="4"/>
        <v>450</v>
      </c>
      <c r="AZ139" s="30">
        <f t="shared" si="5"/>
        <v>10.91511111</v>
      </c>
    </row>
    <row r="140" ht="15.75" customHeight="1">
      <c r="A140" s="31" t="s">
        <v>38</v>
      </c>
      <c r="B140" s="32">
        <f t="shared" si="6"/>
        <v>44700</v>
      </c>
      <c r="C140" s="33">
        <v>5.0</v>
      </c>
      <c r="D140" s="33" t="s">
        <v>49</v>
      </c>
      <c r="E140" s="34"/>
      <c r="F140" s="36"/>
      <c r="H140" s="37"/>
      <c r="J140" s="37"/>
      <c r="L140" s="37"/>
      <c r="N140" s="37"/>
      <c r="P140" s="37"/>
      <c r="Q140" s="26"/>
      <c r="R140" s="38">
        <v>185.0</v>
      </c>
      <c r="T140" s="39">
        <v>185.0</v>
      </c>
      <c r="V140" s="37"/>
      <c r="X140" s="37"/>
      <c r="Z140" s="37"/>
      <c r="AB140" s="37"/>
      <c r="AC140" s="26"/>
      <c r="AD140" s="37"/>
      <c r="AF140" s="39">
        <v>40.0</v>
      </c>
      <c r="AH140" s="39">
        <v>40.0</v>
      </c>
      <c r="AJ140" s="36"/>
      <c r="AL140" s="37"/>
      <c r="AN140" s="37"/>
      <c r="AP140" s="37"/>
      <c r="AR140" s="37"/>
      <c r="AT140" s="37"/>
      <c r="AU140" s="26"/>
      <c r="AV140" s="35">
        <f t="shared" si="1"/>
        <v>4911.8</v>
      </c>
      <c r="AW140" s="33">
        <f t="shared" si="2"/>
        <v>450</v>
      </c>
      <c r="AX140" s="33">
        <f t="shared" si="3"/>
        <v>0</v>
      </c>
      <c r="AY140" s="33">
        <f t="shared" si="4"/>
        <v>450</v>
      </c>
      <c r="AZ140" s="30">
        <f t="shared" si="5"/>
        <v>10.91511111</v>
      </c>
    </row>
    <row r="141" ht="15.75" customHeight="1">
      <c r="A141" s="31" t="s">
        <v>45</v>
      </c>
      <c r="B141" s="32">
        <f t="shared" si="6"/>
        <v>44701</v>
      </c>
      <c r="C141" s="33">
        <v>5.0</v>
      </c>
      <c r="D141" s="33" t="s">
        <v>49</v>
      </c>
      <c r="E141" s="34"/>
      <c r="F141" s="36"/>
      <c r="H141" s="37"/>
      <c r="J141" s="37"/>
      <c r="L141" s="37"/>
      <c r="N141" s="37"/>
      <c r="P141" s="37"/>
      <c r="Q141" s="26"/>
      <c r="R141" s="38">
        <v>185.0</v>
      </c>
      <c r="T141" s="39">
        <v>185.0</v>
      </c>
      <c r="V141" s="37"/>
      <c r="X141" s="37"/>
      <c r="Z141" s="37"/>
      <c r="AB141" s="37"/>
      <c r="AC141" s="26"/>
      <c r="AD141" s="37"/>
      <c r="AF141" s="39">
        <v>0.0</v>
      </c>
      <c r="AH141" s="39">
        <v>0.0</v>
      </c>
      <c r="AJ141" s="36"/>
      <c r="AL141" s="37"/>
      <c r="AN141" s="37"/>
      <c r="AP141" s="37"/>
      <c r="AR141" s="37"/>
      <c r="AT141" s="37"/>
      <c r="AU141" s="26"/>
      <c r="AV141" s="35">
        <f t="shared" si="1"/>
        <v>3751.8</v>
      </c>
      <c r="AW141" s="33">
        <f t="shared" si="2"/>
        <v>370</v>
      </c>
      <c r="AX141" s="33">
        <f t="shared" si="3"/>
        <v>0</v>
      </c>
      <c r="AY141" s="33">
        <f t="shared" si="4"/>
        <v>370</v>
      </c>
      <c r="AZ141" s="30">
        <f t="shared" si="5"/>
        <v>10.14</v>
      </c>
    </row>
    <row r="142" ht="15.75" customHeight="1">
      <c r="A142" s="44" t="s">
        <v>46</v>
      </c>
      <c r="B142" s="45">
        <f t="shared" si="6"/>
        <v>44702</v>
      </c>
      <c r="C142" s="46">
        <v>5.0</v>
      </c>
      <c r="D142" s="46" t="s">
        <v>49</v>
      </c>
      <c r="E142" s="47"/>
      <c r="F142" s="60"/>
      <c r="G142" s="51"/>
      <c r="H142" s="61"/>
      <c r="I142" s="51"/>
      <c r="J142" s="61"/>
      <c r="K142" s="51"/>
      <c r="L142" s="61"/>
      <c r="M142" s="51"/>
      <c r="N142" s="61"/>
      <c r="O142" s="51"/>
      <c r="P142" s="61"/>
      <c r="Q142" s="53"/>
      <c r="R142" s="62">
        <v>0.0</v>
      </c>
      <c r="S142" s="51"/>
      <c r="T142" s="63">
        <v>0.0</v>
      </c>
      <c r="U142" s="51"/>
      <c r="V142" s="61"/>
      <c r="W142" s="51"/>
      <c r="X142" s="61"/>
      <c r="Y142" s="51"/>
      <c r="Z142" s="61"/>
      <c r="AA142" s="51"/>
      <c r="AB142" s="61"/>
      <c r="AC142" s="53"/>
      <c r="AD142" s="61"/>
      <c r="AE142" s="51"/>
      <c r="AF142" s="63">
        <v>0.0</v>
      </c>
      <c r="AG142" s="51"/>
      <c r="AH142" s="63">
        <v>0.0</v>
      </c>
      <c r="AI142" s="51"/>
      <c r="AJ142" s="60"/>
      <c r="AK142" s="51"/>
      <c r="AL142" s="61"/>
      <c r="AM142" s="51"/>
      <c r="AN142" s="61"/>
      <c r="AO142" s="51"/>
      <c r="AP142" s="61"/>
      <c r="AQ142" s="51"/>
      <c r="AR142" s="61"/>
      <c r="AS142" s="51"/>
      <c r="AT142" s="61"/>
      <c r="AU142" s="53"/>
      <c r="AV142" s="55">
        <f t="shared" si="1"/>
        <v>0</v>
      </c>
      <c r="AW142" s="46">
        <f t="shared" si="2"/>
        <v>0</v>
      </c>
      <c r="AX142" s="46">
        <f t="shared" si="3"/>
        <v>0</v>
      </c>
      <c r="AY142" s="46">
        <f t="shared" si="4"/>
        <v>0</v>
      </c>
      <c r="AZ142" s="56" t="str">
        <f t="shared" si="5"/>
        <v/>
      </c>
    </row>
    <row r="143" ht="15.75" customHeight="1">
      <c r="A143" s="19" t="s">
        <v>30</v>
      </c>
      <c r="B143" s="57">
        <f t="shared" si="6"/>
        <v>44703</v>
      </c>
      <c r="C143" s="21">
        <v>6.0</v>
      </c>
      <c r="D143" s="21" t="s">
        <v>31</v>
      </c>
      <c r="E143" s="23"/>
      <c r="F143" s="36"/>
      <c r="H143" s="37"/>
      <c r="J143" s="37"/>
      <c r="L143" s="37"/>
      <c r="N143" s="37"/>
      <c r="P143" s="37"/>
      <c r="Q143" s="26"/>
      <c r="R143" s="38">
        <v>185.0</v>
      </c>
      <c r="T143" s="39">
        <v>185.0</v>
      </c>
      <c r="V143" s="37"/>
      <c r="X143" s="37"/>
      <c r="Z143" s="37"/>
      <c r="AB143" s="37"/>
      <c r="AC143" s="26"/>
      <c r="AD143" s="37"/>
      <c r="AF143" s="37"/>
      <c r="AH143" s="37"/>
      <c r="AJ143" s="36"/>
      <c r="AL143" s="37"/>
      <c r="AN143" s="37"/>
      <c r="AP143" s="37"/>
      <c r="AR143" s="37"/>
      <c r="AT143" s="37"/>
      <c r="AU143" s="26"/>
      <c r="AV143" s="29">
        <f t="shared" si="1"/>
        <v>3751.8</v>
      </c>
      <c r="AW143" s="21">
        <f t="shared" si="2"/>
        <v>370</v>
      </c>
      <c r="AX143" s="21">
        <f t="shared" si="3"/>
        <v>0</v>
      </c>
      <c r="AY143" s="21">
        <f t="shared" si="4"/>
        <v>370</v>
      </c>
      <c r="AZ143" s="58">
        <f t="shared" si="5"/>
        <v>10.14</v>
      </c>
    </row>
    <row r="144" ht="15.75" customHeight="1">
      <c r="A144" s="31" t="s">
        <v>33</v>
      </c>
      <c r="B144" s="32">
        <f t="shared" si="6"/>
        <v>44704</v>
      </c>
      <c r="C144" s="33">
        <v>6.0</v>
      </c>
      <c r="D144" s="33" t="s">
        <v>31</v>
      </c>
      <c r="E144" s="34"/>
      <c r="F144" s="36"/>
      <c r="H144" s="37"/>
      <c r="J144" s="37"/>
      <c r="L144" s="37"/>
      <c r="N144" s="37"/>
      <c r="P144" s="37"/>
      <c r="Q144" s="26"/>
      <c r="R144" s="38">
        <v>185.0</v>
      </c>
      <c r="T144" s="39">
        <v>185.0</v>
      </c>
      <c r="V144" s="37"/>
      <c r="X144" s="37"/>
      <c r="Z144" s="37"/>
      <c r="AB144" s="37"/>
      <c r="AC144" s="26"/>
      <c r="AD144" s="37"/>
      <c r="AF144" s="37"/>
      <c r="AH144" s="37"/>
      <c r="AJ144" s="36"/>
      <c r="AL144" s="37"/>
      <c r="AN144" s="37"/>
      <c r="AP144" s="37"/>
      <c r="AR144" s="37"/>
      <c r="AT144" s="37"/>
      <c r="AU144" s="26"/>
      <c r="AV144" s="35">
        <f t="shared" si="1"/>
        <v>3751.8</v>
      </c>
      <c r="AW144" s="33">
        <f t="shared" si="2"/>
        <v>370</v>
      </c>
      <c r="AX144" s="33">
        <f t="shared" si="3"/>
        <v>0</v>
      </c>
      <c r="AY144" s="33">
        <f t="shared" si="4"/>
        <v>370</v>
      </c>
      <c r="AZ144" s="30">
        <f t="shared" si="5"/>
        <v>10.14</v>
      </c>
    </row>
    <row r="145" ht="15.75" customHeight="1">
      <c r="A145" s="31" t="s">
        <v>34</v>
      </c>
      <c r="B145" s="32">
        <f t="shared" si="6"/>
        <v>44705</v>
      </c>
      <c r="C145" s="33">
        <v>6.0</v>
      </c>
      <c r="D145" s="33" t="s">
        <v>31</v>
      </c>
      <c r="E145" s="34"/>
      <c r="F145" s="36"/>
      <c r="H145" s="37"/>
      <c r="J145" s="37"/>
      <c r="L145" s="37"/>
      <c r="N145" s="37"/>
      <c r="P145" s="37"/>
      <c r="Q145" s="26"/>
      <c r="R145" s="38">
        <v>185.0</v>
      </c>
      <c r="T145" s="39">
        <v>185.0</v>
      </c>
      <c r="V145" s="37"/>
      <c r="X145" s="37"/>
      <c r="Z145" s="37"/>
      <c r="AB145" s="37"/>
      <c r="AC145" s="26"/>
      <c r="AD145" s="37"/>
      <c r="AF145" s="37"/>
      <c r="AH145" s="37"/>
      <c r="AJ145" s="36"/>
      <c r="AL145" s="37"/>
      <c r="AN145" s="37"/>
      <c r="AP145" s="37"/>
      <c r="AR145" s="37"/>
      <c r="AT145" s="37"/>
      <c r="AU145" s="26"/>
      <c r="AV145" s="35">
        <f t="shared" si="1"/>
        <v>3751.8</v>
      </c>
      <c r="AW145" s="33">
        <f t="shared" si="2"/>
        <v>370</v>
      </c>
      <c r="AX145" s="33">
        <f t="shared" si="3"/>
        <v>0</v>
      </c>
      <c r="AY145" s="33">
        <f t="shared" si="4"/>
        <v>370</v>
      </c>
      <c r="AZ145" s="30">
        <f t="shared" si="5"/>
        <v>10.14</v>
      </c>
    </row>
    <row r="146" ht="15.75" customHeight="1">
      <c r="A146" s="31" t="s">
        <v>35</v>
      </c>
      <c r="B146" s="32">
        <f t="shared" si="6"/>
        <v>44706</v>
      </c>
      <c r="C146" s="33">
        <v>6.0</v>
      </c>
      <c r="D146" s="33" t="s">
        <v>31</v>
      </c>
      <c r="E146" s="34"/>
      <c r="F146" s="36"/>
      <c r="H146" s="37"/>
      <c r="J146" s="37"/>
      <c r="L146" s="37"/>
      <c r="N146" s="37"/>
      <c r="P146" s="37"/>
      <c r="Q146" s="26"/>
      <c r="R146" s="38">
        <v>185.0</v>
      </c>
      <c r="T146" s="39">
        <v>185.0</v>
      </c>
      <c r="V146" s="37"/>
      <c r="X146" s="37"/>
      <c r="Z146" s="37"/>
      <c r="AB146" s="37"/>
      <c r="AC146" s="26"/>
      <c r="AD146" s="37"/>
      <c r="AF146" s="37"/>
      <c r="AH146" s="37"/>
      <c r="AJ146" s="36"/>
      <c r="AL146" s="37"/>
      <c r="AN146" s="37"/>
      <c r="AP146" s="37"/>
      <c r="AR146" s="37"/>
      <c r="AT146" s="37"/>
      <c r="AU146" s="26"/>
      <c r="AV146" s="35">
        <f t="shared" si="1"/>
        <v>3751.8</v>
      </c>
      <c r="AW146" s="33">
        <f t="shared" si="2"/>
        <v>370</v>
      </c>
      <c r="AX146" s="33">
        <f t="shared" si="3"/>
        <v>0</v>
      </c>
      <c r="AY146" s="33">
        <f t="shared" si="4"/>
        <v>370</v>
      </c>
      <c r="AZ146" s="30">
        <f t="shared" si="5"/>
        <v>10.14</v>
      </c>
    </row>
    <row r="147" ht="15.75" customHeight="1">
      <c r="A147" s="31" t="s">
        <v>38</v>
      </c>
      <c r="B147" s="32">
        <f t="shared" si="6"/>
        <v>44707</v>
      </c>
      <c r="C147" s="33">
        <v>6.0</v>
      </c>
      <c r="D147" s="33" t="s">
        <v>31</v>
      </c>
      <c r="E147" s="34"/>
      <c r="F147" s="36"/>
      <c r="H147" s="37"/>
      <c r="J147" s="37"/>
      <c r="L147" s="37"/>
      <c r="N147" s="37"/>
      <c r="P147" s="37"/>
      <c r="Q147" s="26"/>
      <c r="R147" s="38">
        <v>185.0</v>
      </c>
      <c r="T147" s="39">
        <v>185.0</v>
      </c>
      <c r="V147" s="37"/>
      <c r="X147" s="37"/>
      <c r="Z147" s="37"/>
      <c r="AB147" s="37"/>
      <c r="AC147" s="26"/>
      <c r="AD147" s="37"/>
      <c r="AF147" s="37"/>
      <c r="AH147" s="37"/>
      <c r="AJ147" s="36"/>
      <c r="AL147" s="37"/>
      <c r="AN147" s="37"/>
      <c r="AP147" s="37"/>
      <c r="AR147" s="37"/>
      <c r="AT147" s="37"/>
      <c r="AU147" s="26"/>
      <c r="AV147" s="35">
        <f t="shared" si="1"/>
        <v>3751.8</v>
      </c>
      <c r="AW147" s="33">
        <f t="shared" si="2"/>
        <v>370</v>
      </c>
      <c r="AX147" s="33">
        <f t="shared" si="3"/>
        <v>0</v>
      </c>
      <c r="AY147" s="33">
        <f t="shared" si="4"/>
        <v>370</v>
      </c>
      <c r="AZ147" s="30">
        <f t="shared" si="5"/>
        <v>10.14</v>
      </c>
    </row>
    <row r="148" ht="15.75" customHeight="1">
      <c r="A148" s="31" t="s">
        <v>45</v>
      </c>
      <c r="B148" s="32">
        <f t="shared" si="6"/>
        <v>44708</v>
      </c>
      <c r="C148" s="33">
        <v>6.0</v>
      </c>
      <c r="D148" s="33" t="s">
        <v>31</v>
      </c>
      <c r="E148" s="34"/>
      <c r="F148" s="36"/>
      <c r="H148" s="37"/>
      <c r="J148" s="37"/>
      <c r="L148" s="37"/>
      <c r="N148" s="37"/>
      <c r="P148" s="37"/>
      <c r="Q148" s="26"/>
      <c r="R148" s="38">
        <v>185.0</v>
      </c>
      <c r="T148" s="39">
        <v>185.0</v>
      </c>
      <c r="V148" s="37"/>
      <c r="X148" s="37"/>
      <c r="Z148" s="37"/>
      <c r="AB148" s="37"/>
      <c r="AC148" s="26"/>
      <c r="AD148" s="37"/>
      <c r="AF148" s="37"/>
      <c r="AH148" s="37"/>
      <c r="AJ148" s="36"/>
      <c r="AL148" s="37"/>
      <c r="AN148" s="37"/>
      <c r="AP148" s="37"/>
      <c r="AR148" s="37"/>
      <c r="AT148" s="37"/>
      <c r="AU148" s="26"/>
      <c r="AV148" s="35">
        <f t="shared" si="1"/>
        <v>3751.8</v>
      </c>
      <c r="AW148" s="33">
        <f t="shared" si="2"/>
        <v>370</v>
      </c>
      <c r="AX148" s="33">
        <f t="shared" si="3"/>
        <v>0</v>
      </c>
      <c r="AY148" s="33">
        <f t="shared" si="4"/>
        <v>370</v>
      </c>
      <c r="AZ148" s="30">
        <f t="shared" si="5"/>
        <v>10.14</v>
      </c>
    </row>
    <row r="149" ht="15.75" customHeight="1">
      <c r="A149" s="44" t="s">
        <v>46</v>
      </c>
      <c r="B149" s="45">
        <f t="shared" si="6"/>
        <v>44709</v>
      </c>
      <c r="C149" s="46">
        <v>6.0</v>
      </c>
      <c r="D149" s="46" t="s">
        <v>31</v>
      </c>
      <c r="E149" s="47"/>
      <c r="F149" s="60"/>
      <c r="G149" s="51"/>
      <c r="H149" s="61"/>
      <c r="I149" s="51"/>
      <c r="J149" s="61"/>
      <c r="K149" s="51"/>
      <c r="L149" s="61"/>
      <c r="M149" s="51"/>
      <c r="N149" s="61"/>
      <c r="O149" s="51"/>
      <c r="P149" s="61"/>
      <c r="Q149" s="53"/>
      <c r="R149" s="62">
        <v>0.0</v>
      </c>
      <c r="S149" s="51"/>
      <c r="T149" s="63">
        <v>0.0</v>
      </c>
      <c r="U149" s="51"/>
      <c r="V149" s="61"/>
      <c r="W149" s="51"/>
      <c r="X149" s="61"/>
      <c r="Y149" s="51"/>
      <c r="Z149" s="61"/>
      <c r="AA149" s="51"/>
      <c r="AB149" s="61"/>
      <c r="AC149" s="53"/>
      <c r="AD149" s="61"/>
      <c r="AE149" s="51"/>
      <c r="AF149" s="61"/>
      <c r="AG149" s="51"/>
      <c r="AH149" s="61"/>
      <c r="AI149" s="51"/>
      <c r="AJ149" s="60"/>
      <c r="AK149" s="51"/>
      <c r="AL149" s="61"/>
      <c r="AM149" s="51"/>
      <c r="AN149" s="61"/>
      <c r="AO149" s="51"/>
      <c r="AP149" s="61"/>
      <c r="AQ149" s="51"/>
      <c r="AR149" s="61"/>
      <c r="AS149" s="51"/>
      <c r="AT149" s="61"/>
      <c r="AU149" s="53"/>
      <c r="AV149" s="55">
        <f t="shared" si="1"/>
        <v>0</v>
      </c>
      <c r="AW149" s="46">
        <f t="shared" si="2"/>
        <v>0</v>
      </c>
      <c r="AX149" s="46">
        <f t="shared" si="3"/>
        <v>0</v>
      </c>
      <c r="AY149" s="46">
        <f t="shared" si="4"/>
        <v>0</v>
      </c>
      <c r="AZ149" s="56" t="str">
        <f t="shared" si="5"/>
        <v/>
      </c>
    </row>
    <row r="150" ht="15.75" customHeight="1">
      <c r="A150" s="19" t="s">
        <v>30</v>
      </c>
      <c r="B150" s="57">
        <f t="shared" si="6"/>
        <v>44710</v>
      </c>
      <c r="C150" s="21">
        <v>6.0</v>
      </c>
      <c r="D150" s="21" t="s">
        <v>47</v>
      </c>
      <c r="E150" s="23"/>
      <c r="F150" s="36"/>
      <c r="H150" s="37"/>
      <c r="J150" s="37"/>
      <c r="L150" s="37"/>
      <c r="N150" s="37"/>
      <c r="P150" s="37"/>
      <c r="Q150" s="26"/>
      <c r="R150" s="38">
        <v>185.0</v>
      </c>
      <c r="T150" s="39">
        <v>185.0</v>
      </c>
      <c r="V150" s="37"/>
      <c r="X150" s="37"/>
      <c r="Z150" s="37"/>
      <c r="AB150" s="37"/>
      <c r="AC150" s="26"/>
      <c r="AD150" s="37"/>
      <c r="AF150" s="39">
        <v>40.0</v>
      </c>
      <c r="AH150" s="39">
        <v>40.0</v>
      </c>
      <c r="AJ150" s="36"/>
      <c r="AL150" s="37"/>
      <c r="AN150" s="37"/>
      <c r="AP150" s="37"/>
      <c r="AR150" s="37"/>
      <c r="AT150" s="37"/>
      <c r="AU150" s="26"/>
      <c r="AV150" s="29">
        <f t="shared" si="1"/>
        <v>4911.8</v>
      </c>
      <c r="AW150" s="21">
        <f t="shared" si="2"/>
        <v>450</v>
      </c>
      <c r="AX150" s="21">
        <f t="shared" si="3"/>
        <v>0</v>
      </c>
      <c r="AY150" s="21">
        <f t="shared" si="4"/>
        <v>450</v>
      </c>
      <c r="AZ150" s="58">
        <f t="shared" si="5"/>
        <v>10.91511111</v>
      </c>
    </row>
    <row r="151" ht="15.75" customHeight="1">
      <c r="A151" s="31" t="s">
        <v>33</v>
      </c>
      <c r="B151" s="32">
        <f t="shared" si="6"/>
        <v>44711</v>
      </c>
      <c r="C151" s="33">
        <v>6.0</v>
      </c>
      <c r="D151" s="33" t="s">
        <v>47</v>
      </c>
      <c r="E151" s="34"/>
      <c r="F151" s="36"/>
      <c r="H151" s="37"/>
      <c r="J151" s="37"/>
      <c r="L151" s="37"/>
      <c r="N151" s="37"/>
      <c r="P151" s="37"/>
      <c r="Q151" s="26"/>
      <c r="R151" s="38">
        <v>185.0</v>
      </c>
      <c r="T151" s="39">
        <v>185.0</v>
      </c>
      <c r="V151" s="37"/>
      <c r="X151" s="37"/>
      <c r="Z151" s="37"/>
      <c r="AB151" s="37"/>
      <c r="AC151" s="26"/>
      <c r="AD151" s="37"/>
      <c r="AF151" s="39">
        <v>40.0</v>
      </c>
      <c r="AH151" s="39">
        <v>40.0</v>
      </c>
      <c r="AJ151" s="36"/>
      <c r="AL151" s="37"/>
      <c r="AN151" s="37"/>
      <c r="AP151" s="37"/>
      <c r="AR151" s="37"/>
      <c r="AT151" s="37"/>
      <c r="AU151" s="26"/>
      <c r="AV151" s="35">
        <f t="shared" si="1"/>
        <v>4911.8</v>
      </c>
      <c r="AW151" s="33">
        <f t="shared" si="2"/>
        <v>450</v>
      </c>
      <c r="AX151" s="33">
        <f t="shared" si="3"/>
        <v>0</v>
      </c>
      <c r="AY151" s="33">
        <f t="shared" si="4"/>
        <v>450</v>
      </c>
      <c r="AZ151" s="30">
        <f t="shared" si="5"/>
        <v>10.91511111</v>
      </c>
    </row>
    <row r="152" ht="15.75" customHeight="1">
      <c r="A152" s="31" t="s">
        <v>34</v>
      </c>
      <c r="B152" s="32">
        <f t="shared" si="6"/>
        <v>44712</v>
      </c>
      <c r="C152" s="33">
        <v>6.0</v>
      </c>
      <c r="D152" s="33" t="s">
        <v>47</v>
      </c>
      <c r="E152" s="34"/>
      <c r="F152" s="36"/>
      <c r="H152" s="37"/>
      <c r="J152" s="37"/>
      <c r="L152" s="37"/>
      <c r="N152" s="37"/>
      <c r="P152" s="37"/>
      <c r="Q152" s="26"/>
      <c r="R152" s="38">
        <v>185.0</v>
      </c>
      <c r="T152" s="39">
        <v>185.0</v>
      </c>
      <c r="V152" s="37"/>
      <c r="X152" s="37"/>
      <c r="Z152" s="37"/>
      <c r="AB152" s="37"/>
      <c r="AC152" s="26"/>
      <c r="AD152" s="37"/>
      <c r="AF152" s="39">
        <v>40.0</v>
      </c>
      <c r="AH152" s="39">
        <v>40.0</v>
      </c>
      <c r="AJ152" s="36"/>
      <c r="AL152" s="37"/>
      <c r="AN152" s="37"/>
      <c r="AP152" s="37"/>
      <c r="AR152" s="37"/>
      <c r="AT152" s="37"/>
      <c r="AU152" s="26"/>
      <c r="AV152" s="35">
        <f t="shared" si="1"/>
        <v>4911.8</v>
      </c>
      <c r="AW152" s="33">
        <f t="shared" si="2"/>
        <v>450</v>
      </c>
      <c r="AX152" s="33">
        <f t="shared" si="3"/>
        <v>0</v>
      </c>
      <c r="AY152" s="33">
        <f t="shared" si="4"/>
        <v>450</v>
      </c>
      <c r="AZ152" s="30">
        <f t="shared" si="5"/>
        <v>10.91511111</v>
      </c>
    </row>
    <row r="153" ht="15.75" customHeight="1">
      <c r="A153" s="31" t="s">
        <v>35</v>
      </c>
      <c r="B153" s="32">
        <f t="shared" si="6"/>
        <v>44713</v>
      </c>
      <c r="C153" s="33">
        <v>6.0</v>
      </c>
      <c r="D153" s="33" t="s">
        <v>47</v>
      </c>
      <c r="E153" s="34"/>
      <c r="F153" s="36"/>
      <c r="H153" s="37"/>
      <c r="J153" s="37"/>
      <c r="L153" s="37"/>
      <c r="N153" s="37"/>
      <c r="P153" s="37"/>
      <c r="Q153" s="26"/>
      <c r="R153" s="38">
        <v>185.0</v>
      </c>
      <c r="T153" s="39">
        <v>185.0</v>
      </c>
      <c r="V153" s="37"/>
      <c r="X153" s="37"/>
      <c r="Z153" s="37"/>
      <c r="AB153" s="37"/>
      <c r="AC153" s="26"/>
      <c r="AD153" s="37"/>
      <c r="AF153" s="39">
        <v>40.0</v>
      </c>
      <c r="AH153" s="39">
        <v>40.0</v>
      </c>
      <c r="AJ153" s="36"/>
      <c r="AL153" s="37"/>
      <c r="AN153" s="37"/>
      <c r="AP153" s="37"/>
      <c r="AR153" s="37"/>
      <c r="AT153" s="37"/>
      <c r="AU153" s="26"/>
      <c r="AV153" s="35">
        <f t="shared" si="1"/>
        <v>4911.8</v>
      </c>
      <c r="AW153" s="33">
        <f t="shared" si="2"/>
        <v>450</v>
      </c>
      <c r="AX153" s="33">
        <f t="shared" si="3"/>
        <v>0</v>
      </c>
      <c r="AY153" s="33">
        <f t="shared" si="4"/>
        <v>450</v>
      </c>
      <c r="AZ153" s="30">
        <f t="shared" si="5"/>
        <v>10.91511111</v>
      </c>
    </row>
    <row r="154" ht="15.75" customHeight="1">
      <c r="A154" s="31" t="s">
        <v>38</v>
      </c>
      <c r="B154" s="32">
        <f t="shared" si="6"/>
        <v>44714</v>
      </c>
      <c r="C154" s="33">
        <v>6.0</v>
      </c>
      <c r="D154" s="33" t="s">
        <v>47</v>
      </c>
      <c r="E154" s="34"/>
      <c r="F154" s="36"/>
      <c r="H154" s="37"/>
      <c r="J154" s="37"/>
      <c r="L154" s="37"/>
      <c r="N154" s="37"/>
      <c r="P154" s="37"/>
      <c r="Q154" s="26"/>
      <c r="R154" s="38">
        <v>185.0</v>
      </c>
      <c r="T154" s="39">
        <v>185.0</v>
      </c>
      <c r="V154" s="37"/>
      <c r="X154" s="37"/>
      <c r="Z154" s="37"/>
      <c r="AB154" s="37"/>
      <c r="AC154" s="26"/>
      <c r="AD154" s="37"/>
      <c r="AF154" s="39">
        <v>40.0</v>
      </c>
      <c r="AH154" s="39">
        <v>40.0</v>
      </c>
      <c r="AJ154" s="36"/>
      <c r="AL154" s="37"/>
      <c r="AN154" s="37"/>
      <c r="AP154" s="37"/>
      <c r="AR154" s="37"/>
      <c r="AT154" s="37"/>
      <c r="AU154" s="26"/>
      <c r="AV154" s="35">
        <f t="shared" si="1"/>
        <v>4911.8</v>
      </c>
      <c r="AW154" s="33">
        <f t="shared" si="2"/>
        <v>450</v>
      </c>
      <c r="AX154" s="33">
        <f t="shared" si="3"/>
        <v>0</v>
      </c>
      <c r="AY154" s="33">
        <f t="shared" si="4"/>
        <v>450</v>
      </c>
      <c r="AZ154" s="30">
        <f t="shared" si="5"/>
        <v>10.91511111</v>
      </c>
    </row>
    <row r="155" ht="15.75" customHeight="1">
      <c r="A155" s="31" t="s">
        <v>45</v>
      </c>
      <c r="B155" s="32">
        <f t="shared" si="6"/>
        <v>44715</v>
      </c>
      <c r="C155" s="33">
        <v>6.0</v>
      </c>
      <c r="D155" s="33" t="s">
        <v>47</v>
      </c>
      <c r="E155" s="34"/>
      <c r="F155" s="36"/>
      <c r="H155" s="37"/>
      <c r="J155" s="37"/>
      <c r="L155" s="37"/>
      <c r="N155" s="37"/>
      <c r="P155" s="37"/>
      <c r="Q155" s="26"/>
      <c r="R155" s="38">
        <v>185.0</v>
      </c>
      <c r="T155" s="39">
        <v>185.0</v>
      </c>
      <c r="V155" s="37"/>
      <c r="X155" s="37"/>
      <c r="Z155" s="37"/>
      <c r="AB155" s="37"/>
      <c r="AC155" s="26"/>
      <c r="AD155" s="37"/>
      <c r="AF155" s="39">
        <v>0.0</v>
      </c>
      <c r="AH155" s="39">
        <v>0.0</v>
      </c>
      <c r="AJ155" s="36"/>
      <c r="AL155" s="37"/>
      <c r="AN155" s="37"/>
      <c r="AP155" s="37"/>
      <c r="AR155" s="37"/>
      <c r="AT155" s="37"/>
      <c r="AU155" s="26"/>
      <c r="AV155" s="35">
        <f t="shared" si="1"/>
        <v>3751.8</v>
      </c>
      <c r="AW155" s="33">
        <f t="shared" si="2"/>
        <v>370</v>
      </c>
      <c r="AX155" s="33">
        <f t="shared" si="3"/>
        <v>0</v>
      </c>
      <c r="AY155" s="33">
        <f t="shared" si="4"/>
        <v>370</v>
      </c>
      <c r="AZ155" s="30">
        <f t="shared" si="5"/>
        <v>10.14</v>
      </c>
    </row>
    <row r="156" ht="15.75" customHeight="1">
      <c r="A156" s="44" t="s">
        <v>46</v>
      </c>
      <c r="B156" s="45">
        <f t="shared" si="6"/>
        <v>44716</v>
      </c>
      <c r="C156" s="46">
        <v>6.0</v>
      </c>
      <c r="D156" s="46" t="s">
        <v>47</v>
      </c>
      <c r="E156" s="47"/>
      <c r="F156" s="60"/>
      <c r="G156" s="51"/>
      <c r="H156" s="61"/>
      <c r="I156" s="51"/>
      <c r="J156" s="61"/>
      <c r="K156" s="51"/>
      <c r="L156" s="61"/>
      <c r="M156" s="51"/>
      <c r="N156" s="61"/>
      <c r="O156" s="51"/>
      <c r="P156" s="61"/>
      <c r="Q156" s="53"/>
      <c r="R156" s="62">
        <v>0.0</v>
      </c>
      <c r="S156" s="51"/>
      <c r="T156" s="63">
        <v>0.0</v>
      </c>
      <c r="U156" s="51"/>
      <c r="V156" s="61"/>
      <c r="W156" s="51"/>
      <c r="X156" s="61"/>
      <c r="Y156" s="51"/>
      <c r="Z156" s="61"/>
      <c r="AA156" s="51"/>
      <c r="AB156" s="61"/>
      <c r="AC156" s="53"/>
      <c r="AD156" s="61"/>
      <c r="AE156" s="51"/>
      <c r="AF156" s="63">
        <v>0.0</v>
      </c>
      <c r="AG156" s="51"/>
      <c r="AH156" s="63">
        <v>0.0</v>
      </c>
      <c r="AI156" s="51"/>
      <c r="AJ156" s="60"/>
      <c r="AK156" s="51"/>
      <c r="AL156" s="61"/>
      <c r="AM156" s="51"/>
      <c r="AN156" s="61"/>
      <c r="AO156" s="51"/>
      <c r="AP156" s="61"/>
      <c r="AQ156" s="51"/>
      <c r="AR156" s="61"/>
      <c r="AS156" s="51"/>
      <c r="AT156" s="61"/>
      <c r="AU156" s="53"/>
      <c r="AV156" s="55">
        <f t="shared" si="1"/>
        <v>0</v>
      </c>
      <c r="AW156" s="46">
        <f t="shared" si="2"/>
        <v>0</v>
      </c>
      <c r="AX156" s="46">
        <f t="shared" si="3"/>
        <v>0</v>
      </c>
      <c r="AY156" s="46">
        <f t="shared" si="4"/>
        <v>0</v>
      </c>
      <c r="AZ156" s="56" t="str">
        <f t="shared" si="5"/>
        <v/>
      </c>
    </row>
    <row r="157" ht="15.75" customHeight="1">
      <c r="A157" s="19" t="s">
        <v>30</v>
      </c>
      <c r="B157" s="57">
        <f t="shared" si="6"/>
        <v>44717</v>
      </c>
      <c r="C157" s="21">
        <v>6.0</v>
      </c>
      <c r="D157" s="21" t="s">
        <v>48</v>
      </c>
      <c r="E157" s="23"/>
      <c r="F157" s="36"/>
      <c r="H157" s="37"/>
      <c r="J157" s="37"/>
      <c r="L157" s="37"/>
      <c r="N157" s="37"/>
      <c r="P157" s="37"/>
      <c r="Q157" s="26"/>
      <c r="R157" s="38">
        <v>185.0</v>
      </c>
      <c r="T157" s="39">
        <v>185.0</v>
      </c>
      <c r="V157" s="37"/>
      <c r="X157" s="37"/>
      <c r="Z157" s="37"/>
      <c r="AB157" s="37"/>
      <c r="AC157" s="26"/>
      <c r="AD157" s="37"/>
      <c r="AF157" s="37"/>
      <c r="AH157" s="37"/>
      <c r="AJ157" s="36"/>
      <c r="AL157" s="37"/>
      <c r="AN157" s="37"/>
      <c r="AP157" s="37"/>
      <c r="AR157" s="37"/>
      <c r="AT157" s="37"/>
      <c r="AU157" s="26"/>
      <c r="AV157" s="29">
        <f t="shared" si="1"/>
        <v>3751.8</v>
      </c>
      <c r="AW157" s="21">
        <f t="shared" si="2"/>
        <v>370</v>
      </c>
      <c r="AX157" s="21">
        <f t="shared" si="3"/>
        <v>0</v>
      </c>
      <c r="AY157" s="21">
        <f t="shared" si="4"/>
        <v>370</v>
      </c>
      <c r="AZ157" s="58">
        <f t="shared" si="5"/>
        <v>10.14</v>
      </c>
    </row>
    <row r="158" ht="15.75" customHeight="1">
      <c r="A158" s="31" t="s">
        <v>33</v>
      </c>
      <c r="B158" s="32">
        <f t="shared" si="6"/>
        <v>44718</v>
      </c>
      <c r="C158" s="33">
        <v>6.0</v>
      </c>
      <c r="D158" s="33" t="s">
        <v>48</v>
      </c>
      <c r="E158" s="34"/>
      <c r="F158" s="36"/>
      <c r="H158" s="37"/>
      <c r="J158" s="37"/>
      <c r="L158" s="37"/>
      <c r="N158" s="37"/>
      <c r="P158" s="37"/>
      <c r="Q158" s="26"/>
      <c r="R158" s="38">
        <v>185.0</v>
      </c>
      <c r="T158" s="39">
        <v>185.0</v>
      </c>
      <c r="V158" s="37"/>
      <c r="X158" s="37"/>
      <c r="Z158" s="37"/>
      <c r="AB158" s="37"/>
      <c r="AC158" s="26"/>
      <c r="AD158" s="37"/>
      <c r="AF158" s="37"/>
      <c r="AH158" s="37"/>
      <c r="AJ158" s="36"/>
      <c r="AL158" s="37"/>
      <c r="AN158" s="37"/>
      <c r="AP158" s="37"/>
      <c r="AR158" s="37"/>
      <c r="AT158" s="37"/>
      <c r="AU158" s="26"/>
      <c r="AV158" s="35">
        <f t="shared" si="1"/>
        <v>3751.8</v>
      </c>
      <c r="AW158" s="33">
        <f t="shared" si="2"/>
        <v>370</v>
      </c>
      <c r="AX158" s="33">
        <f t="shared" si="3"/>
        <v>0</v>
      </c>
      <c r="AY158" s="33">
        <f t="shared" si="4"/>
        <v>370</v>
      </c>
      <c r="AZ158" s="30">
        <f t="shared" si="5"/>
        <v>10.14</v>
      </c>
    </row>
    <row r="159" ht="15.75" customHeight="1">
      <c r="A159" s="31" t="s">
        <v>34</v>
      </c>
      <c r="B159" s="32">
        <f t="shared" si="6"/>
        <v>44719</v>
      </c>
      <c r="C159" s="33">
        <v>6.0</v>
      </c>
      <c r="D159" s="33" t="s">
        <v>48</v>
      </c>
      <c r="E159" s="34"/>
      <c r="F159" s="36"/>
      <c r="H159" s="37"/>
      <c r="J159" s="37"/>
      <c r="L159" s="37"/>
      <c r="N159" s="37"/>
      <c r="P159" s="37"/>
      <c r="Q159" s="26"/>
      <c r="R159" s="38">
        <v>185.0</v>
      </c>
      <c r="T159" s="39">
        <v>185.0</v>
      </c>
      <c r="V159" s="37"/>
      <c r="X159" s="37"/>
      <c r="Z159" s="37"/>
      <c r="AB159" s="37"/>
      <c r="AC159" s="26"/>
      <c r="AD159" s="37"/>
      <c r="AF159" s="37"/>
      <c r="AH159" s="37"/>
      <c r="AJ159" s="36"/>
      <c r="AL159" s="37"/>
      <c r="AN159" s="37"/>
      <c r="AP159" s="37"/>
      <c r="AR159" s="37"/>
      <c r="AT159" s="37"/>
      <c r="AU159" s="26"/>
      <c r="AV159" s="35">
        <f t="shared" si="1"/>
        <v>3751.8</v>
      </c>
      <c r="AW159" s="33">
        <f t="shared" si="2"/>
        <v>370</v>
      </c>
      <c r="AX159" s="33">
        <f t="shared" si="3"/>
        <v>0</v>
      </c>
      <c r="AY159" s="33">
        <f t="shared" si="4"/>
        <v>370</v>
      </c>
      <c r="AZ159" s="30">
        <f t="shared" si="5"/>
        <v>10.14</v>
      </c>
    </row>
    <row r="160" ht="15.75" customHeight="1">
      <c r="A160" s="31" t="s">
        <v>35</v>
      </c>
      <c r="B160" s="32">
        <f t="shared" si="6"/>
        <v>44720</v>
      </c>
      <c r="C160" s="33">
        <v>6.0</v>
      </c>
      <c r="D160" s="33" t="s">
        <v>48</v>
      </c>
      <c r="E160" s="34"/>
      <c r="F160" s="36"/>
      <c r="H160" s="37"/>
      <c r="J160" s="37"/>
      <c r="L160" s="37"/>
      <c r="N160" s="37"/>
      <c r="P160" s="37"/>
      <c r="Q160" s="26"/>
      <c r="R160" s="38">
        <v>185.0</v>
      </c>
      <c r="T160" s="39">
        <v>185.0</v>
      </c>
      <c r="V160" s="37"/>
      <c r="X160" s="37"/>
      <c r="Z160" s="37"/>
      <c r="AB160" s="37"/>
      <c r="AC160" s="26"/>
      <c r="AD160" s="37"/>
      <c r="AF160" s="37"/>
      <c r="AH160" s="37"/>
      <c r="AJ160" s="36"/>
      <c r="AL160" s="37"/>
      <c r="AN160" s="37"/>
      <c r="AP160" s="37"/>
      <c r="AR160" s="37"/>
      <c r="AT160" s="37"/>
      <c r="AU160" s="26"/>
      <c r="AV160" s="35">
        <f t="shared" si="1"/>
        <v>3751.8</v>
      </c>
      <c r="AW160" s="33">
        <f t="shared" si="2"/>
        <v>370</v>
      </c>
      <c r="AX160" s="33">
        <f t="shared" si="3"/>
        <v>0</v>
      </c>
      <c r="AY160" s="33">
        <f t="shared" si="4"/>
        <v>370</v>
      </c>
      <c r="AZ160" s="30">
        <f t="shared" si="5"/>
        <v>10.14</v>
      </c>
    </row>
    <row r="161" ht="15.75" customHeight="1">
      <c r="A161" s="31" t="s">
        <v>38</v>
      </c>
      <c r="B161" s="32">
        <f t="shared" si="6"/>
        <v>44721</v>
      </c>
      <c r="C161" s="33">
        <v>6.0</v>
      </c>
      <c r="D161" s="33" t="s">
        <v>48</v>
      </c>
      <c r="E161" s="34"/>
      <c r="F161" s="36"/>
      <c r="H161" s="37"/>
      <c r="J161" s="37"/>
      <c r="L161" s="37"/>
      <c r="N161" s="37"/>
      <c r="P161" s="37"/>
      <c r="Q161" s="26"/>
      <c r="R161" s="38">
        <v>185.0</v>
      </c>
      <c r="T161" s="39">
        <v>185.0</v>
      </c>
      <c r="V161" s="37"/>
      <c r="X161" s="37"/>
      <c r="Z161" s="37"/>
      <c r="AB161" s="37"/>
      <c r="AC161" s="26"/>
      <c r="AD161" s="37"/>
      <c r="AF161" s="37"/>
      <c r="AH161" s="37"/>
      <c r="AJ161" s="36"/>
      <c r="AL161" s="37"/>
      <c r="AN161" s="37"/>
      <c r="AP161" s="37"/>
      <c r="AR161" s="37"/>
      <c r="AT161" s="37"/>
      <c r="AU161" s="26"/>
      <c r="AV161" s="35">
        <f t="shared" si="1"/>
        <v>3751.8</v>
      </c>
      <c r="AW161" s="33">
        <f t="shared" si="2"/>
        <v>370</v>
      </c>
      <c r="AX161" s="33">
        <f t="shared" si="3"/>
        <v>0</v>
      </c>
      <c r="AY161" s="33">
        <f t="shared" si="4"/>
        <v>370</v>
      </c>
      <c r="AZ161" s="30">
        <f t="shared" si="5"/>
        <v>10.14</v>
      </c>
    </row>
    <row r="162" ht="15.75" customHeight="1">
      <c r="A162" s="31" t="s">
        <v>45</v>
      </c>
      <c r="B162" s="32">
        <f t="shared" si="6"/>
        <v>44722</v>
      </c>
      <c r="C162" s="33">
        <v>6.0</v>
      </c>
      <c r="D162" s="33" t="s">
        <v>48</v>
      </c>
      <c r="E162" s="34"/>
      <c r="F162" s="36"/>
      <c r="H162" s="37"/>
      <c r="J162" s="37"/>
      <c r="L162" s="37"/>
      <c r="N162" s="37"/>
      <c r="P162" s="37"/>
      <c r="Q162" s="26"/>
      <c r="R162" s="38">
        <v>185.0</v>
      </c>
      <c r="T162" s="39">
        <v>185.0</v>
      </c>
      <c r="V162" s="37"/>
      <c r="X162" s="37"/>
      <c r="Z162" s="37"/>
      <c r="AB162" s="37"/>
      <c r="AC162" s="26"/>
      <c r="AD162" s="37"/>
      <c r="AF162" s="37"/>
      <c r="AH162" s="37"/>
      <c r="AJ162" s="36"/>
      <c r="AL162" s="37"/>
      <c r="AN162" s="37"/>
      <c r="AP162" s="37"/>
      <c r="AR162" s="37"/>
      <c r="AT162" s="37"/>
      <c r="AU162" s="26"/>
      <c r="AV162" s="35">
        <f t="shared" si="1"/>
        <v>3751.8</v>
      </c>
      <c r="AW162" s="33">
        <f t="shared" si="2"/>
        <v>370</v>
      </c>
      <c r="AX162" s="33">
        <f t="shared" si="3"/>
        <v>0</v>
      </c>
      <c r="AY162" s="33">
        <f t="shared" si="4"/>
        <v>370</v>
      </c>
      <c r="AZ162" s="30">
        <f t="shared" si="5"/>
        <v>10.14</v>
      </c>
    </row>
    <row r="163" ht="15.75" customHeight="1">
      <c r="A163" s="44" t="s">
        <v>46</v>
      </c>
      <c r="B163" s="45">
        <f t="shared" si="6"/>
        <v>44723</v>
      </c>
      <c r="C163" s="46">
        <v>6.0</v>
      </c>
      <c r="D163" s="46" t="s">
        <v>48</v>
      </c>
      <c r="E163" s="47"/>
      <c r="F163" s="60"/>
      <c r="G163" s="51"/>
      <c r="H163" s="61"/>
      <c r="I163" s="51"/>
      <c r="J163" s="61"/>
      <c r="K163" s="51"/>
      <c r="L163" s="61"/>
      <c r="M163" s="51"/>
      <c r="N163" s="61"/>
      <c r="O163" s="51"/>
      <c r="P163" s="61"/>
      <c r="Q163" s="53"/>
      <c r="R163" s="62">
        <v>0.0</v>
      </c>
      <c r="S163" s="51"/>
      <c r="T163" s="63">
        <v>0.0</v>
      </c>
      <c r="U163" s="51"/>
      <c r="V163" s="61"/>
      <c r="W163" s="51"/>
      <c r="X163" s="61"/>
      <c r="Y163" s="51"/>
      <c r="Z163" s="61"/>
      <c r="AA163" s="51"/>
      <c r="AB163" s="61"/>
      <c r="AC163" s="53"/>
      <c r="AD163" s="61"/>
      <c r="AE163" s="51"/>
      <c r="AF163" s="61"/>
      <c r="AG163" s="51"/>
      <c r="AH163" s="61"/>
      <c r="AI163" s="51"/>
      <c r="AJ163" s="60"/>
      <c r="AK163" s="51"/>
      <c r="AL163" s="61"/>
      <c r="AM163" s="51"/>
      <c r="AN163" s="61"/>
      <c r="AO163" s="51"/>
      <c r="AP163" s="61"/>
      <c r="AQ163" s="51"/>
      <c r="AR163" s="61"/>
      <c r="AS163" s="51"/>
      <c r="AT163" s="61"/>
      <c r="AU163" s="53"/>
      <c r="AV163" s="55">
        <f t="shared" si="1"/>
        <v>0</v>
      </c>
      <c r="AW163" s="46">
        <f t="shared" si="2"/>
        <v>0</v>
      </c>
      <c r="AX163" s="46">
        <f t="shared" si="3"/>
        <v>0</v>
      </c>
      <c r="AY163" s="46">
        <f t="shared" si="4"/>
        <v>0</v>
      </c>
      <c r="AZ163" s="56" t="str">
        <f t="shared" si="5"/>
        <v/>
      </c>
    </row>
    <row r="164" ht="15.75" customHeight="1">
      <c r="A164" s="19" t="s">
        <v>30</v>
      </c>
      <c r="B164" s="57">
        <f t="shared" si="6"/>
        <v>44724</v>
      </c>
      <c r="C164" s="21">
        <v>6.0</v>
      </c>
      <c r="D164" s="21" t="s">
        <v>49</v>
      </c>
      <c r="E164" s="23"/>
      <c r="F164" s="36"/>
      <c r="H164" s="37"/>
      <c r="J164" s="37"/>
      <c r="L164" s="37"/>
      <c r="N164" s="37"/>
      <c r="P164" s="37"/>
      <c r="Q164" s="26"/>
      <c r="R164" s="38">
        <v>130.0</v>
      </c>
      <c r="T164" s="39">
        <v>130.0</v>
      </c>
      <c r="V164" s="37"/>
      <c r="X164" s="37"/>
      <c r="Z164" s="37"/>
      <c r="AB164" s="37"/>
      <c r="AC164" s="26"/>
      <c r="AD164" s="37"/>
      <c r="AF164" s="39">
        <v>40.0</v>
      </c>
      <c r="AH164" s="39">
        <v>40.0</v>
      </c>
      <c r="AJ164" s="36"/>
      <c r="AL164" s="37"/>
      <c r="AN164" s="37"/>
      <c r="AP164" s="37"/>
      <c r="AR164" s="37"/>
      <c r="AT164" s="37"/>
      <c r="AU164" s="26"/>
      <c r="AV164" s="29">
        <f t="shared" si="1"/>
        <v>3796.4</v>
      </c>
      <c r="AW164" s="21">
        <f t="shared" si="2"/>
        <v>340</v>
      </c>
      <c r="AX164" s="21">
        <f t="shared" si="3"/>
        <v>0</v>
      </c>
      <c r="AY164" s="21">
        <f t="shared" si="4"/>
        <v>340</v>
      </c>
      <c r="AZ164" s="58">
        <f t="shared" si="5"/>
        <v>11.16588235</v>
      </c>
    </row>
    <row r="165" ht="15.75" customHeight="1">
      <c r="A165" s="31" t="s">
        <v>33</v>
      </c>
      <c r="B165" s="32">
        <f t="shared" si="6"/>
        <v>44725</v>
      </c>
      <c r="C165" s="33">
        <v>6.0</v>
      </c>
      <c r="D165" s="33" t="s">
        <v>49</v>
      </c>
      <c r="E165" s="34"/>
      <c r="F165" s="36"/>
      <c r="H165" s="37"/>
      <c r="J165" s="37"/>
      <c r="L165" s="37"/>
      <c r="N165" s="37"/>
      <c r="P165" s="37"/>
      <c r="Q165" s="26"/>
      <c r="R165" s="38">
        <v>130.0</v>
      </c>
      <c r="T165" s="39">
        <v>130.0</v>
      </c>
      <c r="V165" s="37"/>
      <c r="X165" s="37"/>
      <c r="Z165" s="37"/>
      <c r="AB165" s="37"/>
      <c r="AC165" s="26"/>
      <c r="AD165" s="37"/>
      <c r="AF165" s="39">
        <v>40.0</v>
      </c>
      <c r="AH165" s="39">
        <v>40.0</v>
      </c>
      <c r="AJ165" s="36"/>
      <c r="AL165" s="37"/>
      <c r="AN165" s="37"/>
      <c r="AP165" s="37"/>
      <c r="AR165" s="37"/>
      <c r="AT165" s="37"/>
      <c r="AU165" s="26"/>
      <c r="AV165" s="35">
        <f t="shared" si="1"/>
        <v>3796.4</v>
      </c>
      <c r="AW165" s="33">
        <f t="shared" si="2"/>
        <v>340</v>
      </c>
      <c r="AX165" s="33">
        <f t="shared" si="3"/>
        <v>0</v>
      </c>
      <c r="AY165" s="33">
        <f t="shared" si="4"/>
        <v>340</v>
      </c>
      <c r="AZ165" s="30">
        <f t="shared" si="5"/>
        <v>11.16588235</v>
      </c>
    </row>
    <row r="166" ht="15.75" customHeight="1">
      <c r="A166" s="31" t="s">
        <v>34</v>
      </c>
      <c r="B166" s="32">
        <f t="shared" si="6"/>
        <v>44726</v>
      </c>
      <c r="C166" s="33">
        <v>6.0</v>
      </c>
      <c r="D166" s="33" t="s">
        <v>49</v>
      </c>
      <c r="E166" s="34"/>
      <c r="F166" s="36"/>
      <c r="H166" s="37"/>
      <c r="J166" s="37"/>
      <c r="L166" s="37"/>
      <c r="N166" s="37"/>
      <c r="P166" s="37"/>
      <c r="Q166" s="26"/>
      <c r="R166" s="38">
        <v>130.0</v>
      </c>
      <c r="T166" s="39">
        <v>130.0</v>
      </c>
      <c r="V166" s="37"/>
      <c r="X166" s="37"/>
      <c r="Z166" s="37"/>
      <c r="AB166" s="37"/>
      <c r="AC166" s="26"/>
      <c r="AD166" s="37"/>
      <c r="AF166" s="39">
        <v>40.0</v>
      </c>
      <c r="AH166" s="39">
        <v>40.0</v>
      </c>
      <c r="AJ166" s="36"/>
      <c r="AL166" s="37"/>
      <c r="AN166" s="37"/>
      <c r="AP166" s="37"/>
      <c r="AR166" s="37"/>
      <c r="AT166" s="37"/>
      <c r="AU166" s="26"/>
      <c r="AV166" s="35">
        <f t="shared" si="1"/>
        <v>3796.4</v>
      </c>
      <c r="AW166" s="33">
        <f t="shared" si="2"/>
        <v>340</v>
      </c>
      <c r="AX166" s="33">
        <f t="shared" si="3"/>
        <v>0</v>
      </c>
      <c r="AY166" s="33">
        <f t="shared" si="4"/>
        <v>340</v>
      </c>
      <c r="AZ166" s="30">
        <f t="shared" si="5"/>
        <v>11.16588235</v>
      </c>
    </row>
    <row r="167" ht="15.75" customHeight="1">
      <c r="A167" s="31" t="s">
        <v>35</v>
      </c>
      <c r="B167" s="32">
        <f t="shared" si="6"/>
        <v>44727</v>
      </c>
      <c r="C167" s="33">
        <v>6.0</v>
      </c>
      <c r="D167" s="33" t="s">
        <v>49</v>
      </c>
      <c r="E167" s="34"/>
      <c r="F167" s="36"/>
      <c r="H167" s="37"/>
      <c r="J167" s="37"/>
      <c r="L167" s="37"/>
      <c r="N167" s="37"/>
      <c r="P167" s="37"/>
      <c r="Q167" s="26"/>
      <c r="R167" s="38">
        <v>130.0</v>
      </c>
      <c r="T167" s="39">
        <v>130.0</v>
      </c>
      <c r="V167" s="37"/>
      <c r="X167" s="37"/>
      <c r="Z167" s="37"/>
      <c r="AB167" s="37"/>
      <c r="AC167" s="26"/>
      <c r="AD167" s="37"/>
      <c r="AF167" s="39">
        <v>40.0</v>
      </c>
      <c r="AH167" s="39">
        <v>40.0</v>
      </c>
      <c r="AJ167" s="36"/>
      <c r="AL167" s="37"/>
      <c r="AN167" s="37"/>
      <c r="AP167" s="37"/>
      <c r="AR167" s="37"/>
      <c r="AT167" s="37"/>
      <c r="AU167" s="26"/>
      <c r="AV167" s="35">
        <f t="shared" si="1"/>
        <v>3796.4</v>
      </c>
      <c r="AW167" s="33">
        <f t="shared" si="2"/>
        <v>340</v>
      </c>
      <c r="AX167" s="33">
        <f t="shared" si="3"/>
        <v>0</v>
      </c>
      <c r="AY167" s="33">
        <f t="shared" si="4"/>
        <v>340</v>
      </c>
      <c r="AZ167" s="30">
        <f t="shared" si="5"/>
        <v>11.16588235</v>
      </c>
    </row>
    <row r="168" ht="15.75" customHeight="1">
      <c r="A168" s="31" t="s">
        <v>38</v>
      </c>
      <c r="B168" s="32">
        <f t="shared" si="6"/>
        <v>44728</v>
      </c>
      <c r="C168" s="33">
        <v>6.0</v>
      </c>
      <c r="D168" s="33" t="s">
        <v>49</v>
      </c>
      <c r="E168" s="34"/>
      <c r="F168" s="36"/>
      <c r="H168" s="37"/>
      <c r="J168" s="37"/>
      <c r="L168" s="37"/>
      <c r="N168" s="37"/>
      <c r="P168" s="37"/>
      <c r="Q168" s="26"/>
      <c r="R168" s="38">
        <v>130.0</v>
      </c>
      <c r="T168" s="39">
        <v>130.0</v>
      </c>
      <c r="V168" s="37"/>
      <c r="X168" s="37"/>
      <c r="Z168" s="37"/>
      <c r="AB168" s="37"/>
      <c r="AC168" s="26"/>
      <c r="AD168" s="37"/>
      <c r="AF168" s="39">
        <v>40.0</v>
      </c>
      <c r="AH168" s="39">
        <v>40.0</v>
      </c>
      <c r="AJ168" s="36"/>
      <c r="AL168" s="37"/>
      <c r="AN168" s="37"/>
      <c r="AP168" s="37"/>
      <c r="AR168" s="37"/>
      <c r="AT168" s="37"/>
      <c r="AU168" s="26"/>
      <c r="AV168" s="35">
        <f t="shared" si="1"/>
        <v>3796.4</v>
      </c>
      <c r="AW168" s="33">
        <f t="shared" si="2"/>
        <v>340</v>
      </c>
      <c r="AX168" s="33">
        <f t="shared" si="3"/>
        <v>0</v>
      </c>
      <c r="AY168" s="33">
        <f t="shared" si="4"/>
        <v>340</v>
      </c>
      <c r="AZ168" s="30">
        <f t="shared" si="5"/>
        <v>11.16588235</v>
      </c>
    </row>
    <row r="169" ht="15.75" customHeight="1">
      <c r="A169" s="31" t="s">
        <v>45</v>
      </c>
      <c r="B169" s="32">
        <f t="shared" si="6"/>
        <v>44729</v>
      </c>
      <c r="C169" s="33">
        <v>6.0</v>
      </c>
      <c r="D169" s="33" t="s">
        <v>49</v>
      </c>
      <c r="E169" s="34"/>
      <c r="F169" s="36"/>
      <c r="H169" s="37"/>
      <c r="J169" s="37"/>
      <c r="L169" s="37"/>
      <c r="N169" s="37"/>
      <c r="P169" s="37"/>
      <c r="Q169" s="26"/>
      <c r="R169" s="38">
        <v>130.0</v>
      </c>
      <c r="T169" s="39">
        <v>130.0</v>
      </c>
      <c r="V169" s="37"/>
      <c r="X169" s="37"/>
      <c r="Z169" s="37"/>
      <c r="AB169" s="37"/>
      <c r="AC169" s="26"/>
      <c r="AD169" s="37"/>
      <c r="AF169" s="39">
        <v>0.0</v>
      </c>
      <c r="AH169" s="39">
        <v>0.0</v>
      </c>
      <c r="AJ169" s="36"/>
      <c r="AL169" s="37"/>
      <c r="AN169" s="37"/>
      <c r="AP169" s="37"/>
      <c r="AR169" s="37"/>
      <c r="AT169" s="37"/>
      <c r="AU169" s="26"/>
      <c r="AV169" s="35">
        <f t="shared" si="1"/>
        <v>2636.4</v>
      </c>
      <c r="AW169" s="33">
        <f t="shared" si="2"/>
        <v>260</v>
      </c>
      <c r="AX169" s="33">
        <f t="shared" si="3"/>
        <v>0</v>
      </c>
      <c r="AY169" s="33">
        <f t="shared" si="4"/>
        <v>260</v>
      </c>
      <c r="AZ169" s="30">
        <f t="shared" si="5"/>
        <v>10.14</v>
      </c>
    </row>
    <row r="170" ht="15.75" customHeight="1">
      <c r="A170" s="44" t="s">
        <v>46</v>
      </c>
      <c r="B170" s="45">
        <f t="shared" si="6"/>
        <v>44730</v>
      </c>
      <c r="C170" s="46">
        <v>6.0</v>
      </c>
      <c r="D170" s="46" t="s">
        <v>49</v>
      </c>
      <c r="E170" s="47"/>
      <c r="F170" s="60"/>
      <c r="G170" s="51"/>
      <c r="H170" s="61"/>
      <c r="I170" s="51"/>
      <c r="J170" s="61"/>
      <c r="K170" s="51"/>
      <c r="L170" s="61"/>
      <c r="M170" s="51"/>
      <c r="N170" s="61"/>
      <c r="O170" s="51"/>
      <c r="P170" s="61"/>
      <c r="Q170" s="53"/>
      <c r="R170" s="62">
        <v>0.0</v>
      </c>
      <c r="S170" s="51"/>
      <c r="T170" s="63">
        <v>0.0</v>
      </c>
      <c r="U170" s="51"/>
      <c r="V170" s="61"/>
      <c r="W170" s="51"/>
      <c r="X170" s="61"/>
      <c r="Y170" s="51"/>
      <c r="Z170" s="61"/>
      <c r="AA170" s="51"/>
      <c r="AB170" s="61"/>
      <c r="AC170" s="53"/>
      <c r="AD170" s="61"/>
      <c r="AE170" s="51"/>
      <c r="AF170" s="63">
        <v>0.0</v>
      </c>
      <c r="AG170" s="51"/>
      <c r="AH170" s="63">
        <v>0.0</v>
      </c>
      <c r="AI170" s="51"/>
      <c r="AJ170" s="60"/>
      <c r="AK170" s="51"/>
      <c r="AL170" s="61"/>
      <c r="AM170" s="51"/>
      <c r="AN170" s="61"/>
      <c r="AO170" s="51"/>
      <c r="AP170" s="61"/>
      <c r="AQ170" s="51"/>
      <c r="AR170" s="61"/>
      <c r="AS170" s="51"/>
      <c r="AT170" s="61"/>
      <c r="AU170" s="53"/>
      <c r="AV170" s="55">
        <f t="shared" si="1"/>
        <v>0</v>
      </c>
      <c r="AW170" s="46">
        <f t="shared" si="2"/>
        <v>0</v>
      </c>
      <c r="AX170" s="46">
        <f t="shared" si="3"/>
        <v>0</v>
      </c>
      <c r="AY170" s="46">
        <f t="shared" si="4"/>
        <v>0</v>
      </c>
      <c r="AZ170" s="56" t="str">
        <f t="shared" si="5"/>
        <v/>
      </c>
    </row>
    <row r="171" ht="15.75" customHeight="1">
      <c r="A171" s="19" t="s">
        <v>30</v>
      </c>
      <c r="B171" s="57">
        <f t="shared" si="6"/>
        <v>44731</v>
      </c>
      <c r="C171" s="21">
        <v>7.0</v>
      </c>
      <c r="D171" s="21" t="s">
        <v>31</v>
      </c>
      <c r="E171" s="23"/>
      <c r="F171" s="36"/>
      <c r="H171" s="37"/>
      <c r="J171" s="37"/>
      <c r="L171" s="37"/>
      <c r="N171" s="37"/>
      <c r="P171" s="37"/>
      <c r="Q171" s="26"/>
      <c r="R171" s="38">
        <v>130.0</v>
      </c>
      <c r="T171" s="39">
        <v>130.0</v>
      </c>
      <c r="V171" s="37"/>
      <c r="X171" s="37"/>
      <c r="Z171" s="37"/>
      <c r="AB171" s="37"/>
      <c r="AC171" s="26"/>
      <c r="AD171" s="37"/>
      <c r="AF171" s="37"/>
      <c r="AH171" s="37"/>
      <c r="AJ171" s="36"/>
      <c r="AL171" s="37"/>
      <c r="AN171" s="37"/>
      <c r="AP171" s="37"/>
      <c r="AR171" s="37"/>
      <c r="AT171" s="37"/>
      <c r="AU171" s="26"/>
      <c r="AV171" s="29">
        <f t="shared" si="1"/>
        <v>2636.4</v>
      </c>
      <c r="AW171" s="21">
        <f t="shared" si="2"/>
        <v>260</v>
      </c>
      <c r="AX171" s="21">
        <f t="shared" si="3"/>
        <v>0</v>
      </c>
      <c r="AY171" s="21">
        <f t="shared" si="4"/>
        <v>260</v>
      </c>
      <c r="AZ171" s="58">
        <f t="shared" si="5"/>
        <v>10.14</v>
      </c>
    </row>
    <row r="172" ht="15.75" customHeight="1">
      <c r="A172" s="31" t="s">
        <v>33</v>
      </c>
      <c r="B172" s="32">
        <f t="shared" si="6"/>
        <v>44732</v>
      </c>
      <c r="C172" s="33">
        <v>7.0</v>
      </c>
      <c r="D172" s="33" t="s">
        <v>31</v>
      </c>
      <c r="E172" s="34"/>
      <c r="F172" s="36"/>
      <c r="H172" s="37"/>
      <c r="J172" s="37"/>
      <c r="L172" s="37"/>
      <c r="N172" s="37"/>
      <c r="P172" s="37"/>
      <c r="Q172" s="26"/>
      <c r="R172" s="38">
        <v>130.0</v>
      </c>
      <c r="T172" s="39">
        <v>130.0</v>
      </c>
      <c r="V172" s="37"/>
      <c r="X172" s="37"/>
      <c r="Z172" s="37"/>
      <c r="AB172" s="37"/>
      <c r="AC172" s="26"/>
      <c r="AD172" s="37"/>
      <c r="AF172" s="37"/>
      <c r="AH172" s="37"/>
      <c r="AJ172" s="36"/>
      <c r="AL172" s="37"/>
      <c r="AN172" s="37"/>
      <c r="AP172" s="37"/>
      <c r="AR172" s="37"/>
      <c r="AT172" s="37"/>
      <c r="AU172" s="26"/>
      <c r="AV172" s="35">
        <f t="shared" si="1"/>
        <v>2636.4</v>
      </c>
      <c r="AW172" s="33">
        <f t="shared" si="2"/>
        <v>260</v>
      </c>
      <c r="AX172" s="33">
        <f t="shared" si="3"/>
        <v>0</v>
      </c>
      <c r="AY172" s="33">
        <f t="shared" si="4"/>
        <v>260</v>
      </c>
      <c r="AZ172" s="30">
        <f t="shared" si="5"/>
        <v>10.14</v>
      </c>
    </row>
    <row r="173" ht="15.75" customHeight="1">
      <c r="A173" s="31" t="s">
        <v>34</v>
      </c>
      <c r="B173" s="32">
        <f t="shared" si="6"/>
        <v>44733</v>
      </c>
      <c r="C173" s="33">
        <v>7.0</v>
      </c>
      <c r="D173" s="33" t="s">
        <v>31</v>
      </c>
      <c r="E173" s="34"/>
      <c r="F173" s="36"/>
      <c r="H173" s="37"/>
      <c r="J173" s="37"/>
      <c r="L173" s="37"/>
      <c r="N173" s="37"/>
      <c r="P173" s="37"/>
      <c r="Q173" s="26"/>
      <c r="R173" s="38">
        <v>130.0</v>
      </c>
      <c r="T173" s="39">
        <v>130.0</v>
      </c>
      <c r="V173" s="37"/>
      <c r="X173" s="37"/>
      <c r="Z173" s="37"/>
      <c r="AB173" s="37"/>
      <c r="AC173" s="26"/>
      <c r="AD173" s="37"/>
      <c r="AF173" s="37"/>
      <c r="AH173" s="37"/>
      <c r="AJ173" s="36"/>
      <c r="AL173" s="37"/>
      <c r="AN173" s="37"/>
      <c r="AP173" s="37"/>
      <c r="AR173" s="37"/>
      <c r="AT173" s="37"/>
      <c r="AU173" s="26"/>
      <c r="AV173" s="35">
        <f t="shared" si="1"/>
        <v>2636.4</v>
      </c>
      <c r="AW173" s="33">
        <f t="shared" si="2"/>
        <v>260</v>
      </c>
      <c r="AX173" s="33">
        <f t="shared" si="3"/>
        <v>0</v>
      </c>
      <c r="AY173" s="33">
        <f t="shared" si="4"/>
        <v>260</v>
      </c>
      <c r="AZ173" s="30">
        <f t="shared" si="5"/>
        <v>10.14</v>
      </c>
    </row>
    <row r="174" ht="15.75" customHeight="1">
      <c r="A174" s="31" t="s">
        <v>35</v>
      </c>
      <c r="B174" s="32">
        <f t="shared" si="6"/>
        <v>44734</v>
      </c>
      <c r="C174" s="33">
        <v>7.0</v>
      </c>
      <c r="D174" s="33" t="s">
        <v>31</v>
      </c>
      <c r="E174" s="34"/>
      <c r="F174" s="36"/>
      <c r="H174" s="37"/>
      <c r="J174" s="37"/>
      <c r="L174" s="37"/>
      <c r="N174" s="37"/>
      <c r="P174" s="37"/>
      <c r="Q174" s="26"/>
      <c r="R174" s="38">
        <v>130.0</v>
      </c>
      <c r="T174" s="39">
        <v>130.0</v>
      </c>
      <c r="V174" s="37"/>
      <c r="X174" s="37"/>
      <c r="Z174" s="37"/>
      <c r="AB174" s="37"/>
      <c r="AC174" s="26"/>
      <c r="AD174" s="37"/>
      <c r="AF174" s="37"/>
      <c r="AH174" s="37"/>
      <c r="AJ174" s="36"/>
      <c r="AL174" s="37"/>
      <c r="AN174" s="37"/>
      <c r="AP174" s="37"/>
      <c r="AR174" s="37"/>
      <c r="AT174" s="37"/>
      <c r="AU174" s="26"/>
      <c r="AV174" s="35">
        <f t="shared" si="1"/>
        <v>2636.4</v>
      </c>
      <c r="AW174" s="33">
        <f t="shared" si="2"/>
        <v>260</v>
      </c>
      <c r="AX174" s="33">
        <f t="shared" si="3"/>
        <v>0</v>
      </c>
      <c r="AY174" s="33">
        <f t="shared" si="4"/>
        <v>260</v>
      </c>
      <c r="AZ174" s="30">
        <f t="shared" si="5"/>
        <v>10.14</v>
      </c>
    </row>
    <row r="175" ht="15.75" customHeight="1">
      <c r="A175" s="31" t="s">
        <v>38</v>
      </c>
      <c r="B175" s="32">
        <f t="shared" si="6"/>
        <v>44735</v>
      </c>
      <c r="C175" s="33">
        <v>7.0</v>
      </c>
      <c r="D175" s="33" t="s">
        <v>31</v>
      </c>
      <c r="E175" s="34"/>
      <c r="F175" s="36"/>
      <c r="H175" s="37"/>
      <c r="J175" s="37"/>
      <c r="L175" s="37"/>
      <c r="N175" s="37"/>
      <c r="P175" s="37"/>
      <c r="Q175" s="26"/>
      <c r="R175" s="38">
        <v>130.0</v>
      </c>
      <c r="T175" s="39">
        <v>130.0</v>
      </c>
      <c r="V175" s="37"/>
      <c r="X175" s="37"/>
      <c r="Z175" s="37"/>
      <c r="AB175" s="37"/>
      <c r="AC175" s="26"/>
      <c r="AD175" s="37"/>
      <c r="AF175" s="37"/>
      <c r="AH175" s="37"/>
      <c r="AJ175" s="36"/>
      <c r="AL175" s="37"/>
      <c r="AN175" s="37"/>
      <c r="AP175" s="37"/>
      <c r="AR175" s="37"/>
      <c r="AT175" s="37"/>
      <c r="AU175" s="26"/>
      <c r="AV175" s="35">
        <f t="shared" si="1"/>
        <v>2636.4</v>
      </c>
      <c r="AW175" s="33">
        <f t="shared" si="2"/>
        <v>260</v>
      </c>
      <c r="AX175" s="33">
        <f t="shared" si="3"/>
        <v>0</v>
      </c>
      <c r="AY175" s="33">
        <f t="shared" si="4"/>
        <v>260</v>
      </c>
      <c r="AZ175" s="30">
        <f t="shared" si="5"/>
        <v>10.14</v>
      </c>
    </row>
    <row r="176" ht="15.75" customHeight="1">
      <c r="A176" s="31" t="s">
        <v>45</v>
      </c>
      <c r="B176" s="32">
        <f t="shared" si="6"/>
        <v>44736</v>
      </c>
      <c r="C176" s="33">
        <v>7.0</v>
      </c>
      <c r="D176" s="33" t="s">
        <v>31</v>
      </c>
      <c r="E176" s="34"/>
      <c r="F176" s="36"/>
      <c r="H176" s="37"/>
      <c r="J176" s="37"/>
      <c r="L176" s="37"/>
      <c r="N176" s="37"/>
      <c r="P176" s="37"/>
      <c r="Q176" s="26"/>
      <c r="R176" s="38">
        <v>130.0</v>
      </c>
      <c r="T176" s="39">
        <v>130.0</v>
      </c>
      <c r="V176" s="37"/>
      <c r="X176" s="37"/>
      <c r="Z176" s="37"/>
      <c r="AB176" s="37"/>
      <c r="AC176" s="26"/>
      <c r="AD176" s="37"/>
      <c r="AF176" s="37"/>
      <c r="AH176" s="37"/>
      <c r="AJ176" s="36"/>
      <c r="AL176" s="37"/>
      <c r="AN176" s="37"/>
      <c r="AP176" s="37"/>
      <c r="AR176" s="37"/>
      <c r="AT176" s="37"/>
      <c r="AU176" s="26"/>
      <c r="AV176" s="35">
        <f t="shared" si="1"/>
        <v>2636.4</v>
      </c>
      <c r="AW176" s="33">
        <f t="shared" si="2"/>
        <v>260</v>
      </c>
      <c r="AX176" s="33">
        <f t="shared" si="3"/>
        <v>0</v>
      </c>
      <c r="AY176" s="33">
        <f t="shared" si="4"/>
        <v>260</v>
      </c>
      <c r="AZ176" s="30">
        <f t="shared" si="5"/>
        <v>10.14</v>
      </c>
    </row>
    <row r="177" ht="15.75" customHeight="1">
      <c r="A177" s="44" t="s">
        <v>46</v>
      </c>
      <c r="B177" s="45">
        <f t="shared" si="6"/>
        <v>44737</v>
      </c>
      <c r="C177" s="46">
        <v>7.0</v>
      </c>
      <c r="D177" s="46" t="s">
        <v>31</v>
      </c>
      <c r="E177" s="47"/>
      <c r="F177" s="60"/>
      <c r="G177" s="51"/>
      <c r="H177" s="61"/>
      <c r="I177" s="51"/>
      <c r="J177" s="61"/>
      <c r="K177" s="51"/>
      <c r="L177" s="61"/>
      <c r="M177" s="51"/>
      <c r="N177" s="61"/>
      <c r="O177" s="51"/>
      <c r="P177" s="61"/>
      <c r="Q177" s="53"/>
      <c r="R177" s="62">
        <v>0.0</v>
      </c>
      <c r="S177" s="51"/>
      <c r="T177" s="63">
        <v>0.0</v>
      </c>
      <c r="U177" s="51"/>
      <c r="V177" s="61"/>
      <c r="W177" s="51"/>
      <c r="X177" s="61"/>
      <c r="Y177" s="51"/>
      <c r="Z177" s="61"/>
      <c r="AA177" s="51"/>
      <c r="AB177" s="61"/>
      <c r="AC177" s="53"/>
      <c r="AD177" s="61"/>
      <c r="AE177" s="51"/>
      <c r="AF177" s="61"/>
      <c r="AG177" s="51"/>
      <c r="AH177" s="61"/>
      <c r="AI177" s="51"/>
      <c r="AJ177" s="60"/>
      <c r="AK177" s="51"/>
      <c r="AL177" s="61"/>
      <c r="AM177" s="51"/>
      <c r="AN177" s="61"/>
      <c r="AO177" s="51"/>
      <c r="AP177" s="61"/>
      <c r="AQ177" s="51"/>
      <c r="AR177" s="61"/>
      <c r="AS177" s="51"/>
      <c r="AT177" s="61"/>
      <c r="AU177" s="53"/>
      <c r="AV177" s="55">
        <f t="shared" si="1"/>
        <v>0</v>
      </c>
      <c r="AW177" s="46">
        <f t="shared" si="2"/>
        <v>0</v>
      </c>
      <c r="AX177" s="46">
        <f t="shared" si="3"/>
        <v>0</v>
      </c>
      <c r="AY177" s="46">
        <f t="shared" si="4"/>
        <v>0</v>
      </c>
      <c r="AZ177" s="56" t="str">
        <f t="shared" si="5"/>
        <v/>
      </c>
    </row>
    <row r="178" ht="15.75" customHeight="1">
      <c r="A178" s="19" t="s">
        <v>30</v>
      </c>
      <c r="B178" s="57">
        <f t="shared" si="6"/>
        <v>44738</v>
      </c>
      <c r="C178" s="21">
        <v>7.0</v>
      </c>
      <c r="D178" s="21" t="s">
        <v>47</v>
      </c>
      <c r="E178" s="23"/>
      <c r="F178" s="36"/>
      <c r="H178" s="37"/>
      <c r="J178" s="37"/>
      <c r="L178" s="37"/>
      <c r="N178" s="37"/>
      <c r="P178" s="37"/>
      <c r="Q178" s="26"/>
      <c r="R178" s="38">
        <v>130.0</v>
      </c>
      <c r="T178" s="39">
        <v>130.0</v>
      </c>
      <c r="V178" s="37"/>
      <c r="X178" s="37"/>
      <c r="Z178" s="37"/>
      <c r="AB178" s="37"/>
      <c r="AC178" s="26"/>
      <c r="AD178" s="37"/>
      <c r="AF178" s="39">
        <v>40.0</v>
      </c>
      <c r="AH178" s="39">
        <v>40.0</v>
      </c>
      <c r="AJ178" s="36"/>
      <c r="AL178" s="37"/>
      <c r="AN178" s="37"/>
      <c r="AP178" s="37"/>
      <c r="AR178" s="37"/>
      <c r="AT178" s="37"/>
      <c r="AU178" s="26"/>
      <c r="AV178" s="29">
        <f t="shared" si="1"/>
        <v>3796.4</v>
      </c>
      <c r="AW178" s="21">
        <f t="shared" si="2"/>
        <v>340</v>
      </c>
      <c r="AX178" s="21">
        <f t="shared" si="3"/>
        <v>0</v>
      </c>
      <c r="AY178" s="21">
        <f t="shared" si="4"/>
        <v>340</v>
      </c>
      <c r="AZ178" s="58">
        <f t="shared" si="5"/>
        <v>11.16588235</v>
      </c>
    </row>
    <row r="179" ht="15.75" customHeight="1">
      <c r="A179" s="31" t="s">
        <v>33</v>
      </c>
      <c r="B179" s="32">
        <f t="shared" si="6"/>
        <v>44739</v>
      </c>
      <c r="C179" s="33">
        <v>7.0</v>
      </c>
      <c r="D179" s="33" t="s">
        <v>47</v>
      </c>
      <c r="E179" s="34"/>
      <c r="F179" s="36"/>
      <c r="H179" s="37"/>
      <c r="J179" s="37"/>
      <c r="L179" s="37"/>
      <c r="N179" s="37"/>
      <c r="P179" s="37"/>
      <c r="Q179" s="26"/>
      <c r="R179" s="38">
        <v>130.0</v>
      </c>
      <c r="T179" s="39">
        <v>130.0</v>
      </c>
      <c r="V179" s="37"/>
      <c r="X179" s="37"/>
      <c r="Z179" s="37"/>
      <c r="AB179" s="37"/>
      <c r="AC179" s="26"/>
      <c r="AD179" s="37"/>
      <c r="AF179" s="39">
        <v>40.0</v>
      </c>
      <c r="AH179" s="39">
        <v>40.0</v>
      </c>
      <c r="AJ179" s="36"/>
      <c r="AL179" s="37"/>
      <c r="AN179" s="37"/>
      <c r="AP179" s="37"/>
      <c r="AR179" s="37"/>
      <c r="AT179" s="37"/>
      <c r="AU179" s="26"/>
      <c r="AV179" s="35">
        <f t="shared" si="1"/>
        <v>3796.4</v>
      </c>
      <c r="AW179" s="33">
        <f t="shared" si="2"/>
        <v>340</v>
      </c>
      <c r="AX179" s="33">
        <f t="shared" si="3"/>
        <v>0</v>
      </c>
      <c r="AY179" s="33">
        <f t="shared" si="4"/>
        <v>340</v>
      </c>
      <c r="AZ179" s="30">
        <f t="shared" si="5"/>
        <v>11.16588235</v>
      </c>
    </row>
    <row r="180" ht="15.75" customHeight="1">
      <c r="A180" s="31" t="s">
        <v>34</v>
      </c>
      <c r="B180" s="32">
        <f t="shared" si="6"/>
        <v>44740</v>
      </c>
      <c r="C180" s="33">
        <v>7.0</v>
      </c>
      <c r="D180" s="33" t="s">
        <v>47</v>
      </c>
      <c r="E180" s="34"/>
      <c r="F180" s="36"/>
      <c r="H180" s="37"/>
      <c r="J180" s="37"/>
      <c r="L180" s="37"/>
      <c r="N180" s="37"/>
      <c r="P180" s="37"/>
      <c r="Q180" s="26"/>
      <c r="R180" s="38">
        <v>130.0</v>
      </c>
      <c r="T180" s="39">
        <v>130.0</v>
      </c>
      <c r="V180" s="37"/>
      <c r="X180" s="37"/>
      <c r="Z180" s="37"/>
      <c r="AB180" s="37"/>
      <c r="AC180" s="26"/>
      <c r="AD180" s="37"/>
      <c r="AF180" s="39">
        <v>40.0</v>
      </c>
      <c r="AH180" s="39">
        <v>40.0</v>
      </c>
      <c r="AJ180" s="36"/>
      <c r="AL180" s="37"/>
      <c r="AN180" s="37"/>
      <c r="AP180" s="37"/>
      <c r="AR180" s="37"/>
      <c r="AT180" s="37"/>
      <c r="AU180" s="26"/>
      <c r="AV180" s="35">
        <f t="shared" si="1"/>
        <v>3796.4</v>
      </c>
      <c r="AW180" s="33">
        <f t="shared" si="2"/>
        <v>340</v>
      </c>
      <c r="AX180" s="33">
        <f t="shared" si="3"/>
        <v>0</v>
      </c>
      <c r="AY180" s="33">
        <f t="shared" si="4"/>
        <v>340</v>
      </c>
      <c r="AZ180" s="30">
        <f t="shared" si="5"/>
        <v>11.16588235</v>
      </c>
    </row>
    <row r="181" ht="15.75" customHeight="1">
      <c r="A181" s="31" t="s">
        <v>35</v>
      </c>
      <c r="B181" s="32">
        <f t="shared" si="6"/>
        <v>44741</v>
      </c>
      <c r="C181" s="33">
        <v>7.0</v>
      </c>
      <c r="D181" s="33" t="s">
        <v>47</v>
      </c>
      <c r="E181" s="34"/>
      <c r="F181" s="36"/>
      <c r="H181" s="37"/>
      <c r="J181" s="37"/>
      <c r="L181" s="37"/>
      <c r="N181" s="37"/>
      <c r="P181" s="37"/>
      <c r="Q181" s="26"/>
      <c r="R181" s="38">
        <v>130.0</v>
      </c>
      <c r="T181" s="39">
        <v>130.0</v>
      </c>
      <c r="V181" s="37"/>
      <c r="X181" s="37"/>
      <c r="Z181" s="37"/>
      <c r="AB181" s="37"/>
      <c r="AC181" s="26"/>
      <c r="AD181" s="37"/>
      <c r="AF181" s="39">
        <v>40.0</v>
      </c>
      <c r="AH181" s="39">
        <v>40.0</v>
      </c>
      <c r="AJ181" s="36"/>
      <c r="AL181" s="37"/>
      <c r="AN181" s="37"/>
      <c r="AP181" s="37"/>
      <c r="AR181" s="37"/>
      <c r="AT181" s="37"/>
      <c r="AU181" s="26"/>
      <c r="AV181" s="35">
        <f t="shared" si="1"/>
        <v>3796.4</v>
      </c>
      <c r="AW181" s="33">
        <f t="shared" si="2"/>
        <v>340</v>
      </c>
      <c r="AX181" s="33">
        <f t="shared" si="3"/>
        <v>0</v>
      </c>
      <c r="AY181" s="33">
        <f t="shared" si="4"/>
        <v>340</v>
      </c>
      <c r="AZ181" s="30">
        <f t="shared" si="5"/>
        <v>11.16588235</v>
      </c>
    </row>
    <row r="182" ht="15.75" customHeight="1">
      <c r="A182" s="31" t="s">
        <v>38</v>
      </c>
      <c r="B182" s="32">
        <f t="shared" si="6"/>
        <v>44742</v>
      </c>
      <c r="C182" s="33">
        <v>7.0</v>
      </c>
      <c r="D182" s="33" t="s">
        <v>47</v>
      </c>
      <c r="E182" s="34"/>
      <c r="F182" s="36"/>
      <c r="H182" s="37"/>
      <c r="J182" s="37"/>
      <c r="L182" s="37"/>
      <c r="N182" s="37"/>
      <c r="P182" s="37"/>
      <c r="Q182" s="26"/>
      <c r="R182" s="38">
        <v>130.0</v>
      </c>
      <c r="T182" s="39">
        <v>130.0</v>
      </c>
      <c r="V182" s="37"/>
      <c r="X182" s="37"/>
      <c r="Z182" s="37"/>
      <c r="AB182" s="37"/>
      <c r="AC182" s="26"/>
      <c r="AD182" s="37"/>
      <c r="AF182" s="39">
        <v>40.0</v>
      </c>
      <c r="AH182" s="39">
        <v>40.0</v>
      </c>
      <c r="AJ182" s="36"/>
      <c r="AL182" s="37"/>
      <c r="AN182" s="37"/>
      <c r="AP182" s="37"/>
      <c r="AR182" s="37"/>
      <c r="AT182" s="37"/>
      <c r="AU182" s="26"/>
      <c r="AV182" s="35">
        <f t="shared" si="1"/>
        <v>3796.4</v>
      </c>
      <c r="AW182" s="33">
        <f t="shared" si="2"/>
        <v>340</v>
      </c>
      <c r="AX182" s="33">
        <f t="shared" si="3"/>
        <v>0</v>
      </c>
      <c r="AY182" s="33">
        <f t="shared" si="4"/>
        <v>340</v>
      </c>
      <c r="AZ182" s="30">
        <f t="shared" si="5"/>
        <v>11.16588235</v>
      </c>
    </row>
    <row r="183" ht="15.75" customHeight="1">
      <c r="A183" s="31" t="s">
        <v>45</v>
      </c>
      <c r="B183" s="32">
        <f t="shared" si="6"/>
        <v>44743</v>
      </c>
      <c r="C183" s="33">
        <v>7.0</v>
      </c>
      <c r="D183" s="33" t="s">
        <v>47</v>
      </c>
      <c r="E183" s="34"/>
      <c r="F183" s="36"/>
      <c r="H183" s="37"/>
      <c r="J183" s="37"/>
      <c r="L183" s="37"/>
      <c r="N183" s="37"/>
      <c r="P183" s="37"/>
      <c r="Q183" s="26"/>
      <c r="R183" s="38">
        <v>130.0</v>
      </c>
      <c r="T183" s="39">
        <v>130.0</v>
      </c>
      <c r="V183" s="37"/>
      <c r="X183" s="37"/>
      <c r="Z183" s="37"/>
      <c r="AB183" s="37"/>
      <c r="AC183" s="26"/>
      <c r="AD183" s="37"/>
      <c r="AF183" s="39">
        <v>0.0</v>
      </c>
      <c r="AH183" s="39">
        <v>0.0</v>
      </c>
      <c r="AJ183" s="36"/>
      <c r="AL183" s="37"/>
      <c r="AN183" s="37"/>
      <c r="AP183" s="37"/>
      <c r="AR183" s="37"/>
      <c r="AT183" s="37"/>
      <c r="AU183" s="26"/>
      <c r="AV183" s="35">
        <f t="shared" si="1"/>
        <v>2636.4</v>
      </c>
      <c r="AW183" s="33">
        <f t="shared" si="2"/>
        <v>260</v>
      </c>
      <c r="AX183" s="33">
        <f t="shared" si="3"/>
        <v>0</v>
      </c>
      <c r="AY183" s="33">
        <f t="shared" si="4"/>
        <v>260</v>
      </c>
      <c r="AZ183" s="30">
        <f t="shared" si="5"/>
        <v>10.14</v>
      </c>
    </row>
    <row r="184" ht="15.75" customHeight="1">
      <c r="A184" s="44" t="s">
        <v>46</v>
      </c>
      <c r="B184" s="45">
        <f t="shared" si="6"/>
        <v>44744</v>
      </c>
      <c r="C184" s="46">
        <v>7.0</v>
      </c>
      <c r="D184" s="46" t="s">
        <v>47</v>
      </c>
      <c r="E184" s="47"/>
      <c r="F184" s="60"/>
      <c r="G184" s="51"/>
      <c r="H184" s="61"/>
      <c r="I184" s="51"/>
      <c r="J184" s="61"/>
      <c r="K184" s="51"/>
      <c r="L184" s="61"/>
      <c r="M184" s="51"/>
      <c r="N184" s="61"/>
      <c r="O184" s="51"/>
      <c r="P184" s="61"/>
      <c r="Q184" s="53"/>
      <c r="R184" s="62">
        <v>0.0</v>
      </c>
      <c r="S184" s="51"/>
      <c r="T184" s="63">
        <v>0.0</v>
      </c>
      <c r="U184" s="51"/>
      <c r="V184" s="61"/>
      <c r="W184" s="51"/>
      <c r="X184" s="61"/>
      <c r="Y184" s="51"/>
      <c r="Z184" s="61"/>
      <c r="AA184" s="51"/>
      <c r="AB184" s="61"/>
      <c r="AC184" s="53"/>
      <c r="AD184" s="61"/>
      <c r="AE184" s="51"/>
      <c r="AF184" s="63">
        <v>0.0</v>
      </c>
      <c r="AG184" s="51"/>
      <c r="AH184" s="63">
        <v>0.0</v>
      </c>
      <c r="AI184" s="51"/>
      <c r="AJ184" s="60"/>
      <c r="AK184" s="51"/>
      <c r="AL184" s="61"/>
      <c r="AM184" s="51"/>
      <c r="AN184" s="61"/>
      <c r="AO184" s="51"/>
      <c r="AP184" s="61"/>
      <c r="AQ184" s="51"/>
      <c r="AR184" s="61"/>
      <c r="AS184" s="51"/>
      <c r="AT184" s="61"/>
      <c r="AU184" s="53"/>
      <c r="AV184" s="55">
        <f t="shared" si="1"/>
        <v>0</v>
      </c>
      <c r="AW184" s="46">
        <f t="shared" si="2"/>
        <v>0</v>
      </c>
      <c r="AX184" s="46">
        <f t="shared" si="3"/>
        <v>0</v>
      </c>
      <c r="AY184" s="46">
        <f t="shared" si="4"/>
        <v>0</v>
      </c>
      <c r="AZ184" s="56" t="str">
        <f t="shared" si="5"/>
        <v/>
      </c>
    </row>
    <row r="185" ht="15.75" customHeight="1">
      <c r="A185" s="19" t="s">
        <v>30</v>
      </c>
      <c r="B185" s="57">
        <f t="shared" si="6"/>
        <v>44745</v>
      </c>
      <c r="C185" s="21">
        <v>7.0</v>
      </c>
      <c r="D185" s="21" t="s">
        <v>48</v>
      </c>
      <c r="E185" s="23"/>
      <c r="F185" s="36"/>
      <c r="H185" s="37"/>
      <c r="J185" s="37"/>
      <c r="L185" s="37"/>
      <c r="N185" s="37"/>
      <c r="P185" s="37"/>
      <c r="Q185" s="26"/>
      <c r="R185" s="38">
        <v>130.0</v>
      </c>
      <c r="T185" s="39">
        <v>130.0</v>
      </c>
      <c r="V185" s="37"/>
      <c r="X185" s="37"/>
      <c r="Z185" s="37"/>
      <c r="AB185" s="37"/>
      <c r="AC185" s="26"/>
      <c r="AD185" s="37"/>
      <c r="AF185" s="37"/>
      <c r="AH185" s="37"/>
      <c r="AJ185" s="36"/>
      <c r="AL185" s="37"/>
      <c r="AN185" s="37"/>
      <c r="AP185" s="37"/>
      <c r="AR185" s="37"/>
      <c r="AT185" s="37"/>
      <c r="AU185" s="26"/>
      <c r="AV185" s="29">
        <f t="shared" si="1"/>
        <v>2636.4</v>
      </c>
      <c r="AW185" s="21">
        <f t="shared" si="2"/>
        <v>260</v>
      </c>
      <c r="AX185" s="21">
        <f t="shared" si="3"/>
        <v>0</v>
      </c>
      <c r="AY185" s="21">
        <f t="shared" si="4"/>
        <v>260</v>
      </c>
      <c r="AZ185" s="58">
        <f t="shared" si="5"/>
        <v>10.14</v>
      </c>
    </row>
    <row r="186" ht="15.75" customHeight="1">
      <c r="A186" s="31" t="s">
        <v>33</v>
      </c>
      <c r="B186" s="32">
        <f t="shared" si="6"/>
        <v>44746</v>
      </c>
      <c r="C186" s="33">
        <v>7.0</v>
      </c>
      <c r="D186" s="33" t="s">
        <v>48</v>
      </c>
      <c r="E186" s="34"/>
      <c r="F186" s="36"/>
      <c r="H186" s="37"/>
      <c r="J186" s="37"/>
      <c r="L186" s="37"/>
      <c r="N186" s="37"/>
      <c r="P186" s="37"/>
      <c r="Q186" s="26"/>
      <c r="R186" s="38">
        <v>130.0</v>
      </c>
      <c r="T186" s="39">
        <v>130.0</v>
      </c>
      <c r="V186" s="37"/>
      <c r="X186" s="37"/>
      <c r="Z186" s="37"/>
      <c r="AB186" s="37"/>
      <c r="AC186" s="26"/>
      <c r="AD186" s="37"/>
      <c r="AF186" s="37"/>
      <c r="AH186" s="37"/>
      <c r="AJ186" s="36"/>
      <c r="AL186" s="37"/>
      <c r="AN186" s="37"/>
      <c r="AP186" s="37"/>
      <c r="AR186" s="37"/>
      <c r="AT186" s="37"/>
      <c r="AU186" s="26"/>
      <c r="AV186" s="35">
        <f t="shared" si="1"/>
        <v>2636.4</v>
      </c>
      <c r="AW186" s="33">
        <f t="shared" si="2"/>
        <v>260</v>
      </c>
      <c r="AX186" s="33">
        <f t="shared" si="3"/>
        <v>0</v>
      </c>
      <c r="AY186" s="33">
        <f t="shared" si="4"/>
        <v>260</v>
      </c>
      <c r="AZ186" s="30">
        <f t="shared" si="5"/>
        <v>10.14</v>
      </c>
    </row>
    <row r="187" ht="15.75" customHeight="1">
      <c r="A187" s="31" t="s">
        <v>34</v>
      </c>
      <c r="B187" s="32">
        <f t="shared" si="6"/>
        <v>44747</v>
      </c>
      <c r="C187" s="33">
        <v>7.0</v>
      </c>
      <c r="D187" s="33" t="s">
        <v>48</v>
      </c>
      <c r="E187" s="34"/>
      <c r="F187" s="36"/>
      <c r="H187" s="37"/>
      <c r="J187" s="37"/>
      <c r="L187" s="37"/>
      <c r="N187" s="37"/>
      <c r="P187" s="37"/>
      <c r="Q187" s="26"/>
      <c r="R187" s="38">
        <v>130.0</v>
      </c>
      <c r="T187" s="39">
        <v>130.0</v>
      </c>
      <c r="V187" s="37"/>
      <c r="X187" s="37"/>
      <c r="Z187" s="37"/>
      <c r="AB187" s="37"/>
      <c r="AC187" s="26"/>
      <c r="AD187" s="37"/>
      <c r="AF187" s="37"/>
      <c r="AH187" s="37"/>
      <c r="AJ187" s="36"/>
      <c r="AL187" s="37"/>
      <c r="AN187" s="37"/>
      <c r="AP187" s="37"/>
      <c r="AR187" s="37"/>
      <c r="AT187" s="37"/>
      <c r="AU187" s="26"/>
      <c r="AV187" s="35">
        <f t="shared" si="1"/>
        <v>2636.4</v>
      </c>
      <c r="AW187" s="33">
        <f t="shared" si="2"/>
        <v>260</v>
      </c>
      <c r="AX187" s="33">
        <f t="shared" si="3"/>
        <v>0</v>
      </c>
      <c r="AY187" s="33">
        <f t="shared" si="4"/>
        <v>260</v>
      </c>
      <c r="AZ187" s="30">
        <f t="shared" si="5"/>
        <v>10.14</v>
      </c>
    </row>
    <row r="188" ht="15.75" customHeight="1">
      <c r="A188" s="31" t="s">
        <v>35</v>
      </c>
      <c r="B188" s="32">
        <f t="shared" si="6"/>
        <v>44748</v>
      </c>
      <c r="C188" s="33">
        <v>7.0</v>
      </c>
      <c r="D188" s="33" t="s">
        <v>48</v>
      </c>
      <c r="E188" s="34"/>
      <c r="F188" s="36"/>
      <c r="H188" s="37"/>
      <c r="J188" s="37"/>
      <c r="L188" s="37"/>
      <c r="N188" s="37"/>
      <c r="P188" s="37"/>
      <c r="Q188" s="26"/>
      <c r="R188" s="38">
        <v>130.0</v>
      </c>
      <c r="T188" s="39">
        <v>130.0</v>
      </c>
      <c r="V188" s="37"/>
      <c r="X188" s="37"/>
      <c r="Z188" s="37"/>
      <c r="AB188" s="37"/>
      <c r="AC188" s="26"/>
      <c r="AD188" s="37"/>
      <c r="AF188" s="37"/>
      <c r="AH188" s="37"/>
      <c r="AJ188" s="36"/>
      <c r="AL188" s="37"/>
      <c r="AN188" s="37"/>
      <c r="AP188" s="37"/>
      <c r="AR188" s="37"/>
      <c r="AT188" s="37"/>
      <c r="AU188" s="26"/>
      <c r="AV188" s="35">
        <f t="shared" si="1"/>
        <v>2636.4</v>
      </c>
      <c r="AW188" s="33">
        <f t="shared" si="2"/>
        <v>260</v>
      </c>
      <c r="AX188" s="33">
        <f t="shared" si="3"/>
        <v>0</v>
      </c>
      <c r="AY188" s="33">
        <f t="shared" si="4"/>
        <v>260</v>
      </c>
      <c r="AZ188" s="30">
        <f t="shared" si="5"/>
        <v>10.14</v>
      </c>
    </row>
    <row r="189" ht="15.75" customHeight="1">
      <c r="A189" s="31" t="s">
        <v>38</v>
      </c>
      <c r="B189" s="32">
        <f t="shared" si="6"/>
        <v>44749</v>
      </c>
      <c r="C189" s="33">
        <v>7.0</v>
      </c>
      <c r="D189" s="33" t="s">
        <v>48</v>
      </c>
      <c r="E189" s="34"/>
      <c r="F189" s="36"/>
      <c r="H189" s="37"/>
      <c r="J189" s="37"/>
      <c r="L189" s="37"/>
      <c r="N189" s="37"/>
      <c r="P189" s="37"/>
      <c r="Q189" s="26"/>
      <c r="R189" s="38">
        <v>130.0</v>
      </c>
      <c r="T189" s="39">
        <v>130.0</v>
      </c>
      <c r="V189" s="37"/>
      <c r="X189" s="37"/>
      <c r="Z189" s="37"/>
      <c r="AB189" s="37"/>
      <c r="AC189" s="26"/>
      <c r="AD189" s="37"/>
      <c r="AF189" s="37"/>
      <c r="AH189" s="37"/>
      <c r="AJ189" s="36"/>
      <c r="AL189" s="37"/>
      <c r="AN189" s="37"/>
      <c r="AP189" s="37"/>
      <c r="AR189" s="37"/>
      <c r="AT189" s="37"/>
      <c r="AU189" s="26"/>
      <c r="AV189" s="35">
        <f t="shared" si="1"/>
        <v>2636.4</v>
      </c>
      <c r="AW189" s="33">
        <f t="shared" si="2"/>
        <v>260</v>
      </c>
      <c r="AX189" s="33">
        <f t="shared" si="3"/>
        <v>0</v>
      </c>
      <c r="AY189" s="33">
        <f t="shared" si="4"/>
        <v>260</v>
      </c>
      <c r="AZ189" s="30">
        <f t="shared" si="5"/>
        <v>10.14</v>
      </c>
    </row>
    <row r="190" ht="15.75" customHeight="1">
      <c r="A190" s="31" t="s">
        <v>45</v>
      </c>
      <c r="B190" s="32">
        <f t="shared" si="6"/>
        <v>44750</v>
      </c>
      <c r="C190" s="33">
        <v>7.0</v>
      </c>
      <c r="D190" s="33" t="s">
        <v>48</v>
      </c>
      <c r="E190" s="34"/>
      <c r="F190" s="36"/>
      <c r="H190" s="37"/>
      <c r="J190" s="37"/>
      <c r="L190" s="37"/>
      <c r="N190" s="37"/>
      <c r="P190" s="37"/>
      <c r="Q190" s="26"/>
      <c r="R190" s="38">
        <v>130.0</v>
      </c>
      <c r="T190" s="39">
        <v>130.0</v>
      </c>
      <c r="V190" s="37"/>
      <c r="X190" s="37"/>
      <c r="Z190" s="37"/>
      <c r="AB190" s="37"/>
      <c r="AC190" s="26"/>
      <c r="AD190" s="37"/>
      <c r="AF190" s="37"/>
      <c r="AH190" s="37"/>
      <c r="AJ190" s="36"/>
      <c r="AL190" s="37"/>
      <c r="AN190" s="37"/>
      <c r="AP190" s="37"/>
      <c r="AR190" s="37"/>
      <c r="AT190" s="37"/>
      <c r="AU190" s="26"/>
      <c r="AV190" s="35">
        <f t="shared" si="1"/>
        <v>2636.4</v>
      </c>
      <c r="AW190" s="33">
        <f t="shared" si="2"/>
        <v>260</v>
      </c>
      <c r="AX190" s="33">
        <f t="shared" si="3"/>
        <v>0</v>
      </c>
      <c r="AY190" s="33">
        <f t="shared" si="4"/>
        <v>260</v>
      </c>
      <c r="AZ190" s="30">
        <f t="shared" si="5"/>
        <v>10.14</v>
      </c>
    </row>
    <row r="191" ht="15.75" customHeight="1">
      <c r="A191" s="44" t="s">
        <v>46</v>
      </c>
      <c r="B191" s="45">
        <f t="shared" si="6"/>
        <v>44751</v>
      </c>
      <c r="C191" s="46">
        <v>7.0</v>
      </c>
      <c r="D191" s="46" t="s">
        <v>48</v>
      </c>
      <c r="E191" s="47"/>
      <c r="F191" s="60"/>
      <c r="G191" s="51"/>
      <c r="H191" s="61"/>
      <c r="I191" s="51"/>
      <c r="J191" s="61"/>
      <c r="K191" s="51"/>
      <c r="L191" s="61"/>
      <c r="M191" s="51"/>
      <c r="N191" s="61"/>
      <c r="O191" s="51"/>
      <c r="P191" s="61"/>
      <c r="Q191" s="53"/>
      <c r="R191" s="62">
        <v>0.0</v>
      </c>
      <c r="S191" s="51"/>
      <c r="T191" s="63">
        <v>0.0</v>
      </c>
      <c r="U191" s="51"/>
      <c r="V191" s="61"/>
      <c r="W191" s="51"/>
      <c r="X191" s="61"/>
      <c r="Y191" s="51"/>
      <c r="Z191" s="61"/>
      <c r="AA191" s="51"/>
      <c r="AB191" s="61"/>
      <c r="AC191" s="53"/>
      <c r="AD191" s="61"/>
      <c r="AE191" s="51"/>
      <c r="AF191" s="61"/>
      <c r="AG191" s="51"/>
      <c r="AH191" s="61"/>
      <c r="AI191" s="51"/>
      <c r="AJ191" s="60"/>
      <c r="AK191" s="51"/>
      <c r="AL191" s="61"/>
      <c r="AM191" s="51"/>
      <c r="AN191" s="61"/>
      <c r="AO191" s="51"/>
      <c r="AP191" s="61"/>
      <c r="AQ191" s="51"/>
      <c r="AR191" s="61"/>
      <c r="AS191" s="51"/>
      <c r="AT191" s="61"/>
      <c r="AU191" s="53"/>
      <c r="AV191" s="55">
        <f t="shared" si="1"/>
        <v>0</v>
      </c>
      <c r="AW191" s="46">
        <f t="shared" si="2"/>
        <v>0</v>
      </c>
      <c r="AX191" s="46">
        <f t="shared" si="3"/>
        <v>0</v>
      </c>
      <c r="AY191" s="46">
        <f t="shared" si="4"/>
        <v>0</v>
      </c>
      <c r="AZ191" s="56" t="str">
        <f t="shared" si="5"/>
        <v/>
      </c>
    </row>
    <row r="192" ht="15.75" customHeight="1">
      <c r="A192" s="19" t="s">
        <v>30</v>
      </c>
      <c r="B192" s="57">
        <f t="shared" si="6"/>
        <v>44752</v>
      </c>
      <c r="C192" s="21">
        <v>7.0</v>
      </c>
      <c r="D192" s="21" t="s">
        <v>49</v>
      </c>
      <c r="E192" s="23"/>
      <c r="F192" s="36"/>
      <c r="H192" s="37"/>
      <c r="J192" s="37"/>
      <c r="L192" s="37"/>
      <c r="N192" s="37"/>
      <c r="P192" s="37"/>
      <c r="Q192" s="26"/>
      <c r="R192" s="38">
        <v>130.0</v>
      </c>
      <c r="T192" s="39">
        <v>130.0</v>
      </c>
      <c r="V192" s="37"/>
      <c r="X192" s="37"/>
      <c r="Z192" s="37"/>
      <c r="AB192" s="37"/>
      <c r="AC192" s="26"/>
      <c r="AD192" s="37"/>
      <c r="AF192" s="39">
        <v>40.0</v>
      </c>
      <c r="AH192" s="39">
        <v>40.0</v>
      </c>
      <c r="AJ192" s="36"/>
      <c r="AL192" s="37"/>
      <c r="AN192" s="37"/>
      <c r="AP192" s="37"/>
      <c r="AR192" s="37"/>
      <c r="AT192" s="37"/>
      <c r="AU192" s="26"/>
      <c r="AV192" s="29">
        <f t="shared" si="1"/>
        <v>3796.4</v>
      </c>
      <c r="AW192" s="21">
        <f t="shared" si="2"/>
        <v>340</v>
      </c>
      <c r="AX192" s="21">
        <f t="shared" si="3"/>
        <v>0</v>
      </c>
      <c r="AY192" s="21">
        <f t="shared" si="4"/>
        <v>340</v>
      </c>
      <c r="AZ192" s="58">
        <f t="shared" si="5"/>
        <v>11.16588235</v>
      </c>
    </row>
    <row r="193" ht="15.75" customHeight="1">
      <c r="A193" s="31" t="s">
        <v>33</v>
      </c>
      <c r="B193" s="32">
        <f t="shared" si="6"/>
        <v>44753</v>
      </c>
      <c r="C193" s="33">
        <v>7.0</v>
      </c>
      <c r="D193" s="33" t="s">
        <v>49</v>
      </c>
      <c r="E193" s="34"/>
      <c r="F193" s="36"/>
      <c r="H193" s="37"/>
      <c r="J193" s="37"/>
      <c r="L193" s="37"/>
      <c r="N193" s="37"/>
      <c r="P193" s="37"/>
      <c r="Q193" s="26"/>
      <c r="R193" s="38">
        <v>130.0</v>
      </c>
      <c r="T193" s="39">
        <v>130.0</v>
      </c>
      <c r="V193" s="37"/>
      <c r="X193" s="37"/>
      <c r="Z193" s="37"/>
      <c r="AB193" s="37"/>
      <c r="AC193" s="26"/>
      <c r="AD193" s="37"/>
      <c r="AF193" s="39">
        <v>40.0</v>
      </c>
      <c r="AH193" s="39">
        <v>40.0</v>
      </c>
      <c r="AJ193" s="36"/>
      <c r="AL193" s="37"/>
      <c r="AN193" s="37"/>
      <c r="AP193" s="37"/>
      <c r="AR193" s="37"/>
      <c r="AT193" s="37"/>
      <c r="AU193" s="26"/>
      <c r="AV193" s="35">
        <f t="shared" si="1"/>
        <v>3796.4</v>
      </c>
      <c r="AW193" s="33">
        <f t="shared" si="2"/>
        <v>340</v>
      </c>
      <c r="AX193" s="33">
        <f t="shared" si="3"/>
        <v>0</v>
      </c>
      <c r="AY193" s="33">
        <f t="shared" si="4"/>
        <v>340</v>
      </c>
      <c r="AZ193" s="30">
        <f t="shared" si="5"/>
        <v>11.16588235</v>
      </c>
    </row>
    <row r="194" ht="15.75" customHeight="1">
      <c r="A194" s="31" t="s">
        <v>34</v>
      </c>
      <c r="B194" s="32">
        <f t="shared" si="6"/>
        <v>44754</v>
      </c>
      <c r="C194" s="33">
        <v>7.0</v>
      </c>
      <c r="D194" s="33" t="s">
        <v>49</v>
      </c>
      <c r="E194" s="34"/>
      <c r="F194" s="36"/>
      <c r="H194" s="37"/>
      <c r="J194" s="37"/>
      <c r="L194" s="37"/>
      <c r="N194" s="37"/>
      <c r="P194" s="37"/>
      <c r="Q194" s="26"/>
      <c r="R194" s="38">
        <v>130.0</v>
      </c>
      <c r="T194" s="39">
        <v>130.0</v>
      </c>
      <c r="V194" s="37"/>
      <c r="X194" s="37"/>
      <c r="Z194" s="37"/>
      <c r="AB194" s="37"/>
      <c r="AC194" s="26"/>
      <c r="AD194" s="37"/>
      <c r="AF194" s="39">
        <v>40.0</v>
      </c>
      <c r="AH194" s="39">
        <v>40.0</v>
      </c>
      <c r="AJ194" s="36"/>
      <c r="AL194" s="37"/>
      <c r="AN194" s="37"/>
      <c r="AP194" s="37"/>
      <c r="AR194" s="37"/>
      <c r="AT194" s="37"/>
      <c r="AU194" s="26"/>
      <c r="AV194" s="35">
        <f t="shared" si="1"/>
        <v>3796.4</v>
      </c>
      <c r="AW194" s="33">
        <f t="shared" si="2"/>
        <v>340</v>
      </c>
      <c r="AX194" s="33">
        <f t="shared" si="3"/>
        <v>0</v>
      </c>
      <c r="AY194" s="33">
        <f t="shared" si="4"/>
        <v>340</v>
      </c>
      <c r="AZ194" s="30">
        <f t="shared" si="5"/>
        <v>11.16588235</v>
      </c>
    </row>
    <row r="195" ht="15.75" customHeight="1">
      <c r="A195" s="31" t="s">
        <v>35</v>
      </c>
      <c r="B195" s="32">
        <f t="shared" si="6"/>
        <v>44755</v>
      </c>
      <c r="C195" s="33">
        <v>7.0</v>
      </c>
      <c r="D195" s="33" t="s">
        <v>49</v>
      </c>
      <c r="E195" s="34"/>
      <c r="F195" s="36"/>
      <c r="H195" s="37"/>
      <c r="J195" s="37"/>
      <c r="L195" s="37"/>
      <c r="N195" s="37"/>
      <c r="P195" s="37"/>
      <c r="Q195" s="26"/>
      <c r="R195" s="38">
        <v>130.0</v>
      </c>
      <c r="T195" s="39">
        <v>130.0</v>
      </c>
      <c r="V195" s="37"/>
      <c r="X195" s="37"/>
      <c r="Z195" s="37"/>
      <c r="AB195" s="37"/>
      <c r="AC195" s="26"/>
      <c r="AD195" s="37"/>
      <c r="AF195" s="39">
        <v>40.0</v>
      </c>
      <c r="AH195" s="39">
        <v>40.0</v>
      </c>
      <c r="AJ195" s="36"/>
      <c r="AL195" s="37"/>
      <c r="AN195" s="37"/>
      <c r="AP195" s="37"/>
      <c r="AR195" s="37"/>
      <c r="AT195" s="37"/>
      <c r="AU195" s="26"/>
      <c r="AV195" s="35">
        <f t="shared" si="1"/>
        <v>3796.4</v>
      </c>
      <c r="AW195" s="33">
        <f t="shared" si="2"/>
        <v>340</v>
      </c>
      <c r="AX195" s="33">
        <f t="shared" si="3"/>
        <v>0</v>
      </c>
      <c r="AY195" s="33">
        <f t="shared" si="4"/>
        <v>340</v>
      </c>
      <c r="AZ195" s="30">
        <f t="shared" si="5"/>
        <v>11.16588235</v>
      </c>
    </row>
    <row r="196" ht="15.75" customHeight="1">
      <c r="A196" s="31" t="s">
        <v>38</v>
      </c>
      <c r="B196" s="32">
        <f t="shared" si="6"/>
        <v>44756</v>
      </c>
      <c r="C196" s="33">
        <v>7.0</v>
      </c>
      <c r="D196" s="33" t="s">
        <v>49</v>
      </c>
      <c r="E196" s="34"/>
      <c r="F196" s="36"/>
      <c r="H196" s="37"/>
      <c r="J196" s="37"/>
      <c r="L196" s="37"/>
      <c r="N196" s="37"/>
      <c r="P196" s="37"/>
      <c r="Q196" s="26"/>
      <c r="R196" s="38">
        <v>130.0</v>
      </c>
      <c r="T196" s="39">
        <v>130.0</v>
      </c>
      <c r="V196" s="37"/>
      <c r="X196" s="37"/>
      <c r="Z196" s="37"/>
      <c r="AB196" s="37"/>
      <c r="AC196" s="26"/>
      <c r="AD196" s="37"/>
      <c r="AF196" s="39">
        <v>40.0</v>
      </c>
      <c r="AH196" s="39">
        <v>40.0</v>
      </c>
      <c r="AJ196" s="36"/>
      <c r="AL196" s="37"/>
      <c r="AN196" s="37"/>
      <c r="AP196" s="37"/>
      <c r="AR196" s="37"/>
      <c r="AT196" s="37"/>
      <c r="AU196" s="26"/>
      <c r="AV196" s="35">
        <f t="shared" si="1"/>
        <v>3796.4</v>
      </c>
      <c r="AW196" s="33">
        <f t="shared" si="2"/>
        <v>340</v>
      </c>
      <c r="AX196" s="33">
        <f t="shared" si="3"/>
        <v>0</v>
      </c>
      <c r="AY196" s="33">
        <f t="shared" si="4"/>
        <v>340</v>
      </c>
      <c r="AZ196" s="30">
        <f t="shared" si="5"/>
        <v>11.16588235</v>
      </c>
    </row>
    <row r="197" ht="15.75" customHeight="1">
      <c r="A197" s="31" t="s">
        <v>45</v>
      </c>
      <c r="B197" s="32">
        <f t="shared" si="6"/>
        <v>44757</v>
      </c>
      <c r="C197" s="33">
        <v>7.0</v>
      </c>
      <c r="D197" s="33" t="s">
        <v>49</v>
      </c>
      <c r="E197" s="34"/>
      <c r="F197" s="36"/>
      <c r="H197" s="37"/>
      <c r="J197" s="37"/>
      <c r="L197" s="37"/>
      <c r="N197" s="37"/>
      <c r="P197" s="37"/>
      <c r="Q197" s="26"/>
      <c r="R197" s="38">
        <v>130.0</v>
      </c>
      <c r="T197" s="39">
        <v>130.0</v>
      </c>
      <c r="V197" s="37"/>
      <c r="X197" s="37"/>
      <c r="Z197" s="37"/>
      <c r="AB197" s="37"/>
      <c r="AC197" s="26"/>
      <c r="AD197" s="37"/>
      <c r="AF197" s="39">
        <v>0.0</v>
      </c>
      <c r="AH197" s="39">
        <v>0.0</v>
      </c>
      <c r="AJ197" s="36"/>
      <c r="AL197" s="37"/>
      <c r="AN197" s="37"/>
      <c r="AP197" s="37"/>
      <c r="AR197" s="37"/>
      <c r="AT197" s="37"/>
      <c r="AU197" s="26"/>
      <c r="AV197" s="35">
        <f t="shared" si="1"/>
        <v>2636.4</v>
      </c>
      <c r="AW197" s="33">
        <f t="shared" si="2"/>
        <v>260</v>
      </c>
      <c r="AX197" s="33">
        <f t="shared" si="3"/>
        <v>0</v>
      </c>
      <c r="AY197" s="33">
        <f t="shared" si="4"/>
        <v>260</v>
      </c>
      <c r="AZ197" s="30">
        <f t="shared" si="5"/>
        <v>10.14</v>
      </c>
    </row>
    <row r="198" ht="15.75" customHeight="1">
      <c r="A198" s="44" t="s">
        <v>46</v>
      </c>
      <c r="B198" s="45">
        <f t="shared" si="6"/>
        <v>44758</v>
      </c>
      <c r="C198" s="46">
        <v>7.0</v>
      </c>
      <c r="D198" s="46" t="s">
        <v>49</v>
      </c>
      <c r="E198" s="47"/>
      <c r="F198" s="60"/>
      <c r="G198" s="51"/>
      <c r="H198" s="61"/>
      <c r="I198" s="51"/>
      <c r="J198" s="61"/>
      <c r="K198" s="51"/>
      <c r="L198" s="61"/>
      <c r="M198" s="51"/>
      <c r="N198" s="61"/>
      <c r="O198" s="51"/>
      <c r="P198" s="61"/>
      <c r="Q198" s="53"/>
      <c r="R198" s="62">
        <v>0.0</v>
      </c>
      <c r="S198" s="51"/>
      <c r="T198" s="63">
        <v>0.0</v>
      </c>
      <c r="U198" s="51"/>
      <c r="V198" s="61"/>
      <c r="W198" s="51"/>
      <c r="X198" s="61"/>
      <c r="Y198" s="51"/>
      <c r="Z198" s="61"/>
      <c r="AA198" s="51"/>
      <c r="AB198" s="61"/>
      <c r="AC198" s="53"/>
      <c r="AD198" s="61"/>
      <c r="AE198" s="51"/>
      <c r="AF198" s="63">
        <v>0.0</v>
      </c>
      <c r="AG198" s="51"/>
      <c r="AH198" s="63">
        <v>0.0</v>
      </c>
      <c r="AI198" s="51"/>
      <c r="AJ198" s="60"/>
      <c r="AK198" s="51"/>
      <c r="AL198" s="61"/>
      <c r="AM198" s="51"/>
      <c r="AN198" s="61"/>
      <c r="AO198" s="51"/>
      <c r="AP198" s="61"/>
      <c r="AQ198" s="51"/>
      <c r="AR198" s="61"/>
      <c r="AS198" s="51"/>
      <c r="AT198" s="61"/>
      <c r="AU198" s="53"/>
      <c r="AV198" s="55">
        <f t="shared" si="1"/>
        <v>0</v>
      </c>
      <c r="AW198" s="46">
        <f t="shared" si="2"/>
        <v>0</v>
      </c>
      <c r="AX198" s="46">
        <f t="shared" si="3"/>
        <v>0</v>
      </c>
      <c r="AY198" s="46">
        <f t="shared" si="4"/>
        <v>0</v>
      </c>
      <c r="AZ198" s="56" t="str">
        <f t="shared" si="5"/>
        <v/>
      </c>
    </row>
    <row r="199" ht="15.75" customHeight="1">
      <c r="A199" s="19" t="s">
        <v>30</v>
      </c>
      <c r="B199" s="57">
        <f t="shared" si="6"/>
        <v>44759</v>
      </c>
      <c r="C199" s="21">
        <v>8.0</v>
      </c>
      <c r="D199" s="21" t="s">
        <v>31</v>
      </c>
      <c r="E199" s="23"/>
      <c r="F199" s="36"/>
      <c r="H199" s="37"/>
      <c r="J199" s="37"/>
      <c r="L199" s="37"/>
      <c r="N199" s="37"/>
      <c r="P199" s="37"/>
      <c r="Q199" s="26"/>
      <c r="R199" s="38">
        <v>130.0</v>
      </c>
      <c r="T199" s="39">
        <v>130.0</v>
      </c>
      <c r="V199" s="37"/>
      <c r="X199" s="37"/>
      <c r="Z199" s="37"/>
      <c r="AB199" s="37"/>
      <c r="AC199" s="26"/>
      <c r="AD199" s="37"/>
      <c r="AF199" s="37"/>
      <c r="AH199" s="37"/>
      <c r="AJ199" s="36"/>
      <c r="AL199" s="37"/>
      <c r="AN199" s="37"/>
      <c r="AP199" s="37"/>
      <c r="AR199" s="37"/>
      <c r="AT199" s="37"/>
      <c r="AU199" s="26"/>
      <c r="AV199" s="29">
        <f t="shared" si="1"/>
        <v>2636.4</v>
      </c>
      <c r="AW199" s="21">
        <f t="shared" si="2"/>
        <v>260</v>
      </c>
      <c r="AX199" s="21">
        <f t="shared" si="3"/>
        <v>0</v>
      </c>
      <c r="AY199" s="21">
        <f t="shared" si="4"/>
        <v>260</v>
      </c>
      <c r="AZ199" s="58">
        <f t="shared" si="5"/>
        <v>10.14</v>
      </c>
    </row>
    <row r="200" ht="15.75" customHeight="1">
      <c r="A200" s="31" t="s">
        <v>33</v>
      </c>
      <c r="B200" s="32">
        <f t="shared" si="6"/>
        <v>44760</v>
      </c>
      <c r="C200" s="33">
        <v>8.0</v>
      </c>
      <c r="D200" s="33" t="s">
        <v>31</v>
      </c>
      <c r="E200" s="34"/>
      <c r="F200" s="36"/>
      <c r="H200" s="37"/>
      <c r="J200" s="37"/>
      <c r="L200" s="37"/>
      <c r="N200" s="37"/>
      <c r="P200" s="37"/>
      <c r="Q200" s="26"/>
      <c r="R200" s="38">
        <v>130.0</v>
      </c>
      <c r="T200" s="39">
        <v>130.0</v>
      </c>
      <c r="V200" s="37"/>
      <c r="X200" s="37"/>
      <c r="Z200" s="37"/>
      <c r="AB200" s="37"/>
      <c r="AC200" s="26"/>
      <c r="AD200" s="37"/>
      <c r="AF200" s="37"/>
      <c r="AH200" s="37"/>
      <c r="AJ200" s="36"/>
      <c r="AL200" s="37"/>
      <c r="AN200" s="37"/>
      <c r="AP200" s="37"/>
      <c r="AR200" s="37"/>
      <c r="AT200" s="37"/>
      <c r="AU200" s="26"/>
      <c r="AV200" s="35">
        <f t="shared" si="1"/>
        <v>2636.4</v>
      </c>
      <c r="AW200" s="33">
        <f t="shared" si="2"/>
        <v>260</v>
      </c>
      <c r="AX200" s="33">
        <f t="shared" si="3"/>
        <v>0</v>
      </c>
      <c r="AY200" s="33">
        <f t="shared" si="4"/>
        <v>260</v>
      </c>
      <c r="AZ200" s="30">
        <f t="shared" si="5"/>
        <v>10.14</v>
      </c>
    </row>
    <row r="201" ht="15.75" customHeight="1">
      <c r="A201" s="31" t="s">
        <v>34</v>
      </c>
      <c r="B201" s="32">
        <f t="shared" si="6"/>
        <v>44761</v>
      </c>
      <c r="C201" s="33">
        <v>8.0</v>
      </c>
      <c r="D201" s="33" t="s">
        <v>31</v>
      </c>
      <c r="E201" s="34"/>
      <c r="F201" s="36"/>
      <c r="H201" s="37"/>
      <c r="J201" s="37"/>
      <c r="L201" s="37"/>
      <c r="N201" s="37"/>
      <c r="P201" s="37"/>
      <c r="Q201" s="26"/>
      <c r="R201" s="38">
        <v>130.0</v>
      </c>
      <c r="T201" s="39">
        <v>130.0</v>
      </c>
      <c r="V201" s="37"/>
      <c r="X201" s="37"/>
      <c r="Z201" s="37"/>
      <c r="AB201" s="37"/>
      <c r="AC201" s="26"/>
      <c r="AD201" s="37"/>
      <c r="AF201" s="37"/>
      <c r="AH201" s="37"/>
      <c r="AJ201" s="36"/>
      <c r="AL201" s="37"/>
      <c r="AN201" s="37"/>
      <c r="AP201" s="37"/>
      <c r="AR201" s="37"/>
      <c r="AT201" s="37"/>
      <c r="AU201" s="26"/>
      <c r="AV201" s="35">
        <f t="shared" si="1"/>
        <v>2636.4</v>
      </c>
      <c r="AW201" s="33">
        <f t="shared" si="2"/>
        <v>260</v>
      </c>
      <c r="AX201" s="33">
        <f t="shared" si="3"/>
        <v>0</v>
      </c>
      <c r="AY201" s="33">
        <f t="shared" si="4"/>
        <v>260</v>
      </c>
      <c r="AZ201" s="30">
        <f t="shared" si="5"/>
        <v>10.14</v>
      </c>
    </row>
    <row r="202" ht="15.75" customHeight="1">
      <c r="A202" s="31" t="s">
        <v>35</v>
      </c>
      <c r="B202" s="32">
        <f t="shared" si="6"/>
        <v>44762</v>
      </c>
      <c r="C202" s="33">
        <v>8.0</v>
      </c>
      <c r="D202" s="33" t="s">
        <v>31</v>
      </c>
      <c r="E202" s="34"/>
      <c r="F202" s="36"/>
      <c r="H202" s="37"/>
      <c r="J202" s="37"/>
      <c r="L202" s="37"/>
      <c r="N202" s="37"/>
      <c r="P202" s="37"/>
      <c r="Q202" s="26"/>
      <c r="R202" s="38">
        <v>130.0</v>
      </c>
      <c r="T202" s="39">
        <v>130.0</v>
      </c>
      <c r="V202" s="37"/>
      <c r="X202" s="37"/>
      <c r="Z202" s="37"/>
      <c r="AB202" s="37"/>
      <c r="AC202" s="26"/>
      <c r="AD202" s="37"/>
      <c r="AF202" s="37"/>
      <c r="AH202" s="37"/>
      <c r="AJ202" s="36"/>
      <c r="AL202" s="37"/>
      <c r="AN202" s="37"/>
      <c r="AP202" s="37"/>
      <c r="AR202" s="37"/>
      <c r="AT202" s="37"/>
      <c r="AU202" s="26"/>
      <c r="AV202" s="35">
        <f t="shared" si="1"/>
        <v>2636.4</v>
      </c>
      <c r="AW202" s="33">
        <f t="shared" si="2"/>
        <v>260</v>
      </c>
      <c r="AX202" s="33">
        <f t="shared" si="3"/>
        <v>0</v>
      </c>
      <c r="AY202" s="33">
        <f t="shared" si="4"/>
        <v>260</v>
      </c>
      <c r="AZ202" s="30">
        <f t="shared" si="5"/>
        <v>10.14</v>
      </c>
    </row>
    <row r="203" ht="15.75" customHeight="1">
      <c r="A203" s="31" t="s">
        <v>38</v>
      </c>
      <c r="B203" s="32">
        <f t="shared" si="6"/>
        <v>44763</v>
      </c>
      <c r="C203" s="33">
        <v>8.0</v>
      </c>
      <c r="D203" s="33" t="s">
        <v>31</v>
      </c>
      <c r="E203" s="34"/>
      <c r="F203" s="36"/>
      <c r="H203" s="37"/>
      <c r="J203" s="37"/>
      <c r="L203" s="37"/>
      <c r="N203" s="37"/>
      <c r="P203" s="37"/>
      <c r="Q203" s="26"/>
      <c r="R203" s="38">
        <v>130.0</v>
      </c>
      <c r="T203" s="39">
        <v>130.0</v>
      </c>
      <c r="V203" s="37"/>
      <c r="X203" s="37"/>
      <c r="Z203" s="37"/>
      <c r="AB203" s="37"/>
      <c r="AC203" s="26"/>
      <c r="AD203" s="37"/>
      <c r="AF203" s="37"/>
      <c r="AH203" s="37"/>
      <c r="AJ203" s="36"/>
      <c r="AL203" s="37"/>
      <c r="AN203" s="37"/>
      <c r="AP203" s="37"/>
      <c r="AR203" s="37"/>
      <c r="AT203" s="37"/>
      <c r="AU203" s="26"/>
      <c r="AV203" s="35">
        <f t="shared" si="1"/>
        <v>2636.4</v>
      </c>
      <c r="AW203" s="33">
        <f t="shared" si="2"/>
        <v>260</v>
      </c>
      <c r="AX203" s="33">
        <f t="shared" si="3"/>
        <v>0</v>
      </c>
      <c r="AY203" s="33">
        <f t="shared" si="4"/>
        <v>260</v>
      </c>
      <c r="AZ203" s="30">
        <f t="shared" si="5"/>
        <v>10.14</v>
      </c>
    </row>
    <row r="204" ht="15.75" customHeight="1">
      <c r="A204" s="31" t="s">
        <v>45</v>
      </c>
      <c r="B204" s="32">
        <f t="shared" si="6"/>
        <v>44764</v>
      </c>
      <c r="C204" s="33">
        <v>8.0</v>
      </c>
      <c r="D204" s="33" t="s">
        <v>31</v>
      </c>
      <c r="E204" s="34"/>
      <c r="F204" s="36"/>
      <c r="H204" s="37"/>
      <c r="J204" s="37"/>
      <c r="L204" s="37"/>
      <c r="N204" s="37"/>
      <c r="P204" s="37"/>
      <c r="Q204" s="26"/>
      <c r="R204" s="38">
        <v>130.0</v>
      </c>
      <c r="T204" s="39">
        <v>130.0</v>
      </c>
      <c r="V204" s="37"/>
      <c r="X204" s="37"/>
      <c r="Z204" s="37"/>
      <c r="AB204" s="37"/>
      <c r="AC204" s="26"/>
      <c r="AD204" s="37"/>
      <c r="AF204" s="37"/>
      <c r="AH204" s="37"/>
      <c r="AJ204" s="36"/>
      <c r="AL204" s="37"/>
      <c r="AN204" s="37"/>
      <c r="AP204" s="37"/>
      <c r="AR204" s="37"/>
      <c r="AT204" s="37"/>
      <c r="AU204" s="26"/>
      <c r="AV204" s="35">
        <f t="shared" si="1"/>
        <v>2636.4</v>
      </c>
      <c r="AW204" s="33">
        <f t="shared" si="2"/>
        <v>260</v>
      </c>
      <c r="AX204" s="33">
        <f t="shared" si="3"/>
        <v>0</v>
      </c>
      <c r="AY204" s="33">
        <f t="shared" si="4"/>
        <v>260</v>
      </c>
      <c r="AZ204" s="30">
        <f t="shared" si="5"/>
        <v>10.14</v>
      </c>
    </row>
    <row r="205" ht="15.75" customHeight="1">
      <c r="A205" s="44" t="s">
        <v>46</v>
      </c>
      <c r="B205" s="45">
        <f t="shared" si="6"/>
        <v>44765</v>
      </c>
      <c r="C205" s="46">
        <v>8.0</v>
      </c>
      <c r="D205" s="46" t="s">
        <v>31</v>
      </c>
      <c r="E205" s="47"/>
      <c r="F205" s="60"/>
      <c r="G205" s="51"/>
      <c r="H205" s="61"/>
      <c r="I205" s="51"/>
      <c r="J205" s="61"/>
      <c r="K205" s="51"/>
      <c r="L205" s="61"/>
      <c r="M205" s="51"/>
      <c r="N205" s="61"/>
      <c r="O205" s="51"/>
      <c r="P205" s="61"/>
      <c r="Q205" s="53"/>
      <c r="R205" s="62">
        <v>0.0</v>
      </c>
      <c r="S205" s="51"/>
      <c r="T205" s="63">
        <v>0.0</v>
      </c>
      <c r="U205" s="51"/>
      <c r="V205" s="61"/>
      <c r="W205" s="51"/>
      <c r="X205" s="61"/>
      <c r="Y205" s="51"/>
      <c r="Z205" s="61"/>
      <c r="AA205" s="51"/>
      <c r="AB205" s="61"/>
      <c r="AC205" s="53"/>
      <c r="AD205" s="61"/>
      <c r="AE205" s="51"/>
      <c r="AF205" s="61"/>
      <c r="AG205" s="51"/>
      <c r="AH205" s="61"/>
      <c r="AI205" s="51"/>
      <c r="AJ205" s="60"/>
      <c r="AK205" s="51"/>
      <c r="AL205" s="61"/>
      <c r="AM205" s="51"/>
      <c r="AN205" s="61"/>
      <c r="AO205" s="51"/>
      <c r="AP205" s="61"/>
      <c r="AQ205" s="51"/>
      <c r="AR205" s="61"/>
      <c r="AS205" s="51"/>
      <c r="AT205" s="61"/>
      <c r="AU205" s="53"/>
      <c r="AV205" s="55">
        <f t="shared" si="1"/>
        <v>0</v>
      </c>
      <c r="AW205" s="46">
        <f t="shared" si="2"/>
        <v>0</v>
      </c>
      <c r="AX205" s="46">
        <f t="shared" si="3"/>
        <v>0</v>
      </c>
      <c r="AY205" s="46">
        <f t="shared" si="4"/>
        <v>0</v>
      </c>
      <c r="AZ205" s="56" t="str">
        <f t="shared" si="5"/>
        <v/>
      </c>
    </row>
    <row r="206" ht="15.75" customHeight="1">
      <c r="A206" s="19" t="s">
        <v>30</v>
      </c>
      <c r="B206" s="57">
        <f t="shared" si="6"/>
        <v>44766</v>
      </c>
      <c r="C206" s="21">
        <v>8.0</v>
      </c>
      <c r="D206" s="21" t="s">
        <v>47</v>
      </c>
      <c r="E206" s="23"/>
      <c r="F206" s="36"/>
      <c r="H206" s="37"/>
      <c r="J206" s="37"/>
      <c r="L206" s="37"/>
      <c r="N206" s="37"/>
      <c r="P206" s="37"/>
      <c r="Q206" s="26"/>
      <c r="R206" s="38">
        <v>130.0</v>
      </c>
      <c r="T206" s="39">
        <v>130.0</v>
      </c>
      <c r="V206" s="37"/>
      <c r="X206" s="37"/>
      <c r="Z206" s="37"/>
      <c r="AB206" s="37"/>
      <c r="AC206" s="26"/>
      <c r="AD206" s="37"/>
      <c r="AF206" s="39">
        <v>40.0</v>
      </c>
      <c r="AH206" s="39">
        <v>40.0</v>
      </c>
      <c r="AJ206" s="36"/>
      <c r="AL206" s="37"/>
      <c r="AN206" s="37"/>
      <c r="AP206" s="37"/>
      <c r="AR206" s="37"/>
      <c r="AT206" s="37"/>
      <c r="AU206" s="26"/>
      <c r="AV206" s="29">
        <f t="shared" si="1"/>
        <v>3796.4</v>
      </c>
      <c r="AW206" s="21">
        <f t="shared" si="2"/>
        <v>340</v>
      </c>
      <c r="AX206" s="21">
        <f t="shared" si="3"/>
        <v>0</v>
      </c>
      <c r="AY206" s="21">
        <f t="shared" si="4"/>
        <v>340</v>
      </c>
      <c r="AZ206" s="58">
        <f t="shared" si="5"/>
        <v>11.16588235</v>
      </c>
    </row>
    <row r="207" ht="15.75" customHeight="1">
      <c r="A207" s="31" t="s">
        <v>33</v>
      </c>
      <c r="B207" s="32">
        <f t="shared" si="6"/>
        <v>44767</v>
      </c>
      <c r="C207" s="33">
        <v>8.0</v>
      </c>
      <c r="D207" s="33" t="s">
        <v>47</v>
      </c>
      <c r="E207" s="34"/>
      <c r="F207" s="36"/>
      <c r="H207" s="37"/>
      <c r="J207" s="37"/>
      <c r="L207" s="37"/>
      <c r="N207" s="37"/>
      <c r="P207" s="37"/>
      <c r="Q207" s="26"/>
      <c r="R207" s="38">
        <v>130.0</v>
      </c>
      <c r="T207" s="39">
        <v>130.0</v>
      </c>
      <c r="V207" s="37"/>
      <c r="X207" s="37"/>
      <c r="Z207" s="37"/>
      <c r="AB207" s="37"/>
      <c r="AC207" s="26"/>
      <c r="AD207" s="37"/>
      <c r="AF207" s="39">
        <v>40.0</v>
      </c>
      <c r="AH207" s="39">
        <v>40.0</v>
      </c>
      <c r="AJ207" s="36"/>
      <c r="AL207" s="37"/>
      <c r="AN207" s="37"/>
      <c r="AP207" s="37"/>
      <c r="AR207" s="37"/>
      <c r="AT207" s="37"/>
      <c r="AU207" s="26"/>
      <c r="AV207" s="35">
        <f t="shared" si="1"/>
        <v>3796.4</v>
      </c>
      <c r="AW207" s="33">
        <f t="shared" si="2"/>
        <v>340</v>
      </c>
      <c r="AX207" s="33">
        <f t="shared" si="3"/>
        <v>0</v>
      </c>
      <c r="AY207" s="33">
        <f t="shared" si="4"/>
        <v>340</v>
      </c>
      <c r="AZ207" s="30">
        <f t="shared" si="5"/>
        <v>11.16588235</v>
      </c>
    </row>
    <row r="208" ht="15.75" customHeight="1">
      <c r="A208" s="31" t="s">
        <v>34</v>
      </c>
      <c r="B208" s="32">
        <f t="shared" si="6"/>
        <v>44768</v>
      </c>
      <c r="C208" s="33">
        <v>8.0</v>
      </c>
      <c r="D208" s="33" t="s">
        <v>47</v>
      </c>
      <c r="E208" s="34"/>
      <c r="F208" s="36"/>
      <c r="H208" s="37"/>
      <c r="J208" s="37"/>
      <c r="L208" s="37"/>
      <c r="N208" s="37"/>
      <c r="P208" s="37"/>
      <c r="Q208" s="26"/>
      <c r="R208" s="38">
        <v>130.0</v>
      </c>
      <c r="T208" s="39">
        <v>130.0</v>
      </c>
      <c r="V208" s="37"/>
      <c r="X208" s="37"/>
      <c r="Z208" s="37"/>
      <c r="AB208" s="37"/>
      <c r="AC208" s="26"/>
      <c r="AD208" s="37"/>
      <c r="AF208" s="39">
        <v>40.0</v>
      </c>
      <c r="AH208" s="39">
        <v>40.0</v>
      </c>
      <c r="AJ208" s="36"/>
      <c r="AL208" s="37"/>
      <c r="AN208" s="37"/>
      <c r="AP208" s="37"/>
      <c r="AR208" s="37"/>
      <c r="AT208" s="37"/>
      <c r="AU208" s="26"/>
      <c r="AV208" s="35">
        <f t="shared" si="1"/>
        <v>3796.4</v>
      </c>
      <c r="AW208" s="33">
        <f t="shared" si="2"/>
        <v>340</v>
      </c>
      <c r="AX208" s="33">
        <f t="shared" si="3"/>
        <v>0</v>
      </c>
      <c r="AY208" s="33">
        <f t="shared" si="4"/>
        <v>340</v>
      </c>
      <c r="AZ208" s="30">
        <f t="shared" si="5"/>
        <v>11.16588235</v>
      </c>
    </row>
    <row r="209" ht="15.75" customHeight="1">
      <c r="A209" s="31" t="s">
        <v>35</v>
      </c>
      <c r="B209" s="32">
        <f t="shared" si="6"/>
        <v>44769</v>
      </c>
      <c r="C209" s="33">
        <v>8.0</v>
      </c>
      <c r="D209" s="33" t="s">
        <v>47</v>
      </c>
      <c r="E209" s="34"/>
      <c r="F209" s="36"/>
      <c r="H209" s="37"/>
      <c r="J209" s="37"/>
      <c r="L209" s="37"/>
      <c r="N209" s="37"/>
      <c r="P209" s="37"/>
      <c r="Q209" s="26"/>
      <c r="R209" s="38">
        <v>130.0</v>
      </c>
      <c r="T209" s="39">
        <v>130.0</v>
      </c>
      <c r="V209" s="37"/>
      <c r="X209" s="37"/>
      <c r="Z209" s="37"/>
      <c r="AB209" s="37"/>
      <c r="AC209" s="26"/>
      <c r="AD209" s="37"/>
      <c r="AF209" s="39">
        <v>40.0</v>
      </c>
      <c r="AH209" s="39">
        <v>40.0</v>
      </c>
      <c r="AJ209" s="36"/>
      <c r="AL209" s="37"/>
      <c r="AN209" s="37"/>
      <c r="AP209" s="37"/>
      <c r="AR209" s="37"/>
      <c r="AT209" s="37"/>
      <c r="AU209" s="26"/>
      <c r="AV209" s="35">
        <f t="shared" si="1"/>
        <v>3796.4</v>
      </c>
      <c r="AW209" s="33">
        <f t="shared" si="2"/>
        <v>340</v>
      </c>
      <c r="AX209" s="33">
        <f t="shared" si="3"/>
        <v>0</v>
      </c>
      <c r="AY209" s="33">
        <f t="shared" si="4"/>
        <v>340</v>
      </c>
      <c r="AZ209" s="30">
        <f t="shared" si="5"/>
        <v>11.16588235</v>
      </c>
    </row>
    <row r="210" ht="15.75" customHeight="1">
      <c r="A210" s="31" t="s">
        <v>38</v>
      </c>
      <c r="B210" s="32">
        <f t="shared" si="6"/>
        <v>44770</v>
      </c>
      <c r="C210" s="33">
        <v>8.0</v>
      </c>
      <c r="D210" s="33" t="s">
        <v>47</v>
      </c>
      <c r="E210" s="34"/>
      <c r="F210" s="36"/>
      <c r="H210" s="37"/>
      <c r="J210" s="37"/>
      <c r="L210" s="37"/>
      <c r="N210" s="37"/>
      <c r="P210" s="37"/>
      <c r="Q210" s="26"/>
      <c r="R210" s="38">
        <v>130.0</v>
      </c>
      <c r="T210" s="39">
        <v>130.0</v>
      </c>
      <c r="V210" s="37"/>
      <c r="X210" s="37"/>
      <c r="Z210" s="37"/>
      <c r="AB210" s="37"/>
      <c r="AC210" s="26"/>
      <c r="AD210" s="37"/>
      <c r="AF210" s="39">
        <v>40.0</v>
      </c>
      <c r="AH210" s="39">
        <v>40.0</v>
      </c>
      <c r="AJ210" s="36"/>
      <c r="AL210" s="37"/>
      <c r="AN210" s="37"/>
      <c r="AP210" s="37"/>
      <c r="AR210" s="37"/>
      <c r="AT210" s="37"/>
      <c r="AU210" s="26"/>
      <c r="AV210" s="35">
        <f t="shared" si="1"/>
        <v>3796.4</v>
      </c>
      <c r="AW210" s="33">
        <f t="shared" si="2"/>
        <v>340</v>
      </c>
      <c r="AX210" s="33">
        <f t="shared" si="3"/>
        <v>0</v>
      </c>
      <c r="AY210" s="33">
        <f t="shared" si="4"/>
        <v>340</v>
      </c>
      <c r="AZ210" s="30">
        <f t="shared" si="5"/>
        <v>11.16588235</v>
      </c>
    </row>
    <row r="211" ht="15.75" customHeight="1">
      <c r="A211" s="31" t="s">
        <v>45</v>
      </c>
      <c r="B211" s="32">
        <f t="shared" si="6"/>
        <v>44771</v>
      </c>
      <c r="C211" s="33">
        <v>8.0</v>
      </c>
      <c r="D211" s="33" t="s">
        <v>47</v>
      </c>
      <c r="E211" s="34"/>
      <c r="F211" s="36"/>
      <c r="H211" s="37"/>
      <c r="J211" s="37"/>
      <c r="L211" s="37"/>
      <c r="N211" s="37"/>
      <c r="P211" s="37"/>
      <c r="Q211" s="26"/>
      <c r="R211" s="38">
        <v>130.0</v>
      </c>
      <c r="T211" s="39">
        <v>130.0</v>
      </c>
      <c r="V211" s="37"/>
      <c r="X211" s="37"/>
      <c r="Z211" s="37"/>
      <c r="AB211" s="37"/>
      <c r="AC211" s="26"/>
      <c r="AD211" s="37"/>
      <c r="AF211" s="39">
        <v>0.0</v>
      </c>
      <c r="AH211" s="39">
        <v>0.0</v>
      </c>
      <c r="AJ211" s="36"/>
      <c r="AL211" s="37"/>
      <c r="AN211" s="37"/>
      <c r="AP211" s="37"/>
      <c r="AR211" s="37"/>
      <c r="AT211" s="37"/>
      <c r="AU211" s="26"/>
      <c r="AV211" s="35">
        <f t="shared" si="1"/>
        <v>2636.4</v>
      </c>
      <c r="AW211" s="33">
        <f t="shared" si="2"/>
        <v>260</v>
      </c>
      <c r="AX211" s="33">
        <f t="shared" si="3"/>
        <v>0</v>
      </c>
      <c r="AY211" s="33">
        <f t="shared" si="4"/>
        <v>260</v>
      </c>
      <c r="AZ211" s="30">
        <f t="shared" si="5"/>
        <v>10.14</v>
      </c>
    </row>
    <row r="212" ht="15.75" customHeight="1">
      <c r="A212" s="44" t="s">
        <v>46</v>
      </c>
      <c r="B212" s="45">
        <f t="shared" si="6"/>
        <v>44772</v>
      </c>
      <c r="C212" s="46">
        <v>8.0</v>
      </c>
      <c r="D212" s="46" t="s">
        <v>47</v>
      </c>
      <c r="E212" s="47"/>
      <c r="F212" s="60"/>
      <c r="G212" s="51"/>
      <c r="H212" s="61"/>
      <c r="I212" s="51"/>
      <c r="J212" s="61"/>
      <c r="K212" s="51"/>
      <c r="L212" s="61"/>
      <c r="M212" s="51"/>
      <c r="N212" s="61"/>
      <c r="O212" s="51"/>
      <c r="P212" s="61"/>
      <c r="Q212" s="53"/>
      <c r="R212" s="62">
        <v>0.0</v>
      </c>
      <c r="S212" s="51"/>
      <c r="T212" s="63">
        <v>0.0</v>
      </c>
      <c r="U212" s="51"/>
      <c r="V212" s="61"/>
      <c r="W212" s="51"/>
      <c r="X212" s="61"/>
      <c r="Y212" s="51"/>
      <c r="Z212" s="61"/>
      <c r="AA212" s="51"/>
      <c r="AB212" s="61"/>
      <c r="AC212" s="53"/>
      <c r="AD212" s="61"/>
      <c r="AE212" s="51"/>
      <c r="AF212" s="63">
        <v>0.0</v>
      </c>
      <c r="AG212" s="51"/>
      <c r="AH212" s="63">
        <v>0.0</v>
      </c>
      <c r="AI212" s="51"/>
      <c r="AJ212" s="60"/>
      <c r="AK212" s="51"/>
      <c r="AL212" s="61"/>
      <c r="AM212" s="51"/>
      <c r="AN212" s="61"/>
      <c r="AO212" s="51"/>
      <c r="AP212" s="61"/>
      <c r="AQ212" s="51"/>
      <c r="AR212" s="61"/>
      <c r="AS212" s="51"/>
      <c r="AT212" s="61"/>
      <c r="AU212" s="53"/>
      <c r="AV212" s="55">
        <f t="shared" si="1"/>
        <v>0</v>
      </c>
      <c r="AW212" s="46">
        <f t="shared" si="2"/>
        <v>0</v>
      </c>
      <c r="AX212" s="46">
        <f t="shared" si="3"/>
        <v>0</v>
      </c>
      <c r="AY212" s="46">
        <f t="shared" si="4"/>
        <v>0</v>
      </c>
      <c r="AZ212" s="56" t="str">
        <f t="shared" si="5"/>
        <v/>
      </c>
    </row>
    <row r="213" ht="15.75" customHeight="1">
      <c r="A213" s="19" t="s">
        <v>30</v>
      </c>
      <c r="B213" s="57">
        <f t="shared" si="6"/>
        <v>44773</v>
      </c>
      <c r="C213" s="21">
        <v>8.0</v>
      </c>
      <c r="D213" s="21" t="s">
        <v>48</v>
      </c>
      <c r="E213" s="23"/>
      <c r="F213" s="36"/>
      <c r="H213" s="37"/>
      <c r="J213" s="37"/>
      <c r="L213" s="37"/>
      <c r="N213" s="37"/>
      <c r="P213" s="37"/>
      <c r="Q213" s="26"/>
      <c r="R213" s="38">
        <v>130.0</v>
      </c>
      <c r="T213" s="39">
        <v>130.0</v>
      </c>
      <c r="V213" s="37"/>
      <c r="X213" s="37"/>
      <c r="Z213" s="37"/>
      <c r="AB213" s="37"/>
      <c r="AC213" s="26"/>
      <c r="AD213" s="37"/>
      <c r="AF213" s="37"/>
      <c r="AH213" s="37"/>
      <c r="AJ213" s="36"/>
      <c r="AL213" s="37"/>
      <c r="AN213" s="37"/>
      <c r="AP213" s="37"/>
      <c r="AR213" s="37"/>
      <c r="AT213" s="37"/>
      <c r="AU213" s="26"/>
      <c r="AV213" s="29">
        <f t="shared" si="1"/>
        <v>2636.4</v>
      </c>
      <c r="AW213" s="21">
        <f t="shared" si="2"/>
        <v>260</v>
      </c>
      <c r="AX213" s="21">
        <f t="shared" si="3"/>
        <v>0</v>
      </c>
      <c r="AY213" s="21">
        <f t="shared" si="4"/>
        <v>260</v>
      </c>
      <c r="AZ213" s="58">
        <f t="shared" si="5"/>
        <v>10.14</v>
      </c>
    </row>
    <row r="214" ht="15.75" customHeight="1">
      <c r="A214" s="31" t="s">
        <v>33</v>
      </c>
      <c r="B214" s="32">
        <f t="shared" si="6"/>
        <v>44774</v>
      </c>
      <c r="C214" s="33">
        <v>8.0</v>
      </c>
      <c r="D214" s="33" t="s">
        <v>48</v>
      </c>
      <c r="E214" s="34"/>
      <c r="F214" s="36"/>
      <c r="H214" s="37"/>
      <c r="J214" s="37"/>
      <c r="L214" s="37"/>
      <c r="N214" s="37"/>
      <c r="P214" s="37"/>
      <c r="Q214" s="26"/>
      <c r="R214" s="38">
        <v>130.0</v>
      </c>
      <c r="T214" s="39">
        <v>130.0</v>
      </c>
      <c r="V214" s="37"/>
      <c r="X214" s="37"/>
      <c r="Z214" s="37"/>
      <c r="AB214" s="37"/>
      <c r="AC214" s="26"/>
      <c r="AD214" s="37"/>
      <c r="AF214" s="37"/>
      <c r="AH214" s="37"/>
      <c r="AJ214" s="36"/>
      <c r="AL214" s="37"/>
      <c r="AN214" s="37"/>
      <c r="AP214" s="37"/>
      <c r="AR214" s="37"/>
      <c r="AT214" s="37"/>
      <c r="AU214" s="26"/>
      <c r="AV214" s="35">
        <f t="shared" si="1"/>
        <v>2636.4</v>
      </c>
      <c r="AW214" s="33">
        <f t="shared" si="2"/>
        <v>260</v>
      </c>
      <c r="AX214" s="33">
        <f t="shared" si="3"/>
        <v>0</v>
      </c>
      <c r="AY214" s="33">
        <f t="shared" si="4"/>
        <v>260</v>
      </c>
      <c r="AZ214" s="30">
        <f t="shared" si="5"/>
        <v>10.14</v>
      </c>
    </row>
    <row r="215" ht="15.75" customHeight="1">
      <c r="A215" s="31" t="s">
        <v>34</v>
      </c>
      <c r="B215" s="32">
        <f t="shared" si="6"/>
        <v>44775</v>
      </c>
      <c r="C215" s="33">
        <v>8.0</v>
      </c>
      <c r="D215" s="33" t="s">
        <v>48</v>
      </c>
      <c r="E215" s="34"/>
      <c r="F215" s="36"/>
      <c r="H215" s="37"/>
      <c r="J215" s="37"/>
      <c r="L215" s="37"/>
      <c r="N215" s="37"/>
      <c r="P215" s="37"/>
      <c r="Q215" s="26"/>
      <c r="R215" s="38">
        <v>130.0</v>
      </c>
      <c r="T215" s="39">
        <v>130.0</v>
      </c>
      <c r="V215" s="37"/>
      <c r="X215" s="37"/>
      <c r="Z215" s="37"/>
      <c r="AB215" s="37"/>
      <c r="AC215" s="26"/>
      <c r="AD215" s="37"/>
      <c r="AF215" s="37"/>
      <c r="AH215" s="37"/>
      <c r="AJ215" s="36"/>
      <c r="AL215" s="37"/>
      <c r="AN215" s="37"/>
      <c r="AP215" s="37"/>
      <c r="AR215" s="37"/>
      <c r="AT215" s="37"/>
      <c r="AU215" s="26"/>
      <c r="AV215" s="35">
        <f t="shared" si="1"/>
        <v>2636.4</v>
      </c>
      <c r="AW215" s="33">
        <f t="shared" si="2"/>
        <v>260</v>
      </c>
      <c r="AX215" s="33">
        <f t="shared" si="3"/>
        <v>0</v>
      </c>
      <c r="AY215" s="33">
        <f t="shared" si="4"/>
        <v>260</v>
      </c>
      <c r="AZ215" s="30">
        <f t="shared" si="5"/>
        <v>10.14</v>
      </c>
    </row>
    <row r="216" ht="15.75" customHeight="1">
      <c r="A216" s="31" t="s">
        <v>35</v>
      </c>
      <c r="B216" s="32">
        <f t="shared" si="6"/>
        <v>44776</v>
      </c>
      <c r="C216" s="33">
        <v>8.0</v>
      </c>
      <c r="D216" s="33" t="s">
        <v>48</v>
      </c>
      <c r="E216" s="34"/>
      <c r="F216" s="36"/>
      <c r="H216" s="37"/>
      <c r="J216" s="37"/>
      <c r="L216" s="37"/>
      <c r="N216" s="37"/>
      <c r="P216" s="37"/>
      <c r="Q216" s="26"/>
      <c r="R216" s="38">
        <v>130.0</v>
      </c>
      <c r="T216" s="39">
        <v>130.0</v>
      </c>
      <c r="V216" s="37"/>
      <c r="X216" s="37"/>
      <c r="Z216" s="37"/>
      <c r="AB216" s="37"/>
      <c r="AC216" s="26"/>
      <c r="AD216" s="37"/>
      <c r="AF216" s="37"/>
      <c r="AH216" s="37"/>
      <c r="AJ216" s="36"/>
      <c r="AL216" s="37"/>
      <c r="AN216" s="37"/>
      <c r="AP216" s="37"/>
      <c r="AR216" s="37"/>
      <c r="AT216" s="37"/>
      <c r="AU216" s="26"/>
      <c r="AV216" s="35">
        <f t="shared" si="1"/>
        <v>2636.4</v>
      </c>
      <c r="AW216" s="33">
        <f t="shared" si="2"/>
        <v>260</v>
      </c>
      <c r="AX216" s="33">
        <f t="shared" si="3"/>
        <v>0</v>
      </c>
      <c r="AY216" s="33">
        <f t="shared" si="4"/>
        <v>260</v>
      </c>
      <c r="AZ216" s="30">
        <f t="shared" si="5"/>
        <v>10.14</v>
      </c>
    </row>
    <row r="217" ht="15.75" customHeight="1">
      <c r="A217" s="31" t="s">
        <v>38</v>
      </c>
      <c r="B217" s="32">
        <f t="shared" si="6"/>
        <v>44777</v>
      </c>
      <c r="C217" s="33">
        <v>8.0</v>
      </c>
      <c r="D217" s="33" t="s">
        <v>48</v>
      </c>
      <c r="E217" s="34"/>
      <c r="F217" s="36"/>
      <c r="H217" s="37"/>
      <c r="J217" s="37"/>
      <c r="L217" s="37"/>
      <c r="N217" s="37"/>
      <c r="P217" s="37"/>
      <c r="Q217" s="26"/>
      <c r="R217" s="38">
        <v>130.0</v>
      </c>
      <c r="T217" s="39">
        <v>130.0</v>
      </c>
      <c r="V217" s="37"/>
      <c r="X217" s="37"/>
      <c r="Z217" s="37"/>
      <c r="AB217" s="37"/>
      <c r="AC217" s="26"/>
      <c r="AD217" s="37"/>
      <c r="AF217" s="37"/>
      <c r="AH217" s="37"/>
      <c r="AJ217" s="36"/>
      <c r="AL217" s="37"/>
      <c r="AN217" s="37"/>
      <c r="AP217" s="37"/>
      <c r="AR217" s="37"/>
      <c r="AT217" s="37"/>
      <c r="AU217" s="26"/>
      <c r="AV217" s="35">
        <f t="shared" si="1"/>
        <v>2636.4</v>
      </c>
      <c r="AW217" s="33">
        <f t="shared" si="2"/>
        <v>260</v>
      </c>
      <c r="AX217" s="33">
        <f t="shared" si="3"/>
        <v>0</v>
      </c>
      <c r="AY217" s="33">
        <f t="shared" si="4"/>
        <v>260</v>
      </c>
      <c r="AZ217" s="30">
        <f t="shared" si="5"/>
        <v>10.14</v>
      </c>
    </row>
    <row r="218" ht="15.75" customHeight="1">
      <c r="A218" s="31" t="s">
        <v>45</v>
      </c>
      <c r="B218" s="32">
        <f t="shared" si="6"/>
        <v>44778</v>
      </c>
      <c r="C218" s="33">
        <v>8.0</v>
      </c>
      <c r="D218" s="33" t="s">
        <v>48</v>
      </c>
      <c r="E218" s="34"/>
      <c r="F218" s="36"/>
      <c r="H218" s="37"/>
      <c r="J218" s="37"/>
      <c r="L218" s="37"/>
      <c r="N218" s="37"/>
      <c r="P218" s="37"/>
      <c r="Q218" s="26"/>
      <c r="R218" s="38">
        <v>130.0</v>
      </c>
      <c r="T218" s="39">
        <v>130.0</v>
      </c>
      <c r="V218" s="37"/>
      <c r="X218" s="37"/>
      <c r="Z218" s="37"/>
      <c r="AB218" s="37"/>
      <c r="AC218" s="26"/>
      <c r="AD218" s="37"/>
      <c r="AF218" s="37"/>
      <c r="AH218" s="37"/>
      <c r="AJ218" s="36"/>
      <c r="AL218" s="37"/>
      <c r="AN218" s="37"/>
      <c r="AP218" s="37"/>
      <c r="AR218" s="37"/>
      <c r="AT218" s="37"/>
      <c r="AU218" s="26"/>
      <c r="AV218" s="35">
        <f t="shared" si="1"/>
        <v>2636.4</v>
      </c>
      <c r="AW218" s="33">
        <f t="shared" si="2"/>
        <v>260</v>
      </c>
      <c r="AX218" s="33">
        <f t="shared" si="3"/>
        <v>0</v>
      </c>
      <c r="AY218" s="33">
        <f t="shared" si="4"/>
        <v>260</v>
      </c>
      <c r="AZ218" s="30">
        <f t="shared" si="5"/>
        <v>10.14</v>
      </c>
    </row>
    <row r="219" ht="15.75" customHeight="1">
      <c r="A219" s="44" t="s">
        <v>46</v>
      </c>
      <c r="B219" s="45">
        <f t="shared" si="6"/>
        <v>44779</v>
      </c>
      <c r="C219" s="46">
        <v>8.0</v>
      </c>
      <c r="D219" s="46" t="s">
        <v>48</v>
      </c>
      <c r="E219" s="47"/>
      <c r="F219" s="60"/>
      <c r="G219" s="51"/>
      <c r="H219" s="61"/>
      <c r="I219" s="51"/>
      <c r="J219" s="61"/>
      <c r="K219" s="51"/>
      <c r="L219" s="61"/>
      <c r="M219" s="51"/>
      <c r="N219" s="61"/>
      <c r="O219" s="51"/>
      <c r="P219" s="61"/>
      <c r="Q219" s="53"/>
      <c r="R219" s="62">
        <v>0.0</v>
      </c>
      <c r="S219" s="51"/>
      <c r="T219" s="63">
        <v>0.0</v>
      </c>
      <c r="U219" s="51"/>
      <c r="V219" s="61"/>
      <c r="W219" s="51"/>
      <c r="X219" s="61"/>
      <c r="Y219" s="51"/>
      <c r="Z219" s="61"/>
      <c r="AA219" s="51"/>
      <c r="AB219" s="61"/>
      <c r="AC219" s="53"/>
      <c r="AD219" s="61"/>
      <c r="AE219" s="51"/>
      <c r="AF219" s="61"/>
      <c r="AG219" s="51"/>
      <c r="AH219" s="61"/>
      <c r="AI219" s="51"/>
      <c r="AJ219" s="60"/>
      <c r="AK219" s="51"/>
      <c r="AL219" s="61"/>
      <c r="AM219" s="51"/>
      <c r="AN219" s="61"/>
      <c r="AO219" s="51"/>
      <c r="AP219" s="61"/>
      <c r="AQ219" s="51"/>
      <c r="AR219" s="61"/>
      <c r="AS219" s="51"/>
      <c r="AT219" s="61"/>
      <c r="AU219" s="53"/>
      <c r="AV219" s="55">
        <f t="shared" si="1"/>
        <v>0</v>
      </c>
      <c r="AW219" s="46">
        <f t="shared" si="2"/>
        <v>0</v>
      </c>
      <c r="AX219" s="46">
        <f t="shared" si="3"/>
        <v>0</v>
      </c>
      <c r="AY219" s="46">
        <f t="shared" si="4"/>
        <v>0</v>
      </c>
      <c r="AZ219" s="56" t="str">
        <f t="shared" si="5"/>
        <v/>
      </c>
    </row>
    <row r="220" ht="15.75" customHeight="1">
      <c r="A220" s="19" t="s">
        <v>30</v>
      </c>
      <c r="B220" s="57">
        <f t="shared" si="6"/>
        <v>44780</v>
      </c>
      <c r="C220" s="21">
        <v>8.0</v>
      </c>
      <c r="D220" s="21" t="s">
        <v>49</v>
      </c>
      <c r="E220" s="23"/>
      <c r="F220" s="36"/>
      <c r="H220" s="37"/>
      <c r="J220" s="37"/>
      <c r="L220" s="37"/>
      <c r="N220" s="37"/>
      <c r="P220" s="37"/>
      <c r="Q220" s="26"/>
      <c r="R220" s="38">
        <v>130.0</v>
      </c>
      <c r="T220" s="39">
        <v>130.0</v>
      </c>
      <c r="V220" s="37"/>
      <c r="X220" s="37"/>
      <c r="Z220" s="37"/>
      <c r="AB220" s="37"/>
      <c r="AC220" s="26"/>
      <c r="AD220" s="37"/>
      <c r="AF220" s="39">
        <v>40.0</v>
      </c>
      <c r="AH220" s="39">
        <v>40.0</v>
      </c>
      <c r="AJ220" s="36"/>
      <c r="AL220" s="37"/>
      <c r="AN220" s="37"/>
      <c r="AP220" s="37"/>
      <c r="AR220" s="37"/>
      <c r="AT220" s="37"/>
      <c r="AU220" s="26"/>
      <c r="AV220" s="29">
        <f t="shared" si="1"/>
        <v>3796.4</v>
      </c>
      <c r="AW220" s="21">
        <f t="shared" si="2"/>
        <v>340</v>
      </c>
      <c r="AX220" s="21">
        <f t="shared" si="3"/>
        <v>0</v>
      </c>
      <c r="AY220" s="21">
        <f t="shared" si="4"/>
        <v>340</v>
      </c>
      <c r="AZ220" s="58">
        <f t="shared" si="5"/>
        <v>11.16588235</v>
      </c>
    </row>
    <row r="221" ht="15.75" customHeight="1">
      <c r="A221" s="31" t="s">
        <v>33</v>
      </c>
      <c r="B221" s="32">
        <f t="shared" si="6"/>
        <v>44781</v>
      </c>
      <c r="C221" s="33">
        <v>8.0</v>
      </c>
      <c r="D221" s="33" t="s">
        <v>49</v>
      </c>
      <c r="E221" s="34"/>
      <c r="F221" s="36"/>
      <c r="H221" s="37"/>
      <c r="J221" s="37"/>
      <c r="L221" s="37"/>
      <c r="N221" s="37"/>
      <c r="P221" s="37"/>
      <c r="Q221" s="26"/>
      <c r="R221" s="38">
        <v>130.0</v>
      </c>
      <c r="T221" s="39">
        <v>130.0</v>
      </c>
      <c r="V221" s="37"/>
      <c r="X221" s="37"/>
      <c r="Z221" s="37"/>
      <c r="AB221" s="37"/>
      <c r="AC221" s="26"/>
      <c r="AD221" s="37"/>
      <c r="AF221" s="39">
        <v>40.0</v>
      </c>
      <c r="AH221" s="39">
        <v>40.0</v>
      </c>
      <c r="AJ221" s="36"/>
      <c r="AL221" s="37"/>
      <c r="AN221" s="37"/>
      <c r="AP221" s="37"/>
      <c r="AR221" s="37"/>
      <c r="AT221" s="37"/>
      <c r="AU221" s="26"/>
      <c r="AV221" s="35">
        <f t="shared" si="1"/>
        <v>3796.4</v>
      </c>
      <c r="AW221" s="33">
        <f t="shared" si="2"/>
        <v>340</v>
      </c>
      <c r="AX221" s="33">
        <f t="shared" si="3"/>
        <v>0</v>
      </c>
      <c r="AY221" s="33">
        <f t="shared" si="4"/>
        <v>340</v>
      </c>
      <c r="AZ221" s="30">
        <f t="shared" si="5"/>
        <v>11.16588235</v>
      </c>
    </row>
    <row r="222" ht="15.75" customHeight="1">
      <c r="A222" s="31" t="s">
        <v>34</v>
      </c>
      <c r="B222" s="32">
        <f t="shared" si="6"/>
        <v>44782</v>
      </c>
      <c r="C222" s="33">
        <v>8.0</v>
      </c>
      <c r="D222" s="33" t="s">
        <v>49</v>
      </c>
      <c r="E222" s="34"/>
      <c r="F222" s="36"/>
      <c r="H222" s="37"/>
      <c r="J222" s="37"/>
      <c r="L222" s="37"/>
      <c r="N222" s="37"/>
      <c r="P222" s="37"/>
      <c r="Q222" s="26"/>
      <c r="R222" s="38">
        <v>130.0</v>
      </c>
      <c r="T222" s="39">
        <v>130.0</v>
      </c>
      <c r="V222" s="37"/>
      <c r="X222" s="37"/>
      <c r="Z222" s="37"/>
      <c r="AB222" s="37"/>
      <c r="AC222" s="26"/>
      <c r="AD222" s="37"/>
      <c r="AF222" s="39">
        <v>40.0</v>
      </c>
      <c r="AH222" s="39">
        <v>40.0</v>
      </c>
      <c r="AJ222" s="36"/>
      <c r="AL222" s="37"/>
      <c r="AN222" s="37"/>
      <c r="AP222" s="37"/>
      <c r="AR222" s="37"/>
      <c r="AT222" s="37"/>
      <c r="AU222" s="26"/>
      <c r="AV222" s="35">
        <f t="shared" si="1"/>
        <v>3796.4</v>
      </c>
      <c r="AW222" s="33">
        <f t="shared" si="2"/>
        <v>340</v>
      </c>
      <c r="AX222" s="33">
        <f t="shared" si="3"/>
        <v>0</v>
      </c>
      <c r="AY222" s="33">
        <f t="shared" si="4"/>
        <v>340</v>
      </c>
      <c r="AZ222" s="30">
        <f t="shared" si="5"/>
        <v>11.16588235</v>
      </c>
    </row>
    <row r="223" ht="15.75" customHeight="1">
      <c r="A223" s="31" t="s">
        <v>35</v>
      </c>
      <c r="B223" s="32">
        <f t="shared" si="6"/>
        <v>44783</v>
      </c>
      <c r="C223" s="33">
        <v>8.0</v>
      </c>
      <c r="D223" s="33" t="s">
        <v>49</v>
      </c>
      <c r="E223" s="34"/>
      <c r="F223" s="36"/>
      <c r="H223" s="37"/>
      <c r="J223" s="37"/>
      <c r="L223" s="37"/>
      <c r="N223" s="37"/>
      <c r="P223" s="37"/>
      <c r="Q223" s="26"/>
      <c r="R223" s="38">
        <v>130.0</v>
      </c>
      <c r="T223" s="39">
        <v>130.0</v>
      </c>
      <c r="V223" s="37"/>
      <c r="X223" s="37"/>
      <c r="Z223" s="37"/>
      <c r="AB223" s="37"/>
      <c r="AC223" s="26"/>
      <c r="AD223" s="37"/>
      <c r="AF223" s="39">
        <v>40.0</v>
      </c>
      <c r="AH223" s="39">
        <v>40.0</v>
      </c>
      <c r="AJ223" s="36"/>
      <c r="AL223" s="37"/>
      <c r="AN223" s="37"/>
      <c r="AP223" s="37"/>
      <c r="AR223" s="37"/>
      <c r="AT223" s="37"/>
      <c r="AU223" s="26"/>
      <c r="AV223" s="35">
        <f t="shared" si="1"/>
        <v>3796.4</v>
      </c>
      <c r="AW223" s="33">
        <f t="shared" si="2"/>
        <v>340</v>
      </c>
      <c r="AX223" s="33">
        <f t="shared" si="3"/>
        <v>0</v>
      </c>
      <c r="AY223" s="33">
        <f t="shared" si="4"/>
        <v>340</v>
      </c>
      <c r="AZ223" s="30">
        <f t="shared" si="5"/>
        <v>11.16588235</v>
      </c>
    </row>
    <row r="224" ht="15.75" customHeight="1">
      <c r="A224" s="31" t="s">
        <v>38</v>
      </c>
      <c r="B224" s="32">
        <f t="shared" si="6"/>
        <v>44784</v>
      </c>
      <c r="C224" s="33">
        <v>8.0</v>
      </c>
      <c r="D224" s="33" t="s">
        <v>49</v>
      </c>
      <c r="E224" s="34"/>
      <c r="F224" s="36"/>
      <c r="H224" s="37"/>
      <c r="J224" s="37"/>
      <c r="L224" s="37"/>
      <c r="N224" s="37"/>
      <c r="P224" s="37"/>
      <c r="Q224" s="26"/>
      <c r="R224" s="38">
        <v>130.0</v>
      </c>
      <c r="T224" s="39">
        <v>130.0</v>
      </c>
      <c r="V224" s="37"/>
      <c r="X224" s="37"/>
      <c r="Z224" s="37"/>
      <c r="AB224" s="37"/>
      <c r="AC224" s="26"/>
      <c r="AD224" s="37"/>
      <c r="AF224" s="39">
        <v>40.0</v>
      </c>
      <c r="AH224" s="39">
        <v>40.0</v>
      </c>
      <c r="AJ224" s="36"/>
      <c r="AL224" s="37"/>
      <c r="AN224" s="37"/>
      <c r="AP224" s="37"/>
      <c r="AR224" s="37"/>
      <c r="AT224" s="37"/>
      <c r="AU224" s="26"/>
      <c r="AV224" s="35">
        <f t="shared" si="1"/>
        <v>3796.4</v>
      </c>
      <c r="AW224" s="33">
        <f t="shared" si="2"/>
        <v>340</v>
      </c>
      <c r="AX224" s="33">
        <f t="shared" si="3"/>
        <v>0</v>
      </c>
      <c r="AY224" s="33">
        <f t="shared" si="4"/>
        <v>340</v>
      </c>
      <c r="AZ224" s="30">
        <f t="shared" si="5"/>
        <v>11.16588235</v>
      </c>
    </row>
    <row r="225" ht="15.75" customHeight="1">
      <c r="A225" s="31" t="s">
        <v>45</v>
      </c>
      <c r="B225" s="32">
        <f t="shared" si="6"/>
        <v>44785</v>
      </c>
      <c r="C225" s="33">
        <v>8.0</v>
      </c>
      <c r="D225" s="33" t="s">
        <v>49</v>
      </c>
      <c r="E225" s="34"/>
      <c r="F225" s="36"/>
      <c r="H225" s="37"/>
      <c r="J225" s="37"/>
      <c r="L225" s="37"/>
      <c r="N225" s="37"/>
      <c r="P225" s="37"/>
      <c r="Q225" s="26"/>
      <c r="R225" s="38">
        <v>130.0</v>
      </c>
      <c r="T225" s="39">
        <v>130.0</v>
      </c>
      <c r="V225" s="37"/>
      <c r="X225" s="37"/>
      <c r="Z225" s="37"/>
      <c r="AB225" s="37"/>
      <c r="AC225" s="26"/>
      <c r="AD225" s="37"/>
      <c r="AF225" s="39">
        <v>0.0</v>
      </c>
      <c r="AH225" s="39">
        <v>0.0</v>
      </c>
      <c r="AJ225" s="36"/>
      <c r="AL225" s="37"/>
      <c r="AN225" s="37"/>
      <c r="AP225" s="37"/>
      <c r="AR225" s="37"/>
      <c r="AT225" s="37"/>
      <c r="AU225" s="26"/>
      <c r="AV225" s="35">
        <f t="shared" si="1"/>
        <v>2636.4</v>
      </c>
      <c r="AW225" s="33">
        <f t="shared" si="2"/>
        <v>260</v>
      </c>
      <c r="AX225" s="33">
        <f t="shared" si="3"/>
        <v>0</v>
      </c>
      <c r="AY225" s="33">
        <f t="shared" si="4"/>
        <v>260</v>
      </c>
      <c r="AZ225" s="30">
        <f t="shared" si="5"/>
        <v>10.14</v>
      </c>
    </row>
    <row r="226" ht="15.75" customHeight="1">
      <c r="A226" s="44" t="s">
        <v>46</v>
      </c>
      <c r="B226" s="45">
        <f t="shared" si="6"/>
        <v>44786</v>
      </c>
      <c r="C226" s="46">
        <v>8.0</v>
      </c>
      <c r="D226" s="46" t="s">
        <v>49</v>
      </c>
      <c r="E226" s="47"/>
      <c r="F226" s="60"/>
      <c r="G226" s="51"/>
      <c r="H226" s="61"/>
      <c r="I226" s="51"/>
      <c r="J226" s="61"/>
      <c r="K226" s="51"/>
      <c r="L226" s="61"/>
      <c r="M226" s="51"/>
      <c r="N226" s="61"/>
      <c r="O226" s="51"/>
      <c r="P226" s="61"/>
      <c r="Q226" s="53"/>
      <c r="R226" s="62">
        <v>0.0</v>
      </c>
      <c r="S226" s="51"/>
      <c r="T226" s="63">
        <v>0.0</v>
      </c>
      <c r="U226" s="51"/>
      <c r="V226" s="61"/>
      <c r="W226" s="51"/>
      <c r="X226" s="61"/>
      <c r="Y226" s="51"/>
      <c r="Z226" s="61"/>
      <c r="AA226" s="51"/>
      <c r="AB226" s="61"/>
      <c r="AC226" s="53"/>
      <c r="AD226" s="61"/>
      <c r="AE226" s="51"/>
      <c r="AF226" s="63">
        <v>0.0</v>
      </c>
      <c r="AG226" s="51"/>
      <c r="AH226" s="63">
        <v>0.0</v>
      </c>
      <c r="AI226" s="51"/>
      <c r="AJ226" s="60"/>
      <c r="AK226" s="51"/>
      <c r="AL226" s="61"/>
      <c r="AM226" s="51"/>
      <c r="AN226" s="61"/>
      <c r="AO226" s="51"/>
      <c r="AP226" s="61"/>
      <c r="AQ226" s="51"/>
      <c r="AR226" s="61"/>
      <c r="AS226" s="51"/>
      <c r="AT226" s="61"/>
      <c r="AU226" s="53"/>
      <c r="AV226" s="55">
        <f t="shared" si="1"/>
        <v>0</v>
      </c>
      <c r="AW226" s="46">
        <f t="shared" si="2"/>
        <v>0</v>
      </c>
      <c r="AX226" s="46">
        <f t="shared" si="3"/>
        <v>0</v>
      </c>
      <c r="AY226" s="46">
        <f t="shared" si="4"/>
        <v>0</v>
      </c>
      <c r="AZ226" s="56" t="str">
        <f t="shared" si="5"/>
        <v/>
      </c>
    </row>
    <row r="227" ht="15.75" customHeight="1">
      <c r="A227" s="19" t="s">
        <v>30</v>
      </c>
      <c r="B227" s="57">
        <f t="shared" si="6"/>
        <v>44787</v>
      </c>
      <c r="C227" s="21">
        <v>9.0</v>
      </c>
      <c r="D227" s="21" t="s">
        <v>31</v>
      </c>
      <c r="E227" s="23"/>
      <c r="F227" s="36"/>
      <c r="H227" s="37"/>
      <c r="J227" s="37"/>
      <c r="L227" s="37"/>
      <c r="N227" s="37"/>
      <c r="P227" s="37"/>
      <c r="Q227" s="26"/>
      <c r="R227" s="38">
        <v>130.0</v>
      </c>
      <c r="T227" s="39">
        <v>130.0</v>
      </c>
      <c r="V227" s="37"/>
      <c r="X227" s="37"/>
      <c r="Z227" s="37"/>
      <c r="AB227" s="37"/>
      <c r="AC227" s="26"/>
      <c r="AD227" s="37"/>
      <c r="AF227" s="37"/>
      <c r="AH227" s="37"/>
      <c r="AJ227" s="36"/>
      <c r="AL227" s="37"/>
      <c r="AN227" s="37"/>
      <c r="AP227" s="37"/>
      <c r="AR227" s="37"/>
      <c r="AT227" s="37"/>
      <c r="AU227" s="26"/>
      <c r="AV227" s="29">
        <f t="shared" si="1"/>
        <v>2636.4</v>
      </c>
      <c r="AW227" s="21">
        <f t="shared" si="2"/>
        <v>260</v>
      </c>
      <c r="AX227" s="21">
        <f t="shared" si="3"/>
        <v>0</v>
      </c>
      <c r="AY227" s="21">
        <f t="shared" si="4"/>
        <v>260</v>
      </c>
      <c r="AZ227" s="58">
        <f t="shared" si="5"/>
        <v>10.14</v>
      </c>
    </row>
    <row r="228" ht="15.75" customHeight="1">
      <c r="A228" s="31" t="s">
        <v>33</v>
      </c>
      <c r="B228" s="32">
        <f t="shared" si="6"/>
        <v>44788</v>
      </c>
      <c r="C228" s="33">
        <v>9.0</v>
      </c>
      <c r="D228" s="33" t="s">
        <v>31</v>
      </c>
      <c r="E228" s="34"/>
      <c r="F228" s="36"/>
      <c r="H228" s="37"/>
      <c r="J228" s="37"/>
      <c r="L228" s="37"/>
      <c r="N228" s="37"/>
      <c r="P228" s="37"/>
      <c r="Q228" s="26"/>
      <c r="R228" s="38">
        <v>130.0</v>
      </c>
      <c r="T228" s="39">
        <v>130.0</v>
      </c>
      <c r="V228" s="37"/>
      <c r="X228" s="37"/>
      <c r="Z228" s="37"/>
      <c r="AB228" s="37"/>
      <c r="AC228" s="26"/>
      <c r="AD228" s="37"/>
      <c r="AF228" s="37"/>
      <c r="AH228" s="37"/>
      <c r="AJ228" s="36"/>
      <c r="AL228" s="37"/>
      <c r="AN228" s="37"/>
      <c r="AP228" s="37"/>
      <c r="AR228" s="37"/>
      <c r="AT228" s="37"/>
      <c r="AU228" s="26"/>
      <c r="AV228" s="35">
        <f t="shared" si="1"/>
        <v>2636.4</v>
      </c>
      <c r="AW228" s="33">
        <f t="shared" si="2"/>
        <v>260</v>
      </c>
      <c r="AX228" s="33">
        <f t="shared" si="3"/>
        <v>0</v>
      </c>
      <c r="AY228" s="33">
        <f t="shared" si="4"/>
        <v>260</v>
      </c>
      <c r="AZ228" s="30">
        <f t="shared" si="5"/>
        <v>10.14</v>
      </c>
    </row>
    <row r="229" ht="15.75" customHeight="1">
      <c r="A229" s="31" t="s">
        <v>34</v>
      </c>
      <c r="B229" s="32">
        <f t="shared" si="6"/>
        <v>44789</v>
      </c>
      <c r="C229" s="33">
        <v>9.0</v>
      </c>
      <c r="D229" s="33" t="s">
        <v>31</v>
      </c>
      <c r="E229" s="34"/>
      <c r="F229" s="36"/>
      <c r="H229" s="37"/>
      <c r="J229" s="37"/>
      <c r="L229" s="37"/>
      <c r="N229" s="37"/>
      <c r="P229" s="37"/>
      <c r="Q229" s="26"/>
      <c r="R229" s="38">
        <v>130.0</v>
      </c>
      <c r="T229" s="39">
        <v>130.0</v>
      </c>
      <c r="V229" s="37"/>
      <c r="X229" s="37"/>
      <c r="Z229" s="37"/>
      <c r="AB229" s="37"/>
      <c r="AC229" s="26"/>
      <c r="AD229" s="37"/>
      <c r="AF229" s="37"/>
      <c r="AH229" s="37"/>
      <c r="AJ229" s="36"/>
      <c r="AL229" s="37"/>
      <c r="AN229" s="37"/>
      <c r="AP229" s="37"/>
      <c r="AR229" s="37"/>
      <c r="AT229" s="37"/>
      <c r="AU229" s="26"/>
      <c r="AV229" s="35">
        <f t="shared" si="1"/>
        <v>2636.4</v>
      </c>
      <c r="AW229" s="33">
        <f t="shared" si="2"/>
        <v>260</v>
      </c>
      <c r="AX229" s="33">
        <f t="shared" si="3"/>
        <v>0</v>
      </c>
      <c r="AY229" s="33">
        <f t="shared" si="4"/>
        <v>260</v>
      </c>
      <c r="AZ229" s="30">
        <f t="shared" si="5"/>
        <v>10.14</v>
      </c>
    </row>
    <row r="230" ht="15.75" customHeight="1">
      <c r="A230" s="31" t="s">
        <v>35</v>
      </c>
      <c r="B230" s="32">
        <f t="shared" si="6"/>
        <v>44790</v>
      </c>
      <c r="C230" s="33">
        <v>9.0</v>
      </c>
      <c r="D230" s="33" t="s">
        <v>31</v>
      </c>
      <c r="E230" s="34"/>
      <c r="F230" s="36"/>
      <c r="H230" s="37"/>
      <c r="J230" s="37"/>
      <c r="L230" s="37"/>
      <c r="N230" s="37"/>
      <c r="P230" s="37"/>
      <c r="Q230" s="26"/>
      <c r="R230" s="38">
        <v>130.0</v>
      </c>
      <c r="T230" s="39">
        <v>130.0</v>
      </c>
      <c r="V230" s="37"/>
      <c r="X230" s="37"/>
      <c r="Z230" s="37"/>
      <c r="AB230" s="37"/>
      <c r="AC230" s="26"/>
      <c r="AD230" s="37"/>
      <c r="AF230" s="37"/>
      <c r="AH230" s="37"/>
      <c r="AJ230" s="36"/>
      <c r="AL230" s="37"/>
      <c r="AN230" s="37"/>
      <c r="AP230" s="37"/>
      <c r="AR230" s="37"/>
      <c r="AT230" s="37"/>
      <c r="AU230" s="26"/>
      <c r="AV230" s="35">
        <f t="shared" si="1"/>
        <v>2636.4</v>
      </c>
      <c r="AW230" s="33">
        <f t="shared" si="2"/>
        <v>260</v>
      </c>
      <c r="AX230" s="33">
        <f t="shared" si="3"/>
        <v>0</v>
      </c>
      <c r="AY230" s="33">
        <f t="shared" si="4"/>
        <v>260</v>
      </c>
      <c r="AZ230" s="30">
        <f t="shared" si="5"/>
        <v>10.14</v>
      </c>
    </row>
    <row r="231" ht="15.75" customHeight="1">
      <c r="A231" s="31" t="s">
        <v>38</v>
      </c>
      <c r="B231" s="32">
        <f t="shared" si="6"/>
        <v>44791</v>
      </c>
      <c r="C231" s="33">
        <v>9.0</v>
      </c>
      <c r="D231" s="33" t="s">
        <v>31</v>
      </c>
      <c r="E231" s="34"/>
      <c r="F231" s="36"/>
      <c r="H231" s="37"/>
      <c r="J231" s="37"/>
      <c r="L231" s="37"/>
      <c r="N231" s="37"/>
      <c r="P231" s="37"/>
      <c r="Q231" s="26"/>
      <c r="R231" s="38">
        <v>130.0</v>
      </c>
      <c r="T231" s="39">
        <v>130.0</v>
      </c>
      <c r="V231" s="37"/>
      <c r="X231" s="37"/>
      <c r="Z231" s="37"/>
      <c r="AB231" s="37"/>
      <c r="AC231" s="26"/>
      <c r="AD231" s="37"/>
      <c r="AF231" s="37"/>
      <c r="AH231" s="37"/>
      <c r="AJ231" s="36"/>
      <c r="AL231" s="37"/>
      <c r="AN231" s="37"/>
      <c r="AP231" s="37"/>
      <c r="AR231" s="37"/>
      <c r="AT231" s="37"/>
      <c r="AU231" s="26"/>
      <c r="AV231" s="35">
        <f t="shared" si="1"/>
        <v>2636.4</v>
      </c>
      <c r="AW231" s="33">
        <f t="shared" si="2"/>
        <v>260</v>
      </c>
      <c r="AX231" s="33">
        <f t="shared" si="3"/>
        <v>0</v>
      </c>
      <c r="AY231" s="33">
        <f t="shared" si="4"/>
        <v>260</v>
      </c>
      <c r="AZ231" s="30">
        <f t="shared" si="5"/>
        <v>10.14</v>
      </c>
    </row>
    <row r="232" ht="15.75" customHeight="1">
      <c r="A232" s="31" t="s">
        <v>45</v>
      </c>
      <c r="B232" s="32">
        <f t="shared" si="6"/>
        <v>44792</v>
      </c>
      <c r="C232" s="33">
        <v>9.0</v>
      </c>
      <c r="D232" s="33" t="s">
        <v>31</v>
      </c>
      <c r="E232" s="34"/>
      <c r="F232" s="36"/>
      <c r="H232" s="37"/>
      <c r="J232" s="37"/>
      <c r="L232" s="37"/>
      <c r="N232" s="37"/>
      <c r="P232" s="37"/>
      <c r="Q232" s="26"/>
      <c r="R232" s="38">
        <v>130.0</v>
      </c>
      <c r="T232" s="39">
        <v>130.0</v>
      </c>
      <c r="V232" s="37"/>
      <c r="X232" s="37"/>
      <c r="Z232" s="37"/>
      <c r="AB232" s="37"/>
      <c r="AC232" s="26"/>
      <c r="AD232" s="37"/>
      <c r="AF232" s="37"/>
      <c r="AH232" s="37"/>
      <c r="AJ232" s="36"/>
      <c r="AL232" s="37"/>
      <c r="AN232" s="37"/>
      <c r="AP232" s="37"/>
      <c r="AR232" s="37"/>
      <c r="AT232" s="37"/>
      <c r="AU232" s="26"/>
      <c r="AV232" s="35">
        <f t="shared" si="1"/>
        <v>2636.4</v>
      </c>
      <c r="AW232" s="33">
        <f t="shared" si="2"/>
        <v>260</v>
      </c>
      <c r="AX232" s="33">
        <f t="shared" si="3"/>
        <v>0</v>
      </c>
      <c r="AY232" s="33">
        <f t="shared" si="4"/>
        <v>260</v>
      </c>
      <c r="AZ232" s="30">
        <f t="shared" si="5"/>
        <v>10.14</v>
      </c>
    </row>
    <row r="233" ht="15.75" customHeight="1">
      <c r="A233" s="44" t="s">
        <v>46</v>
      </c>
      <c r="B233" s="45">
        <f t="shared" si="6"/>
        <v>44793</v>
      </c>
      <c r="C233" s="46">
        <v>9.0</v>
      </c>
      <c r="D233" s="46" t="s">
        <v>31</v>
      </c>
      <c r="E233" s="47"/>
      <c r="F233" s="60"/>
      <c r="G233" s="51"/>
      <c r="H233" s="61"/>
      <c r="I233" s="51"/>
      <c r="J233" s="61"/>
      <c r="K233" s="51"/>
      <c r="L233" s="61"/>
      <c r="M233" s="51"/>
      <c r="N233" s="61"/>
      <c r="O233" s="51"/>
      <c r="P233" s="61"/>
      <c r="Q233" s="53"/>
      <c r="R233" s="62">
        <v>0.0</v>
      </c>
      <c r="S233" s="51"/>
      <c r="T233" s="63">
        <v>0.0</v>
      </c>
      <c r="U233" s="51"/>
      <c r="V233" s="61"/>
      <c r="W233" s="51"/>
      <c r="X233" s="61"/>
      <c r="Y233" s="51"/>
      <c r="Z233" s="61"/>
      <c r="AA233" s="51"/>
      <c r="AB233" s="61"/>
      <c r="AC233" s="53"/>
      <c r="AD233" s="61"/>
      <c r="AE233" s="51"/>
      <c r="AF233" s="61"/>
      <c r="AG233" s="51"/>
      <c r="AH233" s="61"/>
      <c r="AI233" s="51"/>
      <c r="AJ233" s="60"/>
      <c r="AK233" s="51"/>
      <c r="AL233" s="61"/>
      <c r="AM233" s="51"/>
      <c r="AN233" s="61"/>
      <c r="AO233" s="51"/>
      <c r="AP233" s="61"/>
      <c r="AQ233" s="51"/>
      <c r="AR233" s="61"/>
      <c r="AS233" s="51"/>
      <c r="AT233" s="61"/>
      <c r="AU233" s="53"/>
      <c r="AV233" s="55">
        <f t="shared" si="1"/>
        <v>0</v>
      </c>
      <c r="AW233" s="46">
        <f t="shared" si="2"/>
        <v>0</v>
      </c>
      <c r="AX233" s="46">
        <f t="shared" si="3"/>
        <v>0</v>
      </c>
      <c r="AY233" s="46">
        <f t="shared" si="4"/>
        <v>0</v>
      </c>
      <c r="AZ233" s="56" t="str">
        <f t="shared" si="5"/>
        <v/>
      </c>
    </row>
    <row r="234" ht="15.75" customHeight="1">
      <c r="A234" s="19" t="s">
        <v>30</v>
      </c>
      <c r="B234" s="57">
        <f t="shared" si="6"/>
        <v>44794</v>
      </c>
      <c r="C234" s="21">
        <v>9.0</v>
      </c>
      <c r="D234" s="21" t="s">
        <v>47</v>
      </c>
      <c r="E234" s="23"/>
      <c r="F234" s="36"/>
      <c r="H234" s="37"/>
      <c r="J234" s="37"/>
      <c r="L234" s="37"/>
      <c r="N234" s="37"/>
      <c r="P234" s="37"/>
      <c r="Q234" s="26"/>
      <c r="R234" s="38">
        <v>130.0</v>
      </c>
      <c r="T234" s="39">
        <v>130.0</v>
      </c>
      <c r="V234" s="37"/>
      <c r="X234" s="37"/>
      <c r="Z234" s="37"/>
      <c r="AB234" s="37"/>
      <c r="AC234" s="26"/>
      <c r="AD234" s="37"/>
      <c r="AF234" s="39">
        <v>40.0</v>
      </c>
      <c r="AH234" s="39">
        <v>40.0</v>
      </c>
      <c r="AJ234" s="36"/>
      <c r="AL234" s="37"/>
      <c r="AN234" s="37"/>
      <c r="AP234" s="37"/>
      <c r="AR234" s="37"/>
      <c r="AT234" s="37"/>
      <c r="AU234" s="26"/>
      <c r="AV234" s="29">
        <f t="shared" si="1"/>
        <v>3796.4</v>
      </c>
      <c r="AW234" s="21">
        <f t="shared" si="2"/>
        <v>340</v>
      </c>
      <c r="AX234" s="21">
        <f t="shared" si="3"/>
        <v>0</v>
      </c>
      <c r="AY234" s="21">
        <f t="shared" si="4"/>
        <v>340</v>
      </c>
      <c r="AZ234" s="58">
        <f t="shared" si="5"/>
        <v>11.16588235</v>
      </c>
    </row>
    <row r="235" ht="15.75" customHeight="1">
      <c r="A235" s="31" t="s">
        <v>33</v>
      </c>
      <c r="B235" s="32">
        <f t="shared" si="6"/>
        <v>44795</v>
      </c>
      <c r="C235" s="33">
        <v>9.0</v>
      </c>
      <c r="D235" s="33" t="s">
        <v>47</v>
      </c>
      <c r="E235" s="34"/>
      <c r="F235" s="36"/>
      <c r="H235" s="37"/>
      <c r="J235" s="37"/>
      <c r="L235" s="37"/>
      <c r="N235" s="37"/>
      <c r="P235" s="37"/>
      <c r="Q235" s="26"/>
      <c r="R235" s="38">
        <v>130.0</v>
      </c>
      <c r="T235" s="39">
        <v>130.0</v>
      </c>
      <c r="V235" s="37"/>
      <c r="X235" s="37"/>
      <c r="Z235" s="37"/>
      <c r="AB235" s="37"/>
      <c r="AC235" s="26"/>
      <c r="AD235" s="37"/>
      <c r="AF235" s="39">
        <v>40.0</v>
      </c>
      <c r="AH235" s="39">
        <v>40.0</v>
      </c>
      <c r="AJ235" s="36"/>
      <c r="AL235" s="37"/>
      <c r="AN235" s="37"/>
      <c r="AP235" s="37"/>
      <c r="AR235" s="37"/>
      <c r="AT235" s="37"/>
      <c r="AU235" s="26"/>
      <c r="AV235" s="35">
        <f t="shared" si="1"/>
        <v>3796.4</v>
      </c>
      <c r="AW235" s="33">
        <f t="shared" si="2"/>
        <v>340</v>
      </c>
      <c r="AX235" s="33">
        <f t="shared" si="3"/>
        <v>0</v>
      </c>
      <c r="AY235" s="33">
        <f t="shared" si="4"/>
        <v>340</v>
      </c>
      <c r="AZ235" s="30">
        <f t="shared" si="5"/>
        <v>11.16588235</v>
      </c>
    </row>
    <row r="236" ht="15.75" customHeight="1">
      <c r="A236" s="31" t="s">
        <v>34</v>
      </c>
      <c r="B236" s="32">
        <f t="shared" si="6"/>
        <v>44796</v>
      </c>
      <c r="C236" s="33">
        <v>9.0</v>
      </c>
      <c r="D236" s="33" t="s">
        <v>47</v>
      </c>
      <c r="E236" s="34"/>
      <c r="F236" s="36"/>
      <c r="H236" s="37"/>
      <c r="J236" s="37"/>
      <c r="L236" s="37"/>
      <c r="N236" s="37"/>
      <c r="P236" s="37"/>
      <c r="Q236" s="26"/>
      <c r="R236" s="38">
        <v>130.0</v>
      </c>
      <c r="T236" s="39">
        <v>130.0</v>
      </c>
      <c r="V236" s="37"/>
      <c r="X236" s="37"/>
      <c r="Z236" s="37"/>
      <c r="AB236" s="37"/>
      <c r="AC236" s="26"/>
      <c r="AD236" s="37"/>
      <c r="AF236" s="39">
        <v>40.0</v>
      </c>
      <c r="AH236" s="39">
        <v>40.0</v>
      </c>
      <c r="AJ236" s="36"/>
      <c r="AL236" s="37"/>
      <c r="AN236" s="37"/>
      <c r="AP236" s="37"/>
      <c r="AR236" s="37"/>
      <c r="AT236" s="37"/>
      <c r="AU236" s="26"/>
      <c r="AV236" s="35">
        <f t="shared" si="1"/>
        <v>3796.4</v>
      </c>
      <c r="AW236" s="33">
        <f t="shared" si="2"/>
        <v>340</v>
      </c>
      <c r="AX236" s="33">
        <f t="shared" si="3"/>
        <v>0</v>
      </c>
      <c r="AY236" s="33">
        <f t="shared" si="4"/>
        <v>340</v>
      </c>
      <c r="AZ236" s="30">
        <f t="shared" si="5"/>
        <v>11.16588235</v>
      </c>
    </row>
    <row r="237" ht="15.75" customHeight="1">
      <c r="A237" s="31" t="s">
        <v>35</v>
      </c>
      <c r="B237" s="32">
        <f t="shared" si="6"/>
        <v>44797</v>
      </c>
      <c r="C237" s="33">
        <v>9.0</v>
      </c>
      <c r="D237" s="33" t="s">
        <v>47</v>
      </c>
      <c r="E237" s="34"/>
      <c r="F237" s="36"/>
      <c r="H237" s="37"/>
      <c r="J237" s="37"/>
      <c r="L237" s="37"/>
      <c r="N237" s="37"/>
      <c r="P237" s="37"/>
      <c r="Q237" s="26"/>
      <c r="R237" s="38">
        <v>130.0</v>
      </c>
      <c r="T237" s="39">
        <v>130.0</v>
      </c>
      <c r="V237" s="37"/>
      <c r="X237" s="37"/>
      <c r="Z237" s="37"/>
      <c r="AB237" s="37"/>
      <c r="AC237" s="26"/>
      <c r="AD237" s="37"/>
      <c r="AF237" s="39">
        <v>40.0</v>
      </c>
      <c r="AH237" s="39">
        <v>40.0</v>
      </c>
      <c r="AJ237" s="36"/>
      <c r="AL237" s="37"/>
      <c r="AN237" s="37"/>
      <c r="AP237" s="37"/>
      <c r="AR237" s="37"/>
      <c r="AT237" s="37"/>
      <c r="AU237" s="26"/>
      <c r="AV237" s="35">
        <f t="shared" si="1"/>
        <v>3796.4</v>
      </c>
      <c r="AW237" s="33">
        <f t="shared" si="2"/>
        <v>340</v>
      </c>
      <c r="AX237" s="33">
        <f t="shared" si="3"/>
        <v>0</v>
      </c>
      <c r="AY237" s="33">
        <f t="shared" si="4"/>
        <v>340</v>
      </c>
      <c r="AZ237" s="30">
        <f t="shared" si="5"/>
        <v>11.16588235</v>
      </c>
    </row>
    <row r="238" ht="15.75" customHeight="1">
      <c r="A238" s="31" t="s">
        <v>38</v>
      </c>
      <c r="B238" s="32">
        <f t="shared" si="6"/>
        <v>44798</v>
      </c>
      <c r="C238" s="33">
        <v>9.0</v>
      </c>
      <c r="D238" s="33" t="s">
        <v>47</v>
      </c>
      <c r="E238" s="34"/>
      <c r="F238" s="36"/>
      <c r="H238" s="37"/>
      <c r="J238" s="37"/>
      <c r="L238" s="37"/>
      <c r="N238" s="37"/>
      <c r="P238" s="37"/>
      <c r="Q238" s="26"/>
      <c r="R238" s="38">
        <v>130.0</v>
      </c>
      <c r="T238" s="39">
        <v>130.0</v>
      </c>
      <c r="V238" s="37"/>
      <c r="X238" s="37"/>
      <c r="Z238" s="37"/>
      <c r="AB238" s="37"/>
      <c r="AC238" s="26"/>
      <c r="AD238" s="37"/>
      <c r="AF238" s="39">
        <v>40.0</v>
      </c>
      <c r="AH238" s="39">
        <v>40.0</v>
      </c>
      <c r="AJ238" s="36"/>
      <c r="AL238" s="37"/>
      <c r="AN238" s="37"/>
      <c r="AP238" s="37"/>
      <c r="AR238" s="37"/>
      <c r="AT238" s="37"/>
      <c r="AU238" s="26"/>
      <c r="AV238" s="35">
        <f t="shared" si="1"/>
        <v>3796.4</v>
      </c>
      <c r="AW238" s="33">
        <f t="shared" si="2"/>
        <v>340</v>
      </c>
      <c r="AX238" s="33">
        <f t="shared" si="3"/>
        <v>0</v>
      </c>
      <c r="AY238" s="33">
        <f t="shared" si="4"/>
        <v>340</v>
      </c>
      <c r="AZ238" s="30">
        <f t="shared" si="5"/>
        <v>11.16588235</v>
      </c>
    </row>
    <row r="239" ht="15.75" customHeight="1">
      <c r="A239" s="31" t="s">
        <v>45</v>
      </c>
      <c r="B239" s="32">
        <f t="shared" si="6"/>
        <v>44799</v>
      </c>
      <c r="C239" s="33">
        <v>9.0</v>
      </c>
      <c r="D239" s="33" t="s">
        <v>47</v>
      </c>
      <c r="E239" s="34"/>
      <c r="F239" s="36"/>
      <c r="H239" s="37"/>
      <c r="J239" s="37"/>
      <c r="L239" s="37"/>
      <c r="N239" s="37"/>
      <c r="P239" s="37"/>
      <c r="Q239" s="26"/>
      <c r="R239" s="38">
        <v>130.0</v>
      </c>
      <c r="T239" s="39">
        <v>130.0</v>
      </c>
      <c r="V239" s="37"/>
      <c r="X239" s="37"/>
      <c r="Z239" s="37"/>
      <c r="AB239" s="37"/>
      <c r="AC239" s="26"/>
      <c r="AD239" s="37"/>
      <c r="AF239" s="39">
        <v>0.0</v>
      </c>
      <c r="AH239" s="39">
        <v>0.0</v>
      </c>
      <c r="AJ239" s="36"/>
      <c r="AL239" s="37"/>
      <c r="AN239" s="37"/>
      <c r="AP239" s="37"/>
      <c r="AR239" s="37"/>
      <c r="AT239" s="37"/>
      <c r="AU239" s="26"/>
      <c r="AV239" s="35">
        <f t="shared" si="1"/>
        <v>2636.4</v>
      </c>
      <c r="AW239" s="33">
        <f t="shared" si="2"/>
        <v>260</v>
      </c>
      <c r="AX239" s="33">
        <f t="shared" si="3"/>
        <v>0</v>
      </c>
      <c r="AY239" s="33">
        <f t="shared" si="4"/>
        <v>260</v>
      </c>
      <c r="AZ239" s="30">
        <f t="shared" si="5"/>
        <v>10.14</v>
      </c>
    </row>
    <row r="240" ht="15.75" customHeight="1">
      <c r="A240" s="44" t="s">
        <v>46</v>
      </c>
      <c r="B240" s="45">
        <f t="shared" si="6"/>
        <v>44800</v>
      </c>
      <c r="C240" s="46">
        <v>9.0</v>
      </c>
      <c r="D240" s="46" t="s">
        <v>47</v>
      </c>
      <c r="E240" s="47"/>
      <c r="F240" s="60"/>
      <c r="G240" s="51"/>
      <c r="H240" s="61"/>
      <c r="I240" s="51"/>
      <c r="J240" s="61"/>
      <c r="K240" s="51"/>
      <c r="L240" s="61"/>
      <c r="M240" s="51"/>
      <c r="N240" s="61"/>
      <c r="O240" s="51"/>
      <c r="P240" s="61"/>
      <c r="Q240" s="53"/>
      <c r="R240" s="62">
        <v>0.0</v>
      </c>
      <c r="S240" s="51"/>
      <c r="T240" s="63">
        <v>0.0</v>
      </c>
      <c r="U240" s="51"/>
      <c r="V240" s="61"/>
      <c r="W240" s="51"/>
      <c r="X240" s="61"/>
      <c r="Y240" s="51"/>
      <c r="Z240" s="61"/>
      <c r="AA240" s="51"/>
      <c r="AB240" s="61"/>
      <c r="AC240" s="53"/>
      <c r="AD240" s="61"/>
      <c r="AE240" s="51"/>
      <c r="AF240" s="63">
        <v>0.0</v>
      </c>
      <c r="AG240" s="51"/>
      <c r="AH240" s="63">
        <v>0.0</v>
      </c>
      <c r="AI240" s="51"/>
      <c r="AJ240" s="60"/>
      <c r="AK240" s="51"/>
      <c r="AL240" s="61"/>
      <c r="AM240" s="51"/>
      <c r="AN240" s="61"/>
      <c r="AO240" s="51"/>
      <c r="AP240" s="61"/>
      <c r="AQ240" s="51"/>
      <c r="AR240" s="61"/>
      <c r="AS240" s="51"/>
      <c r="AT240" s="61"/>
      <c r="AU240" s="53"/>
      <c r="AV240" s="55">
        <f t="shared" si="1"/>
        <v>0</v>
      </c>
      <c r="AW240" s="46">
        <f t="shared" si="2"/>
        <v>0</v>
      </c>
      <c r="AX240" s="46">
        <f t="shared" si="3"/>
        <v>0</v>
      </c>
      <c r="AY240" s="46">
        <f t="shared" si="4"/>
        <v>0</v>
      </c>
      <c r="AZ240" s="56" t="str">
        <f t="shared" si="5"/>
        <v/>
      </c>
    </row>
    <row r="241" ht="15.75" customHeight="1">
      <c r="A241" s="19" t="s">
        <v>30</v>
      </c>
      <c r="B241" s="57">
        <f t="shared" si="6"/>
        <v>44801</v>
      </c>
      <c r="C241" s="21">
        <v>9.0</v>
      </c>
      <c r="D241" s="21" t="s">
        <v>48</v>
      </c>
      <c r="E241" s="23"/>
      <c r="F241" s="36"/>
      <c r="H241" s="37"/>
      <c r="J241" s="37"/>
      <c r="L241" s="37"/>
      <c r="N241" s="37"/>
      <c r="P241" s="37"/>
      <c r="Q241" s="26"/>
      <c r="R241" s="38">
        <v>130.0</v>
      </c>
      <c r="T241" s="39">
        <v>130.0</v>
      </c>
      <c r="V241" s="37"/>
      <c r="X241" s="37"/>
      <c r="Z241" s="37"/>
      <c r="AB241" s="37"/>
      <c r="AC241" s="26"/>
      <c r="AD241" s="37"/>
      <c r="AF241" s="37"/>
      <c r="AH241" s="37"/>
      <c r="AJ241" s="36"/>
      <c r="AL241" s="37"/>
      <c r="AN241" s="37"/>
      <c r="AP241" s="37"/>
      <c r="AR241" s="37"/>
      <c r="AT241" s="37"/>
      <c r="AU241" s="26"/>
      <c r="AV241" s="29">
        <f t="shared" si="1"/>
        <v>2636.4</v>
      </c>
      <c r="AW241" s="21">
        <f t="shared" si="2"/>
        <v>260</v>
      </c>
      <c r="AX241" s="21">
        <f t="shared" si="3"/>
        <v>0</v>
      </c>
      <c r="AY241" s="21">
        <f t="shared" si="4"/>
        <v>260</v>
      </c>
      <c r="AZ241" s="58">
        <f t="shared" si="5"/>
        <v>10.14</v>
      </c>
    </row>
    <row r="242" ht="15.75" customHeight="1">
      <c r="A242" s="31" t="s">
        <v>33</v>
      </c>
      <c r="B242" s="32">
        <f t="shared" si="6"/>
        <v>44802</v>
      </c>
      <c r="C242" s="33">
        <v>9.0</v>
      </c>
      <c r="D242" s="33" t="s">
        <v>48</v>
      </c>
      <c r="E242" s="34"/>
      <c r="F242" s="36"/>
      <c r="H242" s="37"/>
      <c r="J242" s="37"/>
      <c r="L242" s="37"/>
      <c r="N242" s="37"/>
      <c r="P242" s="37"/>
      <c r="Q242" s="26"/>
      <c r="R242" s="38">
        <v>130.0</v>
      </c>
      <c r="T242" s="39">
        <v>130.0</v>
      </c>
      <c r="V242" s="37"/>
      <c r="X242" s="37"/>
      <c r="Z242" s="37"/>
      <c r="AB242" s="37"/>
      <c r="AC242" s="26"/>
      <c r="AD242" s="37"/>
      <c r="AF242" s="37"/>
      <c r="AH242" s="37"/>
      <c r="AJ242" s="36"/>
      <c r="AL242" s="37"/>
      <c r="AN242" s="37"/>
      <c r="AP242" s="37"/>
      <c r="AR242" s="37"/>
      <c r="AT242" s="37"/>
      <c r="AU242" s="26"/>
      <c r="AV242" s="35">
        <f t="shared" si="1"/>
        <v>2636.4</v>
      </c>
      <c r="AW242" s="33">
        <f t="shared" si="2"/>
        <v>260</v>
      </c>
      <c r="AX242" s="33">
        <f t="shared" si="3"/>
        <v>0</v>
      </c>
      <c r="AY242" s="33">
        <f t="shared" si="4"/>
        <v>260</v>
      </c>
      <c r="AZ242" s="30">
        <f t="shared" si="5"/>
        <v>10.14</v>
      </c>
    </row>
    <row r="243" ht="15.75" customHeight="1">
      <c r="A243" s="31" t="s">
        <v>34</v>
      </c>
      <c r="B243" s="32">
        <f t="shared" si="6"/>
        <v>44803</v>
      </c>
      <c r="C243" s="33">
        <v>9.0</v>
      </c>
      <c r="D243" s="33" t="s">
        <v>48</v>
      </c>
      <c r="E243" s="34"/>
      <c r="F243" s="36"/>
      <c r="H243" s="37"/>
      <c r="J243" s="37"/>
      <c r="L243" s="37"/>
      <c r="N243" s="37"/>
      <c r="P243" s="37"/>
      <c r="Q243" s="26"/>
      <c r="R243" s="38">
        <v>130.0</v>
      </c>
      <c r="T243" s="39">
        <v>130.0</v>
      </c>
      <c r="V243" s="37"/>
      <c r="X243" s="37"/>
      <c r="Z243" s="37"/>
      <c r="AB243" s="37"/>
      <c r="AC243" s="26"/>
      <c r="AD243" s="37"/>
      <c r="AF243" s="37"/>
      <c r="AH243" s="37"/>
      <c r="AJ243" s="36"/>
      <c r="AL243" s="37"/>
      <c r="AN243" s="37"/>
      <c r="AP243" s="37"/>
      <c r="AR243" s="37"/>
      <c r="AT243" s="37"/>
      <c r="AU243" s="26"/>
      <c r="AV243" s="35">
        <f t="shared" si="1"/>
        <v>2636.4</v>
      </c>
      <c r="AW243" s="33">
        <f t="shared" si="2"/>
        <v>260</v>
      </c>
      <c r="AX243" s="33">
        <f t="shared" si="3"/>
        <v>0</v>
      </c>
      <c r="AY243" s="33">
        <f t="shared" si="4"/>
        <v>260</v>
      </c>
      <c r="AZ243" s="30">
        <f t="shared" si="5"/>
        <v>10.14</v>
      </c>
    </row>
    <row r="244" ht="15.75" customHeight="1">
      <c r="A244" s="31" t="s">
        <v>35</v>
      </c>
      <c r="B244" s="32">
        <f t="shared" si="6"/>
        <v>44804</v>
      </c>
      <c r="C244" s="33">
        <v>9.0</v>
      </c>
      <c r="D244" s="33" t="s">
        <v>48</v>
      </c>
      <c r="E244" s="34"/>
      <c r="F244" s="36"/>
      <c r="H244" s="37"/>
      <c r="J244" s="37"/>
      <c r="L244" s="37"/>
      <c r="N244" s="37"/>
      <c r="P244" s="37"/>
      <c r="Q244" s="26"/>
      <c r="R244" s="38">
        <v>130.0</v>
      </c>
      <c r="T244" s="39">
        <v>130.0</v>
      </c>
      <c r="V244" s="37"/>
      <c r="X244" s="37"/>
      <c r="Z244" s="37"/>
      <c r="AB244" s="37"/>
      <c r="AC244" s="26"/>
      <c r="AD244" s="37"/>
      <c r="AF244" s="37"/>
      <c r="AH244" s="37"/>
      <c r="AJ244" s="36"/>
      <c r="AL244" s="37"/>
      <c r="AN244" s="37"/>
      <c r="AP244" s="37"/>
      <c r="AR244" s="37"/>
      <c r="AT244" s="37"/>
      <c r="AU244" s="26"/>
      <c r="AV244" s="35">
        <f t="shared" si="1"/>
        <v>2636.4</v>
      </c>
      <c r="AW244" s="33">
        <f t="shared" si="2"/>
        <v>260</v>
      </c>
      <c r="AX244" s="33">
        <f t="shared" si="3"/>
        <v>0</v>
      </c>
      <c r="AY244" s="33">
        <f t="shared" si="4"/>
        <v>260</v>
      </c>
      <c r="AZ244" s="30">
        <f t="shared" si="5"/>
        <v>10.14</v>
      </c>
    </row>
    <row r="245" ht="15.75" customHeight="1">
      <c r="A245" s="31" t="s">
        <v>38</v>
      </c>
      <c r="B245" s="32">
        <f t="shared" si="6"/>
        <v>44805</v>
      </c>
      <c r="C245" s="33">
        <v>9.0</v>
      </c>
      <c r="D245" s="33" t="s">
        <v>48</v>
      </c>
      <c r="E245" s="34"/>
      <c r="F245" s="36"/>
      <c r="H245" s="37"/>
      <c r="J245" s="37"/>
      <c r="L245" s="37"/>
      <c r="N245" s="37"/>
      <c r="P245" s="37"/>
      <c r="Q245" s="26"/>
      <c r="R245" s="38">
        <v>130.0</v>
      </c>
      <c r="T245" s="39">
        <v>130.0</v>
      </c>
      <c r="V245" s="37"/>
      <c r="X245" s="37"/>
      <c r="Z245" s="37"/>
      <c r="AB245" s="37"/>
      <c r="AC245" s="26"/>
      <c r="AD245" s="37"/>
      <c r="AF245" s="37"/>
      <c r="AH245" s="37"/>
      <c r="AJ245" s="36"/>
      <c r="AL245" s="37"/>
      <c r="AN245" s="37"/>
      <c r="AP245" s="37"/>
      <c r="AR245" s="37"/>
      <c r="AT245" s="37"/>
      <c r="AU245" s="26"/>
      <c r="AV245" s="35">
        <f t="shared" si="1"/>
        <v>2636.4</v>
      </c>
      <c r="AW245" s="33">
        <f t="shared" si="2"/>
        <v>260</v>
      </c>
      <c r="AX245" s="33">
        <f t="shared" si="3"/>
        <v>0</v>
      </c>
      <c r="AY245" s="33">
        <f t="shared" si="4"/>
        <v>260</v>
      </c>
      <c r="AZ245" s="30">
        <f t="shared" si="5"/>
        <v>10.14</v>
      </c>
    </row>
    <row r="246" ht="15.75" customHeight="1">
      <c r="A246" s="31" t="s">
        <v>45</v>
      </c>
      <c r="B246" s="32">
        <f t="shared" si="6"/>
        <v>44806</v>
      </c>
      <c r="C246" s="33">
        <v>9.0</v>
      </c>
      <c r="D246" s="33" t="s">
        <v>48</v>
      </c>
      <c r="E246" s="34"/>
      <c r="F246" s="36"/>
      <c r="H246" s="37"/>
      <c r="J246" s="37"/>
      <c r="L246" s="37"/>
      <c r="N246" s="37"/>
      <c r="P246" s="37"/>
      <c r="Q246" s="26"/>
      <c r="R246" s="38">
        <v>130.0</v>
      </c>
      <c r="T246" s="39">
        <v>130.0</v>
      </c>
      <c r="V246" s="37"/>
      <c r="X246" s="37"/>
      <c r="Z246" s="37"/>
      <c r="AB246" s="37"/>
      <c r="AC246" s="26"/>
      <c r="AD246" s="37"/>
      <c r="AF246" s="37"/>
      <c r="AH246" s="37"/>
      <c r="AJ246" s="36"/>
      <c r="AL246" s="37"/>
      <c r="AN246" s="37"/>
      <c r="AP246" s="37"/>
      <c r="AR246" s="37"/>
      <c r="AT246" s="37"/>
      <c r="AU246" s="26"/>
      <c r="AV246" s="35">
        <f t="shared" si="1"/>
        <v>2636.4</v>
      </c>
      <c r="AW246" s="33">
        <f t="shared" si="2"/>
        <v>260</v>
      </c>
      <c r="AX246" s="33">
        <f t="shared" si="3"/>
        <v>0</v>
      </c>
      <c r="AY246" s="33">
        <f t="shared" si="4"/>
        <v>260</v>
      </c>
      <c r="AZ246" s="30">
        <f t="shared" si="5"/>
        <v>10.14</v>
      </c>
    </row>
    <row r="247" ht="15.75" customHeight="1">
      <c r="A247" s="44" t="s">
        <v>46</v>
      </c>
      <c r="B247" s="45">
        <f t="shared" si="6"/>
        <v>44807</v>
      </c>
      <c r="C247" s="46">
        <v>9.0</v>
      </c>
      <c r="D247" s="46" t="s">
        <v>48</v>
      </c>
      <c r="E247" s="47"/>
      <c r="F247" s="60"/>
      <c r="G247" s="51"/>
      <c r="H247" s="61"/>
      <c r="I247" s="51"/>
      <c r="J247" s="61"/>
      <c r="K247" s="51"/>
      <c r="L247" s="61"/>
      <c r="M247" s="51"/>
      <c r="N247" s="61"/>
      <c r="O247" s="51"/>
      <c r="P247" s="61"/>
      <c r="Q247" s="53"/>
      <c r="R247" s="62">
        <v>0.0</v>
      </c>
      <c r="S247" s="51"/>
      <c r="T247" s="63">
        <v>0.0</v>
      </c>
      <c r="U247" s="51"/>
      <c r="V247" s="61"/>
      <c r="W247" s="51"/>
      <c r="X247" s="61"/>
      <c r="Y247" s="51"/>
      <c r="Z247" s="61"/>
      <c r="AA247" s="51"/>
      <c r="AB247" s="61"/>
      <c r="AC247" s="53"/>
      <c r="AD247" s="61"/>
      <c r="AE247" s="51"/>
      <c r="AF247" s="61"/>
      <c r="AG247" s="51"/>
      <c r="AH247" s="61"/>
      <c r="AI247" s="51"/>
      <c r="AJ247" s="60"/>
      <c r="AK247" s="51"/>
      <c r="AL247" s="61"/>
      <c r="AM247" s="51"/>
      <c r="AN247" s="61"/>
      <c r="AO247" s="51"/>
      <c r="AP247" s="61"/>
      <c r="AQ247" s="51"/>
      <c r="AR247" s="61"/>
      <c r="AS247" s="51"/>
      <c r="AT247" s="61"/>
      <c r="AU247" s="53"/>
      <c r="AV247" s="55">
        <f t="shared" si="1"/>
        <v>0</v>
      </c>
      <c r="AW247" s="46">
        <f t="shared" si="2"/>
        <v>0</v>
      </c>
      <c r="AX247" s="46">
        <f t="shared" si="3"/>
        <v>0</v>
      </c>
      <c r="AY247" s="46">
        <f t="shared" si="4"/>
        <v>0</v>
      </c>
      <c r="AZ247" s="56" t="str">
        <f t="shared" si="5"/>
        <v/>
      </c>
    </row>
    <row r="248" ht="15.75" customHeight="1">
      <c r="A248" s="19" t="s">
        <v>30</v>
      </c>
      <c r="B248" s="57">
        <f t="shared" si="6"/>
        <v>44808</v>
      </c>
      <c r="C248" s="21">
        <v>9.0</v>
      </c>
      <c r="D248" s="21" t="s">
        <v>49</v>
      </c>
      <c r="E248" s="23"/>
      <c r="F248" s="36"/>
      <c r="H248" s="37"/>
      <c r="J248" s="37"/>
      <c r="L248" s="37"/>
      <c r="N248" s="37"/>
      <c r="P248" s="37"/>
      <c r="Q248" s="26"/>
      <c r="R248" s="38">
        <v>25.0</v>
      </c>
      <c r="T248" s="39">
        <v>25.0</v>
      </c>
      <c r="V248" s="37"/>
      <c r="X248" s="37"/>
      <c r="Z248" s="37"/>
      <c r="AB248" s="37"/>
      <c r="AC248" s="26"/>
      <c r="AD248" s="37"/>
      <c r="AF248" s="39">
        <v>40.0</v>
      </c>
      <c r="AH248" s="39">
        <v>40.0</v>
      </c>
      <c r="AJ248" s="36"/>
      <c r="AL248" s="37"/>
      <c r="AN248" s="37"/>
      <c r="AP248" s="37"/>
      <c r="AR248" s="37"/>
      <c r="AT248" s="37"/>
      <c r="AU248" s="26"/>
      <c r="AV248" s="29">
        <f t="shared" si="1"/>
        <v>1667</v>
      </c>
      <c r="AW248" s="21">
        <f t="shared" si="2"/>
        <v>130</v>
      </c>
      <c r="AX248" s="21">
        <f t="shared" si="3"/>
        <v>0</v>
      </c>
      <c r="AY248" s="21">
        <f t="shared" si="4"/>
        <v>130</v>
      </c>
      <c r="AZ248" s="58">
        <f t="shared" si="5"/>
        <v>12.82307692</v>
      </c>
    </row>
    <row r="249" ht="15.75" customHeight="1">
      <c r="A249" s="31" t="s">
        <v>33</v>
      </c>
      <c r="B249" s="32">
        <f t="shared" si="6"/>
        <v>44809</v>
      </c>
      <c r="C249" s="33">
        <v>9.0</v>
      </c>
      <c r="D249" s="33" t="s">
        <v>49</v>
      </c>
      <c r="E249" s="34"/>
      <c r="F249" s="36"/>
      <c r="H249" s="37"/>
      <c r="J249" s="37"/>
      <c r="L249" s="37"/>
      <c r="N249" s="37"/>
      <c r="P249" s="37"/>
      <c r="Q249" s="26"/>
      <c r="R249" s="38">
        <v>25.0</v>
      </c>
      <c r="T249" s="39">
        <v>25.0</v>
      </c>
      <c r="V249" s="37"/>
      <c r="X249" s="37"/>
      <c r="Z249" s="37"/>
      <c r="AB249" s="37"/>
      <c r="AC249" s="26"/>
      <c r="AD249" s="37"/>
      <c r="AF249" s="39">
        <v>40.0</v>
      </c>
      <c r="AH249" s="39">
        <v>40.0</v>
      </c>
      <c r="AJ249" s="36"/>
      <c r="AL249" s="37"/>
      <c r="AN249" s="37"/>
      <c r="AP249" s="37"/>
      <c r="AR249" s="37"/>
      <c r="AT249" s="37"/>
      <c r="AU249" s="26"/>
      <c r="AV249" s="35">
        <f t="shared" si="1"/>
        <v>1667</v>
      </c>
      <c r="AW249" s="33">
        <f t="shared" si="2"/>
        <v>130</v>
      </c>
      <c r="AX249" s="33">
        <f t="shared" si="3"/>
        <v>0</v>
      </c>
      <c r="AY249" s="33">
        <f t="shared" si="4"/>
        <v>130</v>
      </c>
      <c r="AZ249" s="30">
        <f t="shared" si="5"/>
        <v>12.82307692</v>
      </c>
    </row>
    <row r="250" ht="15.75" customHeight="1">
      <c r="A250" s="31" t="s">
        <v>34</v>
      </c>
      <c r="B250" s="32">
        <f t="shared" si="6"/>
        <v>44810</v>
      </c>
      <c r="C250" s="33">
        <v>9.0</v>
      </c>
      <c r="D250" s="33" t="s">
        <v>49</v>
      </c>
      <c r="E250" s="34"/>
      <c r="F250" s="36"/>
      <c r="H250" s="37"/>
      <c r="J250" s="37"/>
      <c r="L250" s="37"/>
      <c r="N250" s="37"/>
      <c r="P250" s="37"/>
      <c r="Q250" s="26"/>
      <c r="R250" s="38">
        <v>25.0</v>
      </c>
      <c r="T250" s="39">
        <v>25.0</v>
      </c>
      <c r="V250" s="37"/>
      <c r="X250" s="37"/>
      <c r="Z250" s="37"/>
      <c r="AB250" s="37"/>
      <c r="AC250" s="26"/>
      <c r="AD250" s="37"/>
      <c r="AF250" s="39">
        <v>40.0</v>
      </c>
      <c r="AH250" s="39">
        <v>40.0</v>
      </c>
      <c r="AJ250" s="36"/>
      <c r="AL250" s="37"/>
      <c r="AN250" s="37"/>
      <c r="AP250" s="37"/>
      <c r="AR250" s="37"/>
      <c r="AT250" s="37"/>
      <c r="AU250" s="26"/>
      <c r="AV250" s="35">
        <f t="shared" si="1"/>
        <v>1667</v>
      </c>
      <c r="AW250" s="33">
        <f t="shared" si="2"/>
        <v>130</v>
      </c>
      <c r="AX250" s="33">
        <f t="shared" si="3"/>
        <v>0</v>
      </c>
      <c r="AY250" s="33">
        <f t="shared" si="4"/>
        <v>130</v>
      </c>
      <c r="AZ250" s="30">
        <f t="shared" si="5"/>
        <v>12.82307692</v>
      </c>
    </row>
    <row r="251" ht="15.75" customHeight="1">
      <c r="A251" s="31" t="s">
        <v>35</v>
      </c>
      <c r="B251" s="32">
        <f t="shared" si="6"/>
        <v>44811</v>
      </c>
      <c r="C251" s="33">
        <v>9.0</v>
      </c>
      <c r="D251" s="33" t="s">
        <v>49</v>
      </c>
      <c r="E251" s="34"/>
      <c r="F251" s="36"/>
      <c r="H251" s="37"/>
      <c r="J251" s="37"/>
      <c r="L251" s="37"/>
      <c r="N251" s="37"/>
      <c r="P251" s="37"/>
      <c r="Q251" s="26"/>
      <c r="R251" s="38">
        <v>25.0</v>
      </c>
      <c r="T251" s="39">
        <v>25.0</v>
      </c>
      <c r="V251" s="37"/>
      <c r="X251" s="37"/>
      <c r="Z251" s="37"/>
      <c r="AB251" s="37"/>
      <c r="AC251" s="26"/>
      <c r="AD251" s="37"/>
      <c r="AF251" s="39">
        <v>40.0</v>
      </c>
      <c r="AH251" s="39">
        <v>40.0</v>
      </c>
      <c r="AJ251" s="36"/>
      <c r="AL251" s="37"/>
      <c r="AN251" s="37"/>
      <c r="AP251" s="37"/>
      <c r="AR251" s="37"/>
      <c r="AT251" s="37"/>
      <c r="AU251" s="26"/>
      <c r="AV251" s="35">
        <f t="shared" si="1"/>
        <v>1667</v>
      </c>
      <c r="AW251" s="33">
        <f t="shared" si="2"/>
        <v>130</v>
      </c>
      <c r="AX251" s="33">
        <f t="shared" si="3"/>
        <v>0</v>
      </c>
      <c r="AY251" s="33">
        <f t="shared" si="4"/>
        <v>130</v>
      </c>
      <c r="AZ251" s="30">
        <f t="shared" si="5"/>
        <v>12.82307692</v>
      </c>
    </row>
    <row r="252" ht="15.75" customHeight="1">
      <c r="A252" s="31" t="s">
        <v>38</v>
      </c>
      <c r="B252" s="32">
        <f t="shared" si="6"/>
        <v>44812</v>
      </c>
      <c r="C252" s="33">
        <v>9.0</v>
      </c>
      <c r="D252" s="33" t="s">
        <v>49</v>
      </c>
      <c r="E252" s="34"/>
      <c r="F252" s="36"/>
      <c r="H252" s="37"/>
      <c r="J252" s="37"/>
      <c r="L252" s="37"/>
      <c r="N252" s="37"/>
      <c r="P252" s="37"/>
      <c r="Q252" s="26"/>
      <c r="R252" s="38">
        <v>25.0</v>
      </c>
      <c r="T252" s="39">
        <v>25.0</v>
      </c>
      <c r="V252" s="37"/>
      <c r="X252" s="37"/>
      <c r="Z252" s="37"/>
      <c r="AB252" s="37"/>
      <c r="AC252" s="26"/>
      <c r="AD252" s="37"/>
      <c r="AF252" s="39">
        <v>40.0</v>
      </c>
      <c r="AH252" s="39">
        <v>40.0</v>
      </c>
      <c r="AJ252" s="36"/>
      <c r="AL252" s="37"/>
      <c r="AN252" s="37"/>
      <c r="AP252" s="37"/>
      <c r="AR252" s="37"/>
      <c r="AT252" s="37"/>
      <c r="AU252" s="26"/>
      <c r="AV252" s="35">
        <f t="shared" si="1"/>
        <v>1667</v>
      </c>
      <c r="AW252" s="33">
        <f t="shared" si="2"/>
        <v>130</v>
      </c>
      <c r="AX252" s="33">
        <f t="shared" si="3"/>
        <v>0</v>
      </c>
      <c r="AY252" s="33">
        <f t="shared" si="4"/>
        <v>130</v>
      </c>
      <c r="AZ252" s="30">
        <f t="shared" si="5"/>
        <v>12.82307692</v>
      </c>
    </row>
    <row r="253" ht="15.75" customHeight="1">
      <c r="A253" s="31" t="s">
        <v>45</v>
      </c>
      <c r="B253" s="32">
        <f t="shared" si="6"/>
        <v>44813</v>
      </c>
      <c r="C253" s="33">
        <v>9.0</v>
      </c>
      <c r="D253" s="33" t="s">
        <v>49</v>
      </c>
      <c r="E253" s="34"/>
      <c r="F253" s="36"/>
      <c r="H253" s="37"/>
      <c r="J253" s="37"/>
      <c r="L253" s="37"/>
      <c r="N253" s="37"/>
      <c r="P253" s="37"/>
      <c r="Q253" s="26"/>
      <c r="R253" s="38">
        <v>0.0</v>
      </c>
      <c r="T253" s="39">
        <v>0.0</v>
      </c>
      <c r="V253" s="37"/>
      <c r="X253" s="37"/>
      <c r="Z253" s="37"/>
      <c r="AB253" s="37"/>
      <c r="AC253" s="26"/>
      <c r="AD253" s="37"/>
      <c r="AF253" s="39">
        <v>0.0</v>
      </c>
      <c r="AH253" s="39">
        <v>0.0</v>
      </c>
      <c r="AJ253" s="36"/>
      <c r="AL253" s="37"/>
      <c r="AN253" s="37"/>
      <c r="AP253" s="37"/>
      <c r="AR253" s="37"/>
      <c r="AT253" s="37"/>
      <c r="AU253" s="26"/>
      <c r="AV253" s="35">
        <f t="shared" si="1"/>
        <v>0</v>
      </c>
      <c r="AW253" s="33">
        <f t="shared" si="2"/>
        <v>0</v>
      </c>
      <c r="AX253" s="33">
        <f t="shared" si="3"/>
        <v>0</v>
      </c>
      <c r="AY253" s="33">
        <f t="shared" si="4"/>
        <v>0</v>
      </c>
      <c r="AZ253" s="30" t="str">
        <f t="shared" si="5"/>
        <v/>
      </c>
    </row>
    <row r="254" ht="15.75" customHeight="1">
      <c r="A254" s="44" t="s">
        <v>46</v>
      </c>
      <c r="B254" s="45">
        <f t="shared" si="6"/>
        <v>44814</v>
      </c>
      <c r="C254" s="46">
        <v>9.0</v>
      </c>
      <c r="D254" s="46" t="s">
        <v>49</v>
      </c>
      <c r="E254" s="47"/>
      <c r="F254" s="60"/>
      <c r="G254" s="51"/>
      <c r="H254" s="61"/>
      <c r="I254" s="51"/>
      <c r="J254" s="61"/>
      <c r="K254" s="51"/>
      <c r="L254" s="61"/>
      <c r="M254" s="51"/>
      <c r="N254" s="61"/>
      <c r="O254" s="51"/>
      <c r="P254" s="61"/>
      <c r="Q254" s="53"/>
      <c r="R254" s="62">
        <v>0.0</v>
      </c>
      <c r="S254" s="51"/>
      <c r="T254" s="63">
        <v>0.0</v>
      </c>
      <c r="U254" s="51"/>
      <c r="V254" s="61"/>
      <c r="W254" s="51"/>
      <c r="X254" s="61"/>
      <c r="Y254" s="51"/>
      <c r="Z254" s="61"/>
      <c r="AA254" s="51"/>
      <c r="AB254" s="61"/>
      <c r="AC254" s="53"/>
      <c r="AD254" s="61"/>
      <c r="AE254" s="51"/>
      <c r="AF254" s="63">
        <v>0.0</v>
      </c>
      <c r="AG254" s="51"/>
      <c r="AH254" s="63">
        <v>0.0</v>
      </c>
      <c r="AI254" s="51"/>
      <c r="AJ254" s="60"/>
      <c r="AK254" s="51"/>
      <c r="AL254" s="61"/>
      <c r="AM254" s="51"/>
      <c r="AN254" s="61"/>
      <c r="AO254" s="51"/>
      <c r="AP254" s="61"/>
      <c r="AQ254" s="51"/>
      <c r="AR254" s="61"/>
      <c r="AS254" s="51"/>
      <c r="AT254" s="61"/>
      <c r="AU254" s="53"/>
      <c r="AV254" s="55">
        <f t="shared" si="1"/>
        <v>0</v>
      </c>
      <c r="AW254" s="46">
        <f t="shared" si="2"/>
        <v>0</v>
      </c>
      <c r="AX254" s="46">
        <f t="shared" si="3"/>
        <v>0</v>
      </c>
      <c r="AY254" s="46">
        <f t="shared" si="4"/>
        <v>0</v>
      </c>
      <c r="AZ254" s="56" t="str">
        <f t="shared" si="5"/>
        <v/>
      </c>
    </row>
    <row r="255" ht="15.75" customHeight="1">
      <c r="A255" s="19" t="s">
        <v>30</v>
      </c>
      <c r="B255" s="57">
        <f t="shared" si="6"/>
        <v>44815</v>
      </c>
      <c r="C255" s="21">
        <v>10.0</v>
      </c>
      <c r="D255" s="21" t="s">
        <v>31</v>
      </c>
      <c r="E255" s="23"/>
      <c r="F255" s="36"/>
      <c r="H255" s="37"/>
      <c r="J255" s="37"/>
      <c r="L255" s="37"/>
      <c r="N255" s="37"/>
      <c r="P255" s="37"/>
      <c r="Q255" s="26"/>
      <c r="R255" s="38">
        <v>120.0</v>
      </c>
      <c r="T255" s="39">
        <v>120.0</v>
      </c>
      <c r="V255" s="37"/>
      <c r="X255" s="37"/>
      <c r="Z255" s="37"/>
      <c r="AB255" s="37"/>
      <c r="AC255" s="26"/>
      <c r="AD255" s="37"/>
      <c r="AF255" s="37"/>
      <c r="AH255" s="37"/>
      <c r="AJ255" s="36"/>
      <c r="AL255" s="37"/>
      <c r="AN255" s="37"/>
      <c r="AP255" s="37"/>
      <c r="AR255" s="37"/>
      <c r="AT255" s="37"/>
      <c r="AU255" s="26"/>
      <c r="AV255" s="29">
        <f t="shared" si="1"/>
        <v>2433.6</v>
      </c>
      <c r="AW255" s="21">
        <f t="shared" si="2"/>
        <v>240</v>
      </c>
      <c r="AX255" s="21">
        <f t="shared" si="3"/>
        <v>0</v>
      </c>
      <c r="AY255" s="21">
        <f t="shared" si="4"/>
        <v>240</v>
      </c>
      <c r="AZ255" s="58">
        <f t="shared" si="5"/>
        <v>10.14</v>
      </c>
    </row>
    <row r="256" ht="15.75" customHeight="1">
      <c r="A256" s="31" t="s">
        <v>33</v>
      </c>
      <c r="B256" s="32">
        <f t="shared" si="6"/>
        <v>44816</v>
      </c>
      <c r="C256" s="33">
        <v>10.0</v>
      </c>
      <c r="D256" s="33" t="s">
        <v>31</v>
      </c>
      <c r="E256" s="34"/>
      <c r="F256" s="36"/>
      <c r="H256" s="37"/>
      <c r="J256" s="37"/>
      <c r="L256" s="37"/>
      <c r="N256" s="37"/>
      <c r="P256" s="37"/>
      <c r="Q256" s="26"/>
      <c r="R256" s="38">
        <v>120.0</v>
      </c>
      <c r="T256" s="39">
        <v>120.0</v>
      </c>
      <c r="V256" s="37"/>
      <c r="X256" s="37"/>
      <c r="Z256" s="37"/>
      <c r="AB256" s="37"/>
      <c r="AC256" s="26"/>
      <c r="AD256" s="37"/>
      <c r="AF256" s="37"/>
      <c r="AH256" s="37"/>
      <c r="AJ256" s="36"/>
      <c r="AL256" s="37"/>
      <c r="AN256" s="37"/>
      <c r="AP256" s="37"/>
      <c r="AR256" s="37"/>
      <c r="AT256" s="37"/>
      <c r="AU256" s="26"/>
      <c r="AV256" s="35">
        <f t="shared" si="1"/>
        <v>2433.6</v>
      </c>
      <c r="AW256" s="33">
        <f t="shared" si="2"/>
        <v>240</v>
      </c>
      <c r="AX256" s="33">
        <f t="shared" si="3"/>
        <v>0</v>
      </c>
      <c r="AY256" s="33">
        <f t="shared" si="4"/>
        <v>240</v>
      </c>
      <c r="AZ256" s="30">
        <f t="shared" si="5"/>
        <v>10.14</v>
      </c>
    </row>
    <row r="257" ht="15.75" customHeight="1">
      <c r="A257" s="31" t="s">
        <v>34</v>
      </c>
      <c r="B257" s="32">
        <f t="shared" si="6"/>
        <v>44817</v>
      </c>
      <c r="C257" s="33">
        <v>10.0</v>
      </c>
      <c r="D257" s="33" t="s">
        <v>31</v>
      </c>
      <c r="E257" s="34"/>
      <c r="F257" s="36"/>
      <c r="H257" s="37"/>
      <c r="J257" s="37"/>
      <c r="L257" s="37"/>
      <c r="N257" s="37"/>
      <c r="P257" s="37"/>
      <c r="Q257" s="26"/>
      <c r="R257" s="38">
        <v>120.0</v>
      </c>
      <c r="T257" s="39">
        <v>120.0</v>
      </c>
      <c r="V257" s="37"/>
      <c r="X257" s="37"/>
      <c r="Z257" s="37"/>
      <c r="AB257" s="37"/>
      <c r="AC257" s="26"/>
      <c r="AD257" s="37"/>
      <c r="AF257" s="37"/>
      <c r="AH257" s="37"/>
      <c r="AJ257" s="36"/>
      <c r="AL257" s="37"/>
      <c r="AN257" s="37"/>
      <c r="AP257" s="37"/>
      <c r="AR257" s="37"/>
      <c r="AT257" s="37"/>
      <c r="AU257" s="26"/>
      <c r="AV257" s="35">
        <f t="shared" si="1"/>
        <v>2433.6</v>
      </c>
      <c r="AW257" s="33">
        <f t="shared" si="2"/>
        <v>240</v>
      </c>
      <c r="AX257" s="33">
        <f t="shared" si="3"/>
        <v>0</v>
      </c>
      <c r="AY257" s="33">
        <f t="shared" si="4"/>
        <v>240</v>
      </c>
      <c r="AZ257" s="30">
        <f t="shared" si="5"/>
        <v>10.14</v>
      </c>
    </row>
    <row r="258" ht="15.75" customHeight="1">
      <c r="A258" s="31" t="s">
        <v>35</v>
      </c>
      <c r="B258" s="32">
        <f t="shared" si="6"/>
        <v>44818</v>
      </c>
      <c r="C258" s="33">
        <v>10.0</v>
      </c>
      <c r="D258" s="33" t="s">
        <v>31</v>
      </c>
      <c r="E258" s="34"/>
      <c r="F258" s="36"/>
      <c r="H258" s="37"/>
      <c r="J258" s="37"/>
      <c r="L258" s="37"/>
      <c r="N258" s="37"/>
      <c r="P258" s="37"/>
      <c r="Q258" s="26"/>
      <c r="R258" s="38">
        <v>120.0</v>
      </c>
      <c r="T258" s="39">
        <v>120.0</v>
      </c>
      <c r="V258" s="37"/>
      <c r="X258" s="37"/>
      <c r="Z258" s="37"/>
      <c r="AB258" s="37"/>
      <c r="AC258" s="26"/>
      <c r="AD258" s="37"/>
      <c r="AF258" s="37"/>
      <c r="AH258" s="37"/>
      <c r="AJ258" s="36"/>
      <c r="AL258" s="37"/>
      <c r="AN258" s="37"/>
      <c r="AP258" s="37"/>
      <c r="AR258" s="37"/>
      <c r="AT258" s="37"/>
      <c r="AU258" s="26"/>
      <c r="AV258" s="35">
        <f t="shared" si="1"/>
        <v>2433.6</v>
      </c>
      <c r="AW258" s="33">
        <f t="shared" si="2"/>
        <v>240</v>
      </c>
      <c r="AX258" s="33">
        <f t="shared" si="3"/>
        <v>0</v>
      </c>
      <c r="AY258" s="33">
        <f t="shared" si="4"/>
        <v>240</v>
      </c>
      <c r="AZ258" s="30">
        <f t="shared" si="5"/>
        <v>10.14</v>
      </c>
    </row>
    <row r="259" ht="15.75" customHeight="1">
      <c r="A259" s="31" t="s">
        <v>38</v>
      </c>
      <c r="B259" s="32">
        <f t="shared" si="6"/>
        <v>44819</v>
      </c>
      <c r="C259" s="33">
        <v>10.0</v>
      </c>
      <c r="D259" s="33" t="s">
        <v>31</v>
      </c>
      <c r="E259" s="34"/>
      <c r="F259" s="36"/>
      <c r="H259" s="37"/>
      <c r="J259" s="37"/>
      <c r="L259" s="37"/>
      <c r="N259" s="37"/>
      <c r="P259" s="37"/>
      <c r="Q259" s="26"/>
      <c r="R259" s="38">
        <v>120.0</v>
      </c>
      <c r="T259" s="39">
        <v>120.0</v>
      </c>
      <c r="V259" s="37"/>
      <c r="X259" s="37"/>
      <c r="Z259" s="37"/>
      <c r="AB259" s="37"/>
      <c r="AC259" s="26"/>
      <c r="AD259" s="37"/>
      <c r="AF259" s="37"/>
      <c r="AH259" s="37"/>
      <c r="AJ259" s="36"/>
      <c r="AL259" s="37"/>
      <c r="AN259" s="37"/>
      <c r="AP259" s="37"/>
      <c r="AR259" s="37"/>
      <c r="AT259" s="37"/>
      <c r="AU259" s="26"/>
      <c r="AV259" s="35">
        <f t="shared" si="1"/>
        <v>2433.6</v>
      </c>
      <c r="AW259" s="33">
        <f t="shared" si="2"/>
        <v>240</v>
      </c>
      <c r="AX259" s="33">
        <f t="shared" si="3"/>
        <v>0</v>
      </c>
      <c r="AY259" s="33">
        <f t="shared" si="4"/>
        <v>240</v>
      </c>
      <c r="AZ259" s="30">
        <f t="shared" si="5"/>
        <v>10.14</v>
      </c>
    </row>
    <row r="260" ht="15.75" customHeight="1">
      <c r="A260" s="31" t="s">
        <v>45</v>
      </c>
      <c r="B260" s="32">
        <f t="shared" si="6"/>
        <v>44820</v>
      </c>
      <c r="C260" s="33">
        <v>10.0</v>
      </c>
      <c r="D260" s="33" t="s">
        <v>31</v>
      </c>
      <c r="E260" s="34"/>
      <c r="F260" s="36"/>
      <c r="H260" s="37"/>
      <c r="J260" s="37"/>
      <c r="L260" s="37"/>
      <c r="N260" s="37"/>
      <c r="P260" s="37"/>
      <c r="Q260" s="26"/>
      <c r="R260" s="38">
        <v>120.0</v>
      </c>
      <c r="T260" s="39">
        <v>120.0</v>
      </c>
      <c r="V260" s="37"/>
      <c r="X260" s="37"/>
      <c r="Z260" s="37"/>
      <c r="AB260" s="37"/>
      <c r="AC260" s="26"/>
      <c r="AD260" s="37"/>
      <c r="AF260" s="37"/>
      <c r="AH260" s="37"/>
      <c r="AJ260" s="36"/>
      <c r="AL260" s="37"/>
      <c r="AN260" s="37"/>
      <c r="AP260" s="37"/>
      <c r="AR260" s="37"/>
      <c r="AT260" s="37"/>
      <c r="AU260" s="26"/>
      <c r="AV260" s="35">
        <f t="shared" si="1"/>
        <v>2433.6</v>
      </c>
      <c r="AW260" s="33">
        <f t="shared" si="2"/>
        <v>240</v>
      </c>
      <c r="AX260" s="33">
        <f t="shared" si="3"/>
        <v>0</v>
      </c>
      <c r="AY260" s="33">
        <f t="shared" si="4"/>
        <v>240</v>
      </c>
      <c r="AZ260" s="30">
        <f t="shared" si="5"/>
        <v>10.14</v>
      </c>
    </row>
    <row r="261" ht="15.75" customHeight="1">
      <c r="A261" s="44" t="s">
        <v>46</v>
      </c>
      <c r="B261" s="45">
        <f t="shared" si="6"/>
        <v>44821</v>
      </c>
      <c r="C261" s="46">
        <v>10.0</v>
      </c>
      <c r="D261" s="46" t="s">
        <v>31</v>
      </c>
      <c r="E261" s="47"/>
      <c r="F261" s="60"/>
      <c r="G261" s="51"/>
      <c r="H261" s="61"/>
      <c r="I261" s="51"/>
      <c r="J261" s="61"/>
      <c r="K261" s="51"/>
      <c r="L261" s="61"/>
      <c r="M261" s="51"/>
      <c r="N261" s="61"/>
      <c r="O261" s="51"/>
      <c r="P261" s="61"/>
      <c r="Q261" s="53"/>
      <c r="R261" s="62">
        <v>0.0</v>
      </c>
      <c r="S261" s="51"/>
      <c r="T261" s="63">
        <v>0.0</v>
      </c>
      <c r="U261" s="51"/>
      <c r="V261" s="61"/>
      <c r="W261" s="51"/>
      <c r="X261" s="61"/>
      <c r="Y261" s="51"/>
      <c r="Z261" s="61"/>
      <c r="AA261" s="51"/>
      <c r="AB261" s="61"/>
      <c r="AC261" s="53"/>
      <c r="AD261" s="61"/>
      <c r="AE261" s="51"/>
      <c r="AF261" s="61"/>
      <c r="AG261" s="51"/>
      <c r="AH261" s="61"/>
      <c r="AI261" s="51"/>
      <c r="AJ261" s="60"/>
      <c r="AK261" s="51"/>
      <c r="AL261" s="61"/>
      <c r="AM261" s="51"/>
      <c r="AN261" s="61"/>
      <c r="AO261" s="51"/>
      <c r="AP261" s="61"/>
      <c r="AQ261" s="51"/>
      <c r="AR261" s="61"/>
      <c r="AS261" s="51"/>
      <c r="AT261" s="61"/>
      <c r="AU261" s="53"/>
      <c r="AV261" s="55">
        <f t="shared" si="1"/>
        <v>0</v>
      </c>
      <c r="AW261" s="46">
        <f t="shared" si="2"/>
        <v>0</v>
      </c>
      <c r="AX261" s="46">
        <f t="shared" si="3"/>
        <v>0</v>
      </c>
      <c r="AY261" s="46">
        <f t="shared" si="4"/>
        <v>0</v>
      </c>
      <c r="AZ261" s="56" t="str">
        <f t="shared" si="5"/>
        <v/>
      </c>
    </row>
    <row r="262" ht="15.75" customHeight="1">
      <c r="A262" s="19" t="s">
        <v>30</v>
      </c>
      <c r="B262" s="57">
        <f t="shared" si="6"/>
        <v>44822</v>
      </c>
      <c r="C262" s="21">
        <v>10.0</v>
      </c>
      <c r="D262" s="21" t="s">
        <v>47</v>
      </c>
      <c r="E262" s="23"/>
      <c r="F262" s="36"/>
      <c r="H262" s="37"/>
      <c r="J262" s="37"/>
      <c r="L262" s="37"/>
      <c r="N262" s="37"/>
      <c r="P262" s="37"/>
      <c r="Q262" s="26"/>
      <c r="R262" s="38">
        <v>120.0</v>
      </c>
      <c r="T262" s="39">
        <v>120.0</v>
      </c>
      <c r="V262" s="37"/>
      <c r="X262" s="37"/>
      <c r="Z262" s="37"/>
      <c r="AB262" s="37"/>
      <c r="AC262" s="26"/>
      <c r="AD262" s="37"/>
      <c r="AF262" s="37"/>
      <c r="AH262" s="37"/>
      <c r="AJ262" s="36"/>
      <c r="AL262" s="37"/>
      <c r="AN262" s="37"/>
      <c r="AP262" s="37"/>
      <c r="AR262" s="37"/>
      <c r="AT262" s="37"/>
      <c r="AU262" s="26"/>
      <c r="AV262" s="29">
        <f t="shared" si="1"/>
        <v>2433.6</v>
      </c>
      <c r="AW262" s="21">
        <f t="shared" si="2"/>
        <v>240</v>
      </c>
      <c r="AX262" s="21">
        <f t="shared" si="3"/>
        <v>0</v>
      </c>
      <c r="AY262" s="21">
        <f t="shared" si="4"/>
        <v>240</v>
      </c>
      <c r="AZ262" s="58">
        <f t="shared" si="5"/>
        <v>10.14</v>
      </c>
    </row>
    <row r="263" ht="15.75" customHeight="1">
      <c r="A263" s="31" t="s">
        <v>33</v>
      </c>
      <c r="B263" s="32">
        <f t="shared" si="6"/>
        <v>44823</v>
      </c>
      <c r="C263" s="33">
        <v>10.0</v>
      </c>
      <c r="D263" s="33" t="s">
        <v>47</v>
      </c>
      <c r="E263" s="34"/>
      <c r="F263" s="36"/>
      <c r="H263" s="37"/>
      <c r="J263" s="37"/>
      <c r="L263" s="37"/>
      <c r="N263" s="37"/>
      <c r="P263" s="37"/>
      <c r="Q263" s="26"/>
      <c r="R263" s="38">
        <v>120.0</v>
      </c>
      <c r="T263" s="39">
        <v>120.0</v>
      </c>
      <c r="V263" s="37"/>
      <c r="X263" s="37"/>
      <c r="Z263" s="37"/>
      <c r="AB263" s="37"/>
      <c r="AC263" s="26"/>
      <c r="AD263" s="37"/>
      <c r="AF263" s="37"/>
      <c r="AH263" s="37"/>
      <c r="AJ263" s="36"/>
      <c r="AL263" s="37"/>
      <c r="AN263" s="37"/>
      <c r="AP263" s="37"/>
      <c r="AR263" s="37"/>
      <c r="AT263" s="37"/>
      <c r="AU263" s="26"/>
      <c r="AV263" s="35">
        <f t="shared" si="1"/>
        <v>2433.6</v>
      </c>
      <c r="AW263" s="33">
        <f t="shared" si="2"/>
        <v>240</v>
      </c>
      <c r="AX263" s="33">
        <f t="shared" si="3"/>
        <v>0</v>
      </c>
      <c r="AY263" s="33">
        <f t="shared" si="4"/>
        <v>240</v>
      </c>
      <c r="AZ263" s="30">
        <f t="shared" si="5"/>
        <v>10.14</v>
      </c>
    </row>
    <row r="264" ht="15.75" customHeight="1">
      <c r="A264" s="31" t="s">
        <v>34</v>
      </c>
      <c r="B264" s="32">
        <f t="shared" si="6"/>
        <v>44824</v>
      </c>
      <c r="C264" s="33">
        <v>10.0</v>
      </c>
      <c r="D264" s="33" t="s">
        <v>47</v>
      </c>
      <c r="E264" s="34"/>
      <c r="F264" s="36"/>
      <c r="H264" s="37"/>
      <c r="J264" s="37"/>
      <c r="L264" s="37"/>
      <c r="N264" s="37"/>
      <c r="P264" s="37"/>
      <c r="Q264" s="26"/>
      <c r="R264" s="38">
        <v>120.0</v>
      </c>
      <c r="T264" s="39">
        <v>120.0</v>
      </c>
      <c r="V264" s="37"/>
      <c r="X264" s="37"/>
      <c r="Z264" s="37"/>
      <c r="AB264" s="37"/>
      <c r="AC264" s="26"/>
      <c r="AD264" s="37"/>
      <c r="AF264" s="37"/>
      <c r="AH264" s="37"/>
      <c r="AJ264" s="36"/>
      <c r="AL264" s="37"/>
      <c r="AN264" s="37"/>
      <c r="AP264" s="37"/>
      <c r="AR264" s="37"/>
      <c r="AT264" s="37"/>
      <c r="AU264" s="26"/>
      <c r="AV264" s="35">
        <f t="shared" si="1"/>
        <v>2433.6</v>
      </c>
      <c r="AW264" s="33">
        <f t="shared" si="2"/>
        <v>240</v>
      </c>
      <c r="AX264" s="33">
        <f t="shared" si="3"/>
        <v>0</v>
      </c>
      <c r="AY264" s="33">
        <f t="shared" si="4"/>
        <v>240</v>
      </c>
      <c r="AZ264" s="30">
        <f t="shared" si="5"/>
        <v>10.14</v>
      </c>
    </row>
    <row r="265" ht="15.75" customHeight="1">
      <c r="A265" s="31" t="s">
        <v>35</v>
      </c>
      <c r="B265" s="32">
        <f t="shared" si="6"/>
        <v>44825</v>
      </c>
      <c r="C265" s="33">
        <v>10.0</v>
      </c>
      <c r="D265" s="33" t="s">
        <v>47</v>
      </c>
      <c r="E265" s="34"/>
      <c r="F265" s="36"/>
      <c r="H265" s="37"/>
      <c r="J265" s="37"/>
      <c r="L265" s="37"/>
      <c r="N265" s="37"/>
      <c r="P265" s="37"/>
      <c r="Q265" s="26"/>
      <c r="R265" s="38">
        <v>120.0</v>
      </c>
      <c r="T265" s="39">
        <v>120.0</v>
      </c>
      <c r="V265" s="37"/>
      <c r="X265" s="37"/>
      <c r="Z265" s="37"/>
      <c r="AB265" s="37"/>
      <c r="AC265" s="26"/>
      <c r="AD265" s="37"/>
      <c r="AF265" s="37"/>
      <c r="AH265" s="37"/>
      <c r="AJ265" s="36"/>
      <c r="AL265" s="37"/>
      <c r="AN265" s="37"/>
      <c r="AP265" s="37"/>
      <c r="AR265" s="37"/>
      <c r="AT265" s="37"/>
      <c r="AU265" s="26"/>
      <c r="AV265" s="35">
        <f t="shared" si="1"/>
        <v>2433.6</v>
      </c>
      <c r="AW265" s="33">
        <f t="shared" si="2"/>
        <v>240</v>
      </c>
      <c r="AX265" s="33">
        <f t="shared" si="3"/>
        <v>0</v>
      </c>
      <c r="AY265" s="33">
        <f t="shared" si="4"/>
        <v>240</v>
      </c>
      <c r="AZ265" s="30">
        <f t="shared" si="5"/>
        <v>10.14</v>
      </c>
    </row>
    <row r="266" ht="15.75" customHeight="1">
      <c r="A266" s="31" t="s">
        <v>38</v>
      </c>
      <c r="B266" s="32">
        <f t="shared" si="6"/>
        <v>44826</v>
      </c>
      <c r="C266" s="33">
        <v>10.0</v>
      </c>
      <c r="D266" s="33" t="s">
        <v>47</v>
      </c>
      <c r="E266" s="34"/>
      <c r="F266" s="36"/>
      <c r="H266" s="37"/>
      <c r="J266" s="37"/>
      <c r="L266" s="37"/>
      <c r="N266" s="37"/>
      <c r="P266" s="37"/>
      <c r="Q266" s="26"/>
      <c r="R266" s="38">
        <v>120.0</v>
      </c>
      <c r="T266" s="39">
        <v>120.0</v>
      </c>
      <c r="V266" s="37"/>
      <c r="X266" s="37"/>
      <c r="Z266" s="37"/>
      <c r="AB266" s="37"/>
      <c r="AC266" s="26"/>
      <c r="AD266" s="37"/>
      <c r="AF266" s="37"/>
      <c r="AH266" s="37"/>
      <c r="AJ266" s="36"/>
      <c r="AL266" s="37"/>
      <c r="AN266" s="37"/>
      <c r="AP266" s="37"/>
      <c r="AR266" s="37"/>
      <c r="AT266" s="37"/>
      <c r="AU266" s="26"/>
      <c r="AV266" s="35">
        <f t="shared" si="1"/>
        <v>2433.6</v>
      </c>
      <c r="AW266" s="33">
        <f t="shared" si="2"/>
        <v>240</v>
      </c>
      <c r="AX266" s="33">
        <f t="shared" si="3"/>
        <v>0</v>
      </c>
      <c r="AY266" s="33">
        <f t="shared" si="4"/>
        <v>240</v>
      </c>
      <c r="AZ266" s="30">
        <f t="shared" si="5"/>
        <v>10.14</v>
      </c>
    </row>
    <row r="267" ht="15.75" customHeight="1">
      <c r="A267" s="31" t="s">
        <v>45</v>
      </c>
      <c r="B267" s="32">
        <f t="shared" si="6"/>
        <v>44827</v>
      </c>
      <c r="C267" s="33">
        <v>10.0</v>
      </c>
      <c r="D267" s="33" t="s">
        <v>47</v>
      </c>
      <c r="E267" s="34"/>
      <c r="F267" s="36"/>
      <c r="H267" s="37"/>
      <c r="J267" s="37"/>
      <c r="L267" s="37"/>
      <c r="N267" s="37"/>
      <c r="P267" s="37"/>
      <c r="Q267" s="26"/>
      <c r="R267" s="38">
        <v>120.0</v>
      </c>
      <c r="T267" s="39">
        <v>120.0</v>
      </c>
      <c r="V267" s="37"/>
      <c r="X267" s="37"/>
      <c r="Z267" s="37"/>
      <c r="AB267" s="37"/>
      <c r="AC267" s="26"/>
      <c r="AD267" s="37"/>
      <c r="AF267" s="37"/>
      <c r="AH267" s="37"/>
      <c r="AJ267" s="36"/>
      <c r="AL267" s="37"/>
      <c r="AN267" s="37"/>
      <c r="AP267" s="37"/>
      <c r="AR267" s="37"/>
      <c r="AT267" s="37"/>
      <c r="AU267" s="26"/>
      <c r="AV267" s="35">
        <f t="shared" si="1"/>
        <v>2433.6</v>
      </c>
      <c r="AW267" s="33">
        <f t="shared" si="2"/>
        <v>240</v>
      </c>
      <c r="AX267" s="33">
        <f t="shared" si="3"/>
        <v>0</v>
      </c>
      <c r="AY267" s="33">
        <f t="shared" si="4"/>
        <v>240</v>
      </c>
      <c r="AZ267" s="30">
        <f t="shared" si="5"/>
        <v>10.14</v>
      </c>
    </row>
    <row r="268" ht="15.75" customHeight="1">
      <c r="A268" s="44" t="s">
        <v>46</v>
      </c>
      <c r="B268" s="45">
        <f t="shared" si="6"/>
        <v>44828</v>
      </c>
      <c r="C268" s="46">
        <v>10.0</v>
      </c>
      <c r="D268" s="46" t="s">
        <v>47</v>
      </c>
      <c r="E268" s="47"/>
      <c r="F268" s="60"/>
      <c r="G268" s="51"/>
      <c r="H268" s="61"/>
      <c r="I268" s="51"/>
      <c r="J268" s="61"/>
      <c r="K268" s="51"/>
      <c r="L268" s="61"/>
      <c r="M268" s="51"/>
      <c r="N268" s="61"/>
      <c r="O268" s="51"/>
      <c r="P268" s="61"/>
      <c r="Q268" s="53"/>
      <c r="R268" s="62">
        <v>0.0</v>
      </c>
      <c r="S268" s="51"/>
      <c r="T268" s="63">
        <v>0.0</v>
      </c>
      <c r="U268" s="51"/>
      <c r="V268" s="61"/>
      <c r="W268" s="51"/>
      <c r="X268" s="61"/>
      <c r="Y268" s="51"/>
      <c r="Z268" s="61"/>
      <c r="AA268" s="51"/>
      <c r="AB268" s="61"/>
      <c r="AC268" s="53"/>
      <c r="AD268" s="61"/>
      <c r="AE268" s="51"/>
      <c r="AF268" s="61"/>
      <c r="AG268" s="51"/>
      <c r="AH268" s="61"/>
      <c r="AI268" s="51"/>
      <c r="AJ268" s="60"/>
      <c r="AK268" s="51"/>
      <c r="AL268" s="61"/>
      <c r="AM268" s="51"/>
      <c r="AN268" s="61"/>
      <c r="AO268" s="51"/>
      <c r="AP268" s="61"/>
      <c r="AQ268" s="51"/>
      <c r="AR268" s="61"/>
      <c r="AS268" s="51"/>
      <c r="AT268" s="61"/>
      <c r="AU268" s="53"/>
      <c r="AV268" s="55">
        <f t="shared" si="1"/>
        <v>0</v>
      </c>
      <c r="AW268" s="46">
        <f t="shared" si="2"/>
        <v>0</v>
      </c>
      <c r="AX268" s="46">
        <f t="shared" si="3"/>
        <v>0</v>
      </c>
      <c r="AY268" s="46">
        <f t="shared" si="4"/>
        <v>0</v>
      </c>
      <c r="AZ268" s="56" t="str">
        <f t="shared" si="5"/>
        <v/>
      </c>
    </row>
    <row r="269" ht="15.75" customHeight="1">
      <c r="A269" s="19" t="s">
        <v>30</v>
      </c>
      <c r="B269" s="57">
        <f t="shared" si="6"/>
        <v>44829</v>
      </c>
      <c r="C269" s="21">
        <v>10.0</v>
      </c>
      <c r="D269" s="21" t="s">
        <v>48</v>
      </c>
      <c r="E269" s="23"/>
      <c r="F269" s="36"/>
      <c r="H269" s="37"/>
      <c r="J269" s="37"/>
      <c r="L269" s="37"/>
      <c r="N269" s="37"/>
      <c r="P269" s="37"/>
      <c r="Q269" s="26"/>
      <c r="R269" s="38">
        <v>120.0</v>
      </c>
      <c r="T269" s="39">
        <v>120.0</v>
      </c>
      <c r="V269" s="37"/>
      <c r="X269" s="37"/>
      <c r="Z269" s="37"/>
      <c r="AB269" s="37"/>
      <c r="AC269" s="26"/>
      <c r="AD269" s="37"/>
      <c r="AF269" s="37"/>
      <c r="AH269" s="37"/>
      <c r="AJ269" s="36"/>
      <c r="AL269" s="37"/>
      <c r="AN269" s="37"/>
      <c r="AP269" s="37"/>
      <c r="AR269" s="37"/>
      <c r="AT269" s="37"/>
      <c r="AU269" s="26"/>
      <c r="AV269" s="29">
        <f t="shared" si="1"/>
        <v>2433.6</v>
      </c>
      <c r="AW269" s="21">
        <f t="shared" si="2"/>
        <v>240</v>
      </c>
      <c r="AX269" s="21">
        <f t="shared" si="3"/>
        <v>0</v>
      </c>
      <c r="AY269" s="21">
        <f t="shared" si="4"/>
        <v>240</v>
      </c>
      <c r="AZ269" s="58">
        <f t="shared" si="5"/>
        <v>10.14</v>
      </c>
    </row>
    <row r="270" ht="15.75" customHeight="1">
      <c r="A270" s="31" t="s">
        <v>33</v>
      </c>
      <c r="B270" s="32">
        <f t="shared" si="6"/>
        <v>44830</v>
      </c>
      <c r="C270" s="33">
        <v>10.0</v>
      </c>
      <c r="D270" s="33" t="s">
        <v>48</v>
      </c>
      <c r="E270" s="34"/>
      <c r="F270" s="36"/>
      <c r="H270" s="37"/>
      <c r="J270" s="37"/>
      <c r="L270" s="37"/>
      <c r="N270" s="37"/>
      <c r="P270" s="37"/>
      <c r="Q270" s="26"/>
      <c r="R270" s="38">
        <v>120.0</v>
      </c>
      <c r="T270" s="39">
        <v>120.0</v>
      </c>
      <c r="V270" s="37"/>
      <c r="X270" s="37"/>
      <c r="Z270" s="37"/>
      <c r="AB270" s="37"/>
      <c r="AC270" s="26"/>
      <c r="AD270" s="37"/>
      <c r="AF270" s="37"/>
      <c r="AH270" s="37"/>
      <c r="AJ270" s="36"/>
      <c r="AL270" s="37"/>
      <c r="AN270" s="37"/>
      <c r="AP270" s="37"/>
      <c r="AR270" s="37"/>
      <c r="AT270" s="37"/>
      <c r="AU270" s="26"/>
      <c r="AV270" s="35">
        <f t="shared" si="1"/>
        <v>2433.6</v>
      </c>
      <c r="AW270" s="33">
        <f t="shared" si="2"/>
        <v>240</v>
      </c>
      <c r="AX270" s="33">
        <f t="shared" si="3"/>
        <v>0</v>
      </c>
      <c r="AY270" s="33">
        <f t="shared" si="4"/>
        <v>240</v>
      </c>
      <c r="AZ270" s="30">
        <f t="shared" si="5"/>
        <v>10.14</v>
      </c>
    </row>
    <row r="271" ht="15.75" customHeight="1">
      <c r="A271" s="31" t="s">
        <v>34</v>
      </c>
      <c r="B271" s="32">
        <f t="shared" si="6"/>
        <v>44831</v>
      </c>
      <c r="C271" s="33">
        <v>10.0</v>
      </c>
      <c r="D271" s="33" t="s">
        <v>48</v>
      </c>
      <c r="E271" s="34"/>
      <c r="F271" s="36"/>
      <c r="H271" s="37"/>
      <c r="J271" s="37"/>
      <c r="L271" s="37"/>
      <c r="N271" s="37"/>
      <c r="P271" s="37"/>
      <c r="Q271" s="26"/>
      <c r="R271" s="38">
        <v>120.0</v>
      </c>
      <c r="T271" s="39">
        <v>120.0</v>
      </c>
      <c r="V271" s="37"/>
      <c r="X271" s="37"/>
      <c r="Z271" s="37"/>
      <c r="AB271" s="37"/>
      <c r="AC271" s="26"/>
      <c r="AD271" s="37"/>
      <c r="AF271" s="37"/>
      <c r="AH271" s="37"/>
      <c r="AJ271" s="36"/>
      <c r="AL271" s="37"/>
      <c r="AN271" s="37"/>
      <c r="AP271" s="37"/>
      <c r="AR271" s="37"/>
      <c r="AT271" s="37"/>
      <c r="AU271" s="26"/>
      <c r="AV271" s="35">
        <f t="shared" si="1"/>
        <v>2433.6</v>
      </c>
      <c r="AW271" s="33">
        <f t="shared" si="2"/>
        <v>240</v>
      </c>
      <c r="AX271" s="33">
        <f t="shared" si="3"/>
        <v>0</v>
      </c>
      <c r="AY271" s="33">
        <f t="shared" si="4"/>
        <v>240</v>
      </c>
      <c r="AZ271" s="30">
        <f t="shared" si="5"/>
        <v>10.14</v>
      </c>
    </row>
    <row r="272" ht="15.75" customHeight="1">
      <c r="A272" s="31" t="s">
        <v>35</v>
      </c>
      <c r="B272" s="32">
        <f t="shared" si="6"/>
        <v>44832</v>
      </c>
      <c r="C272" s="33">
        <v>10.0</v>
      </c>
      <c r="D272" s="33" t="s">
        <v>48</v>
      </c>
      <c r="E272" s="34"/>
      <c r="F272" s="36"/>
      <c r="H272" s="37"/>
      <c r="J272" s="37"/>
      <c r="L272" s="37"/>
      <c r="N272" s="37"/>
      <c r="P272" s="37"/>
      <c r="Q272" s="26"/>
      <c r="R272" s="38">
        <v>120.0</v>
      </c>
      <c r="T272" s="39">
        <v>120.0</v>
      </c>
      <c r="V272" s="37"/>
      <c r="X272" s="37"/>
      <c r="Z272" s="37"/>
      <c r="AB272" s="37"/>
      <c r="AC272" s="26"/>
      <c r="AD272" s="37"/>
      <c r="AF272" s="37"/>
      <c r="AH272" s="37"/>
      <c r="AJ272" s="36"/>
      <c r="AL272" s="37"/>
      <c r="AN272" s="37"/>
      <c r="AP272" s="37"/>
      <c r="AR272" s="37"/>
      <c r="AT272" s="37"/>
      <c r="AU272" s="26"/>
      <c r="AV272" s="35">
        <f t="shared" si="1"/>
        <v>2433.6</v>
      </c>
      <c r="AW272" s="33">
        <f t="shared" si="2"/>
        <v>240</v>
      </c>
      <c r="AX272" s="33">
        <f t="shared" si="3"/>
        <v>0</v>
      </c>
      <c r="AY272" s="33">
        <f t="shared" si="4"/>
        <v>240</v>
      </c>
      <c r="AZ272" s="30">
        <f t="shared" si="5"/>
        <v>10.14</v>
      </c>
    </row>
    <row r="273" ht="15.75" customHeight="1">
      <c r="A273" s="31" t="s">
        <v>38</v>
      </c>
      <c r="B273" s="32">
        <f t="shared" si="6"/>
        <v>44833</v>
      </c>
      <c r="C273" s="33">
        <v>10.0</v>
      </c>
      <c r="D273" s="33" t="s">
        <v>48</v>
      </c>
      <c r="E273" s="34"/>
      <c r="F273" s="36"/>
      <c r="H273" s="37"/>
      <c r="J273" s="37"/>
      <c r="L273" s="37"/>
      <c r="N273" s="37"/>
      <c r="P273" s="37"/>
      <c r="Q273" s="26"/>
      <c r="R273" s="38">
        <v>120.0</v>
      </c>
      <c r="T273" s="39">
        <v>120.0</v>
      </c>
      <c r="V273" s="37"/>
      <c r="X273" s="37"/>
      <c r="Z273" s="37"/>
      <c r="AB273" s="37"/>
      <c r="AC273" s="26"/>
      <c r="AD273" s="37"/>
      <c r="AF273" s="37"/>
      <c r="AH273" s="37"/>
      <c r="AJ273" s="36"/>
      <c r="AL273" s="37"/>
      <c r="AN273" s="37"/>
      <c r="AP273" s="37"/>
      <c r="AR273" s="37"/>
      <c r="AT273" s="37"/>
      <c r="AU273" s="26"/>
      <c r="AV273" s="35">
        <f t="shared" si="1"/>
        <v>2433.6</v>
      </c>
      <c r="AW273" s="33">
        <f t="shared" si="2"/>
        <v>240</v>
      </c>
      <c r="AX273" s="33">
        <f t="shared" si="3"/>
        <v>0</v>
      </c>
      <c r="AY273" s="33">
        <f t="shared" si="4"/>
        <v>240</v>
      </c>
      <c r="AZ273" s="30">
        <f t="shared" si="5"/>
        <v>10.14</v>
      </c>
    </row>
    <row r="274" ht="15.75" customHeight="1">
      <c r="A274" s="31" t="s">
        <v>45</v>
      </c>
      <c r="B274" s="32">
        <f t="shared" si="6"/>
        <v>44834</v>
      </c>
      <c r="C274" s="33">
        <v>10.0</v>
      </c>
      <c r="D274" s="33" t="s">
        <v>48</v>
      </c>
      <c r="E274" s="34"/>
      <c r="F274" s="36"/>
      <c r="H274" s="37"/>
      <c r="J274" s="37"/>
      <c r="L274" s="37"/>
      <c r="N274" s="37"/>
      <c r="P274" s="37"/>
      <c r="Q274" s="26"/>
      <c r="R274" s="38">
        <v>120.0</v>
      </c>
      <c r="T274" s="39">
        <v>120.0</v>
      </c>
      <c r="V274" s="37"/>
      <c r="X274" s="37"/>
      <c r="Z274" s="37"/>
      <c r="AB274" s="37"/>
      <c r="AC274" s="26"/>
      <c r="AD274" s="37"/>
      <c r="AF274" s="37"/>
      <c r="AH274" s="37"/>
      <c r="AJ274" s="36"/>
      <c r="AL274" s="37"/>
      <c r="AN274" s="37"/>
      <c r="AP274" s="37"/>
      <c r="AR274" s="37"/>
      <c r="AT274" s="37"/>
      <c r="AU274" s="26"/>
      <c r="AV274" s="35">
        <f t="shared" si="1"/>
        <v>2433.6</v>
      </c>
      <c r="AW274" s="33">
        <f t="shared" si="2"/>
        <v>240</v>
      </c>
      <c r="AX274" s="33">
        <f t="shared" si="3"/>
        <v>0</v>
      </c>
      <c r="AY274" s="33">
        <f t="shared" si="4"/>
        <v>240</v>
      </c>
      <c r="AZ274" s="30">
        <f t="shared" si="5"/>
        <v>10.14</v>
      </c>
    </row>
    <row r="275" ht="15.75" customHeight="1">
      <c r="A275" s="44" t="s">
        <v>46</v>
      </c>
      <c r="B275" s="45">
        <f t="shared" si="6"/>
        <v>44835</v>
      </c>
      <c r="C275" s="46">
        <v>10.0</v>
      </c>
      <c r="D275" s="46" t="s">
        <v>48</v>
      </c>
      <c r="E275" s="47"/>
      <c r="F275" s="60"/>
      <c r="G275" s="51"/>
      <c r="H275" s="61"/>
      <c r="I275" s="51"/>
      <c r="J275" s="61"/>
      <c r="K275" s="51"/>
      <c r="L275" s="61"/>
      <c r="M275" s="51"/>
      <c r="N275" s="61"/>
      <c r="O275" s="51"/>
      <c r="P275" s="61"/>
      <c r="Q275" s="53"/>
      <c r="R275" s="62">
        <v>0.0</v>
      </c>
      <c r="S275" s="51"/>
      <c r="T275" s="63">
        <v>0.0</v>
      </c>
      <c r="U275" s="51"/>
      <c r="V275" s="61"/>
      <c r="W275" s="51"/>
      <c r="X275" s="61"/>
      <c r="Y275" s="51"/>
      <c r="Z275" s="61"/>
      <c r="AA275" s="51"/>
      <c r="AB275" s="61"/>
      <c r="AC275" s="53"/>
      <c r="AD275" s="61"/>
      <c r="AE275" s="51"/>
      <c r="AF275" s="61"/>
      <c r="AG275" s="51"/>
      <c r="AH275" s="61"/>
      <c r="AI275" s="51"/>
      <c r="AJ275" s="60"/>
      <c r="AK275" s="51"/>
      <c r="AL275" s="61"/>
      <c r="AM275" s="51"/>
      <c r="AN275" s="61"/>
      <c r="AO275" s="51"/>
      <c r="AP275" s="61"/>
      <c r="AQ275" s="51"/>
      <c r="AR275" s="61"/>
      <c r="AS275" s="51"/>
      <c r="AT275" s="61"/>
      <c r="AU275" s="53"/>
      <c r="AV275" s="55">
        <f t="shared" si="1"/>
        <v>0</v>
      </c>
      <c r="AW275" s="46">
        <f t="shared" si="2"/>
        <v>0</v>
      </c>
      <c r="AX275" s="46">
        <f t="shared" si="3"/>
        <v>0</v>
      </c>
      <c r="AY275" s="46">
        <f t="shared" si="4"/>
        <v>0</v>
      </c>
      <c r="AZ275" s="56" t="str">
        <f t="shared" si="5"/>
        <v/>
      </c>
    </row>
    <row r="276" ht="15.75" customHeight="1">
      <c r="A276" s="19" t="s">
        <v>30</v>
      </c>
      <c r="B276" s="57">
        <f t="shared" si="6"/>
        <v>44836</v>
      </c>
      <c r="C276" s="21">
        <v>10.0</v>
      </c>
      <c r="D276" s="21" t="s">
        <v>49</v>
      </c>
      <c r="E276" s="23"/>
      <c r="F276" s="36"/>
      <c r="H276" s="37"/>
      <c r="J276" s="37"/>
      <c r="L276" s="37"/>
      <c r="N276" s="37"/>
      <c r="P276" s="37"/>
      <c r="Q276" s="26"/>
      <c r="R276" s="38">
        <v>120.0</v>
      </c>
      <c r="T276" s="39">
        <v>120.0</v>
      </c>
      <c r="V276" s="37"/>
      <c r="X276" s="37"/>
      <c r="Z276" s="37"/>
      <c r="AB276" s="37"/>
      <c r="AC276" s="26"/>
      <c r="AD276" s="37"/>
      <c r="AF276" s="37"/>
      <c r="AH276" s="37"/>
      <c r="AJ276" s="36"/>
      <c r="AL276" s="37"/>
      <c r="AN276" s="37"/>
      <c r="AP276" s="37"/>
      <c r="AR276" s="37"/>
      <c r="AT276" s="37"/>
      <c r="AU276" s="26"/>
      <c r="AV276" s="29">
        <f t="shared" si="1"/>
        <v>2433.6</v>
      </c>
      <c r="AW276" s="21">
        <f t="shared" si="2"/>
        <v>240</v>
      </c>
      <c r="AX276" s="21">
        <f t="shared" si="3"/>
        <v>0</v>
      </c>
      <c r="AY276" s="21">
        <f t="shared" si="4"/>
        <v>240</v>
      </c>
      <c r="AZ276" s="58">
        <f t="shared" si="5"/>
        <v>10.14</v>
      </c>
    </row>
    <row r="277" ht="15.75" customHeight="1">
      <c r="A277" s="31" t="s">
        <v>33</v>
      </c>
      <c r="B277" s="32">
        <f t="shared" si="6"/>
        <v>44837</v>
      </c>
      <c r="C277" s="33">
        <v>10.0</v>
      </c>
      <c r="D277" s="33" t="s">
        <v>49</v>
      </c>
      <c r="E277" s="34"/>
      <c r="F277" s="36"/>
      <c r="H277" s="37"/>
      <c r="J277" s="37"/>
      <c r="L277" s="37"/>
      <c r="N277" s="37"/>
      <c r="P277" s="37"/>
      <c r="Q277" s="26"/>
      <c r="R277" s="38">
        <v>120.0</v>
      </c>
      <c r="T277" s="39">
        <v>120.0</v>
      </c>
      <c r="V277" s="37"/>
      <c r="X277" s="37"/>
      <c r="Z277" s="37"/>
      <c r="AB277" s="37"/>
      <c r="AC277" s="26"/>
      <c r="AD277" s="37"/>
      <c r="AF277" s="37"/>
      <c r="AH277" s="37"/>
      <c r="AJ277" s="36"/>
      <c r="AL277" s="37"/>
      <c r="AN277" s="37"/>
      <c r="AP277" s="37"/>
      <c r="AR277" s="37"/>
      <c r="AT277" s="37"/>
      <c r="AU277" s="26"/>
      <c r="AV277" s="35">
        <f t="shared" si="1"/>
        <v>2433.6</v>
      </c>
      <c r="AW277" s="33">
        <f t="shared" si="2"/>
        <v>240</v>
      </c>
      <c r="AX277" s="33">
        <f t="shared" si="3"/>
        <v>0</v>
      </c>
      <c r="AY277" s="33">
        <f t="shared" si="4"/>
        <v>240</v>
      </c>
      <c r="AZ277" s="30">
        <f t="shared" si="5"/>
        <v>10.14</v>
      </c>
    </row>
    <row r="278" ht="15.75" customHeight="1">
      <c r="A278" s="31" t="s">
        <v>34</v>
      </c>
      <c r="B278" s="32">
        <f t="shared" si="6"/>
        <v>44838</v>
      </c>
      <c r="C278" s="33">
        <v>10.0</v>
      </c>
      <c r="D278" s="33" t="s">
        <v>49</v>
      </c>
      <c r="E278" s="34"/>
      <c r="F278" s="36"/>
      <c r="H278" s="37"/>
      <c r="J278" s="37"/>
      <c r="L278" s="37"/>
      <c r="N278" s="37"/>
      <c r="P278" s="37"/>
      <c r="Q278" s="26"/>
      <c r="R278" s="38">
        <v>120.0</v>
      </c>
      <c r="T278" s="39">
        <v>120.0</v>
      </c>
      <c r="V278" s="37"/>
      <c r="X278" s="37"/>
      <c r="Z278" s="37"/>
      <c r="AB278" s="37"/>
      <c r="AC278" s="26"/>
      <c r="AD278" s="37"/>
      <c r="AF278" s="37"/>
      <c r="AH278" s="37"/>
      <c r="AJ278" s="36"/>
      <c r="AL278" s="37"/>
      <c r="AN278" s="37"/>
      <c r="AP278" s="37"/>
      <c r="AR278" s="37"/>
      <c r="AT278" s="37"/>
      <c r="AU278" s="26"/>
      <c r="AV278" s="35">
        <f t="shared" si="1"/>
        <v>2433.6</v>
      </c>
      <c r="AW278" s="33">
        <f t="shared" si="2"/>
        <v>240</v>
      </c>
      <c r="AX278" s="33">
        <f t="shared" si="3"/>
        <v>0</v>
      </c>
      <c r="AY278" s="33">
        <f t="shared" si="4"/>
        <v>240</v>
      </c>
      <c r="AZ278" s="30">
        <f t="shared" si="5"/>
        <v>10.14</v>
      </c>
    </row>
    <row r="279" ht="15.75" customHeight="1">
      <c r="A279" s="31" t="s">
        <v>35</v>
      </c>
      <c r="B279" s="32">
        <f t="shared" si="6"/>
        <v>44839</v>
      </c>
      <c r="C279" s="33">
        <v>10.0</v>
      </c>
      <c r="D279" s="33" t="s">
        <v>49</v>
      </c>
      <c r="E279" s="34"/>
      <c r="F279" s="36"/>
      <c r="H279" s="37"/>
      <c r="J279" s="37"/>
      <c r="L279" s="37"/>
      <c r="N279" s="37"/>
      <c r="P279" s="37"/>
      <c r="Q279" s="26"/>
      <c r="R279" s="38">
        <v>120.0</v>
      </c>
      <c r="T279" s="39">
        <v>120.0</v>
      </c>
      <c r="V279" s="37"/>
      <c r="X279" s="37"/>
      <c r="Z279" s="37"/>
      <c r="AB279" s="37"/>
      <c r="AC279" s="26"/>
      <c r="AD279" s="37"/>
      <c r="AF279" s="37"/>
      <c r="AH279" s="37"/>
      <c r="AJ279" s="36"/>
      <c r="AL279" s="37"/>
      <c r="AN279" s="37"/>
      <c r="AP279" s="37"/>
      <c r="AR279" s="37"/>
      <c r="AT279" s="37"/>
      <c r="AU279" s="26"/>
      <c r="AV279" s="35">
        <f t="shared" si="1"/>
        <v>2433.6</v>
      </c>
      <c r="AW279" s="33">
        <f t="shared" si="2"/>
        <v>240</v>
      </c>
      <c r="AX279" s="33">
        <f t="shared" si="3"/>
        <v>0</v>
      </c>
      <c r="AY279" s="33">
        <f t="shared" si="4"/>
        <v>240</v>
      </c>
      <c r="AZ279" s="30">
        <f t="shared" si="5"/>
        <v>10.14</v>
      </c>
    </row>
    <row r="280" ht="15.75" customHeight="1">
      <c r="A280" s="31" t="s">
        <v>38</v>
      </c>
      <c r="B280" s="32">
        <f t="shared" si="6"/>
        <v>44840</v>
      </c>
      <c r="C280" s="33">
        <v>10.0</v>
      </c>
      <c r="D280" s="33" t="s">
        <v>49</v>
      </c>
      <c r="E280" s="34"/>
      <c r="F280" s="36"/>
      <c r="H280" s="37"/>
      <c r="J280" s="37"/>
      <c r="L280" s="37"/>
      <c r="N280" s="37"/>
      <c r="P280" s="37"/>
      <c r="Q280" s="26"/>
      <c r="R280" s="38">
        <v>120.0</v>
      </c>
      <c r="T280" s="39">
        <v>120.0</v>
      </c>
      <c r="V280" s="37"/>
      <c r="X280" s="37"/>
      <c r="Z280" s="37"/>
      <c r="AB280" s="37"/>
      <c r="AC280" s="26"/>
      <c r="AD280" s="37"/>
      <c r="AF280" s="37"/>
      <c r="AH280" s="37"/>
      <c r="AJ280" s="36"/>
      <c r="AL280" s="37"/>
      <c r="AN280" s="37"/>
      <c r="AP280" s="37"/>
      <c r="AR280" s="37"/>
      <c r="AT280" s="37"/>
      <c r="AU280" s="26"/>
      <c r="AV280" s="35">
        <f t="shared" si="1"/>
        <v>2433.6</v>
      </c>
      <c r="AW280" s="33">
        <f t="shared" si="2"/>
        <v>240</v>
      </c>
      <c r="AX280" s="33">
        <f t="shared" si="3"/>
        <v>0</v>
      </c>
      <c r="AY280" s="33">
        <f t="shared" si="4"/>
        <v>240</v>
      </c>
      <c r="AZ280" s="30">
        <f t="shared" si="5"/>
        <v>10.14</v>
      </c>
    </row>
    <row r="281" ht="15.75" customHeight="1">
      <c r="A281" s="31" t="s">
        <v>45</v>
      </c>
      <c r="B281" s="32">
        <f t="shared" si="6"/>
        <v>44841</v>
      </c>
      <c r="C281" s="33">
        <v>10.0</v>
      </c>
      <c r="D281" s="33" t="s">
        <v>49</v>
      </c>
      <c r="E281" s="34"/>
      <c r="F281" s="36"/>
      <c r="H281" s="37"/>
      <c r="J281" s="37"/>
      <c r="L281" s="37"/>
      <c r="N281" s="37"/>
      <c r="P281" s="37"/>
      <c r="Q281" s="26"/>
      <c r="R281" s="38">
        <v>120.0</v>
      </c>
      <c r="T281" s="39">
        <v>120.0</v>
      </c>
      <c r="V281" s="37"/>
      <c r="X281" s="37"/>
      <c r="Z281" s="37"/>
      <c r="AB281" s="37"/>
      <c r="AC281" s="26"/>
      <c r="AD281" s="37"/>
      <c r="AF281" s="37"/>
      <c r="AH281" s="37"/>
      <c r="AJ281" s="36"/>
      <c r="AL281" s="37"/>
      <c r="AN281" s="37"/>
      <c r="AP281" s="37"/>
      <c r="AR281" s="37"/>
      <c r="AT281" s="37"/>
      <c r="AU281" s="26"/>
      <c r="AV281" s="35">
        <f t="shared" si="1"/>
        <v>2433.6</v>
      </c>
      <c r="AW281" s="33">
        <f t="shared" si="2"/>
        <v>240</v>
      </c>
      <c r="AX281" s="33">
        <f t="shared" si="3"/>
        <v>0</v>
      </c>
      <c r="AY281" s="33">
        <f t="shared" si="4"/>
        <v>240</v>
      </c>
      <c r="AZ281" s="30">
        <f t="shared" si="5"/>
        <v>10.14</v>
      </c>
    </row>
    <row r="282" ht="15.75" customHeight="1">
      <c r="A282" s="44" t="s">
        <v>46</v>
      </c>
      <c r="B282" s="45">
        <f t="shared" si="6"/>
        <v>44842</v>
      </c>
      <c r="C282" s="46">
        <v>10.0</v>
      </c>
      <c r="D282" s="46" t="s">
        <v>49</v>
      </c>
      <c r="E282" s="47"/>
      <c r="F282" s="60"/>
      <c r="G282" s="51"/>
      <c r="H282" s="61"/>
      <c r="I282" s="51"/>
      <c r="J282" s="61"/>
      <c r="K282" s="51"/>
      <c r="L282" s="61"/>
      <c r="M282" s="51"/>
      <c r="N282" s="61"/>
      <c r="O282" s="51"/>
      <c r="P282" s="61"/>
      <c r="Q282" s="53"/>
      <c r="R282" s="62">
        <v>0.0</v>
      </c>
      <c r="S282" s="51"/>
      <c r="T282" s="63">
        <v>0.0</v>
      </c>
      <c r="U282" s="51"/>
      <c r="V282" s="61"/>
      <c r="W282" s="51"/>
      <c r="X282" s="61"/>
      <c r="Y282" s="51"/>
      <c r="Z282" s="61"/>
      <c r="AA282" s="51"/>
      <c r="AB282" s="61"/>
      <c r="AC282" s="53"/>
      <c r="AD282" s="61"/>
      <c r="AE282" s="51"/>
      <c r="AF282" s="61"/>
      <c r="AG282" s="51"/>
      <c r="AH282" s="61"/>
      <c r="AI282" s="51"/>
      <c r="AJ282" s="60"/>
      <c r="AK282" s="51"/>
      <c r="AL282" s="61"/>
      <c r="AM282" s="51"/>
      <c r="AN282" s="61"/>
      <c r="AO282" s="51"/>
      <c r="AP282" s="61"/>
      <c r="AQ282" s="51"/>
      <c r="AR282" s="61"/>
      <c r="AS282" s="51"/>
      <c r="AT282" s="61"/>
      <c r="AU282" s="53"/>
      <c r="AV282" s="55">
        <f t="shared" si="1"/>
        <v>0</v>
      </c>
      <c r="AW282" s="46">
        <f t="shared" si="2"/>
        <v>0</v>
      </c>
      <c r="AX282" s="46">
        <f t="shared" si="3"/>
        <v>0</v>
      </c>
      <c r="AY282" s="46">
        <f t="shared" si="4"/>
        <v>0</v>
      </c>
      <c r="AZ282" s="56" t="str">
        <f t="shared" si="5"/>
        <v/>
      </c>
    </row>
    <row r="283" ht="15.75" customHeight="1">
      <c r="A283" s="19" t="s">
        <v>30</v>
      </c>
      <c r="B283" s="57">
        <f t="shared" si="6"/>
        <v>44843</v>
      </c>
      <c r="C283" s="21">
        <v>11.0</v>
      </c>
      <c r="D283" s="21" t="s">
        <v>31</v>
      </c>
      <c r="E283" s="23"/>
      <c r="F283" s="36"/>
      <c r="H283" s="37"/>
      <c r="J283" s="37"/>
      <c r="L283" s="37"/>
      <c r="N283" s="37"/>
      <c r="P283" s="37"/>
      <c r="Q283" s="26"/>
      <c r="R283" s="38">
        <v>120.0</v>
      </c>
      <c r="T283" s="39">
        <v>120.0</v>
      </c>
      <c r="V283" s="37"/>
      <c r="X283" s="37"/>
      <c r="Z283" s="37"/>
      <c r="AB283" s="37"/>
      <c r="AC283" s="26"/>
      <c r="AD283" s="37"/>
      <c r="AF283" s="37"/>
      <c r="AH283" s="37"/>
      <c r="AJ283" s="36"/>
      <c r="AL283" s="37"/>
      <c r="AN283" s="37"/>
      <c r="AP283" s="37"/>
      <c r="AR283" s="37"/>
      <c r="AT283" s="37"/>
      <c r="AU283" s="26"/>
      <c r="AV283" s="29">
        <f t="shared" si="1"/>
        <v>2433.6</v>
      </c>
      <c r="AW283" s="21">
        <f t="shared" si="2"/>
        <v>240</v>
      </c>
      <c r="AX283" s="21">
        <f t="shared" si="3"/>
        <v>0</v>
      </c>
      <c r="AY283" s="21">
        <f t="shared" si="4"/>
        <v>240</v>
      </c>
      <c r="AZ283" s="58">
        <f t="shared" si="5"/>
        <v>10.14</v>
      </c>
    </row>
    <row r="284" ht="15.75" customHeight="1">
      <c r="A284" s="31" t="s">
        <v>33</v>
      </c>
      <c r="B284" s="32">
        <f t="shared" si="6"/>
        <v>44844</v>
      </c>
      <c r="C284" s="33">
        <v>11.0</v>
      </c>
      <c r="D284" s="33" t="s">
        <v>31</v>
      </c>
      <c r="E284" s="34"/>
      <c r="F284" s="36"/>
      <c r="H284" s="37"/>
      <c r="J284" s="37"/>
      <c r="L284" s="37"/>
      <c r="N284" s="37"/>
      <c r="P284" s="37"/>
      <c r="Q284" s="26"/>
      <c r="R284" s="38">
        <v>120.0</v>
      </c>
      <c r="T284" s="39">
        <v>120.0</v>
      </c>
      <c r="V284" s="37"/>
      <c r="X284" s="37"/>
      <c r="Z284" s="37"/>
      <c r="AB284" s="37"/>
      <c r="AC284" s="26"/>
      <c r="AD284" s="37"/>
      <c r="AF284" s="37"/>
      <c r="AH284" s="37"/>
      <c r="AJ284" s="36"/>
      <c r="AL284" s="37"/>
      <c r="AN284" s="37"/>
      <c r="AP284" s="37"/>
      <c r="AR284" s="37"/>
      <c r="AT284" s="37"/>
      <c r="AU284" s="26"/>
      <c r="AV284" s="35">
        <f t="shared" si="1"/>
        <v>2433.6</v>
      </c>
      <c r="AW284" s="33">
        <f t="shared" si="2"/>
        <v>240</v>
      </c>
      <c r="AX284" s="33">
        <f t="shared" si="3"/>
        <v>0</v>
      </c>
      <c r="AY284" s="33">
        <f t="shared" si="4"/>
        <v>240</v>
      </c>
      <c r="AZ284" s="30">
        <f t="shared" si="5"/>
        <v>10.14</v>
      </c>
    </row>
    <row r="285" ht="15.75" customHeight="1">
      <c r="A285" s="31" t="s">
        <v>34</v>
      </c>
      <c r="B285" s="32">
        <f t="shared" si="6"/>
        <v>44845</v>
      </c>
      <c r="C285" s="33">
        <v>11.0</v>
      </c>
      <c r="D285" s="33" t="s">
        <v>31</v>
      </c>
      <c r="E285" s="34"/>
      <c r="F285" s="36"/>
      <c r="H285" s="37"/>
      <c r="J285" s="37"/>
      <c r="L285" s="37"/>
      <c r="N285" s="37"/>
      <c r="P285" s="37"/>
      <c r="Q285" s="26"/>
      <c r="R285" s="38">
        <v>120.0</v>
      </c>
      <c r="T285" s="39">
        <v>120.0</v>
      </c>
      <c r="V285" s="37"/>
      <c r="X285" s="37"/>
      <c r="Z285" s="37"/>
      <c r="AB285" s="37"/>
      <c r="AC285" s="26"/>
      <c r="AD285" s="37"/>
      <c r="AF285" s="37"/>
      <c r="AH285" s="37"/>
      <c r="AJ285" s="36"/>
      <c r="AL285" s="37"/>
      <c r="AN285" s="37"/>
      <c r="AP285" s="37"/>
      <c r="AR285" s="37"/>
      <c r="AT285" s="37"/>
      <c r="AU285" s="26"/>
      <c r="AV285" s="35">
        <f t="shared" si="1"/>
        <v>2433.6</v>
      </c>
      <c r="AW285" s="33">
        <f t="shared" si="2"/>
        <v>240</v>
      </c>
      <c r="AX285" s="33">
        <f t="shared" si="3"/>
        <v>0</v>
      </c>
      <c r="AY285" s="33">
        <f t="shared" si="4"/>
        <v>240</v>
      </c>
      <c r="AZ285" s="30">
        <f t="shared" si="5"/>
        <v>10.14</v>
      </c>
    </row>
    <row r="286" ht="15.75" customHeight="1">
      <c r="A286" s="31" t="s">
        <v>35</v>
      </c>
      <c r="B286" s="32">
        <f t="shared" si="6"/>
        <v>44846</v>
      </c>
      <c r="C286" s="33">
        <v>11.0</v>
      </c>
      <c r="D286" s="33" t="s">
        <v>31</v>
      </c>
      <c r="E286" s="34"/>
      <c r="F286" s="36"/>
      <c r="H286" s="37"/>
      <c r="J286" s="37"/>
      <c r="L286" s="37"/>
      <c r="N286" s="37"/>
      <c r="P286" s="37"/>
      <c r="Q286" s="26"/>
      <c r="R286" s="38">
        <v>120.0</v>
      </c>
      <c r="T286" s="39">
        <v>120.0</v>
      </c>
      <c r="V286" s="37"/>
      <c r="X286" s="37"/>
      <c r="Z286" s="37"/>
      <c r="AB286" s="37"/>
      <c r="AC286" s="26"/>
      <c r="AD286" s="37"/>
      <c r="AF286" s="37"/>
      <c r="AH286" s="37"/>
      <c r="AJ286" s="36"/>
      <c r="AL286" s="37"/>
      <c r="AN286" s="37"/>
      <c r="AP286" s="37"/>
      <c r="AR286" s="37"/>
      <c r="AT286" s="37"/>
      <c r="AU286" s="26"/>
      <c r="AV286" s="35">
        <f t="shared" si="1"/>
        <v>2433.6</v>
      </c>
      <c r="AW286" s="33">
        <f t="shared" si="2"/>
        <v>240</v>
      </c>
      <c r="AX286" s="33">
        <f t="shared" si="3"/>
        <v>0</v>
      </c>
      <c r="AY286" s="33">
        <f t="shared" si="4"/>
        <v>240</v>
      </c>
      <c r="AZ286" s="30">
        <f t="shared" si="5"/>
        <v>10.14</v>
      </c>
    </row>
    <row r="287" ht="15.75" customHeight="1">
      <c r="A287" s="31" t="s">
        <v>38</v>
      </c>
      <c r="B287" s="32">
        <f t="shared" si="6"/>
        <v>44847</v>
      </c>
      <c r="C287" s="33">
        <v>11.0</v>
      </c>
      <c r="D287" s="33" t="s">
        <v>31</v>
      </c>
      <c r="E287" s="34"/>
      <c r="F287" s="36"/>
      <c r="H287" s="37"/>
      <c r="J287" s="37"/>
      <c r="L287" s="37"/>
      <c r="N287" s="37"/>
      <c r="P287" s="37"/>
      <c r="Q287" s="26"/>
      <c r="R287" s="38">
        <v>120.0</v>
      </c>
      <c r="T287" s="39">
        <v>120.0</v>
      </c>
      <c r="V287" s="37"/>
      <c r="X287" s="37"/>
      <c r="Z287" s="37"/>
      <c r="AB287" s="37"/>
      <c r="AC287" s="26"/>
      <c r="AD287" s="37"/>
      <c r="AF287" s="37"/>
      <c r="AH287" s="37"/>
      <c r="AJ287" s="36"/>
      <c r="AL287" s="37"/>
      <c r="AN287" s="37"/>
      <c r="AP287" s="37"/>
      <c r="AR287" s="37"/>
      <c r="AT287" s="37"/>
      <c r="AU287" s="26"/>
      <c r="AV287" s="35">
        <f t="shared" si="1"/>
        <v>2433.6</v>
      </c>
      <c r="AW287" s="33">
        <f t="shared" si="2"/>
        <v>240</v>
      </c>
      <c r="AX287" s="33">
        <f t="shared" si="3"/>
        <v>0</v>
      </c>
      <c r="AY287" s="33">
        <f t="shared" si="4"/>
        <v>240</v>
      </c>
      <c r="AZ287" s="30">
        <f t="shared" si="5"/>
        <v>10.14</v>
      </c>
    </row>
    <row r="288" ht="15.75" customHeight="1">
      <c r="A288" s="31" t="s">
        <v>45</v>
      </c>
      <c r="B288" s="32">
        <f t="shared" si="6"/>
        <v>44848</v>
      </c>
      <c r="C288" s="33">
        <v>11.0</v>
      </c>
      <c r="D288" s="33" t="s">
        <v>31</v>
      </c>
      <c r="E288" s="34"/>
      <c r="F288" s="36"/>
      <c r="H288" s="37"/>
      <c r="J288" s="37"/>
      <c r="L288" s="37"/>
      <c r="N288" s="37"/>
      <c r="P288" s="37"/>
      <c r="Q288" s="26"/>
      <c r="R288" s="38">
        <v>120.0</v>
      </c>
      <c r="T288" s="39">
        <v>120.0</v>
      </c>
      <c r="V288" s="37"/>
      <c r="X288" s="37"/>
      <c r="Z288" s="37"/>
      <c r="AB288" s="37"/>
      <c r="AC288" s="26"/>
      <c r="AD288" s="37"/>
      <c r="AF288" s="37"/>
      <c r="AH288" s="37"/>
      <c r="AJ288" s="36"/>
      <c r="AL288" s="37"/>
      <c r="AN288" s="37"/>
      <c r="AP288" s="37"/>
      <c r="AR288" s="37"/>
      <c r="AT288" s="37"/>
      <c r="AU288" s="26"/>
      <c r="AV288" s="35">
        <f t="shared" si="1"/>
        <v>2433.6</v>
      </c>
      <c r="AW288" s="33">
        <f t="shared" si="2"/>
        <v>240</v>
      </c>
      <c r="AX288" s="33">
        <f t="shared" si="3"/>
        <v>0</v>
      </c>
      <c r="AY288" s="33">
        <f t="shared" si="4"/>
        <v>240</v>
      </c>
      <c r="AZ288" s="30">
        <f t="shared" si="5"/>
        <v>10.14</v>
      </c>
    </row>
    <row r="289" ht="15.75" customHeight="1">
      <c r="A289" s="44" t="s">
        <v>46</v>
      </c>
      <c r="B289" s="45">
        <f t="shared" si="6"/>
        <v>44849</v>
      </c>
      <c r="C289" s="46">
        <v>11.0</v>
      </c>
      <c r="D289" s="46" t="s">
        <v>31</v>
      </c>
      <c r="E289" s="47"/>
      <c r="F289" s="60"/>
      <c r="G289" s="51"/>
      <c r="H289" s="61"/>
      <c r="I289" s="51"/>
      <c r="J289" s="61"/>
      <c r="K289" s="51"/>
      <c r="L289" s="61"/>
      <c r="M289" s="51"/>
      <c r="N289" s="61"/>
      <c r="O289" s="51"/>
      <c r="P289" s="61"/>
      <c r="Q289" s="53"/>
      <c r="R289" s="62">
        <v>0.0</v>
      </c>
      <c r="S289" s="51"/>
      <c r="T289" s="63">
        <v>0.0</v>
      </c>
      <c r="U289" s="51"/>
      <c r="V289" s="61"/>
      <c r="W289" s="51"/>
      <c r="X289" s="61"/>
      <c r="Y289" s="51"/>
      <c r="Z289" s="61"/>
      <c r="AA289" s="51"/>
      <c r="AB289" s="61"/>
      <c r="AC289" s="53"/>
      <c r="AD289" s="61"/>
      <c r="AE289" s="51"/>
      <c r="AF289" s="61"/>
      <c r="AG289" s="51"/>
      <c r="AH289" s="61"/>
      <c r="AI289" s="51"/>
      <c r="AJ289" s="60"/>
      <c r="AK289" s="51"/>
      <c r="AL289" s="61"/>
      <c r="AM289" s="51"/>
      <c r="AN289" s="61"/>
      <c r="AO289" s="51"/>
      <c r="AP289" s="61"/>
      <c r="AQ289" s="51"/>
      <c r="AR289" s="61"/>
      <c r="AS289" s="51"/>
      <c r="AT289" s="61"/>
      <c r="AU289" s="53"/>
      <c r="AV289" s="55">
        <f t="shared" si="1"/>
        <v>0</v>
      </c>
      <c r="AW289" s="46">
        <f t="shared" si="2"/>
        <v>0</v>
      </c>
      <c r="AX289" s="46">
        <f t="shared" si="3"/>
        <v>0</v>
      </c>
      <c r="AY289" s="46">
        <f t="shared" si="4"/>
        <v>0</v>
      </c>
      <c r="AZ289" s="56" t="str">
        <f t="shared" si="5"/>
        <v/>
      </c>
    </row>
    <row r="290" ht="15.75" customHeight="1">
      <c r="A290" s="19" t="s">
        <v>30</v>
      </c>
      <c r="B290" s="57">
        <f t="shared" si="6"/>
        <v>44850</v>
      </c>
      <c r="C290" s="21">
        <v>11.0</v>
      </c>
      <c r="D290" s="21" t="s">
        <v>47</v>
      </c>
      <c r="E290" s="23"/>
      <c r="F290" s="36"/>
      <c r="H290" s="37"/>
      <c r="J290" s="37"/>
      <c r="L290" s="37"/>
      <c r="N290" s="37"/>
      <c r="P290" s="37"/>
      <c r="Q290" s="26"/>
      <c r="R290" s="38">
        <v>120.0</v>
      </c>
      <c r="T290" s="39">
        <v>120.0</v>
      </c>
      <c r="V290" s="37"/>
      <c r="X290" s="37"/>
      <c r="Z290" s="37"/>
      <c r="AB290" s="37"/>
      <c r="AC290" s="26"/>
      <c r="AD290" s="37"/>
      <c r="AF290" s="37"/>
      <c r="AH290" s="37"/>
      <c r="AJ290" s="36"/>
      <c r="AL290" s="37"/>
      <c r="AN290" s="37"/>
      <c r="AP290" s="37"/>
      <c r="AR290" s="37"/>
      <c r="AT290" s="37"/>
      <c r="AU290" s="26"/>
      <c r="AV290" s="29">
        <f t="shared" si="1"/>
        <v>2433.6</v>
      </c>
      <c r="AW290" s="21">
        <f t="shared" si="2"/>
        <v>240</v>
      </c>
      <c r="AX290" s="21">
        <f t="shared" si="3"/>
        <v>0</v>
      </c>
      <c r="AY290" s="21">
        <f t="shared" si="4"/>
        <v>240</v>
      </c>
      <c r="AZ290" s="58">
        <f t="shared" si="5"/>
        <v>10.14</v>
      </c>
    </row>
    <row r="291" ht="15.75" customHeight="1">
      <c r="A291" s="31" t="s">
        <v>33</v>
      </c>
      <c r="B291" s="32">
        <f t="shared" si="6"/>
        <v>44851</v>
      </c>
      <c r="C291" s="33">
        <v>11.0</v>
      </c>
      <c r="D291" s="33" t="s">
        <v>47</v>
      </c>
      <c r="E291" s="34"/>
      <c r="F291" s="36"/>
      <c r="H291" s="37"/>
      <c r="J291" s="37"/>
      <c r="L291" s="37"/>
      <c r="N291" s="37"/>
      <c r="P291" s="37"/>
      <c r="Q291" s="26"/>
      <c r="R291" s="38">
        <v>120.0</v>
      </c>
      <c r="T291" s="39">
        <v>120.0</v>
      </c>
      <c r="V291" s="37"/>
      <c r="X291" s="37"/>
      <c r="Z291" s="37"/>
      <c r="AB291" s="37"/>
      <c r="AC291" s="26"/>
      <c r="AD291" s="37"/>
      <c r="AF291" s="37"/>
      <c r="AH291" s="37"/>
      <c r="AJ291" s="36"/>
      <c r="AL291" s="37"/>
      <c r="AN291" s="37"/>
      <c r="AP291" s="37"/>
      <c r="AR291" s="37"/>
      <c r="AT291" s="37"/>
      <c r="AU291" s="26"/>
      <c r="AV291" s="35">
        <f t="shared" si="1"/>
        <v>2433.6</v>
      </c>
      <c r="AW291" s="33">
        <f t="shared" si="2"/>
        <v>240</v>
      </c>
      <c r="AX291" s="33">
        <f t="shared" si="3"/>
        <v>0</v>
      </c>
      <c r="AY291" s="33">
        <f t="shared" si="4"/>
        <v>240</v>
      </c>
      <c r="AZ291" s="30">
        <f t="shared" si="5"/>
        <v>10.14</v>
      </c>
    </row>
    <row r="292" ht="15.75" customHeight="1">
      <c r="A292" s="31" t="s">
        <v>34</v>
      </c>
      <c r="B292" s="32">
        <f t="shared" si="6"/>
        <v>44852</v>
      </c>
      <c r="C292" s="33">
        <v>11.0</v>
      </c>
      <c r="D292" s="33" t="s">
        <v>47</v>
      </c>
      <c r="E292" s="34"/>
      <c r="F292" s="36"/>
      <c r="H292" s="37"/>
      <c r="J292" s="37"/>
      <c r="L292" s="37"/>
      <c r="N292" s="37"/>
      <c r="P292" s="37"/>
      <c r="Q292" s="26"/>
      <c r="R292" s="38">
        <v>120.0</v>
      </c>
      <c r="T292" s="39">
        <v>120.0</v>
      </c>
      <c r="V292" s="37"/>
      <c r="X292" s="37"/>
      <c r="Z292" s="37"/>
      <c r="AB292" s="37"/>
      <c r="AC292" s="26"/>
      <c r="AD292" s="37"/>
      <c r="AF292" s="37"/>
      <c r="AH292" s="37"/>
      <c r="AJ292" s="36"/>
      <c r="AL292" s="37"/>
      <c r="AN292" s="37"/>
      <c r="AP292" s="37"/>
      <c r="AR292" s="37"/>
      <c r="AT292" s="37"/>
      <c r="AU292" s="26"/>
      <c r="AV292" s="35">
        <f t="shared" si="1"/>
        <v>2433.6</v>
      </c>
      <c r="AW292" s="33">
        <f t="shared" si="2"/>
        <v>240</v>
      </c>
      <c r="AX292" s="33">
        <f t="shared" si="3"/>
        <v>0</v>
      </c>
      <c r="AY292" s="33">
        <f t="shared" si="4"/>
        <v>240</v>
      </c>
      <c r="AZ292" s="30">
        <f t="shared" si="5"/>
        <v>10.14</v>
      </c>
    </row>
    <row r="293" ht="15.75" customHeight="1">
      <c r="A293" s="31" t="s">
        <v>35</v>
      </c>
      <c r="B293" s="32">
        <f t="shared" si="6"/>
        <v>44853</v>
      </c>
      <c r="C293" s="33">
        <v>11.0</v>
      </c>
      <c r="D293" s="33" t="s">
        <v>47</v>
      </c>
      <c r="E293" s="34"/>
      <c r="F293" s="36"/>
      <c r="H293" s="37"/>
      <c r="J293" s="37"/>
      <c r="L293" s="37"/>
      <c r="N293" s="37"/>
      <c r="P293" s="37"/>
      <c r="Q293" s="26"/>
      <c r="R293" s="38">
        <v>120.0</v>
      </c>
      <c r="T293" s="39">
        <v>120.0</v>
      </c>
      <c r="V293" s="37"/>
      <c r="X293" s="37"/>
      <c r="Z293" s="37"/>
      <c r="AB293" s="37"/>
      <c r="AC293" s="26"/>
      <c r="AD293" s="37"/>
      <c r="AF293" s="37"/>
      <c r="AH293" s="37"/>
      <c r="AJ293" s="36"/>
      <c r="AL293" s="37"/>
      <c r="AN293" s="37"/>
      <c r="AP293" s="37"/>
      <c r="AR293" s="37"/>
      <c r="AT293" s="37"/>
      <c r="AU293" s="26"/>
      <c r="AV293" s="35">
        <f t="shared" si="1"/>
        <v>2433.6</v>
      </c>
      <c r="AW293" s="33">
        <f t="shared" si="2"/>
        <v>240</v>
      </c>
      <c r="AX293" s="33">
        <f t="shared" si="3"/>
        <v>0</v>
      </c>
      <c r="AY293" s="33">
        <f t="shared" si="4"/>
        <v>240</v>
      </c>
      <c r="AZ293" s="30">
        <f t="shared" si="5"/>
        <v>10.14</v>
      </c>
    </row>
    <row r="294" ht="15.75" customHeight="1">
      <c r="A294" s="31" t="s">
        <v>38</v>
      </c>
      <c r="B294" s="32">
        <f t="shared" si="6"/>
        <v>44854</v>
      </c>
      <c r="C294" s="33">
        <v>11.0</v>
      </c>
      <c r="D294" s="33" t="s">
        <v>47</v>
      </c>
      <c r="E294" s="34"/>
      <c r="F294" s="36"/>
      <c r="H294" s="37"/>
      <c r="J294" s="37"/>
      <c r="L294" s="37"/>
      <c r="N294" s="37"/>
      <c r="P294" s="37"/>
      <c r="Q294" s="26"/>
      <c r="R294" s="38">
        <v>120.0</v>
      </c>
      <c r="T294" s="39">
        <v>120.0</v>
      </c>
      <c r="V294" s="37"/>
      <c r="X294" s="37"/>
      <c r="Z294" s="37"/>
      <c r="AB294" s="37"/>
      <c r="AC294" s="26"/>
      <c r="AD294" s="37"/>
      <c r="AF294" s="37"/>
      <c r="AH294" s="37"/>
      <c r="AJ294" s="36"/>
      <c r="AL294" s="37"/>
      <c r="AN294" s="37"/>
      <c r="AP294" s="37"/>
      <c r="AR294" s="37"/>
      <c r="AT294" s="37"/>
      <c r="AU294" s="26"/>
      <c r="AV294" s="35">
        <f t="shared" si="1"/>
        <v>2433.6</v>
      </c>
      <c r="AW294" s="33">
        <f t="shared" si="2"/>
        <v>240</v>
      </c>
      <c r="AX294" s="33">
        <f t="shared" si="3"/>
        <v>0</v>
      </c>
      <c r="AY294" s="33">
        <f t="shared" si="4"/>
        <v>240</v>
      </c>
      <c r="AZ294" s="30">
        <f t="shared" si="5"/>
        <v>10.14</v>
      </c>
    </row>
    <row r="295" ht="15.75" customHeight="1">
      <c r="A295" s="31" t="s">
        <v>45</v>
      </c>
      <c r="B295" s="32">
        <f t="shared" si="6"/>
        <v>44855</v>
      </c>
      <c r="C295" s="33">
        <v>11.0</v>
      </c>
      <c r="D295" s="33" t="s">
        <v>47</v>
      </c>
      <c r="E295" s="34"/>
      <c r="F295" s="36"/>
      <c r="H295" s="37"/>
      <c r="J295" s="37"/>
      <c r="L295" s="37"/>
      <c r="N295" s="37"/>
      <c r="P295" s="37"/>
      <c r="Q295" s="26"/>
      <c r="R295" s="38">
        <v>120.0</v>
      </c>
      <c r="T295" s="39">
        <v>120.0</v>
      </c>
      <c r="V295" s="37"/>
      <c r="X295" s="37"/>
      <c r="Z295" s="37"/>
      <c r="AB295" s="37"/>
      <c r="AC295" s="26"/>
      <c r="AD295" s="37"/>
      <c r="AF295" s="37"/>
      <c r="AH295" s="37"/>
      <c r="AJ295" s="36"/>
      <c r="AL295" s="37"/>
      <c r="AN295" s="37"/>
      <c r="AP295" s="37"/>
      <c r="AR295" s="37"/>
      <c r="AT295" s="37"/>
      <c r="AU295" s="26"/>
      <c r="AV295" s="35">
        <f t="shared" si="1"/>
        <v>2433.6</v>
      </c>
      <c r="AW295" s="33">
        <f t="shared" si="2"/>
        <v>240</v>
      </c>
      <c r="AX295" s="33">
        <f t="shared" si="3"/>
        <v>0</v>
      </c>
      <c r="AY295" s="33">
        <f t="shared" si="4"/>
        <v>240</v>
      </c>
      <c r="AZ295" s="30">
        <f t="shared" si="5"/>
        <v>10.14</v>
      </c>
    </row>
    <row r="296" ht="15.75" customHeight="1">
      <c r="A296" s="44" t="s">
        <v>46</v>
      </c>
      <c r="B296" s="45">
        <f t="shared" si="6"/>
        <v>44856</v>
      </c>
      <c r="C296" s="46">
        <v>11.0</v>
      </c>
      <c r="D296" s="46" t="s">
        <v>47</v>
      </c>
      <c r="E296" s="47"/>
      <c r="F296" s="60"/>
      <c r="G296" s="51"/>
      <c r="H296" s="61"/>
      <c r="I296" s="51"/>
      <c r="J296" s="61"/>
      <c r="K296" s="51"/>
      <c r="L296" s="61"/>
      <c r="M296" s="51"/>
      <c r="N296" s="61"/>
      <c r="O296" s="51"/>
      <c r="P296" s="61"/>
      <c r="Q296" s="53"/>
      <c r="R296" s="62">
        <v>0.0</v>
      </c>
      <c r="S296" s="51"/>
      <c r="T296" s="63">
        <v>0.0</v>
      </c>
      <c r="U296" s="51"/>
      <c r="V296" s="61"/>
      <c r="W296" s="51"/>
      <c r="X296" s="61"/>
      <c r="Y296" s="51"/>
      <c r="Z296" s="61"/>
      <c r="AA296" s="51"/>
      <c r="AB296" s="61"/>
      <c r="AC296" s="53"/>
      <c r="AD296" s="61"/>
      <c r="AE296" s="51"/>
      <c r="AF296" s="61"/>
      <c r="AG296" s="51"/>
      <c r="AH296" s="61"/>
      <c r="AI296" s="51"/>
      <c r="AJ296" s="60"/>
      <c r="AK296" s="51"/>
      <c r="AL296" s="61"/>
      <c r="AM296" s="51"/>
      <c r="AN296" s="61"/>
      <c r="AO296" s="51"/>
      <c r="AP296" s="61"/>
      <c r="AQ296" s="51"/>
      <c r="AR296" s="61"/>
      <c r="AS296" s="51"/>
      <c r="AT296" s="61"/>
      <c r="AU296" s="53"/>
      <c r="AV296" s="55">
        <f t="shared" si="1"/>
        <v>0</v>
      </c>
      <c r="AW296" s="46">
        <f t="shared" si="2"/>
        <v>0</v>
      </c>
      <c r="AX296" s="46">
        <f t="shared" si="3"/>
        <v>0</v>
      </c>
      <c r="AY296" s="46">
        <f t="shared" si="4"/>
        <v>0</v>
      </c>
      <c r="AZ296" s="56" t="str">
        <f t="shared" si="5"/>
        <v/>
      </c>
    </row>
    <row r="297" ht="15.75" customHeight="1">
      <c r="A297" s="19" t="s">
        <v>30</v>
      </c>
      <c r="B297" s="57">
        <f t="shared" si="6"/>
        <v>44857</v>
      </c>
      <c r="C297" s="21">
        <v>11.0</v>
      </c>
      <c r="D297" s="21" t="s">
        <v>48</v>
      </c>
      <c r="E297" s="23"/>
      <c r="F297" s="36"/>
      <c r="H297" s="37"/>
      <c r="J297" s="37"/>
      <c r="L297" s="37"/>
      <c r="N297" s="37"/>
      <c r="P297" s="37"/>
      <c r="Q297" s="26"/>
      <c r="R297" s="38">
        <v>100.0</v>
      </c>
      <c r="T297" s="39">
        <v>100.0</v>
      </c>
      <c r="V297" s="37"/>
      <c r="X297" s="37"/>
      <c r="Z297" s="37"/>
      <c r="AB297" s="37"/>
      <c r="AC297" s="26"/>
      <c r="AD297" s="37"/>
      <c r="AF297" s="37"/>
      <c r="AH297" s="37"/>
      <c r="AJ297" s="36"/>
      <c r="AL297" s="37"/>
      <c r="AN297" s="37"/>
      <c r="AP297" s="37"/>
      <c r="AR297" s="37"/>
      <c r="AT297" s="37"/>
      <c r="AU297" s="26"/>
      <c r="AV297" s="29">
        <f t="shared" si="1"/>
        <v>2028</v>
      </c>
      <c r="AW297" s="21">
        <f t="shared" si="2"/>
        <v>200</v>
      </c>
      <c r="AX297" s="21">
        <f t="shared" si="3"/>
        <v>0</v>
      </c>
      <c r="AY297" s="21">
        <f t="shared" si="4"/>
        <v>200</v>
      </c>
      <c r="AZ297" s="58">
        <f t="shared" si="5"/>
        <v>10.14</v>
      </c>
    </row>
    <row r="298" ht="15.75" customHeight="1">
      <c r="A298" s="31" t="s">
        <v>33</v>
      </c>
      <c r="B298" s="32">
        <f t="shared" si="6"/>
        <v>44858</v>
      </c>
      <c r="C298" s="33">
        <v>11.0</v>
      </c>
      <c r="D298" s="33" t="s">
        <v>48</v>
      </c>
      <c r="E298" s="34"/>
      <c r="F298" s="36"/>
      <c r="H298" s="37"/>
      <c r="J298" s="37"/>
      <c r="L298" s="37"/>
      <c r="N298" s="37"/>
      <c r="P298" s="37"/>
      <c r="Q298" s="26"/>
      <c r="R298" s="38">
        <v>100.0</v>
      </c>
      <c r="T298" s="39">
        <v>100.0</v>
      </c>
      <c r="V298" s="37"/>
      <c r="X298" s="37"/>
      <c r="Z298" s="37"/>
      <c r="AB298" s="37"/>
      <c r="AC298" s="26"/>
      <c r="AD298" s="37"/>
      <c r="AF298" s="37"/>
      <c r="AH298" s="37"/>
      <c r="AJ298" s="36"/>
      <c r="AL298" s="37"/>
      <c r="AN298" s="37"/>
      <c r="AP298" s="37"/>
      <c r="AR298" s="37"/>
      <c r="AT298" s="37"/>
      <c r="AU298" s="26"/>
      <c r="AV298" s="35">
        <f t="shared" si="1"/>
        <v>2028</v>
      </c>
      <c r="AW298" s="33">
        <f t="shared" si="2"/>
        <v>200</v>
      </c>
      <c r="AX298" s="33">
        <f t="shared" si="3"/>
        <v>0</v>
      </c>
      <c r="AY298" s="33">
        <f t="shared" si="4"/>
        <v>200</v>
      </c>
      <c r="AZ298" s="30">
        <f t="shared" si="5"/>
        <v>10.14</v>
      </c>
    </row>
    <row r="299" ht="15.75" customHeight="1">
      <c r="A299" s="31" t="s">
        <v>34</v>
      </c>
      <c r="B299" s="32">
        <f t="shared" si="6"/>
        <v>44859</v>
      </c>
      <c r="C299" s="33">
        <v>11.0</v>
      </c>
      <c r="D299" s="33" t="s">
        <v>48</v>
      </c>
      <c r="E299" s="34"/>
      <c r="F299" s="36"/>
      <c r="H299" s="37"/>
      <c r="J299" s="37"/>
      <c r="L299" s="37"/>
      <c r="N299" s="37"/>
      <c r="P299" s="37"/>
      <c r="Q299" s="26"/>
      <c r="R299" s="38">
        <v>100.0</v>
      </c>
      <c r="T299" s="39">
        <v>100.0</v>
      </c>
      <c r="V299" s="37"/>
      <c r="X299" s="37"/>
      <c r="Z299" s="37"/>
      <c r="AB299" s="37"/>
      <c r="AC299" s="26"/>
      <c r="AD299" s="37"/>
      <c r="AF299" s="37"/>
      <c r="AH299" s="37"/>
      <c r="AJ299" s="36"/>
      <c r="AL299" s="37"/>
      <c r="AN299" s="37"/>
      <c r="AP299" s="37"/>
      <c r="AR299" s="37"/>
      <c r="AT299" s="37"/>
      <c r="AU299" s="26"/>
      <c r="AV299" s="35">
        <f t="shared" si="1"/>
        <v>2028</v>
      </c>
      <c r="AW299" s="33">
        <f t="shared" si="2"/>
        <v>200</v>
      </c>
      <c r="AX299" s="33">
        <f t="shared" si="3"/>
        <v>0</v>
      </c>
      <c r="AY299" s="33">
        <f t="shared" si="4"/>
        <v>200</v>
      </c>
      <c r="AZ299" s="30">
        <f t="shared" si="5"/>
        <v>10.14</v>
      </c>
    </row>
    <row r="300" ht="15.75" customHeight="1">
      <c r="A300" s="31" t="s">
        <v>35</v>
      </c>
      <c r="B300" s="32">
        <f t="shared" si="6"/>
        <v>44860</v>
      </c>
      <c r="C300" s="33">
        <v>11.0</v>
      </c>
      <c r="D300" s="33" t="s">
        <v>48</v>
      </c>
      <c r="E300" s="34"/>
      <c r="F300" s="36"/>
      <c r="H300" s="37"/>
      <c r="J300" s="37"/>
      <c r="L300" s="37"/>
      <c r="N300" s="37"/>
      <c r="P300" s="37"/>
      <c r="Q300" s="26"/>
      <c r="R300" s="38">
        <v>100.0</v>
      </c>
      <c r="T300" s="39">
        <v>100.0</v>
      </c>
      <c r="V300" s="37"/>
      <c r="X300" s="37"/>
      <c r="Z300" s="37"/>
      <c r="AB300" s="37"/>
      <c r="AC300" s="26"/>
      <c r="AD300" s="37"/>
      <c r="AF300" s="37"/>
      <c r="AH300" s="37"/>
      <c r="AJ300" s="36"/>
      <c r="AL300" s="37"/>
      <c r="AN300" s="37"/>
      <c r="AP300" s="37"/>
      <c r="AR300" s="37"/>
      <c r="AT300" s="37"/>
      <c r="AU300" s="26"/>
      <c r="AV300" s="35">
        <f t="shared" si="1"/>
        <v>2028</v>
      </c>
      <c r="AW300" s="33">
        <f t="shared" si="2"/>
        <v>200</v>
      </c>
      <c r="AX300" s="33">
        <f t="shared" si="3"/>
        <v>0</v>
      </c>
      <c r="AY300" s="33">
        <f t="shared" si="4"/>
        <v>200</v>
      </c>
      <c r="AZ300" s="30">
        <f t="shared" si="5"/>
        <v>10.14</v>
      </c>
    </row>
    <row r="301" ht="15.75" customHeight="1">
      <c r="A301" s="31" t="s">
        <v>38</v>
      </c>
      <c r="B301" s="32">
        <f t="shared" si="6"/>
        <v>44861</v>
      </c>
      <c r="C301" s="33">
        <v>11.0</v>
      </c>
      <c r="D301" s="33" t="s">
        <v>48</v>
      </c>
      <c r="E301" s="34"/>
      <c r="F301" s="36"/>
      <c r="H301" s="37"/>
      <c r="J301" s="37"/>
      <c r="L301" s="37"/>
      <c r="N301" s="37"/>
      <c r="P301" s="37"/>
      <c r="Q301" s="26"/>
      <c r="R301" s="38">
        <v>100.0</v>
      </c>
      <c r="T301" s="39">
        <v>100.0</v>
      </c>
      <c r="V301" s="37"/>
      <c r="X301" s="37"/>
      <c r="Z301" s="37"/>
      <c r="AB301" s="37"/>
      <c r="AC301" s="26"/>
      <c r="AD301" s="37"/>
      <c r="AF301" s="37"/>
      <c r="AH301" s="37"/>
      <c r="AJ301" s="36"/>
      <c r="AL301" s="37"/>
      <c r="AN301" s="37"/>
      <c r="AP301" s="37"/>
      <c r="AR301" s="37"/>
      <c r="AT301" s="37"/>
      <c r="AU301" s="26"/>
      <c r="AV301" s="35">
        <f t="shared" si="1"/>
        <v>2028</v>
      </c>
      <c r="AW301" s="33">
        <f t="shared" si="2"/>
        <v>200</v>
      </c>
      <c r="AX301" s="33">
        <f t="shared" si="3"/>
        <v>0</v>
      </c>
      <c r="AY301" s="33">
        <f t="shared" si="4"/>
        <v>200</v>
      </c>
      <c r="AZ301" s="30">
        <f t="shared" si="5"/>
        <v>10.14</v>
      </c>
    </row>
    <row r="302" ht="15.75" customHeight="1">
      <c r="A302" s="31" t="s">
        <v>45</v>
      </c>
      <c r="B302" s="32">
        <f t="shared" si="6"/>
        <v>44862</v>
      </c>
      <c r="C302" s="33">
        <v>11.0</v>
      </c>
      <c r="D302" s="33" t="s">
        <v>48</v>
      </c>
      <c r="E302" s="34"/>
      <c r="F302" s="36"/>
      <c r="H302" s="37"/>
      <c r="J302" s="37"/>
      <c r="L302" s="37"/>
      <c r="N302" s="37"/>
      <c r="P302" s="37"/>
      <c r="Q302" s="26"/>
      <c r="R302" s="38">
        <v>100.0</v>
      </c>
      <c r="T302" s="39">
        <v>100.0</v>
      </c>
      <c r="V302" s="37"/>
      <c r="X302" s="37"/>
      <c r="Z302" s="37"/>
      <c r="AB302" s="37"/>
      <c r="AC302" s="26"/>
      <c r="AD302" s="37"/>
      <c r="AF302" s="37"/>
      <c r="AH302" s="37"/>
      <c r="AJ302" s="36"/>
      <c r="AL302" s="37"/>
      <c r="AN302" s="37"/>
      <c r="AP302" s="37"/>
      <c r="AR302" s="37"/>
      <c r="AT302" s="37"/>
      <c r="AU302" s="26"/>
      <c r="AV302" s="35">
        <f t="shared" si="1"/>
        <v>2028</v>
      </c>
      <c r="AW302" s="33">
        <f t="shared" si="2"/>
        <v>200</v>
      </c>
      <c r="AX302" s="33">
        <f t="shared" si="3"/>
        <v>0</v>
      </c>
      <c r="AY302" s="33">
        <f t="shared" si="4"/>
        <v>200</v>
      </c>
      <c r="AZ302" s="30">
        <f t="shared" si="5"/>
        <v>10.14</v>
      </c>
    </row>
    <row r="303" ht="15.75" customHeight="1">
      <c r="A303" s="44" t="s">
        <v>46</v>
      </c>
      <c r="B303" s="45">
        <f t="shared" si="6"/>
        <v>44863</v>
      </c>
      <c r="C303" s="46">
        <v>11.0</v>
      </c>
      <c r="D303" s="46" t="s">
        <v>48</v>
      </c>
      <c r="E303" s="47"/>
      <c r="F303" s="60"/>
      <c r="G303" s="51"/>
      <c r="H303" s="61"/>
      <c r="I303" s="51"/>
      <c r="J303" s="61"/>
      <c r="K303" s="51"/>
      <c r="L303" s="61"/>
      <c r="M303" s="51"/>
      <c r="N303" s="61"/>
      <c r="O303" s="51"/>
      <c r="P303" s="61"/>
      <c r="Q303" s="53"/>
      <c r="R303" s="62">
        <v>0.0</v>
      </c>
      <c r="S303" s="51"/>
      <c r="T303" s="63">
        <v>0.0</v>
      </c>
      <c r="U303" s="51"/>
      <c r="V303" s="61"/>
      <c r="W303" s="51"/>
      <c r="X303" s="61"/>
      <c r="Y303" s="51"/>
      <c r="Z303" s="61"/>
      <c r="AA303" s="51"/>
      <c r="AB303" s="61"/>
      <c r="AC303" s="53"/>
      <c r="AD303" s="61"/>
      <c r="AE303" s="51"/>
      <c r="AF303" s="61"/>
      <c r="AG303" s="51"/>
      <c r="AH303" s="61"/>
      <c r="AI303" s="51"/>
      <c r="AJ303" s="60"/>
      <c r="AK303" s="51"/>
      <c r="AL303" s="61"/>
      <c r="AM303" s="51"/>
      <c r="AN303" s="61"/>
      <c r="AO303" s="51"/>
      <c r="AP303" s="61"/>
      <c r="AQ303" s="51"/>
      <c r="AR303" s="61"/>
      <c r="AS303" s="51"/>
      <c r="AT303" s="61"/>
      <c r="AU303" s="53"/>
      <c r="AV303" s="55">
        <f t="shared" si="1"/>
        <v>0</v>
      </c>
      <c r="AW303" s="46">
        <f t="shared" si="2"/>
        <v>0</v>
      </c>
      <c r="AX303" s="46">
        <f t="shared" si="3"/>
        <v>0</v>
      </c>
      <c r="AY303" s="46">
        <f t="shared" si="4"/>
        <v>0</v>
      </c>
      <c r="AZ303" s="56" t="str">
        <f t="shared" si="5"/>
        <v/>
      </c>
    </row>
    <row r="304" ht="15.75" customHeight="1">
      <c r="A304" s="19" t="s">
        <v>30</v>
      </c>
      <c r="B304" s="57">
        <f t="shared" si="6"/>
        <v>44864</v>
      </c>
      <c r="C304" s="21">
        <v>11.0</v>
      </c>
      <c r="D304" s="21" t="s">
        <v>49</v>
      </c>
      <c r="E304" s="23"/>
      <c r="F304" s="36"/>
      <c r="H304" s="37"/>
      <c r="J304" s="37"/>
      <c r="L304" s="37"/>
      <c r="N304" s="37"/>
      <c r="P304" s="37"/>
      <c r="Q304" s="26"/>
      <c r="R304" s="38">
        <v>100.0</v>
      </c>
      <c r="T304" s="39">
        <v>100.0</v>
      </c>
      <c r="V304" s="37"/>
      <c r="X304" s="37"/>
      <c r="Z304" s="37"/>
      <c r="AB304" s="37"/>
      <c r="AC304" s="26"/>
      <c r="AD304" s="37"/>
      <c r="AF304" s="37"/>
      <c r="AH304" s="37"/>
      <c r="AJ304" s="36"/>
      <c r="AL304" s="37"/>
      <c r="AN304" s="37"/>
      <c r="AP304" s="37"/>
      <c r="AR304" s="37"/>
      <c r="AT304" s="37"/>
      <c r="AU304" s="26"/>
      <c r="AV304" s="29">
        <f t="shared" si="1"/>
        <v>2028</v>
      </c>
      <c r="AW304" s="21">
        <f t="shared" si="2"/>
        <v>200</v>
      </c>
      <c r="AX304" s="21">
        <f t="shared" si="3"/>
        <v>0</v>
      </c>
      <c r="AY304" s="21">
        <f t="shared" si="4"/>
        <v>200</v>
      </c>
      <c r="AZ304" s="58">
        <f t="shared" si="5"/>
        <v>10.14</v>
      </c>
    </row>
    <row r="305" ht="15.75" customHeight="1">
      <c r="A305" s="31" t="s">
        <v>33</v>
      </c>
      <c r="B305" s="32">
        <f t="shared" si="6"/>
        <v>44865</v>
      </c>
      <c r="C305" s="33">
        <v>11.0</v>
      </c>
      <c r="D305" s="33" t="s">
        <v>49</v>
      </c>
      <c r="E305" s="34"/>
      <c r="F305" s="36"/>
      <c r="H305" s="37"/>
      <c r="J305" s="37"/>
      <c r="L305" s="37"/>
      <c r="N305" s="37"/>
      <c r="P305" s="37"/>
      <c r="Q305" s="26"/>
      <c r="R305" s="38">
        <v>100.0</v>
      </c>
      <c r="T305" s="39">
        <v>100.0</v>
      </c>
      <c r="V305" s="37"/>
      <c r="X305" s="37"/>
      <c r="Z305" s="37"/>
      <c r="AB305" s="37"/>
      <c r="AC305" s="26"/>
      <c r="AD305" s="37"/>
      <c r="AF305" s="37"/>
      <c r="AH305" s="37"/>
      <c r="AJ305" s="36"/>
      <c r="AL305" s="37"/>
      <c r="AN305" s="37"/>
      <c r="AP305" s="37"/>
      <c r="AR305" s="37"/>
      <c r="AT305" s="37"/>
      <c r="AU305" s="26"/>
      <c r="AV305" s="35">
        <f t="shared" si="1"/>
        <v>2028</v>
      </c>
      <c r="AW305" s="33">
        <f t="shared" si="2"/>
        <v>200</v>
      </c>
      <c r="AX305" s="33">
        <f t="shared" si="3"/>
        <v>0</v>
      </c>
      <c r="AY305" s="33">
        <f t="shared" si="4"/>
        <v>200</v>
      </c>
      <c r="AZ305" s="30">
        <f t="shared" si="5"/>
        <v>10.14</v>
      </c>
    </row>
    <row r="306" ht="15.75" customHeight="1">
      <c r="A306" s="31" t="s">
        <v>34</v>
      </c>
      <c r="B306" s="32">
        <f t="shared" si="6"/>
        <v>44866</v>
      </c>
      <c r="C306" s="33">
        <v>11.0</v>
      </c>
      <c r="D306" s="33" t="s">
        <v>49</v>
      </c>
      <c r="E306" s="34"/>
      <c r="F306" s="36"/>
      <c r="H306" s="37"/>
      <c r="J306" s="37"/>
      <c r="L306" s="37"/>
      <c r="N306" s="37"/>
      <c r="P306" s="37"/>
      <c r="Q306" s="26"/>
      <c r="R306" s="38">
        <v>100.0</v>
      </c>
      <c r="T306" s="39">
        <v>100.0</v>
      </c>
      <c r="V306" s="37"/>
      <c r="X306" s="37"/>
      <c r="Z306" s="37"/>
      <c r="AB306" s="37"/>
      <c r="AC306" s="26"/>
      <c r="AD306" s="37"/>
      <c r="AF306" s="37"/>
      <c r="AH306" s="37"/>
      <c r="AJ306" s="36"/>
      <c r="AL306" s="37"/>
      <c r="AN306" s="37"/>
      <c r="AP306" s="37"/>
      <c r="AR306" s="37"/>
      <c r="AT306" s="37"/>
      <c r="AU306" s="26"/>
      <c r="AV306" s="35">
        <f t="shared" si="1"/>
        <v>2028</v>
      </c>
      <c r="AW306" s="33">
        <f t="shared" si="2"/>
        <v>200</v>
      </c>
      <c r="AX306" s="33">
        <f t="shared" si="3"/>
        <v>0</v>
      </c>
      <c r="AY306" s="33">
        <f t="shared" si="4"/>
        <v>200</v>
      </c>
      <c r="AZ306" s="30">
        <f t="shared" si="5"/>
        <v>10.14</v>
      </c>
    </row>
    <row r="307" ht="15.75" customHeight="1">
      <c r="A307" s="31" t="s">
        <v>35</v>
      </c>
      <c r="B307" s="32">
        <f t="shared" si="6"/>
        <v>44867</v>
      </c>
      <c r="C307" s="33">
        <v>11.0</v>
      </c>
      <c r="D307" s="33" t="s">
        <v>49</v>
      </c>
      <c r="E307" s="34"/>
      <c r="F307" s="36"/>
      <c r="H307" s="37"/>
      <c r="J307" s="37"/>
      <c r="L307" s="37"/>
      <c r="N307" s="37"/>
      <c r="P307" s="37"/>
      <c r="Q307" s="26"/>
      <c r="R307" s="38">
        <v>100.0</v>
      </c>
      <c r="T307" s="39">
        <v>100.0</v>
      </c>
      <c r="V307" s="37"/>
      <c r="X307" s="37"/>
      <c r="Z307" s="37"/>
      <c r="AB307" s="37"/>
      <c r="AC307" s="26"/>
      <c r="AD307" s="37"/>
      <c r="AF307" s="37"/>
      <c r="AH307" s="37"/>
      <c r="AJ307" s="36"/>
      <c r="AL307" s="37"/>
      <c r="AN307" s="37"/>
      <c r="AP307" s="37"/>
      <c r="AR307" s="37"/>
      <c r="AT307" s="37"/>
      <c r="AU307" s="26"/>
      <c r="AV307" s="35">
        <f t="shared" si="1"/>
        <v>2028</v>
      </c>
      <c r="AW307" s="33">
        <f t="shared" si="2"/>
        <v>200</v>
      </c>
      <c r="AX307" s="33">
        <f t="shared" si="3"/>
        <v>0</v>
      </c>
      <c r="AY307" s="33">
        <f t="shared" si="4"/>
        <v>200</v>
      </c>
      <c r="AZ307" s="30">
        <f t="shared" si="5"/>
        <v>10.14</v>
      </c>
    </row>
    <row r="308" ht="15.75" customHeight="1">
      <c r="A308" s="31" t="s">
        <v>38</v>
      </c>
      <c r="B308" s="32">
        <f t="shared" si="6"/>
        <v>44868</v>
      </c>
      <c r="C308" s="33">
        <v>11.0</v>
      </c>
      <c r="D308" s="33" t="s">
        <v>49</v>
      </c>
      <c r="E308" s="34"/>
      <c r="F308" s="36"/>
      <c r="H308" s="37"/>
      <c r="J308" s="37"/>
      <c r="L308" s="37"/>
      <c r="N308" s="37"/>
      <c r="P308" s="37"/>
      <c r="Q308" s="26"/>
      <c r="R308" s="38">
        <v>100.0</v>
      </c>
      <c r="T308" s="39">
        <v>100.0</v>
      </c>
      <c r="V308" s="37"/>
      <c r="X308" s="37"/>
      <c r="Z308" s="37"/>
      <c r="AB308" s="37"/>
      <c r="AC308" s="26"/>
      <c r="AD308" s="37"/>
      <c r="AF308" s="37"/>
      <c r="AH308" s="37"/>
      <c r="AJ308" s="36"/>
      <c r="AL308" s="37"/>
      <c r="AN308" s="37"/>
      <c r="AP308" s="37"/>
      <c r="AR308" s="37"/>
      <c r="AT308" s="37"/>
      <c r="AU308" s="26"/>
      <c r="AV308" s="35">
        <f t="shared" si="1"/>
        <v>2028</v>
      </c>
      <c r="AW308" s="33">
        <f t="shared" si="2"/>
        <v>200</v>
      </c>
      <c r="AX308" s="33">
        <f t="shared" si="3"/>
        <v>0</v>
      </c>
      <c r="AY308" s="33">
        <f t="shared" si="4"/>
        <v>200</v>
      </c>
      <c r="AZ308" s="30">
        <f t="shared" si="5"/>
        <v>10.14</v>
      </c>
    </row>
    <row r="309" ht="15.75" customHeight="1">
      <c r="A309" s="31" t="s">
        <v>45</v>
      </c>
      <c r="B309" s="32">
        <f t="shared" si="6"/>
        <v>44869</v>
      </c>
      <c r="C309" s="33">
        <v>11.0</v>
      </c>
      <c r="D309" s="33" t="s">
        <v>49</v>
      </c>
      <c r="E309" s="34"/>
      <c r="F309" s="36"/>
      <c r="H309" s="37"/>
      <c r="J309" s="37"/>
      <c r="L309" s="37"/>
      <c r="N309" s="37"/>
      <c r="P309" s="37"/>
      <c r="Q309" s="26"/>
      <c r="R309" s="38">
        <v>100.0</v>
      </c>
      <c r="T309" s="39">
        <v>100.0</v>
      </c>
      <c r="V309" s="37"/>
      <c r="X309" s="37"/>
      <c r="Z309" s="37"/>
      <c r="AB309" s="37"/>
      <c r="AC309" s="26"/>
      <c r="AD309" s="37"/>
      <c r="AF309" s="37"/>
      <c r="AH309" s="37"/>
      <c r="AJ309" s="36"/>
      <c r="AL309" s="37"/>
      <c r="AN309" s="37"/>
      <c r="AP309" s="37"/>
      <c r="AR309" s="37"/>
      <c r="AT309" s="37"/>
      <c r="AU309" s="26"/>
      <c r="AV309" s="35">
        <f t="shared" si="1"/>
        <v>2028</v>
      </c>
      <c r="AW309" s="33">
        <f t="shared" si="2"/>
        <v>200</v>
      </c>
      <c r="AX309" s="33">
        <f t="shared" si="3"/>
        <v>0</v>
      </c>
      <c r="AY309" s="33">
        <f t="shared" si="4"/>
        <v>200</v>
      </c>
      <c r="AZ309" s="30">
        <f t="shared" si="5"/>
        <v>10.14</v>
      </c>
    </row>
    <row r="310" ht="15.75" customHeight="1">
      <c r="A310" s="44" t="s">
        <v>46</v>
      </c>
      <c r="B310" s="45">
        <f t="shared" si="6"/>
        <v>44870</v>
      </c>
      <c r="C310" s="46">
        <v>11.0</v>
      </c>
      <c r="D310" s="46" t="s">
        <v>49</v>
      </c>
      <c r="E310" s="47"/>
      <c r="F310" s="60"/>
      <c r="G310" s="51"/>
      <c r="H310" s="61"/>
      <c r="I310" s="51"/>
      <c r="J310" s="61"/>
      <c r="K310" s="51"/>
      <c r="L310" s="61"/>
      <c r="M310" s="51"/>
      <c r="N310" s="61"/>
      <c r="O310" s="51"/>
      <c r="P310" s="61"/>
      <c r="Q310" s="53"/>
      <c r="R310" s="62">
        <v>0.0</v>
      </c>
      <c r="S310" s="51"/>
      <c r="T310" s="63">
        <v>0.0</v>
      </c>
      <c r="U310" s="51"/>
      <c r="V310" s="61"/>
      <c r="W310" s="51"/>
      <c r="X310" s="61"/>
      <c r="Y310" s="51"/>
      <c r="Z310" s="61"/>
      <c r="AA310" s="51"/>
      <c r="AB310" s="61"/>
      <c r="AC310" s="53"/>
      <c r="AD310" s="61"/>
      <c r="AE310" s="51"/>
      <c r="AF310" s="61"/>
      <c r="AG310" s="51"/>
      <c r="AH310" s="61"/>
      <c r="AI310" s="51"/>
      <c r="AJ310" s="60"/>
      <c r="AK310" s="51"/>
      <c r="AL310" s="61"/>
      <c r="AM310" s="51"/>
      <c r="AN310" s="61"/>
      <c r="AO310" s="51"/>
      <c r="AP310" s="61"/>
      <c r="AQ310" s="51"/>
      <c r="AR310" s="61"/>
      <c r="AS310" s="51"/>
      <c r="AT310" s="61"/>
      <c r="AU310" s="53"/>
      <c r="AV310" s="55">
        <f t="shared" si="1"/>
        <v>0</v>
      </c>
      <c r="AW310" s="46">
        <f t="shared" si="2"/>
        <v>0</v>
      </c>
      <c r="AX310" s="46">
        <f t="shared" si="3"/>
        <v>0</v>
      </c>
      <c r="AY310" s="46">
        <f t="shared" si="4"/>
        <v>0</v>
      </c>
      <c r="AZ310" s="56" t="str">
        <f t="shared" si="5"/>
        <v/>
      </c>
    </row>
    <row r="311" ht="15.75" customHeight="1">
      <c r="A311" s="19" t="s">
        <v>30</v>
      </c>
      <c r="B311" s="57">
        <f t="shared" si="6"/>
        <v>44871</v>
      </c>
      <c r="C311" s="21">
        <v>12.0</v>
      </c>
      <c r="D311" s="21" t="s">
        <v>31</v>
      </c>
      <c r="E311" s="23"/>
      <c r="F311" s="36"/>
      <c r="H311" s="37"/>
      <c r="J311" s="37"/>
      <c r="L311" s="37"/>
      <c r="N311" s="37"/>
      <c r="P311" s="37"/>
      <c r="Q311" s="26"/>
      <c r="R311" s="38">
        <v>100.0</v>
      </c>
      <c r="T311" s="39">
        <v>100.0</v>
      </c>
      <c r="V311" s="37"/>
      <c r="X311" s="37"/>
      <c r="Z311" s="37"/>
      <c r="AB311" s="37"/>
      <c r="AC311" s="26"/>
      <c r="AD311" s="37"/>
      <c r="AF311" s="37"/>
      <c r="AH311" s="37"/>
      <c r="AJ311" s="36"/>
      <c r="AL311" s="37"/>
      <c r="AN311" s="37"/>
      <c r="AP311" s="37"/>
      <c r="AR311" s="37"/>
      <c r="AT311" s="37"/>
      <c r="AU311" s="26"/>
      <c r="AV311" s="29">
        <f t="shared" si="1"/>
        <v>2028</v>
      </c>
      <c r="AW311" s="21">
        <f t="shared" si="2"/>
        <v>200</v>
      </c>
      <c r="AX311" s="21">
        <f t="shared" si="3"/>
        <v>0</v>
      </c>
      <c r="AY311" s="21">
        <f t="shared" si="4"/>
        <v>200</v>
      </c>
      <c r="AZ311" s="58">
        <f t="shared" si="5"/>
        <v>10.14</v>
      </c>
    </row>
    <row r="312" ht="15.75" customHeight="1">
      <c r="A312" s="31" t="s">
        <v>33</v>
      </c>
      <c r="B312" s="32">
        <f t="shared" si="6"/>
        <v>44872</v>
      </c>
      <c r="C312" s="33">
        <v>12.0</v>
      </c>
      <c r="D312" s="33" t="s">
        <v>31</v>
      </c>
      <c r="E312" s="34"/>
      <c r="F312" s="36"/>
      <c r="H312" s="37"/>
      <c r="J312" s="37"/>
      <c r="L312" s="37"/>
      <c r="N312" s="37"/>
      <c r="P312" s="37"/>
      <c r="Q312" s="26"/>
      <c r="R312" s="38">
        <v>100.0</v>
      </c>
      <c r="T312" s="39">
        <v>100.0</v>
      </c>
      <c r="V312" s="37"/>
      <c r="X312" s="37"/>
      <c r="Z312" s="37"/>
      <c r="AB312" s="37"/>
      <c r="AC312" s="26"/>
      <c r="AD312" s="37"/>
      <c r="AF312" s="37"/>
      <c r="AH312" s="37"/>
      <c r="AJ312" s="36"/>
      <c r="AL312" s="37"/>
      <c r="AN312" s="37"/>
      <c r="AP312" s="37"/>
      <c r="AR312" s="37"/>
      <c r="AT312" s="37"/>
      <c r="AU312" s="26"/>
      <c r="AV312" s="35">
        <f t="shared" si="1"/>
        <v>2028</v>
      </c>
      <c r="AW312" s="33">
        <f t="shared" si="2"/>
        <v>200</v>
      </c>
      <c r="AX312" s="33">
        <f t="shared" si="3"/>
        <v>0</v>
      </c>
      <c r="AY312" s="33">
        <f t="shared" si="4"/>
        <v>200</v>
      </c>
      <c r="AZ312" s="30">
        <f t="shared" si="5"/>
        <v>10.14</v>
      </c>
    </row>
    <row r="313" ht="15.75" customHeight="1">
      <c r="A313" s="31" t="s">
        <v>34</v>
      </c>
      <c r="B313" s="32">
        <f t="shared" si="6"/>
        <v>44873</v>
      </c>
      <c r="C313" s="33">
        <v>12.0</v>
      </c>
      <c r="D313" s="33" t="s">
        <v>31</v>
      </c>
      <c r="E313" s="34"/>
      <c r="F313" s="36"/>
      <c r="H313" s="37"/>
      <c r="J313" s="37"/>
      <c r="L313" s="37"/>
      <c r="N313" s="37"/>
      <c r="P313" s="37"/>
      <c r="Q313" s="26"/>
      <c r="R313" s="38">
        <v>100.0</v>
      </c>
      <c r="T313" s="39">
        <v>100.0</v>
      </c>
      <c r="V313" s="37"/>
      <c r="X313" s="37"/>
      <c r="Z313" s="37"/>
      <c r="AB313" s="37"/>
      <c r="AC313" s="26"/>
      <c r="AD313" s="37"/>
      <c r="AF313" s="37"/>
      <c r="AH313" s="37"/>
      <c r="AJ313" s="36"/>
      <c r="AL313" s="37"/>
      <c r="AN313" s="37"/>
      <c r="AP313" s="37"/>
      <c r="AR313" s="37"/>
      <c r="AT313" s="37"/>
      <c r="AU313" s="26"/>
      <c r="AV313" s="35">
        <f t="shared" si="1"/>
        <v>2028</v>
      </c>
      <c r="AW313" s="33">
        <f t="shared" si="2"/>
        <v>200</v>
      </c>
      <c r="AX313" s="33">
        <f t="shared" si="3"/>
        <v>0</v>
      </c>
      <c r="AY313" s="33">
        <f t="shared" si="4"/>
        <v>200</v>
      </c>
      <c r="AZ313" s="30">
        <f t="shared" si="5"/>
        <v>10.14</v>
      </c>
    </row>
    <row r="314" ht="15.75" customHeight="1">
      <c r="A314" s="31" t="s">
        <v>35</v>
      </c>
      <c r="B314" s="32">
        <f t="shared" si="6"/>
        <v>44874</v>
      </c>
      <c r="C314" s="33">
        <v>12.0</v>
      </c>
      <c r="D314" s="33" t="s">
        <v>31</v>
      </c>
      <c r="E314" s="34"/>
      <c r="F314" s="36"/>
      <c r="H314" s="37"/>
      <c r="J314" s="37"/>
      <c r="L314" s="37"/>
      <c r="N314" s="37"/>
      <c r="P314" s="37"/>
      <c r="Q314" s="26"/>
      <c r="R314" s="38">
        <v>100.0</v>
      </c>
      <c r="T314" s="39">
        <v>100.0</v>
      </c>
      <c r="V314" s="37"/>
      <c r="X314" s="37"/>
      <c r="Z314" s="37"/>
      <c r="AB314" s="37"/>
      <c r="AC314" s="26"/>
      <c r="AD314" s="37"/>
      <c r="AF314" s="37"/>
      <c r="AH314" s="37"/>
      <c r="AJ314" s="36"/>
      <c r="AL314" s="37"/>
      <c r="AN314" s="37"/>
      <c r="AP314" s="37"/>
      <c r="AR314" s="37"/>
      <c r="AT314" s="37"/>
      <c r="AU314" s="26"/>
      <c r="AV314" s="35">
        <f t="shared" si="1"/>
        <v>2028</v>
      </c>
      <c r="AW314" s="33">
        <f t="shared" si="2"/>
        <v>200</v>
      </c>
      <c r="AX314" s="33">
        <f t="shared" si="3"/>
        <v>0</v>
      </c>
      <c r="AY314" s="33">
        <f t="shared" si="4"/>
        <v>200</v>
      </c>
      <c r="AZ314" s="30">
        <f t="shared" si="5"/>
        <v>10.14</v>
      </c>
    </row>
    <row r="315" ht="15.75" customHeight="1">
      <c r="A315" s="31" t="s">
        <v>38</v>
      </c>
      <c r="B315" s="32">
        <f t="shared" si="6"/>
        <v>44875</v>
      </c>
      <c r="C315" s="33">
        <v>12.0</v>
      </c>
      <c r="D315" s="33" t="s">
        <v>31</v>
      </c>
      <c r="E315" s="34"/>
      <c r="F315" s="36"/>
      <c r="H315" s="37"/>
      <c r="J315" s="37"/>
      <c r="L315" s="37"/>
      <c r="N315" s="37"/>
      <c r="P315" s="37"/>
      <c r="Q315" s="26"/>
      <c r="R315" s="38">
        <v>100.0</v>
      </c>
      <c r="T315" s="39">
        <v>100.0</v>
      </c>
      <c r="V315" s="37"/>
      <c r="X315" s="37"/>
      <c r="Z315" s="37"/>
      <c r="AB315" s="37"/>
      <c r="AC315" s="26"/>
      <c r="AD315" s="37"/>
      <c r="AF315" s="37"/>
      <c r="AH315" s="37"/>
      <c r="AJ315" s="36"/>
      <c r="AL315" s="37"/>
      <c r="AN315" s="37"/>
      <c r="AP315" s="37"/>
      <c r="AR315" s="37"/>
      <c r="AT315" s="37"/>
      <c r="AU315" s="26"/>
      <c r="AV315" s="35">
        <f t="shared" si="1"/>
        <v>2028</v>
      </c>
      <c r="AW315" s="33">
        <f t="shared" si="2"/>
        <v>200</v>
      </c>
      <c r="AX315" s="33">
        <f t="shared" si="3"/>
        <v>0</v>
      </c>
      <c r="AY315" s="33">
        <f t="shared" si="4"/>
        <v>200</v>
      </c>
      <c r="AZ315" s="30">
        <f t="shared" si="5"/>
        <v>10.14</v>
      </c>
    </row>
    <row r="316" ht="15.75" customHeight="1">
      <c r="A316" s="31" t="s">
        <v>45</v>
      </c>
      <c r="B316" s="32">
        <f t="shared" si="6"/>
        <v>44876</v>
      </c>
      <c r="C316" s="33">
        <v>12.0</v>
      </c>
      <c r="D316" s="33" t="s">
        <v>31</v>
      </c>
      <c r="E316" s="34"/>
      <c r="F316" s="36"/>
      <c r="H316" s="37"/>
      <c r="J316" s="37"/>
      <c r="L316" s="37"/>
      <c r="N316" s="37"/>
      <c r="P316" s="37"/>
      <c r="Q316" s="26"/>
      <c r="R316" s="38">
        <v>100.0</v>
      </c>
      <c r="T316" s="39">
        <v>100.0</v>
      </c>
      <c r="V316" s="37"/>
      <c r="X316" s="37"/>
      <c r="Z316" s="37"/>
      <c r="AB316" s="37"/>
      <c r="AC316" s="26"/>
      <c r="AD316" s="37"/>
      <c r="AF316" s="37"/>
      <c r="AH316" s="37"/>
      <c r="AJ316" s="36"/>
      <c r="AL316" s="37"/>
      <c r="AN316" s="37"/>
      <c r="AP316" s="37"/>
      <c r="AR316" s="37"/>
      <c r="AT316" s="37"/>
      <c r="AU316" s="26"/>
      <c r="AV316" s="35">
        <f t="shared" si="1"/>
        <v>2028</v>
      </c>
      <c r="AW316" s="33">
        <f t="shared" si="2"/>
        <v>200</v>
      </c>
      <c r="AX316" s="33">
        <f t="shared" si="3"/>
        <v>0</v>
      </c>
      <c r="AY316" s="33">
        <f t="shared" si="4"/>
        <v>200</v>
      </c>
      <c r="AZ316" s="30">
        <f t="shared" si="5"/>
        <v>10.14</v>
      </c>
    </row>
    <row r="317" ht="15.75" customHeight="1">
      <c r="A317" s="44" t="s">
        <v>46</v>
      </c>
      <c r="B317" s="45">
        <f t="shared" si="6"/>
        <v>44877</v>
      </c>
      <c r="C317" s="46">
        <v>12.0</v>
      </c>
      <c r="D317" s="46" t="s">
        <v>31</v>
      </c>
      <c r="E317" s="47"/>
      <c r="F317" s="60"/>
      <c r="G317" s="51"/>
      <c r="H317" s="61"/>
      <c r="I317" s="51"/>
      <c r="J317" s="61"/>
      <c r="K317" s="51"/>
      <c r="L317" s="61"/>
      <c r="M317" s="51"/>
      <c r="N317" s="61"/>
      <c r="O317" s="51"/>
      <c r="P317" s="61"/>
      <c r="Q317" s="53"/>
      <c r="R317" s="62">
        <v>0.0</v>
      </c>
      <c r="S317" s="51"/>
      <c r="T317" s="63">
        <v>0.0</v>
      </c>
      <c r="U317" s="51"/>
      <c r="V317" s="61"/>
      <c r="W317" s="51"/>
      <c r="X317" s="61"/>
      <c r="Y317" s="51"/>
      <c r="Z317" s="61"/>
      <c r="AA317" s="51"/>
      <c r="AB317" s="61"/>
      <c r="AC317" s="53"/>
      <c r="AD317" s="61"/>
      <c r="AE317" s="51"/>
      <c r="AF317" s="61"/>
      <c r="AG317" s="51"/>
      <c r="AH317" s="61"/>
      <c r="AI317" s="51"/>
      <c r="AJ317" s="60"/>
      <c r="AK317" s="51"/>
      <c r="AL317" s="61"/>
      <c r="AM317" s="51"/>
      <c r="AN317" s="61"/>
      <c r="AO317" s="51"/>
      <c r="AP317" s="61"/>
      <c r="AQ317" s="51"/>
      <c r="AR317" s="61"/>
      <c r="AS317" s="51"/>
      <c r="AT317" s="61"/>
      <c r="AU317" s="53"/>
      <c r="AV317" s="55">
        <f t="shared" si="1"/>
        <v>0</v>
      </c>
      <c r="AW317" s="46">
        <f t="shared" si="2"/>
        <v>0</v>
      </c>
      <c r="AX317" s="46">
        <f t="shared" si="3"/>
        <v>0</v>
      </c>
      <c r="AY317" s="46">
        <f t="shared" si="4"/>
        <v>0</v>
      </c>
      <c r="AZ317" s="56" t="str">
        <f t="shared" si="5"/>
        <v/>
      </c>
    </row>
    <row r="318" ht="15.75" customHeight="1">
      <c r="A318" s="19" t="s">
        <v>30</v>
      </c>
      <c r="B318" s="57">
        <f t="shared" si="6"/>
        <v>44878</v>
      </c>
      <c r="C318" s="21">
        <v>12.0</v>
      </c>
      <c r="D318" s="21" t="s">
        <v>47</v>
      </c>
      <c r="E318" s="23"/>
      <c r="F318" s="36"/>
      <c r="H318" s="37"/>
      <c r="J318" s="37"/>
      <c r="L318" s="37"/>
      <c r="N318" s="37"/>
      <c r="P318" s="37"/>
      <c r="Q318" s="26"/>
      <c r="R318" s="38">
        <v>100.0</v>
      </c>
      <c r="T318" s="39">
        <v>100.0</v>
      </c>
      <c r="V318" s="37"/>
      <c r="X318" s="37"/>
      <c r="Z318" s="37"/>
      <c r="AB318" s="37"/>
      <c r="AC318" s="26"/>
      <c r="AD318" s="37"/>
      <c r="AF318" s="37"/>
      <c r="AH318" s="37"/>
      <c r="AJ318" s="36"/>
      <c r="AL318" s="37"/>
      <c r="AN318" s="37"/>
      <c r="AP318" s="37"/>
      <c r="AR318" s="37"/>
      <c r="AT318" s="37"/>
      <c r="AU318" s="26"/>
      <c r="AV318" s="29">
        <f t="shared" si="1"/>
        <v>2028</v>
      </c>
      <c r="AW318" s="21">
        <f t="shared" si="2"/>
        <v>200</v>
      </c>
      <c r="AX318" s="21">
        <f t="shared" si="3"/>
        <v>0</v>
      </c>
      <c r="AY318" s="21">
        <f t="shared" si="4"/>
        <v>200</v>
      </c>
      <c r="AZ318" s="58">
        <f t="shared" si="5"/>
        <v>10.14</v>
      </c>
    </row>
    <row r="319" ht="15.75" customHeight="1">
      <c r="A319" s="31" t="s">
        <v>33</v>
      </c>
      <c r="B319" s="32">
        <f t="shared" si="6"/>
        <v>44879</v>
      </c>
      <c r="C319" s="33">
        <v>12.0</v>
      </c>
      <c r="D319" s="33" t="s">
        <v>47</v>
      </c>
      <c r="E319" s="34"/>
      <c r="F319" s="36"/>
      <c r="H319" s="37"/>
      <c r="J319" s="37"/>
      <c r="L319" s="37"/>
      <c r="N319" s="37"/>
      <c r="P319" s="37"/>
      <c r="Q319" s="26"/>
      <c r="R319" s="38">
        <v>100.0</v>
      </c>
      <c r="T319" s="39">
        <v>100.0</v>
      </c>
      <c r="V319" s="37"/>
      <c r="X319" s="37"/>
      <c r="Z319" s="37"/>
      <c r="AB319" s="37"/>
      <c r="AC319" s="26"/>
      <c r="AD319" s="37"/>
      <c r="AF319" s="37"/>
      <c r="AH319" s="37"/>
      <c r="AJ319" s="36"/>
      <c r="AL319" s="37"/>
      <c r="AN319" s="37"/>
      <c r="AP319" s="37"/>
      <c r="AR319" s="37"/>
      <c r="AT319" s="37"/>
      <c r="AU319" s="26"/>
      <c r="AV319" s="35">
        <f t="shared" si="1"/>
        <v>2028</v>
      </c>
      <c r="AW319" s="33">
        <f t="shared" si="2"/>
        <v>200</v>
      </c>
      <c r="AX319" s="33">
        <f t="shared" si="3"/>
        <v>0</v>
      </c>
      <c r="AY319" s="33">
        <f t="shared" si="4"/>
        <v>200</v>
      </c>
      <c r="AZ319" s="30">
        <f t="shared" si="5"/>
        <v>10.14</v>
      </c>
    </row>
    <row r="320" ht="15.75" customHeight="1">
      <c r="A320" s="31" t="s">
        <v>34</v>
      </c>
      <c r="B320" s="32">
        <f t="shared" si="6"/>
        <v>44880</v>
      </c>
      <c r="C320" s="33">
        <v>12.0</v>
      </c>
      <c r="D320" s="33" t="s">
        <v>47</v>
      </c>
      <c r="E320" s="34"/>
      <c r="F320" s="36"/>
      <c r="H320" s="37"/>
      <c r="J320" s="37"/>
      <c r="L320" s="37"/>
      <c r="N320" s="37"/>
      <c r="P320" s="37"/>
      <c r="Q320" s="26"/>
      <c r="R320" s="38">
        <v>100.0</v>
      </c>
      <c r="T320" s="39">
        <v>100.0</v>
      </c>
      <c r="V320" s="37"/>
      <c r="X320" s="37"/>
      <c r="Z320" s="37"/>
      <c r="AB320" s="37"/>
      <c r="AC320" s="26"/>
      <c r="AD320" s="37"/>
      <c r="AF320" s="37"/>
      <c r="AH320" s="37"/>
      <c r="AJ320" s="36"/>
      <c r="AL320" s="37"/>
      <c r="AN320" s="37"/>
      <c r="AP320" s="37"/>
      <c r="AR320" s="37"/>
      <c r="AT320" s="37"/>
      <c r="AU320" s="26"/>
      <c r="AV320" s="35">
        <f t="shared" si="1"/>
        <v>2028</v>
      </c>
      <c r="AW320" s="33">
        <f t="shared" si="2"/>
        <v>200</v>
      </c>
      <c r="AX320" s="33">
        <f t="shared" si="3"/>
        <v>0</v>
      </c>
      <c r="AY320" s="33">
        <f t="shared" si="4"/>
        <v>200</v>
      </c>
      <c r="AZ320" s="30">
        <f t="shared" si="5"/>
        <v>10.14</v>
      </c>
    </row>
    <row r="321" ht="15.75" customHeight="1">
      <c r="A321" s="31" t="s">
        <v>35</v>
      </c>
      <c r="B321" s="32">
        <f t="shared" si="6"/>
        <v>44881</v>
      </c>
      <c r="C321" s="33">
        <v>12.0</v>
      </c>
      <c r="D321" s="33" t="s">
        <v>47</v>
      </c>
      <c r="E321" s="34"/>
      <c r="F321" s="36"/>
      <c r="H321" s="37"/>
      <c r="J321" s="37"/>
      <c r="L321" s="37"/>
      <c r="N321" s="37"/>
      <c r="P321" s="37"/>
      <c r="Q321" s="26"/>
      <c r="R321" s="38">
        <v>100.0</v>
      </c>
      <c r="T321" s="39">
        <v>100.0</v>
      </c>
      <c r="V321" s="37"/>
      <c r="X321" s="37"/>
      <c r="Z321" s="37"/>
      <c r="AB321" s="37"/>
      <c r="AC321" s="26"/>
      <c r="AD321" s="37"/>
      <c r="AF321" s="37"/>
      <c r="AH321" s="37"/>
      <c r="AJ321" s="36"/>
      <c r="AL321" s="37"/>
      <c r="AN321" s="37"/>
      <c r="AP321" s="37"/>
      <c r="AR321" s="37"/>
      <c r="AT321" s="37"/>
      <c r="AU321" s="26"/>
      <c r="AV321" s="35">
        <f t="shared" si="1"/>
        <v>2028</v>
      </c>
      <c r="AW321" s="33">
        <f t="shared" si="2"/>
        <v>200</v>
      </c>
      <c r="AX321" s="33">
        <f t="shared" si="3"/>
        <v>0</v>
      </c>
      <c r="AY321" s="33">
        <f t="shared" si="4"/>
        <v>200</v>
      </c>
      <c r="AZ321" s="30">
        <f t="shared" si="5"/>
        <v>10.14</v>
      </c>
    </row>
    <row r="322" ht="15.75" customHeight="1">
      <c r="A322" s="31" t="s">
        <v>38</v>
      </c>
      <c r="B322" s="32">
        <f t="shared" si="6"/>
        <v>44882</v>
      </c>
      <c r="C322" s="33">
        <v>12.0</v>
      </c>
      <c r="D322" s="33" t="s">
        <v>47</v>
      </c>
      <c r="E322" s="34"/>
      <c r="F322" s="36"/>
      <c r="H322" s="37"/>
      <c r="J322" s="37"/>
      <c r="L322" s="37"/>
      <c r="N322" s="37"/>
      <c r="P322" s="37"/>
      <c r="Q322" s="26"/>
      <c r="R322" s="38">
        <v>100.0</v>
      </c>
      <c r="T322" s="39">
        <v>100.0</v>
      </c>
      <c r="V322" s="37"/>
      <c r="X322" s="37"/>
      <c r="Z322" s="37"/>
      <c r="AB322" s="37"/>
      <c r="AC322" s="26"/>
      <c r="AD322" s="37"/>
      <c r="AF322" s="37"/>
      <c r="AH322" s="37"/>
      <c r="AJ322" s="36"/>
      <c r="AL322" s="37"/>
      <c r="AN322" s="37"/>
      <c r="AP322" s="37"/>
      <c r="AR322" s="37"/>
      <c r="AT322" s="37"/>
      <c r="AU322" s="26"/>
      <c r="AV322" s="35">
        <f t="shared" si="1"/>
        <v>2028</v>
      </c>
      <c r="AW322" s="33">
        <f t="shared" si="2"/>
        <v>200</v>
      </c>
      <c r="AX322" s="33">
        <f t="shared" si="3"/>
        <v>0</v>
      </c>
      <c r="AY322" s="33">
        <f t="shared" si="4"/>
        <v>200</v>
      </c>
      <c r="AZ322" s="30">
        <f t="shared" si="5"/>
        <v>10.14</v>
      </c>
    </row>
    <row r="323" ht="15.75" customHeight="1">
      <c r="A323" s="31" t="s">
        <v>45</v>
      </c>
      <c r="B323" s="32">
        <f t="shared" si="6"/>
        <v>44883</v>
      </c>
      <c r="C323" s="33">
        <v>12.0</v>
      </c>
      <c r="D323" s="33" t="s">
        <v>47</v>
      </c>
      <c r="E323" s="34"/>
      <c r="F323" s="36"/>
      <c r="H323" s="37"/>
      <c r="J323" s="37"/>
      <c r="L323" s="37"/>
      <c r="N323" s="37"/>
      <c r="P323" s="37"/>
      <c r="Q323" s="26"/>
      <c r="R323" s="38">
        <v>100.0</v>
      </c>
      <c r="T323" s="39">
        <v>100.0</v>
      </c>
      <c r="V323" s="37"/>
      <c r="X323" s="37"/>
      <c r="Z323" s="37"/>
      <c r="AB323" s="37"/>
      <c r="AC323" s="26"/>
      <c r="AD323" s="37"/>
      <c r="AF323" s="37"/>
      <c r="AH323" s="37"/>
      <c r="AJ323" s="36"/>
      <c r="AL323" s="37"/>
      <c r="AN323" s="37"/>
      <c r="AP323" s="37"/>
      <c r="AR323" s="37"/>
      <c r="AT323" s="37"/>
      <c r="AU323" s="26"/>
      <c r="AV323" s="35">
        <f t="shared" si="1"/>
        <v>2028</v>
      </c>
      <c r="AW323" s="33">
        <f t="shared" si="2"/>
        <v>200</v>
      </c>
      <c r="AX323" s="33">
        <f t="shared" si="3"/>
        <v>0</v>
      </c>
      <c r="AY323" s="33">
        <f t="shared" si="4"/>
        <v>200</v>
      </c>
      <c r="AZ323" s="30">
        <f t="shared" si="5"/>
        <v>10.14</v>
      </c>
    </row>
    <row r="324" ht="15.75" customHeight="1">
      <c r="A324" s="44" t="s">
        <v>46</v>
      </c>
      <c r="B324" s="45">
        <f t="shared" si="6"/>
        <v>44884</v>
      </c>
      <c r="C324" s="46">
        <v>12.0</v>
      </c>
      <c r="D324" s="46" t="s">
        <v>47</v>
      </c>
      <c r="E324" s="47"/>
      <c r="F324" s="60"/>
      <c r="G324" s="51"/>
      <c r="H324" s="61"/>
      <c r="I324" s="51"/>
      <c r="J324" s="61"/>
      <c r="K324" s="51"/>
      <c r="L324" s="61"/>
      <c r="M324" s="51"/>
      <c r="N324" s="61"/>
      <c r="O324" s="51"/>
      <c r="P324" s="61"/>
      <c r="Q324" s="53"/>
      <c r="R324" s="62">
        <v>0.0</v>
      </c>
      <c r="S324" s="51"/>
      <c r="T324" s="63">
        <v>0.0</v>
      </c>
      <c r="U324" s="51"/>
      <c r="V324" s="61"/>
      <c r="W324" s="51"/>
      <c r="X324" s="61"/>
      <c r="Y324" s="51"/>
      <c r="Z324" s="61"/>
      <c r="AA324" s="51"/>
      <c r="AB324" s="61"/>
      <c r="AC324" s="53"/>
      <c r="AD324" s="61"/>
      <c r="AE324" s="51"/>
      <c r="AF324" s="61"/>
      <c r="AG324" s="51"/>
      <c r="AH324" s="61"/>
      <c r="AI324" s="51"/>
      <c r="AJ324" s="60"/>
      <c r="AK324" s="51"/>
      <c r="AL324" s="61"/>
      <c r="AM324" s="51"/>
      <c r="AN324" s="61"/>
      <c r="AO324" s="51"/>
      <c r="AP324" s="61"/>
      <c r="AQ324" s="51"/>
      <c r="AR324" s="61"/>
      <c r="AS324" s="51"/>
      <c r="AT324" s="61"/>
      <c r="AU324" s="53"/>
      <c r="AV324" s="55">
        <f t="shared" si="1"/>
        <v>0</v>
      </c>
      <c r="AW324" s="46">
        <f t="shared" si="2"/>
        <v>0</v>
      </c>
      <c r="AX324" s="46">
        <f t="shared" si="3"/>
        <v>0</v>
      </c>
      <c r="AY324" s="46">
        <f t="shared" si="4"/>
        <v>0</v>
      </c>
      <c r="AZ324" s="56" t="str">
        <f t="shared" si="5"/>
        <v/>
      </c>
    </row>
    <row r="325" ht="15.75" customHeight="1">
      <c r="A325" s="19" t="s">
        <v>30</v>
      </c>
      <c r="B325" s="57">
        <f t="shared" si="6"/>
        <v>44885</v>
      </c>
      <c r="C325" s="21">
        <v>12.0</v>
      </c>
      <c r="D325" s="21" t="s">
        <v>48</v>
      </c>
      <c r="E325" s="23"/>
      <c r="F325" s="36"/>
      <c r="H325" s="37"/>
      <c r="J325" s="37"/>
      <c r="L325" s="37"/>
      <c r="N325" s="37"/>
      <c r="P325" s="37"/>
      <c r="Q325" s="26"/>
      <c r="R325" s="38">
        <v>0.0</v>
      </c>
      <c r="T325" s="39">
        <v>0.0</v>
      </c>
      <c r="V325" s="37"/>
      <c r="X325" s="37"/>
      <c r="Z325" s="37"/>
      <c r="AB325" s="37"/>
      <c r="AC325" s="26"/>
      <c r="AD325" s="37"/>
      <c r="AF325" s="37"/>
      <c r="AH325" s="37"/>
      <c r="AJ325" s="36"/>
      <c r="AL325" s="37"/>
      <c r="AN325" s="37"/>
      <c r="AP325" s="37"/>
      <c r="AR325" s="37"/>
      <c r="AT325" s="37"/>
      <c r="AU325" s="26"/>
      <c r="AV325" s="29">
        <f t="shared" si="1"/>
        <v>0</v>
      </c>
      <c r="AW325" s="21">
        <f t="shared" si="2"/>
        <v>0</v>
      </c>
      <c r="AX325" s="21">
        <f t="shared" si="3"/>
        <v>0</v>
      </c>
      <c r="AY325" s="21">
        <f t="shared" si="4"/>
        <v>0</v>
      </c>
      <c r="AZ325" s="58" t="str">
        <f t="shared" si="5"/>
        <v/>
      </c>
    </row>
    <row r="326" ht="15.75" customHeight="1">
      <c r="A326" s="31" t="s">
        <v>33</v>
      </c>
      <c r="B326" s="32">
        <f t="shared" si="6"/>
        <v>44886</v>
      </c>
      <c r="C326" s="33">
        <v>12.0</v>
      </c>
      <c r="D326" s="33" t="s">
        <v>48</v>
      </c>
      <c r="E326" s="34"/>
      <c r="F326" s="36"/>
      <c r="H326" s="37"/>
      <c r="J326" s="37"/>
      <c r="L326" s="37"/>
      <c r="N326" s="37"/>
      <c r="P326" s="37"/>
      <c r="Q326" s="26"/>
      <c r="R326" s="38">
        <v>0.0</v>
      </c>
      <c r="T326" s="39">
        <v>0.0</v>
      </c>
      <c r="V326" s="37"/>
      <c r="X326" s="37"/>
      <c r="Z326" s="37"/>
      <c r="AB326" s="37"/>
      <c r="AC326" s="26"/>
      <c r="AD326" s="37"/>
      <c r="AF326" s="37"/>
      <c r="AH326" s="37"/>
      <c r="AJ326" s="36"/>
      <c r="AL326" s="37"/>
      <c r="AN326" s="37"/>
      <c r="AP326" s="37"/>
      <c r="AR326" s="37"/>
      <c r="AT326" s="37"/>
      <c r="AU326" s="26"/>
      <c r="AV326" s="35">
        <f t="shared" si="1"/>
        <v>0</v>
      </c>
      <c r="AW326" s="33">
        <f t="shared" si="2"/>
        <v>0</v>
      </c>
      <c r="AX326" s="33">
        <f t="shared" si="3"/>
        <v>0</v>
      </c>
      <c r="AY326" s="33">
        <f t="shared" si="4"/>
        <v>0</v>
      </c>
      <c r="AZ326" s="30" t="str">
        <f t="shared" si="5"/>
        <v/>
      </c>
    </row>
    <row r="327" ht="15.75" customHeight="1">
      <c r="A327" s="31" t="s">
        <v>34</v>
      </c>
      <c r="B327" s="32">
        <f t="shared" si="6"/>
        <v>44887</v>
      </c>
      <c r="C327" s="33">
        <v>12.0</v>
      </c>
      <c r="D327" s="33" t="s">
        <v>48</v>
      </c>
      <c r="E327" s="34"/>
      <c r="F327" s="36"/>
      <c r="H327" s="37"/>
      <c r="J327" s="37"/>
      <c r="L327" s="37"/>
      <c r="N327" s="37"/>
      <c r="P327" s="37"/>
      <c r="Q327" s="26"/>
      <c r="R327" s="38">
        <v>0.0</v>
      </c>
      <c r="T327" s="39">
        <v>0.0</v>
      </c>
      <c r="V327" s="37"/>
      <c r="X327" s="37"/>
      <c r="Z327" s="37"/>
      <c r="AB327" s="37"/>
      <c r="AC327" s="26"/>
      <c r="AD327" s="37"/>
      <c r="AF327" s="37"/>
      <c r="AH327" s="37"/>
      <c r="AJ327" s="36"/>
      <c r="AL327" s="37"/>
      <c r="AN327" s="37"/>
      <c r="AP327" s="37"/>
      <c r="AR327" s="37"/>
      <c r="AT327" s="37"/>
      <c r="AU327" s="26"/>
      <c r="AV327" s="35">
        <f t="shared" si="1"/>
        <v>0</v>
      </c>
      <c r="AW327" s="33">
        <f t="shared" si="2"/>
        <v>0</v>
      </c>
      <c r="AX327" s="33">
        <f t="shared" si="3"/>
        <v>0</v>
      </c>
      <c r="AY327" s="33">
        <f t="shared" si="4"/>
        <v>0</v>
      </c>
      <c r="AZ327" s="30" t="str">
        <f t="shared" si="5"/>
        <v/>
      </c>
    </row>
    <row r="328" ht="15.75" customHeight="1">
      <c r="A328" s="31" t="s">
        <v>35</v>
      </c>
      <c r="B328" s="32">
        <f t="shared" si="6"/>
        <v>44888</v>
      </c>
      <c r="C328" s="33">
        <v>12.0</v>
      </c>
      <c r="D328" s="33" t="s">
        <v>48</v>
      </c>
      <c r="E328" s="34"/>
      <c r="F328" s="36"/>
      <c r="H328" s="37"/>
      <c r="J328" s="37"/>
      <c r="L328" s="37"/>
      <c r="N328" s="37"/>
      <c r="P328" s="37"/>
      <c r="Q328" s="26"/>
      <c r="R328" s="38">
        <v>0.0</v>
      </c>
      <c r="T328" s="39">
        <v>0.0</v>
      </c>
      <c r="V328" s="37"/>
      <c r="X328" s="37"/>
      <c r="Z328" s="37"/>
      <c r="AB328" s="37"/>
      <c r="AC328" s="26"/>
      <c r="AD328" s="37"/>
      <c r="AF328" s="37"/>
      <c r="AH328" s="37"/>
      <c r="AJ328" s="36"/>
      <c r="AL328" s="37"/>
      <c r="AN328" s="37"/>
      <c r="AP328" s="37"/>
      <c r="AR328" s="37"/>
      <c r="AT328" s="37"/>
      <c r="AU328" s="26"/>
      <c r="AV328" s="35">
        <f t="shared" si="1"/>
        <v>0</v>
      </c>
      <c r="AW328" s="33">
        <f t="shared" si="2"/>
        <v>0</v>
      </c>
      <c r="AX328" s="33">
        <f t="shared" si="3"/>
        <v>0</v>
      </c>
      <c r="AY328" s="33">
        <f t="shared" si="4"/>
        <v>0</v>
      </c>
      <c r="AZ328" s="30" t="str">
        <f t="shared" si="5"/>
        <v/>
      </c>
    </row>
    <row r="329" ht="15.75" customHeight="1">
      <c r="A329" s="31" t="s">
        <v>38</v>
      </c>
      <c r="B329" s="32">
        <f t="shared" si="6"/>
        <v>44889</v>
      </c>
      <c r="C329" s="33">
        <v>12.0</v>
      </c>
      <c r="D329" s="33" t="s">
        <v>48</v>
      </c>
      <c r="E329" s="34"/>
      <c r="F329" s="36"/>
      <c r="H329" s="37"/>
      <c r="J329" s="37"/>
      <c r="L329" s="37"/>
      <c r="N329" s="37"/>
      <c r="P329" s="37"/>
      <c r="Q329" s="26"/>
      <c r="R329" s="38">
        <v>0.0</v>
      </c>
      <c r="T329" s="39">
        <v>0.0</v>
      </c>
      <c r="V329" s="37"/>
      <c r="X329" s="37"/>
      <c r="Z329" s="37"/>
      <c r="AB329" s="37"/>
      <c r="AC329" s="26"/>
      <c r="AD329" s="37"/>
      <c r="AF329" s="37"/>
      <c r="AH329" s="37"/>
      <c r="AJ329" s="36"/>
      <c r="AL329" s="37"/>
      <c r="AN329" s="37"/>
      <c r="AP329" s="37"/>
      <c r="AR329" s="37"/>
      <c r="AT329" s="37"/>
      <c r="AU329" s="26"/>
      <c r="AV329" s="35">
        <f t="shared" si="1"/>
        <v>0</v>
      </c>
      <c r="AW329" s="33">
        <f t="shared" si="2"/>
        <v>0</v>
      </c>
      <c r="AX329" s="33">
        <f t="shared" si="3"/>
        <v>0</v>
      </c>
      <c r="AY329" s="33">
        <f t="shared" si="4"/>
        <v>0</v>
      </c>
      <c r="AZ329" s="30" t="str">
        <f t="shared" si="5"/>
        <v/>
      </c>
    </row>
    <row r="330" ht="15.75" customHeight="1">
      <c r="A330" s="31" t="s">
        <v>45</v>
      </c>
      <c r="B330" s="32">
        <f t="shared" si="6"/>
        <v>44890</v>
      </c>
      <c r="C330" s="33">
        <v>12.0</v>
      </c>
      <c r="D330" s="33" t="s">
        <v>48</v>
      </c>
      <c r="E330" s="34"/>
      <c r="F330" s="36"/>
      <c r="H330" s="37"/>
      <c r="J330" s="37"/>
      <c r="L330" s="37"/>
      <c r="N330" s="37"/>
      <c r="P330" s="37"/>
      <c r="Q330" s="26"/>
      <c r="R330" s="38">
        <v>0.0</v>
      </c>
      <c r="T330" s="39">
        <v>0.0</v>
      </c>
      <c r="V330" s="37"/>
      <c r="X330" s="37"/>
      <c r="Z330" s="37"/>
      <c r="AB330" s="37"/>
      <c r="AC330" s="26"/>
      <c r="AD330" s="37"/>
      <c r="AF330" s="37"/>
      <c r="AH330" s="37"/>
      <c r="AJ330" s="36"/>
      <c r="AL330" s="37"/>
      <c r="AN330" s="37"/>
      <c r="AP330" s="37"/>
      <c r="AR330" s="37"/>
      <c r="AT330" s="37"/>
      <c r="AU330" s="26"/>
      <c r="AV330" s="35">
        <f t="shared" si="1"/>
        <v>0</v>
      </c>
      <c r="AW330" s="33">
        <f t="shared" si="2"/>
        <v>0</v>
      </c>
      <c r="AX330" s="33">
        <f t="shared" si="3"/>
        <v>0</v>
      </c>
      <c r="AY330" s="33">
        <f t="shared" si="4"/>
        <v>0</v>
      </c>
      <c r="AZ330" s="30" t="str">
        <f t="shared" si="5"/>
        <v/>
      </c>
    </row>
    <row r="331" ht="15.75" customHeight="1">
      <c r="A331" s="44" t="s">
        <v>46</v>
      </c>
      <c r="B331" s="45">
        <f t="shared" si="6"/>
        <v>44891</v>
      </c>
      <c r="C331" s="46">
        <v>12.0</v>
      </c>
      <c r="D331" s="46" t="s">
        <v>48</v>
      </c>
      <c r="E331" s="47"/>
      <c r="F331" s="60"/>
      <c r="G331" s="51"/>
      <c r="H331" s="61"/>
      <c r="I331" s="51"/>
      <c r="J331" s="61"/>
      <c r="K331" s="51"/>
      <c r="L331" s="61"/>
      <c r="M331" s="51"/>
      <c r="N331" s="61"/>
      <c r="O331" s="51"/>
      <c r="P331" s="61"/>
      <c r="Q331" s="53"/>
      <c r="R331" s="62">
        <v>0.0</v>
      </c>
      <c r="S331" s="51"/>
      <c r="T331" s="63">
        <v>0.0</v>
      </c>
      <c r="U331" s="51"/>
      <c r="V331" s="61"/>
      <c r="W331" s="51"/>
      <c r="X331" s="61"/>
      <c r="Y331" s="51"/>
      <c r="Z331" s="61"/>
      <c r="AA331" s="51"/>
      <c r="AB331" s="61"/>
      <c r="AC331" s="53"/>
      <c r="AD331" s="61"/>
      <c r="AE331" s="51"/>
      <c r="AF331" s="61"/>
      <c r="AG331" s="51"/>
      <c r="AH331" s="61"/>
      <c r="AI331" s="51"/>
      <c r="AJ331" s="60"/>
      <c r="AK331" s="51"/>
      <c r="AL331" s="61"/>
      <c r="AM331" s="51"/>
      <c r="AN331" s="61"/>
      <c r="AO331" s="51"/>
      <c r="AP331" s="61"/>
      <c r="AQ331" s="51"/>
      <c r="AR331" s="61"/>
      <c r="AS331" s="51"/>
      <c r="AT331" s="61"/>
      <c r="AU331" s="53"/>
      <c r="AV331" s="55">
        <f t="shared" si="1"/>
        <v>0</v>
      </c>
      <c r="AW331" s="46">
        <f t="shared" si="2"/>
        <v>0</v>
      </c>
      <c r="AX331" s="46">
        <f t="shared" si="3"/>
        <v>0</v>
      </c>
      <c r="AY331" s="46">
        <f t="shared" si="4"/>
        <v>0</v>
      </c>
      <c r="AZ331" s="56" t="str">
        <f t="shared" si="5"/>
        <v/>
      </c>
    </row>
    <row r="332" ht="15.75" customHeight="1">
      <c r="A332" s="19" t="s">
        <v>30</v>
      </c>
      <c r="B332" s="57">
        <f t="shared" si="6"/>
        <v>44892</v>
      </c>
      <c r="C332" s="21">
        <v>12.0</v>
      </c>
      <c r="D332" s="21" t="s">
        <v>49</v>
      </c>
      <c r="E332" s="23"/>
      <c r="F332" s="36"/>
      <c r="H332" s="37"/>
      <c r="J332" s="37"/>
      <c r="L332" s="37"/>
      <c r="N332" s="37"/>
      <c r="P332" s="37"/>
      <c r="Q332" s="26"/>
      <c r="R332" s="38">
        <v>75.0</v>
      </c>
      <c r="T332" s="39">
        <v>75.0</v>
      </c>
      <c r="V332" s="37"/>
      <c r="X332" s="37"/>
      <c r="Z332" s="37"/>
      <c r="AB332" s="37"/>
      <c r="AC332" s="26"/>
      <c r="AD332" s="37"/>
      <c r="AF332" s="37"/>
      <c r="AH332" s="37"/>
      <c r="AJ332" s="36"/>
      <c r="AL332" s="37"/>
      <c r="AN332" s="37"/>
      <c r="AP332" s="37"/>
      <c r="AR332" s="37"/>
      <c r="AT332" s="37"/>
      <c r="AU332" s="26"/>
      <c r="AV332" s="29">
        <f t="shared" si="1"/>
        <v>1521</v>
      </c>
      <c r="AW332" s="21">
        <f t="shared" si="2"/>
        <v>150</v>
      </c>
      <c r="AX332" s="21">
        <f t="shared" si="3"/>
        <v>0</v>
      </c>
      <c r="AY332" s="21">
        <f t="shared" si="4"/>
        <v>150</v>
      </c>
      <c r="AZ332" s="58">
        <f t="shared" si="5"/>
        <v>10.14</v>
      </c>
    </row>
    <row r="333" ht="15.75" customHeight="1">
      <c r="A333" s="31" t="s">
        <v>33</v>
      </c>
      <c r="B333" s="32">
        <f t="shared" si="6"/>
        <v>44893</v>
      </c>
      <c r="C333" s="33">
        <v>12.0</v>
      </c>
      <c r="D333" s="33" t="s">
        <v>49</v>
      </c>
      <c r="E333" s="34"/>
      <c r="F333" s="36"/>
      <c r="H333" s="37"/>
      <c r="J333" s="37"/>
      <c r="L333" s="37"/>
      <c r="N333" s="37"/>
      <c r="P333" s="37"/>
      <c r="Q333" s="26"/>
      <c r="R333" s="38">
        <v>75.0</v>
      </c>
      <c r="T333" s="39">
        <v>75.0</v>
      </c>
      <c r="V333" s="37"/>
      <c r="X333" s="37"/>
      <c r="Z333" s="37"/>
      <c r="AB333" s="37"/>
      <c r="AC333" s="26"/>
      <c r="AD333" s="37"/>
      <c r="AF333" s="37"/>
      <c r="AH333" s="37"/>
      <c r="AJ333" s="36"/>
      <c r="AL333" s="37"/>
      <c r="AN333" s="37"/>
      <c r="AP333" s="37"/>
      <c r="AR333" s="37"/>
      <c r="AT333" s="37"/>
      <c r="AU333" s="26"/>
      <c r="AV333" s="35">
        <f t="shared" si="1"/>
        <v>1521</v>
      </c>
      <c r="AW333" s="33">
        <f t="shared" si="2"/>
        <v>150</v>
      </c>
      <c r="AX333" s="33">
        <f t="shared" si="3"/>
        <v>0</v>
      </c>
      <c r="AY333" s="33">
        <f t="shared" si="4"/>
        <v>150</v>
      </c>
      <c r="AZ333" s="30">
        <f t="shared" si="5"/>
        <v>10.14</v>
      </c>
    </row>
    <row r="334" ht="15.75" customHeight="1">
      <c r="A334" s="31" t="s">
        <v>34</v>
      </c>
      <c r="B334" s="32">
        <f t="shared" si="6"/>
        <v>44894</v>
      </c>
      <c r="C334" s="33">
        <v>12.0</v>
      </c>
      <c r="D334" s="33" t="s">
        <v>49</v>
      </c>
      <c r="E334" s="34"/>
      <c r="F334" s="36"/>
      <c r="H334" s="37"/>
      <c r="J334" s="37"/>
      <c r="L334" s="37"/>
      <c r="N334" s="37"/>
      <c r="P334" s="37"/>
      <c r="Q334" s="26"/>
      <c r="R334" s="38">
        <v>75.0</v>
      </c>
      <c r="T334" s="39">
        <v>75.0</v>
      </c>
      <c r="V334" s="37"/>
      <c r="X334" s="37"/>
      <c r="Z334" s="37"/>
      <c r="AB334" s="37"/>
      <c r="AC334" s="26"/>
      <c r="AD334" s="37"/>
      <c r="AF334" s="37"/>
      <c r="AH334" s="37"/>
      <c r="AJ334" s="36"/>
      <c r="AL334" s="37"/>
      <c r="AN334" s="37"/>
      <c r="AP334" s="37"/>
      <c r="AR334" s="37"/>
      <c r="AT334" s="37"/>
      <c r="AU334" s="26"/>
      <c r="AV334" s="35">
        <f t="shared" si="1"/>
        <v>1521</v>
      </c>
      <c r="AW334" s="33">
        <f t="shared" si="2"/>
        <v>150</v>
      </c>
      <c r="AX334" s="33">
        <f t="shared" si="3"/>
        <v>0</v>
      </c>
      <c r="AY334" s="33">
        <f t="shared" si="4"/>
        <v>150</v>
      </c>
      <c r="AZ334" s="30">
        <f t="shared" si="5"/>
        <v>10.14</v>
      </c>
    </row>
    <row r="335" ht="15.75" customHeight="1">
      <c r="A335" s="31" t="s">
        <v>35</v>
      </c>
      <c r="B335" s="32">
        <f t="shared" si="6"/>
        <v>44895</v>
      </c>
      <c r="C335" s="33">
        <v>12.0</v>
      </c>
      <c r="D335" s="33" t="s">
        <v>49</v>
      </c>
      <c r="E335" s="34"/>
      <c r="F335" s="36"/>
      <c r="H335" s="37"/>
      <c r="J335" s="37"/>
      <c r="L335" s="37"/>
      <c r="N335" s="37"/>
      <c r="P335" s="37"/>
      <c r="Q335" s="26"/>
      <c r="R335" s="38">
        <v>75.0</v>
      </c>
      <c r="T335" s="39">
        <v>75.0</v>
      </c>
      <c r="V335" s="37"/>
      <c r="X335" s="37"/>
      <c r="Z335" s="37"/>
      <c r="AB335" s="37"/>
      <c r="AC335" s="26"/>
      <c r="AD335" s="37"/>
      <c r="AF335" s="37"/>
      <c r="AH335" s="37"/>
      <c r="AJ335" s="36"/>
      <c r="AL335" s="37"/>
      <c r="AN335" s="37"/>
      <c r="AP335" s="37"/>
      <c r="AR335" s="37"/>
      <c r="AT335" s="37"/>
      <c r="AU335" s="26"/>
      <c r="AV335" s="35">
        <f t="shared" si="1"/>
        <v>1521</v>
      </c>
      <c r="AW335" s="33">
        <f t="shared" si="2"/>
        <v>150</v>
      </c>
      <c r="AX335" s="33">
        <f t="shared" si="3"/>
        <v>0</v>
      </c>
      <c r="AY335" s="33">
        <f t="shared" si="4"/>
        <v>150</v>
      </c>
      <c r="AZ335" s="30">
        <f t="shared" si="5"/>
        <v>10.14</v>
      </c>
    </row>
    <row r="336" ht="15.75" customHeight="1">
      <c r="A336" s="31" t="s">
        <v>38</v>
      </c>
      <c r="B336" s="32">
        <f t="shared" si="6"/>
        <v>44896</v>
      </c>
      <c r="C336" s="33">
        <v>12.0</v>
      </c>
      <c r="D336" s="33" t="s">
        <v>49</v>
      </c>
      <c r="E336" s="34"/>
      <c r="F336" s="36"/>
      <c r="H336" s="37"/>
      <c r="J336" s="37"/>
      <c r="L336" s="37"/>
      <c r="N336" s="37"/>
      <c r="P336" s="37"/>
      <c r="Q336" s="26"/>
      <c r="R336" s="38">
        <v>75.0</v>
      </c>
      <c r="T336" s="39">
        <v>75.0</v>
      </c>
      <c r="V336" s="37"/>
      <c r="X336" s="37"/>
      <c r="Z336" s="37"/>
      <c r="AB336" s="37"/>
      <c r="AC336" s="26"/>
      <c r="AD336" s="37"/>
      <c r="AF336" s="37"/>
      <c r="AH336" s="37"/>
      <c r="AJ336" s="36"/>
      <c r="AL336" s="37"/>
      <c r="AN336" s="37"/>
      <c r="AP336" s="37"/>
      <c r="AR336" s="37"/>
      <c r="AT336" s="37"/>
      <c r="AU336" s="26"/>
      <c r="AV336" s="35">
        <f t="shared" si="1"/>
        <v>1521</v>
      </c>
      <c r="AW336" s="33">
        <f t="shared" si="2"/>
        <v>150</v>
      </c>
      <c r="AX336" s="33">
        <f t="shared" si="3"/>
        <v>0</v>
      </c>
      <c r="AY336" s="33">
        <f t="shared" si="4"/>
        <v>150</v>
      </c>
      <c r="AZ336" s="30">
        <f t="shared" si="5"/>
        <v>10.14</v>
      </c>
    </row>
    <row r="337" ht="15.75" customHeight="1">
      <c r="A337" s="31" t="s">
        <v>45</v>
      </c>
      <c r="B337" s="32">
        <f t="shared" si="6"/>
        <v>44897</v>
      </c>
      <c r="C337" s="33">
        <v>12.0</v>
      </c>
      <c r="D337" s="33" t="s">
        <v>49</v>
      </c>
      <c r="E337" s="34"/>
      <c r="F337" s="36"/>
      <c r="H337" s="37"/>
      <c r="J337" s="37"/>
      <c r="L337" s="37"/>
      <c r="N337" s="37"/>
      <c r="P337" s="37"/>
      <c r="Q337" s="26"/>
      <c r="R337" s="38">
        <v>75.0</v>
      </c>
      <c r="T337" s="39">
        <v>75.0</v>
      </c>
      <c r="V337" s="37"/>
      <c r="X337" s="37"/>
      <c r="Z337" s="37"/>
      <c r="AB337" s="37"/>
      <c r="AC337" s="26"/>
      <c r="AD337" s="37"/>
      <c r="AF337" s="37"/>
      <c r="AH337" s="37"/>
      <c r="AJ337" s="36"/>
      <c r="AL337" s="37"/>
      <c r="AN337" s="37"/>
      <c r="AP337" s="37"/>
      <c r="AR337" s="37"/>
      <c r="AT337" s="37"/>
      <c r="AU337" s="26"/>
      <c r="AV337" s="35">
        <f t="shared" si="1"/>
        <v>1521</v>
      </c>
      <c r="AW337" s="33">
        <f t="shared" si="2"/>
        <v>150</v>
      </c>
      <c r="AX337" s="33">
        <f t="shared" si="3"/>
        <v>0</v>
      </c>
      <c r="AY337" s="33">
        <f t="shared" si="4"/>
        <v>150</v>
      </c>
      <c r="AZ337" s="30">
        <f t="shared" si="5"/>
        <v>10.14</v>
      </c>
    </row>
    <row r="338" ht="15.75" customHeight="1">
      <c r="A338" s="44" t="s">
        <v>46</v>
      </c>
      <c r="B338" s="45">
        <f t="shared" si="6"/>
        <v>44898</v>
      </c>
      <c r="C338" s="46">
        <v>12.0</v>
      </c>
      <c r="D338" s="46" t="s">
        <v>49</v>
      </c>
      <c r="E338" s="47"/>
      <c r="F338" s="60"/>
      <c r="G338" s="51"/>
      <c r="H338" s="61"/>
      <c r="I338" s="51"/>
      <c r="J338" s="61"/>
      <c r="K338" s="51"/>
      <c r="L338" s="61"/>
      <c r="M338" s="51"/>
      <c r="N338" s="61"/>
      <c r="O338" s="51"/>
      <c r="P338" s="61"/>
      <c r="Q338" s="53"/>
      <c r="R338" s="62">
        <v>0.0</v>
      </c>
      <c r="S338" s="51"/>
      <c r="T338" s="63">
        <v>0.0</v>
      </c>
      <c r="U338" s="51"/>
      <c r="V338" s="61"/>
      <c r="W338" s="51"/>
      <c r="X338" s="61"/>
      <c r="Y338" s="51"/>
      <c r="Z338" s="61"/>
      <c r="AA338" s="51"/>
      <c r="AB338" s="61"/>
      <c r="AC338" s="53"/>
      <c r="AD338" s="61"/>
      <c r="AE338" s="51"/>
      <c r="AF338" s="61"/>
      <c r="AG338" s="51"/>
      <c r="AH338" s="61"/>
      <c r="AI338" s="51"/>
      <c r="AJ338" s="60"/>
      <c r="AK338" s="51"/>
      <c r="AL338" s="61"/>
      <c r="AM338" s="51"/>
      <c r="AN338" s="61"/>
      <c r="AO338" s="51"/>
      <c r="AP338" s="61"/>
      <c r="AQ338" s="51"/>
      <c r="AR338" s="61"/>
      <c r="AS338" s="51"/>
      <c r="AT338" s="61"/>
      <c r="AU338" s="53"/>
      <c r="AV338" s="55">
        <f t="shared" si="1"/>
        <v>0</v>
      </c>
      <c r="AW338" s="46">
        <f t="shared" si="2"/>
        <v>0</v>
      </c>
      <c r="AX338" s="46">
        <f t="shared" si="3"/>
        <v>0</v>
      </c>
      <c r="AY338" s="46">
        <f t="shared" si="4"/>
        <v>0</v>
      </c>
      <c r="AZ338" s="56" t="str">
        <f t="shared" si="5"/>
        <v/>
      </c>
    </row>
    <row r="339" ht="15.75" customHeight="1">
      <c r="A339" s="19" t="s">
        <v>30</v>
      </c>
      <c r="B339" s="57">
        <f t="shared" si="6"/>
        <v>44899</v>
      </c>
      <c r="C339" s="21">
        <v>13.0</v>
      </c>
      <c r="D339" s="21" t="s">
        <v>47</v>
      </c>
      <c r="E339" s="23"/>
      <c r="F339" s="36"/>
      <c r="H339" s="37"/>
      <c r="J339" s="37"/>
      <c r="L339" s="37"/>
      <c r="N339" s="37"/>
      <c r="P339" s="37"/>
      <c r="Q339" s="26"/>
      <c r="R339" s="38">
        <v>50.0</v>
      </c>
      <c r="T339" s="39">
        <v>50.0</v>
      </c>
      <c r="V339" s="37"/>
      <c r="X339" s="37"/>
      <c r="Z339" s="37"/>
      <c r="AB339" s="37"/>
      <c r="AC339" s="26"/>
      <c r="AD339" s="37"/>
      <c r="AF339" s="37"/>
      <c r="AH339" s="37"/>
      <c r="AJ339" s="36"/>
      <c r="AL339" s="37"/>
      <c r="AN339" s="37"/>
      <c r="AP339" s="37"/>
      <c r="AR339" s="37"/>
      <c r="AT339" s="37"/>
      <c r="AU339" s="26"/>
      <c r="AV339" s="29">
        <f t="shared" si="1"/>
        <v>1014</v>
      </c>
      <c r="AW339" s="21">
        <f t="shared" si="2"/>
        <v>100</v>
      </c>
      <c r="AX339" s="21">
        <f t="shared" si="3"/>
        <v>0</v>
      </c>
      <c r="AY339" s="21">
        <f t="shared" si="4"/>
        <v>100</v>
      </c>
      <c r="AZ339" s="58">
        <f t="shared" si="5"/>
        <v>10.14</v>
      </c>
    </row>
    <row r="340" ht="15.75" customHeight="1">
      <c r="A340" s="31" t="s">
        <v>33</v>
      </c>
      <c r="B340" s="32">
        <f t="shared" si="6"/>
        <v>44900</v>
      </c>
      <c r="C340" s="33">
        <v>13.0</v>
      </c>
      <c r="D340" s="33" t="s">
        <v>47</v>
      </c>
      <c r="E340" s="34"/>
      <c r="F340" s="36"/>
      <c r="H340" s="37"/>
      <c r="J340" s="37"/>
      <c r="L340" s="37"/>
      <c r="N340" s="37"/>
      <c r="P340" s="37"/>
      <c r="Q340" s="26"/>
      <c r="R340" s="38">
        <v>50.0</v>
      </c>
      <c r="T340" s="39">
        <v>50.0</v>
      </c>
      <c r="V340" s="37"/>
      <c r="X340" s="37"/>
      <c r="Z340" s="37"/>
      <c r="AB340" s="37"/>
      <c r="AC340" s="26"/>
      <c r="AD340" s="37"/>
      <c r="AF340" s="37"/>
      <c r="AH340" s="37"/>
      <c r="AJ340" s="36"/>
      <c r="AL340" s="37"/>
      <c r="AN340" s="37"/>
      <c r="AP340" s="37"/>
      <c r="AR340" s="37"/>
      <c r="AT340" s="37"/>
      <c r="AU340" s="26"/>
      <c r="AV340" s="35">
        <f t="shared" si="1"/>
        <v>1014</v>
      </c>
      <c r="AW340" s="33">
        <f t="shared" si="2"/>
        <v>100</v>
      </c>
      <c r="AX340" s="33">
        <f t="shared" si="3"/>
        <v>0</v>
      </c>
      <c r="AY340" s="33">
        <f t="shared" si="4"/>
        <v>100</v>
      </c>
      <c r="AZ340" s="30">
        <f t="shared" si="5"/>
        <v>10.14</v>
      </c>
    </row>
    <row r="341" ht="15.75" customHeight="1">
      <c r="A341" s="31" t="s">
        <v>34</v>
      </c>
      <c r="B341" s="32">
        <f t="shared" si="6"/>
        <v>44901</v>
      </c>
      <c r="C341" s="33">
        <v>13.0</v>
      </c>
      <c r="D341" s="33" t="s">
        <v>47</v>
      </c>
      <c r="E341" s="34"/>
      <c r="F341" s="36"/>
      <c r="H341" s="37"/>
      <c r="J341" s="37"/>
      <c r="L341" s="37"/>
      <c r="N341" s="37"/>
      <c r="P341" s="37"/>
      <c r="Q341" s="26"/>
      <c r="R341" s="38">
        <v>50.0</v>
      </c>
      <c r="T341" s="39">
        <v>50.0</v>
      </c>
      <c r="V341" s="37"/>
      <c r="X341" s="37"/>
      <c r="Z341" s="37"/>
      <c r="AB341" s="37"/>
      <c r="AC341" s="26"/>
      <c r="AD341" s="37"/>
      <c r="AF341" s="37"/>
      <c r="AH341" s="37"/>
      <c r="AJ341" s="36"/>
      <c r="AL341" s="37"/>
      <c r="AN341" s="37"/>
      <c r="AP341" s="37"/>
      <c r="AR341" s="37"/>
      <c r="AT341" s="37"/>
      <c r="AU341" s="26"/>
      <c r="AV341" s="35">
        <f t="shared" si="1"/>
        <v>1014</v>
      </c>
      <c r="AW341" s="33">
        <f t="shared" si="2"/>
        <v>100</v>
      </c>
      <c r="AX341" s="33">
        <f t="shared" si="3"/>
        <v>0</v>
      </c>
      <c r="AY341" s="33">
        <f t="shared" si="4"/>
        <v>100</v>
      </c>
      <c r="AZ341" s="30">
        <f t="shared" si="5"/>
        <v>10.14</v>
      </c>
    </row>
    <row r="342" ht="15.75" customHeight="1">
      <c r="A342" s="31" t="s">
        <v>35</v>
      </c>
      <c r="B342" s="32">
        <f t="shared" si="6"/>
        <v>44902</v>
      </c>
      <c r="C342" s="33">
        <v>13.0</v>
      </c>
      <c r="D342" s="33" t="s">
        <v>47</v>
      </c>
      <c r="E342" s="34"/>
      <c r="F342" s="36"/>
      <c r="H342" s="37"/>
      <c r="J342" s="37"/>
      <c r="L342" s="37"/>
      <c r="N342" s="37"/>
      <c r="P342" s="37"/>
      <c r="Q342" s="26"/>
      <c r="R342" s="38">
        <v>50.0</v>
      </c>
      <c r="T342" s="39">
        <v>50.0</v>
      </c>
      <c r="V342" s="37"/>
      <c r="X342" s="37"/>
      <c r="Z342" s="37"/>
      <c r="AB342" s="37"/>
      <c r="AC342" s="26"/>
      <c r="AD342" s="37"/>
      <c r="AF342" s="37"/>
      <c r="AH342" s="37"/>
      <c r="AJ342" s="36"/>
      <c r="AL342" s="37"/>
      <c r="AN342" s="37"/>
      <c r="AP342" s="37"/>
      <c r="AR342" s="37"/>
      <c r="AT342" s="37"/>
      <c r="AU342" s="26"/>
      <c r="AV342" s="35">
        <f t="shared" si="1"/>
        <v>1014</v>
      </c>
      <c r="AW342" s="33">
        <f t="shared" si="2"/>
        <v>100</v>
      </c>
      <c r="AX342" s="33">
        <f t="shared" si="3"/>
        <v>0</v>
      </c>
      <c r="AY342" s="33">
        <f t="shared" si="4"/>
        <v>100</v>
      </c>
      <c r="AZ342" s="30">
        <f t="shared" si="5"/>
        <v>10.14</v>
      </c>
    </row>
    <row r="343" ht="15.75" customHeight="1">
      <c r="A343" s="31" t="s">
        <v>38</v>
      </c>
      <c r="B343" s="32">
        <f t="shared" si="6"/>
        <v>44903</v>
      </c>
      <c r="C343" s="33">
        <v>13.0</v>
      </c>
      <c r="D343" s="33" t="s">
        <v>47</v>
      </c>
      <c r="E343" s="34"/>
      <c r="F343" s="36"/>
      <c r="H343" s="37"/>
      <c r="J343" s="37"/>
      <c r="L343" s="37"/>
      <c r="N343" s="37"/>
      <c r="P343" s="37"/>
      <c r="Q343" s="26"/>
      <c r="R343" s="38">
        <v>50.0</v>
      </c>
      <c r="T343" s="39">
        <v>50.0</v>
      </c>
      <c r="V343" s="37"/>
      <c r="X343" s="37"/>
      <c r="Z343" s="37"/>
      <c r="AB343" s="37"/>
      <c r="AC343" s="26"/>
      <c r="AD343" s="37"/>
      <c r="AF343" s="37"/>
      <c r="AH343" s="37"/>
      <c r="AJ343" s="36"/>
      <c r="AL343" s="37"/>
      <c r="AN343" s="37"/>
      <c r="AP343" s="37"/>
      <c r="AR343" s="37"/>
      <c r="AT343" s="37"/>
      <c r="AU343" s="26"/>
      <c r="AV343" s="35">
        <f t="shared" si="1"/>
        <v>1014</v>
      </c>
      <c r="AW343" s="33">
        <f t="shared" si="2"/>
        <v>100</v>
      </c>
      <c r="AX343" s="33">
        <f t="shared" si="3"/>
        <v>0</v>
      </c>
      <c r="AY343" s="33">
        <f t="shared" si="4"/>
        <v>100</v>
      </c>
      <c r="AZ343" s="30">
        <f t="shared" si="5"/>
        <v>10.14</v>
      </c>
    </row>
    <row r="344" ht="15.75" customHeight="1">
      <c r="A344" s="31" t="s">
        <v>45</v>
      </c>
      <c r="B344" s="32">
        <f t="shared" si="6"/>
        <v>44904</v>
      </c>
      <c r="C344" s="33">
        <v>13.0</v>
      </c>
      <c r="D344" s="33" t="s">
        <v>47</v>
      </c>
      <c r="E344" s="34"/>
      <c r="F344" s="36"/>
      <c r="H344" s="37"/>
      <c r="J344" s="37"/>
      <c r="L344" s="37"/>
      <c r="N344" s="37"/>
      <c r="P344" s="37"/>
      <c r="Q344" s="26"/>
      <c r="R344" s="38">
        <v>0.0</v>
      </c>
      <c r="T344" s="39">
        <v>0.0</v>
      </c>
      <c r="V344" s="37"/>
      <c r="X344" s="37"/>
      <c r="Z344" s="37"/>
      <c r="AB344" s="37"/>
      <c r="AC344" s="26"/>
      <c r="AD344" s="37"/>
      <c r="AF344" s="37"/>
      <c r="AH344" s="37"/>
      <c r="AJ344" s="36"/>
      <c r="AL344" s="37"/>
      <c r="AN344" s="37"/>
      <c r="AP344" s="37"/>
      <c r="AR344" s="37"/>
      <c r="AT344" s="37"/>
      <c r="AU344" s="26"/>
      <c r="AV344" s="35">
        <f t="shared" si="1"/>
        <v>0</v>
      </c>
      <c r="AW344" s="33">
        <f t="shared" si="2"/>
        <v>0</v>
      </c>
      <c r="AX344" s="33">
        <f t="shared" si="3"/>
        <v>0</v>
      </c>
      <c r="AY344" s="33">
        <f t="shared" si="4"/>
        <v>0</v>
      </c>
      <c r="AZ344" s="30" t="str">
        <f t="shared" si="5"/>
        <v/>
      </c>
    </row>
    <row r="345" ht="15.75" customHeight="1">
      <c r="A345" s="44" t="s">
        <v>46</v>
      </c>
      <c r="B345" s="45">
        <f t="shared" si="6"/>
        <v>44905</v>
      </c>
      <c r="C345" s="46">
        <v>13.0</v>
      </c>
      <c r="D345" s="46" t="s">
        <v>47</v>
      </c>
      <c r="E345" s="47"/>
      <c r="F345" s="60"/>
      <c r="G345" s="51"/>
      <c r="H345" s="61"/>
      <c r="I345" s="51"/>
      <c r="J345" s="61"/>
      <c r="K345" s="51"/>
      <c r="L345" s="61"/>
      <c r="M345" s="51"/>
      <c r="N345" s="61"/>
      <c r="O345" s="51"/>
      <c r="P345" s="61"/>
      <c r="Q345" s="53"/>
      <c r="R345" s="62">
        <v>0.0</v>
      </c>
      <c r="S345" s="51"/>
      <c r="T345" s="63">
        <v>0.0</v>
      </c>
      <c r="U345" s="51"/>
      <c r="V345" s="61"/>
      <c r="W345" s="51"/>
      <c r="X345" s="61"/>
      <c r="Y345" s="51"/>
      <c r="Z345" s="61"/>
      <c r="AA345" s="51"/>
      <c r="AB345" s="61"/>
      <c r="AC345" s="53"/>
      <c r="AD345" s="61"/>
      <c r="AE345" s="51"/>
      <c r="AF345" s="61"/>
      <c r="AG345" s="51"/>
      <c r="AH345" s="61"/>
      <c r="AI345" s="51"/>
      <c r="AJ345" s="60"/>
      <c r="AK345" s="51"/>
      <c r="AL345" s="61"/>
      <c r="AM345" s="51"/>
      <c r="AN345" s="61"/>
      <c r="AO345" s="51"/>
      <c r="AP345" s="61"/>
      <c r="AQ345" s="51"/>
      <c r="AR345" s="61"/>
      <c r="AS345" s="51"/>
      <c r="AT345" s="61"/>
      <c r="AU345" s="53"/>
      <c r="AV345" s="55">
        <f t="shared" si="1"/>
        <v>0</v>
      </c>
      <c r="AW345" s="46">
        <f t="shared" si="2"/>
        <v>0</v>
      </c>
      <c r="AX345" s="46">
        <f t="shared" si="3"/>
        <v>0</v>
      </c>
      <c r="AY345" s="46">
        <f t="shared" si="4"/>
        <v>0</v>
      </c>
      <c r="AZ345" s="56" t="str">
        <f t="shared" si="5"/>
        <v/>
      </c>
    </row>
    <row r="346" ht="15.75" customHeight="1">
      <c r="A346" s="19" t="s">
        <v>30</v>
      </c>
      <c r="B346" s="57">
        <f t="shared" si="6"/>
        <v>44906</v>
      </c>
      <c r="C346" s="21">
        <v>13.0</v>
      </c>
      <c r="D346" s="21" t="s">
        <v>48</v>
      </c>
      <c r="E346" s="23"/>
      <c r="F346" s="36"/>
      <c r="H346" s="37"/>
      <c r="J346" s="37"/>
      <c r="L346" s="37"/>
      <c r="N346" s="37"/>
      <c r="P346" s="37"/>
      <c r="Q346" s="26"/>
      <c r="R346" s="38">
        <v>50.0</v>
      </c>
      <c r="T346" s="39">
        <v>50.0</v>
      </c>
      <c r="V346" s="37"/>
      <c r="X346" s="37"/>
      <c r="Z346" s="37"/>
      <c r="AB346" s="37"/>
      <c r="AC346" s="26"/>
      <c r="AD346" s="37"/>
      <c r="AF346" s="37"/>
      <c r="AH346" s="37"/>
      <c r="AJ346" s="36"/>
      <c r="AL346" s="37"/>
      <c r="AN346" s="37"/>
      <c r="AP346" s="37"/>
      <c r="AR346" s="37"/>
      <c r="AT346" s="37"/>
      <c r="AU346" s="26"/>
      <c r="AV346" s="29">
        <f t="shared" si="1"/>
        <v>1014</v>
      </c>
      <c r="AW346" s="21">
        <f t="shared" si="2"/>
        <v>100</v>
      </c>
      <c r="AX346" s="21">
        <f t="shared" si="3"/>
        <v>0</v>
      </c>
      <c r="AY346" s="21">
        <f t="shared" si="4"/>
        <v>100</v>
      </c>
      <c r="AZ346" s="58">
        <f t="shared" si="5"/>
        <v>10.14</v>
      </c>
    </row>
    <row r="347" ht="15.75" customHeight="1">
      <c r="A347" s="31" t="s">
        <v>33</v>
      </c>
      <c r="B347" s="32">
        <f t="shared" si="6"/>
        <v>44907</v>
      </c>
      <c r="C347" s="33">
        <v>13.0</v>
      </c>
      <c r="D347" s="33" t="s">
        <v>48</v>
      </c>
      <c r="E347" s="34"/>
      <c r="F347" s="36"/>
      <c r="H347" s="37"/>
      <c r="J347" s="37"/>
      <c r="L347" s="37"/>
      <c r="N347" s="37"/>
      <c r="P347" s="37"/>
      <c r="Q347" s="26"/>
      <c r="R347" s="38">
        <v>50.0</v>
      </c>
      <c r="T347" s="39">
        <v>50.0</v>
      </c>
      <c r="V347" s="37"/>
      <c r="X347" s="37"/>
      <c r="Z347" s="37"/>
      <c r="AB347" s="37"/>
      <c r="AC347" s="26"/>
      <c r="AD347" s="37"/>
      <c r="AF347" s="37"/>
      <c r="AH347" s="37"/>
      <c r="AJ347" s="36"/>
      <c r="AL347" s="37"/>
      <c r="AN347" s="37"/>
      <c r="AP347" s="37"/>
      <c r="AR347" s="37"/>
      <c r="AT347" s="37"/>
      <c r="AU347" s="26"/>
      <c r="AV347" s="35">
        <f t="shared" si="1"/>
        <v>1014</v>
      </c>
      <c r="AW347" s="33">
        <f t="shared" si="2"/>
        <v>100</v>
      </c>
      <c r="AX347" s="33">
        <f t="shared" si="3"/>
        <v>0</v>
      </c>
      <c r="AY347" s="33">
        <f t="shared" si="4"/>
        <v>100</v>
      </c>
      <c r="AZ347" s="30">
        <f t="shared" si="5"/>
        <v>10.14</v>
      </c>
    </row>
    <row r="348" ht="15.75" customHeight="1">
      <c r="A348" s="31" t="s">
        <v>34</v>
      </c>
      <c r="B348" s="32">
        <f t="shared" si="6"/>
        <v>44908</v>
      </c>
      <c r="C348" s="33">
        <v>13.0</v>
      </c>
      <c r="D348" s="33" t="s">
        <v>48</v>
      </c>
      <c r="E348" s="34"/>
      <c r="F348" s="36"/>
      <c r="H348" s="37"/>
      <c r="J348" s="37"/>
      <c r="L348" s="37"/>
      <c r="N348" s="37"/>
      <c r="P348" s="37"/>
      <c r="Q348" s="26"/>
      <c r="R348" s="38">
        <v>50.0</v>
      </c>
      <c r="T348" s="39">
        <v>50.0</v>
      </c>
      <c r="V348" s="37"/>
      <c r="X348" s="37"/>
      <c r="Z348" s="37"/>
      <c r="AB348" s="37"/>
      <c r="AC348" s="26"/>
      <c r="AD348" s="37"/>
      <c r="AF348" s="37"/>
      <c r="AH348" s="37"/>
      <c r="AJ348" s="36"/>
      <c r="AL348" s="37"/>
      <c r="AN348" s="37"/>
      <c r="AP348" s="37"/>
      <c r="AR348" s="37"/>
      <c r="AT348" s="37"/>
      <c r="AU348" s="26"/>
      <c r="AV348" s="35">
        <f t="shared" si="1"/>
        <v>1014</v>
      </c>
      <c r="AW348" s="33">
        <f t="shared" si="2"/>
        <v>100</v>
      </c>
      <c r="AX348" s="33">
        <f t="shared" si="3"/>
        <v>0</v>
      </c>
      <c r="AY348" s="33">
        <f t="shared" si="4"/>
        <v>100</v>
      </c>
      <c r="AZ348" s="30">
        <f t="shared" si="5"/>
        <v>10.14</v>
      </c>
    </row>
    <row r="349" ht="15.75" customHeight="1">
      <c r="A349" s="31" t="s">
        <v>35</v>
      </c>
      <c r="B349" s="32">
        <f t="shared" si="6"/>
        <v>44909</v>
      </c>
      <c r="C349" s="33">
        <v>13.0</v>
      </c>
      <c r="D349" s="33" t="s">
        <v>48</v>
      </c>
      <c r="E349" s="34"/>
      <c r="F349" s="36"/>
      <c r="H349" s="37"/>
      <c r="J349" s="37"/>
      <c r="L349" s="37"/>
      <c r="N349" s="37"/>
      <c r="P349" s="37"/>
      <c r="Q349" s="26"/>
      <c r="R349" s="38">
        <v>50.0</v>
      </c>
      <c r="T349" s="39">
        <v>50.0</v>
      </c>
      <c r="V349" s="37"/>
      <c r="X349" s="37"/>
      <c r="Z349" s="37"/>
      <c r="AB349" s="37"/>
      <c r="AC349" s="26"/>
      <c r="AD349" s="37"/>
      <c r="AF349" s="37"/>
      <c r="AH349" s="37"/>
      <c r="AJ349" s="36"/>
      <c r="AL349" s="37"/>
      <c r="AN349" s="37"/>
      <c r="AP349" s="37"/>
      <c r="AR349" s="37"/>
      <c r="AT349" s="37"/>
      <c r="AU349" s="26"/>
      <c r="AV349" s="35">
        <f t="shared" si="1"/>
        <v>1014</v>
      </c>
      <c r="AW349" s="33">
        <f t="shared" si="2"/>
        <v>100</v>
      </c>
      <c r="AX349" s="33">
        <f t="shared" si="3"/>
        <v>0</v>
      </c>
      <c r="AY349" s="33">
        <f t="shared" si="4"/>
        <v>100</v>
      </c>
      <c r="AZ349" s="30">
        <f t="shared" si="5"/>
        <v>10.14</v>
      </c>
    </row>
    <row r="350" ht="15.75" customHeight="1">
      <c r="A350" s="31" t="s">
        <v>38</v>
      </c>
      <c r="B350" s="32">
        <f t="shared" si="6"/>
        <v>44910</v>
      </c>
      <c r="C350" s="33">
        <v>13.0</v>
      </c>
      <c r="D350" s="33" t="s">
        <v>48</v>
      </c>
      <c r="E350" s="34"/>
      <c r="F350" s="36"/>
      <c r="H350" s="37"/>
      <c r="J350" s="37"/>
      <c r="L350" s="37"/>
      <c r="N350" s="37"/>
      <c r="P350" s="37"/>
      <c r="Q350" s="26"/>
      <c r="R350" s="38">
        <v>50.0</v>
      </c>
      <c r="T350" s="39">
        <v>50.0</v>
      </c>
      <c r="V350" s="37"/>
      <c r="X350" s="37"/>
      <c r="Z350" s="37"/>
      <c r="AB350" s="37"/>
      <c r="AC350" s="26"/>
      <c r="AD350" s="37"/>
      <c r="AF350" s="37"/>
      <c r="AH350" s="37"/>
      <c r="AJ350" s="36"/>
      <c r="AL350" s="37"/>
      <c r="AN350" s="37"/>
      <c r="AP350" s="37"/>
      <c r="AR350" s="37"/>
      <c r="AT350" s="37"/>
      <c r="AU350" s="26"/>
      <c r="AV350" s="35">
        <f t="shared" si="1"/>
        <v>1014</v>
      </c>
      <c r="AW350" s="33">
        <f t="shared" si="2"/>
        <v>100</v>
      </c>
      <c r="AX350" s="33">
        <f t="shared" si="3"/>
        <v>0</v>
      </c>
      <c r="AY350" s="33">
        <f t="shared" si="4"/>
        <v>100</v>
      </c>
      <c r="AZ350" s="30">
        <f t="shared" si="5"/>
        <v>10.14</v>
      </c>
    </row>
    <row r="351" ht="15.75" customHeight="1">
      <c r="A351" s="31" t="s">
        <v>45</v>
      </c>
      <c r="B351" s="32">
        <f t="shared" si="6"/>
        <v>44911</v>
      </c>
      <c r="C351" s="33">
        <v>13.0</v>
      </c>
      <c r="D351" s="33" t="s">
        <v>48</v>
      </c>
      <c r="E351" s="34"/>
      <c r="F351" s="36"/>
      <c r="H351" s="37"/>
      <c r="J351" s="37"/>
      <c r="L351" s="37"/>
      <c r="N351" s="37"/>
      <c r="P351" s="37"/>
      <c r="Q351" s="26"/>
      <c r="R351" s="38">
        <v>0.0</v>
      </c>
      <c r="T351" s="39">
        <v>0.0</v>
      </c>
      <c r="V351" s="37"/>
      <c r="X351" s="37"/>
      <c r="Z351" s="37"/>
      <c r="AB351" s="37"/>
      <c r="AC351" s="26"/>
      <c r="AD351" s="37"/>
      <c r="AF351" s="37"/>
      <c r="AH351" s="37"/>
      <c r="AJ351" s="36"/>
      <c r="AL351" s="37"/>
      <c r="AN351" s="37"/>
      <c r="AP351" s="37"/>
      <c r="AR351" s="37"/>
      <c r="AT351" s="37"/>
      <c r="AU351" s="26"/>
      <c r="AV351" s="35">
        <f t="shared" si="1"/>
        <v>0</v>
      </c>
      <c r="AW351" s="33">
        <f t="shared" si="2"/>
        <v>0</v>
      </c>
      <c r="AX351" s="33">
        <f t="shared" si="3"/>
        <v>0</v>
      </c>
      <c r="AY351" s="33">
        <f t="shared" si="4"/>
        <v>0</v>
      </c>
      <c r="AZ351" s="30" t="str">
        <f t="shared" si="5"/>
        <v/>
      </c>
    </row>
    <row r="352" ht="15.75" customHeight="1">
      <c r="A352" s="44" t="s">
        <v>46</v>
      </c>
      <c r="B352" s="45">
        <f t="shared" si="6"/>
        <v>44912</v>
      </c>
      <c r="C352" s="46">
        <v>13.0</v>
      </c>
      <c r="D352" s="46" t="s">
        <v>48</v>
      </c>
      <c r="E352" s="47"/>
      <c r="F352" s="60"/>
      <c r="G352" s="51"/>
      <c r="H352" s="61"/>
      <c r="I352" s="51"/>
      <c r="J352" s="61"/>
      <c r="K352" s="51"/>
      <c r="L352" s="61"/>
      <c r="M352" s="51"/>
      <c r="N352" s="61"/>
      <c r="O352" s="51"/>
      <c r="P352" s="61"/>
      <c r="Q352" s="53"/>
      <c r="R352" s="62">
        <v>0.0</v>
      </c>
      <c r="S352" s="51"/>
      <c r="T352" s="63">
        <v>0.0</v>
      </c>
      <c r="U352" s="51"/>
      <c r="V352" s="61"/>
      <c r="W352" s="51"/>
      <c r="X352" s="61"/>
      <c r="Y352" s="51"/>
      <c r="Z352" s="61"/>
      <c r="AA352" s="51"/>
      <c r="AB352" s="61"/>
      <c r="AC352" s="53"/>
      <c r="AD352" s="61"/>
      <c r="AE352" s="51"/>
      <c r="AF352" s="61"/>
      <c r="AG352" s="51"/>
      <c r="AH352" s="61"/>
      <c r="AI352" s="51"/>
      <c r="AJ352" s="60"/>
      <c r="AK352" s="51"/>
      <c r="AL352" s="61"/>
      <c r="AM352" s="51"/>
      <c r="AN352" s="61"/>
      <c r="AO352" s="51"/>
      <c r="AP352" s="61"/>
      <c r="AQ352" s="51"/>
      <c r="AR352" s="61"/>
      <c r="AS352" s="51"/>
      <c r="AT352" s="61"/>
      <c r="AU352" s="53"/>
      <c r="AV352" s="55">
        <f t="shared" si="1"/>
        <v>0</v>
      </c>
      <c r="AW352" s="46">
        <f t="shared" si="2"/>
        <v>0</v>
      </c>
      <c r="AX352" s="46">
        <f t="shared" si="3"/>
        <v>0</v>
      </c>
      <c r="AY352" s="46">
        <f t="shared" si="4"/>
        <v>0</v>
      </c>
      <c r="AZ352" s="56" t="str">
        <f t="shared" si="5"/>
        <v/>
      </c>
    </row>
    <row r="353" ht="15.75" customHeight="1">
      <c r="A353" s="19" t="s">
        <v>30</v>
      </c>
      <c r="B353" s="57">
        <f t="shared" si="6"/>
        <v>44913</v>
      </c>
      <c r="C353" s="21">
        <v>13.0</v>
      </c>
      <c r="D353" s="21" t="s">
        <v>49</v>
      </c>
      <c r="E353" s="23"/>
      <c r="F353" s="36"/>
      <c r="H353" s="37"/>
      <c r="J353" s="37"/>
      <c r="L353" s="37"/>
      <c r="N353" s="37"/>
      <c r="P353" s="37"/>
      <c r="Q353" s="26"/>
      <c r="R353" s="36"/>
      <c r="T353" s="37"/>
      <c r="V353" s="37"/>
      <c r="X353" s="37"/>
      <c r="Z353" s="37"/>
      <c r="AB353" s="37"/>
      <c r="AC353" s="26"/>
      <c r="AD353" s="37"/>
      <c r="AF353" s="37"/>
      <c r="AH353" s="37"/>
      <c r="AJ353" s="36"/>
      <c r="AL353" s="37"/>
      <c r="AN353" s="37"/>
      <c r="AP353" s="37"/>
      <c r="AR353" s="37"/>
      <c r="AT353" s="37"/>
      <c r="AU353" s="26"/>
      <c r="AV353" s="29">
        <f t="shared" si="1"/>
        <v>0</v>
      </c>
      <c r="AW353" s="21">
        <f t="shared" si="2"/>
        <v>0</v>
      </c>
      <c r="AX353" s="21">
        <f t="shared" si="3"/>
        <v>0</v>
      </c>
      <c r="AY353" s="21">
        <f t="shared" si="4"/>
        <v>0</v>
      </c>
      <c r="AZ353" s="58" t="str">
        <f t="shared" si="5"/>
        <v/>
      </c>
    </row>
    <row r="354" ht="15.75" customHeight="1">
      <c r="A354" s="31" t="s">
        <v>33</v>
      </c>
      <c r="B354" s="32">
        <f t="shared" si="6"/>
        <v>44914</v>
      </c>
      <c r="C354" s="33">
        <v>13.0</v>
      </c>
      <c r="D354" s="33" t="s">
        <v>49</v>
      </c>
      <c r="E354" s="34"/>
      <c r="F354" s="36"/>
      <c r="H354" s="37"/>
      <c r="J354" s="37"/>
      <c r="L354" s="37"/>
      <c r="N354" s="37"/>
      <c r="P354" s="37"/>
      <c r="Q354" s="26"/>
      <c r="R354" s="36"/>
      <c r="T354" s="37"/>
      <c r="V354" s="37"/>
      <c r="X354" s="37"/>
      <c r="Z354" s="37"/>
      <c r="AB354" s="37"/>
      <c r="AC354" s="26"/>
      <c r="AD354" s="37"/>
      <c r="AF354" s="37"/>
      <c r="AH354" s="37"/>
      <c r="AJ354" s="36"/>
      <c r="AL354" s="37"/>
      <c r="AN354" s="37"/>
      <c r="AP354" s="37"/>
      <c r="AR354" s="37"/>
      <c r="AT354" s="37"/>
      <c r="AU354" s="26"/>
      <c r="AV354" s="35">
        <f t="shared" si="1"/>
        <v>0</v>
      </c>
      <c r="AW354" s="33">
        <f t="shared" si="2"/>
        <v>0</v>
      </c>
      <c r="AX354" s="33">
        <f t="shared" si="3"/>
        <v>0</v>
      </c>
      <c r="AY354" s="33">
        <f t="shared" si="4"/>
        <v>0</v>
      </c>
      <c r="AZ354" s="30" t="str">
        <f t="shared" si="5"/>
        <v/>
      </c>
    </row>
    <row r="355" ht="15.75" customHeight="1">
      <c r="A355" s="31" t="s">
        <v>34</v>
      </c>
      <c r="B355" s="32">
        <f t="shared" si="6"/>
        <v>44915</v>
      </c>
      <c r="C355" s="33">
        <v>13.0</v>
      </c>
      <c r="D355" s="33" t="s">
        <v>49</v>
      </c>
      <c r="E355" s="34"/>
      <c r="F355" s="36"/>
      <c r="H355" s="37"/>
      <c r="J355" s="37"/>
      <c r="L355" s="37"/>
      <c r="N355" s="37"/>
      <c r="P355" s="37"/>
      <c r="Q355" s="26"/>
      <c r="R355" s="36"/>
      <c r="T355" s="37"/>
      <c r="V355" s="37"/>
      <c r="X355" s="37"/>
      <c r="Z355" s="37"/>
      <c r="AB355" s="37"/>
      <c r="AC355" s="26"/>
      <c r="AD355" s="37"/>
      <c r="AF355" s="37"/>
      <c r="AH355" s="37"/>
      <c r="AJ355" s="36"/>
      <c r="AL355" s="37"/>
      <c r="AN355" s="37"/>
      <c r="AP355" s="37"/>
      <c r="AR355" s="37"/>
      <c r="AT355" s="37"/>
      <c r="AU355" s="26"/>
      <c r="AV355" s="35">
        <f t="shared" si="1"/>
        <v>0</v>
      </c>
      <c r="AW355" s="33">
        <f t="shared" si="2"/>
        <v>0</v>
      </c>
      <c r="AX355" s="33">
        <f t="shared" si="3"/>
        <v>0</v>
      </c>
      <c r="AY355" s="33">
        <f t="shared" si="4"/>
        <v>0</v>
      </c>
      <c r="AZ355" s="30" t="str">
        <f t="shared" si="5"/>
        <v/>
      </c>
    </row>
    <row r="356" ht="15.75" customHeight="1">
      <c r="A356" s="31" t="s">
        <v>35</v>
      </c>
      <c r="B356" s="32">
        <f t="shared" si="6"/>
        <v>44916</v>
      </c>
      <c r="C356" s="33">
        <v>13.0</v>
      </c>
      <c r="D356" s="33" t="s">
        <v>49</v>
      </c>
      <c r="E356" s="34"/>
      <c r="F356" s="36"/>
      <c r="H356" s="37"/>
      <c r="J356" s="37"/>
      <c r="L356" s="37"/>
      <c r="N356" s="37"/>
      <c r="P356" s="37"/>
      <c r="Q356" s="26"/>
      <c r="R356" s="36"/>
      <c r="T356" s="37"/>
      <c r="V356" s="37"/>
      <c r="X356" s="37"/>
      <c r="Z356" s="37"/>
      <c r="AB356" s="37"/>
      <c r="AC356" s="26"/>
      <c r="AD356" s="37"/>
      <c r="AF356" s="37"/>
      <c r="AH356" s="37"/>
      <c r="AJ356" s="36"/>
      <c r="AL356" s="37"/>
      <c r="AN356" s="37"/>
      <c r="AP356" s="37"/>
      <c r="AR356" s="37"/>
      <c r="AT356" s="37"/>
      <c r="AU356" s="26"/>
      <c r="AV356" s="35">
        <f t="shared" si="1"/>
        <v>0</v>
      </c>
      <c r="AW356" s="33">
        <f t="shared" si="2"/>
        <v>0</v>
      </c>
      <c r="AX356" s="33">
        <f t="shared" si="3"/>
        <v>0</v>
      </c>
      <c r="AY356" s="33">
        <f t="shared" si="4"/>
        <v>0</v>
      </c>
      <c r="AZ356" s="30" t="str">
        <f t="shared" si="5"/>
        <v/>
      </c>
    </row>
    <row r="357" ht="15.75" customHeight="1">
      <c r="A357" s="31" t="s">
        <v>38</v>
      </c>
      <c r="B357" s="32">
        <f t="shared" si="6"/>
        <v>44917</v>
      </c>
      <c r="C357" s="33">
        <v>13.0</v>
      </c>
      <c r="D357" s="33" t="s">
        <v>49</v>
      </c>
      <c r="E357" s="34"/>
      <c r="F357" s="36"/>
      <c r="H357" s="37"/>
      <c r="J357" s="37"/>
      <c r="L357" s="37"/>
      <c r="N357" s="37"/>
      <c r="P357" s="37"/>
      <c r="Q357" s="26"/>
      <c r="R357" s="36"/>
      <c r="T357" s="37"/>
      <c r="V357" s="37"/>
      <c r="X357" s="37"/>
      <c r="Z357" s="37"/>
      <c r="AB357" s="37"/>
      <c r="AC357" s="26"/>
      <c r="AD357" s="37"/>
      <c r="AF357" s="37"/>
      <c r="AH357" s="37"/>
      <c r="AJ357" s="36"/>
      <c r="AL357" s="37"/>
      <c r="AN357" s="37"/>
      <c r="AP357" s="37"/>
      <c r="AR357" s="37"/>
      <c r="AT357" s="37"/>
      <c r="AU357" s="26"/>
      <c r="AV357" s="35">
        <f t="shared" si="1"/>
        <v>0</v>
      </c>
      <c r="AW357" s="33">
        <f t="shared" si="2"/>
        <v>0</v>
      </c>
      <c r="AX357" s="33">
        <f t="shared" si="3"/>
        <v>0</v>
      </c>
      <c r="AY357" s="33">
        <f t="shared" si="4"/>
        <v>0</v>
      </c>
      <c r="AZ357" s="30" t="str">
        <f t="shared" si="5"/>
        <v/>
      </c>
    </row>
    <row r="358" ht="15.75" customHeight="1">
      <c r="A358" s="31" t="s">
        <v>45</v>
      </c>
      <c r="B358" s="32">
        <f t="shared" si="6"/>
        <v>44918</v>
      </c>
      <c r="C358" s="33">
        <v>13.0</v>
      </c>
      <c r="D358" s="33" t="s">
        <v>49</v>
      </c>
      <c r="E358" s="34"/>
      <c r="F358" s="36"/>
      <c r="H358" s="37"/>
      <c r="J358" s="37"/>
      <c r="L358" s="37"/>
      <c r="N358" s="37"/>
      <c r="P358" s="37"/>
      <c r="Q358" s="26"/>
      <c r="R358" s="36"/>
      <c r="T358" s="37"/>
      <c r="V358" s="37"/>
      <c r="X358" s="37"/>
      <c r="Z358" s="37"/>
      <c r="AB358" s="37"/>
      <c r="AC358" s="26"/>
      <c r="AD358" s="37"/>
      <c r="AF358" s="37"/>
      <c r="AH358" s="37"/>
      <c r="AJ358" s="36"/>
      <c r="AL358" s="37"/>
      <c r="AN358" s="37"/>
      <c r="AP358" s="37"/>
      <c r="AR358" s="37"/>
      <c r="AT358" s="37"/>
      <c r="AU358" s="26"/>
      <c r="AV358" s="35">
        <f t="shared" si="1"/>
        <v>0</v>
      </c>
      <c r="AW358" s="33">
        <f t="shared" si="2"/>
        <v>0</v>
      </c>
      <c r="AX358" s="33">
        <f t="shared" si="3"/>
        <v>0</v>
      </c>
      <c r="AY358" s="33">
        <f t="shared" si="4"/>
        <v>0</v>
      </c>
      <c r="AZ358" s="30" t="str">
        <f t="shared" si="5"/>
        <v/>
      </c>
    </row>
    <row r="359" ht="15.75" customHeight="1">
      <c r="A359" s="44" t="s">
        <v>46</v>
      </c>
      <c r="B359" s="45">
        <f t="shared" si="6"/>
        <v>44919</v>
      </c>
      <c r="C359" s="46">
        <v>13.0</v>
      </c>
      <c r="D359" s="46" t="s">
        <v>49</v>
      </c>
      <c r="E359" s="47"/>
      <c r="F359" s="60"/>
      <c r="G359" s="51"/>
      <c r="H359" s="61"/>
      <c r="I359" s="51"/>
      <c r="J359" s="61"/>
      <c r="K359" s="51"/>
      <c r="L359" s="61"/>
      <c r="M359" s="51"/>
      <c r="N359" s="61"/>
      <c r="O359" s="51"/>
      <c r="P359" s="61"/>
      <c r="Q359" s="53"/>
      <c r="R359" s="60"/>
      <c r="S359" s="51"/>
      <c r="T359" s="61"/>
      <c r="U359" s="51"/>
      <c r="V359" s="61"/>
      <c r="W359" s="51"/>
      <c r="X359" s="61"/>
      <c r="Y359" s="51"/>
      <c r="Z359" s="61"/>
      <c r="AA359" s="51"/>
      <c r="AB359" s="61"/>
      <c r="AC359" s="53"/>
      <c r="AD359" s="61"/>
      <c r="AE359" s="51"/>
      <c r="AF359" s="61"/>
      <c r="AG359" s="51"/>
      <c r="AH359" s="61"/>
      <c r="AI359" s="51"/>
      <c r="AJ359" s="60"/>
      <c r="AK359" s="51"/>
      <c r="AL359" s="61"/>
      <c r="AM359" s="51"/>
      <c r="AN359" s="61"/>
      <c r="AO359" s="51"/>
      <c r="AP359" s="61"/>
      <c r="AQ359" s="51"/>
      <c r="AR359" s="61"/>
      <c r="AS359" s="51"/>
      <c r="AT359" s="61"/>
      <c r="AU359" s="53"/>
      <c r="AV359" s="55">
        <f t="shared" si="1"/>
        <v>0</v>
      </c>
      <c r="AW359" s="46">
        <f t="shared" si="2"/>
        <v>0</v>
      </c>
      <c r="AX359" s="46">
        <f t="shared" si="3"/>
        <v>0</v>
      </c>
      <c r="AY359" s="46">
        <f t="shared" si="4"/>
        <v>0</v>
      </c>
      <c r="AZ359" s="56" t="str">
        <f t="shared" si="5"/>
        <v/>
      </c>
    </row>
    <row r="360" ht="15.75" customHeight="1">
      <c r="A360" s="82"/>
      <c r="B360" s="83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</row>
    <row r="361" ht="15.75" customHeight="1">
      <c r="A361" s="82"/>
      <c r="B361" s="83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6"/>
      <c r="AR361" s="86"/>
      <c r="AS361" s="86"/>
      <c r="AT361" s="86"/>
      <c r="AU361" s="86"/>
      <c r="AV361" s="87">
        <f>SUM(AV3:AV359)</f>
        <v>1134821</v>
      </c>
      <c r="AW361" s="88" t="s">
        <v>71</v>
      </c>
      <c r="AX361" s="86"/>
      <c r="AY361" s="89">
        <f>SUM(AY3:AY359)</f>
        <v>98300</v>
      </c>
      <c r="AZ361" s="84"/>
    </row>
    <row r="362" ht="15.75" customHeight="1">
      <c r="A362" s="82"/>
      <c r="B362" s="83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6"/>
      <c r="AR362" s="86"/>
      <c r="AS362" s="86"/>
      <c r="AT362" s="86"/>
      <c r="AU362" s="86"/>
      <c r="AV362" s="90">
        <v>452812.0</v>
      </c>
      <c r="AW362" s="88" t="s">
        <v>72</v>
      </c>
      <c r="AX362" s="86"/>
      <c r="AY362" s="86"/>
      <c r="AZ362" s="84"/>
    </row>
    <row r="363" ht="15.75" customHeight="1">
      <c r="A363" s="82"/>
      <c r="B363" s="83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6"/>
      <c r="AR363" s="86"/>
      <c r="AS363" s="86"/>
      <c r="AT363" s="86"/>
      <c r="AU363" s="86"/>
      <c r="AV363" s="87">
        <f>sum(AV361:AV362)</f>
        <v>1587633</v>
      </c>
      <c r="AW363" s="88" t="s">
        <v>73</v>
      </c>
      <c r="AX363" s="86"/>
      <c r="AY363" s="86"/>
      <c r="AZ363" s="84"/>
    </row>
    <row r="364" ht="15.75" customHeight="1">
      <c r="A364" s="82"/>
      <c r="B364" s="83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6"/>
      <c r="AR364" s="86"/>
      <c r="AS364" s="86"/>
      <c r="AT364" s="86"/>
      <c r="AU364" s="86"/>
      <c r="AV364" s="86"/>
      <c r="AW364" s="86"/>
      <c r="AX364" s="86"/>
      <c r="AY364" s="86"/>
      <c r="AZ364" s="84"/>
    </row>
    <row r="365" ht="15.75" customHeight="1">
      <c r="A365" s="82"/>
      <c r="B365" s="83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6"/>
      <c r="AR365" s="86"/>
      <c r="AS365" s="86"/>
      <c r="AT365" s="86"/>
      <c r="AU365" s="91" t="s">
        <v>74</v>
      </c>
      <c r="AV365" s="92" t="s">
        <v>75</v>
      </c>
      <c r="AW365" s="92" t="s">
        <v>76</v>
      </c>
      <c r="AX365" s="92" t="s">
        <v>77</v>
      </c>
      <c r="AY365" s="88" t="s">
        <v>78</v>
      </c>
      <c r="AZ365" s="84"/>
    </row>
    <row r="366" ht="15.75" customHeight="1">
      <c r="A366" s="82"/>
      <c r="B366" s="83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6"/>
      <c r="AR366" s="86"/>
      <c r="AS366" s="86"/>
      <c r="AT366" s="86"/>
      <c r="AU366" s="91">
        <v>1.0</v>
      </c>
      <c r="AV366" s="93">
        <f t="shared" ref="AV366:AV378" si="7">SUMIF($C$3:$C$359, AU366, $AV$3:$AV$359)</f>
        <v>27378</v>
      </c>
      <c r="AW366" s="91">
        <f>sum(R3:AC30)</f>
        <v>2700</v>
      </c>
      <c r="AX366" s="92">
        <v>0.0</v>
      </c>
      <c r="AY366" s="88">
        <v>0.0</v>
      </c>
      <c r="AZ366" s="84"/>
    </row>
    <row r="367" ht="15.75" customHeight="1">
      <c r="A367" s="82"/>
      <c r="B367" s="83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6"/>
      <c r="AR367" s="86"/>
      <c r="AS367" s="86"/>
      <c r="AT367" s="86"/>
      <c r="AU367" s="91">
        <v>2.0</v>
      </c>
      <c r="AV367" s="93">
        <f t="shared" si="7"/>
        <v>153658</v>
      </c>
      <c r="AW367" s="91">
        <f>sum(R31:AC58)</f>
        <v>7750</v>
      </c>
      <c r="AX367" s="91">
        <f>sum(F31:Q58)</f>
        <v>3700</v>
      </c>
      <c r="AY367" s="88">
        <v>0.0</v>
      </c>
      <c r="AZ367" s="84"/>
    </row>
    <row r="368" ht="15.75" customHeight="1">
      <c r="A368" s="9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6"/>
      <c r="AR368" s="86"/>
      <c r="AS368" s="86"/>
      <c r="AT368" s="86"/>
      <c r="AU368" s="91">
        <v>3.0</v>
      </c>
      <c r="AV368" s="93">
        <f t="shared" si="7"/>
        <v>286837.6</v>
      </c>
      <c r="AW368" s="91">
        <f>sum(R59:AC86)</f>
        <v>12600</v>
      </c>
      <c r="AX368" s="91">
        <f>sum(F59:Q86)</f>
        <v>7840</v>
      </c>
      <c r="AY368" s="88">
        <v>0.0</v>
      </c>
      <c r="AZ368" s="84"/>
    </row>
    <row r="369" ht="15.75" customHeight="1">
      <c r="A369" s="9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6"/>
      <c r="AR369" s="86"/>
      <c r="AS369" s="86"/>
      <c r="AT369" s="86"/>
      <c r="AU369" s="91">
        <v>4.0</v>
      </c>
      <c r="AV369" s="93">
        <f t="shared" si="7"/>
        <v>103468.4</v>
      </c>
      <c r="AW369" s="91">
        <f>sum(R87:AC114)</f>
        <v>9060</v>
      </c>
      <c r="AX369" s="91">
        <v>0.0</v>
      </c>
      <c r="AY369" s="86">
        <f>sum(AD87:AI114)</f>
        <v>800</v>
      </c>
      <c r="AZ369" s="84"/>
    </row>
    <row r="370" ht="15.75" customHeight="1">
      <c r="A370" s="9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6"/>
      <c r="AR370" s="86"/>
      <c r="AS370" s="86"/>
      <c r="AT370" s="86"/>
      <c r="AU370" s="91">
        <v>5.0</v>
      </c>
      <c r="AV370" s="93">
        <f t="shared" si="7"/>
        <v>101643.2</v>
      </c>
      <c r="AW370" s="91">
        <f>sum(R115:AC142)</f>
        <v>8880</v>
      </c>
      <c r="AX370" s="91">
        <v>0.0</v>
      </c>
      <c r="AY370" s="86">
        <f>sum(AD115:AI142)</f>
        <v>800</v>
      </c>
      <c r="AZ370" s="84"/>
    </row>
    <row r="371" ht="15.75" customHeight="1">
      <c r="A371" s="9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6"/>
      <c r="AR371" s="86"/>
      <c r="AS371" s="86"/>
      <c r="AT371" s="86"/>
      <c r="AU371" s="91">
        <v>6.0</v>
      </c>
      <c r="AV371" s="93">
        <f t="shared" si="7"/>
        <v>94950.8</v>
      </c>
      <c r="AW371" s="91">
        <f>sum(R143:AC170)</f>
        <v>8220</v>
      </c>
      <c r="AX371" s="91">
        <v>0.0</v>
      </c>
      <c r="AY371" s="86">
        <f>sum(AD143:AI170)</f>
        <v>800</v>
      </c>
      <c r="AZ371" s="84"/>
    </row>
    <row r="372" ht="15.75" customHeight="1">
      <c r="A372" s="9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6"/>
      <c r="AR372" s="86"/>
      <c r="AS372" s="86"/>
      <c r="AT372" s="86"/>
      <c r="AU372" s="91">
        <v>7.0</v>
      </c>
      <c r="AV372" s="93">
        <f t="shared" si="7"/>
        <v>74873.6</v>
      </c>
      <c r="AW372" s="91">
        <f>sum(R171:AC198)</f>
        <v>6240</v>
      </c>
      <c r="AX372" s="91">
        <v>0.0</v>
      </c>
      <c r="AY372" s="86">
        <f>sum(AD171:AI198)</f>
        <v>800</v>
      </c>
      <c r="AZ372" s="84"/>
    </row>
    <row r="373" ht="15.75" customHeight="1">
      <c r="A373" s="9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6"/>
      <c r="AR373" s="86"/>
      <c r="AS373" s="86"/>
      <c r="AT373" s="86"/>
      <c r="AU373" s="91">
        <v>8.0</v>
      </c>
      <c r="AV373" s="93">
        <f t="shared" si="7"/>
        <v>74873.6</v>
      </c>
      <c r="AW373" s="91">
        <f>sum(R199:AC226)</f>
        <v>6240</v>
      </c>
      <c r="AX373" s="91">
        <v>0.0</v>
      </c>
      <c r="AY373" s="86">
        <f>sum(AD199:AI226)</f>
        <v>800</v>
      </c>
      <c r="AZ373" s="84"/>
    </row>
    <row r="374" ht="15.75" customHeight="1">
      <c r="A374" s="9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6"/>
      <c r="AR374" s="86"/>
      <c r="AS374" s="86"/>
      <c r="AT374" s="86"/>
      <c r="AU374" s="91">
        <v>9.0</v>
      </c>
      <c r="AV374" s="93">
        <f t="shared" si="7"/>
        <v>61590.2</v>
      </c>
      <c r="AW374" s="91">
        <f>sum(R227:AC254)</f>
        <v>4930</v>
      </c>
      <c r="AX374" s="91">
        <v>0.0</v>
      </c>
      <c r="AY374" s="86">
        <f>sum(AD227:AI254)</f>
        <v>800</v>
      </c>
      <c r="AZ374" s="84"/>
    </row>
    <row r="375" ht="15.75" customHeight="1">
      <c r="A375" s="9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6"/>
      <c r="AR375" s="86"/>
      <c r="AS375" s="86"/>
      <c r="AT375" s="86"/>
      <c r="AU375" s="91">
        <v>10.0</v>
      </c>
      <c r="AV375" s="93">
        <f t="shared" si="7"/>
        <v>58406.4</v>
      </c>
      <c r="AW375" s="91">
        <f>sum(R255:AC282)</f>
        <v>5760</v>
      </c>
      <c r="AX375" s="91">
        <v>0.0</v>
      </c>
      <c r="AY375" s="86">
        <f>sum(AD255:AI282)</f>
        <v>0</v>
      </c>
      <c r="AZ375" s="84"/>
    </row>
    <row r="376" ht="15.75" customHeight="1">
      <c r="A376" s="9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6"/>
      <c r="AR376" s="86"/>
      <c r="AS376" s="86"/>
      <c r="AT376" s="86"/>
      <c r="AU376" s="91">
        <v>11.0</v>
      </c>
      <c r="AV376" s="93">
        <f t="shared" si="7"/>
        <v>53539.2</v>
      </c>
      <c r="AW376" s="91">
        <f>sum(R283:AC310)</f>
        <v>5280</v>
      </c>
      <c r="AX376" s="91">
        <v>0.0</v>
      </c>
      <c r="AY376" s="88">
        <v>0.0</v>
      </c>
      <c r="AZ376" s="84"/>
    </row>
    <row r="377" ht="15.75" customHeight="1">
      <c r="A377" s="9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6"/>
      <c r="AR377" s="86"/>
      <c r="AS377" s="86"/>
      <c r="AT377" s="86"/>
      <c r="AU377" s="91">
        <v>12.0</v>
      </c>
      <c r="AV377" s="93">
        <f t="shared" si="7"/>
        <v>33462</v>
      </c>
      <c r="AW377" s="91">
        <f>sum(R311:AC338)</f>
        <v>3300</v>
      </c>
      <c r="AX377" s="91">
        <v>0.0</v>
      </c>
      <c r="AY377" s="88">
        <v>0.0</v>
      </c>
      <c r="AZ377" s="84"/>
    </row>
    <row r="378" ht="15.75" customHeight="1">
      <c r="A378" s="9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6"/>
      <c r="AR378" s="86"/>
      <c r="AS378" s="86"/>
      <c r="AT378" s="86"/>
      <c r="AU378" s="91">
        <v>13.0</v>
      </c>
      <c r="AV378" s="93">
        <f t="shared" si="7"/>
        <v>10140</v>
      </c>
      <c r="AW378" s="91">
        <f>sum(R339:AC359)</f>
        <v>1000</v>
      </c>
      <c r="AX378" s="91">
        <v>0.0</v>
      </c>
      <c r="AY378" s="88">
        <v>0.0</v>
      </c>
      <c r="AZ378" s="84"/>
    </row>
    <row r="379" ht="15.75" customHeight="1">
      <c r="A379" s="9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6"/>
      <c r="AR379" s="86"/>
      <c r="AS379" s="86"/>
      <c r="AT379" s="86"/>
      <c r="AU379" s="86"/>
      <c r="AV379" s="86"/>
      <c r="AW379" s="86"/>
      <c r="AX379" s="86"/>
      <c r="AY379" s="86"/>
      <c r="AZ379" s="84"/>
    </row>
    <row r="380" ht="15.75" customHeight="1">
      <c r="A380" s="9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</row>
    <row r="381" ht="15.75" customHeight="1">
      <c r="A381" s="9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</row>
    <row r="382" ht="15.75" customHeight="1">
      <c r="A382" s="9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</row>
    <row r="383" ht="15.75" customHeight="1">
      <c r="A383" s="9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</row>
    <row r="384" ht="15.75" customHeight="1">
      <c r="A384" s="9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</row>
    <row r="385" ht="15.75" customHeight="1">
      <c r="A385" s="9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</row>
    <row r="386" ht="15.75" customHeight="1">
      <c r="A386" s="9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</row>
    <row r="387" ht="15.75" customHeight="1">
      <c r="A387" s="9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</row>
    <row r="388" ht="15.75" customHeight="1">
      <c r="A388" s="9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</row>
    <row r="389" ht="15.75" customHeight="1">
      <c r="A389" s="9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</row>
    <row r="390" ht="15.75" customHeight="1">
      <c r="A390" s="9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</row>
    <row r="391" ht="15.75" customHeight="1">
      <c r="A391" s="9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</row>
    <row r="392" ht="15.75" customHeight="1">
      <c r="A392" s="9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</row>
    <row r="393" ht="15.75" customHeight="1">
      <c r="A393" s="9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</row>
    <row r="394" ht="15.75" customHeight="1">
      <c r="A394" s="9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</row>
    <row r="395" ht="15.75" customHeight="1">
      <c r="A395" s="9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</row>
    <row r="396" ht="15.75" customHeight="1">
      <c r="A396" s="9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</row>
    <row r="397" ht="15.75" customHeight="1">
      <c r="A397" s="9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</row>
    <row r="398" ht="15.75" customHeight="1">
      <c r="A398" s="9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</row>
    <row r="399" ht="15.75" customHeight="1">
      <c r="A399" s="9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</row>
    <row r="400" ht="15.75" customHeight="1">
      <c r="A400" s="9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</row>
    <row r="401" ht="15.75" customHeight="1">
      <c r="A401" s="9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</row>
    <row r="402" ht="15.75" customHeight="1">
      <c r="A402" s="9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</row>
    <row r="403" ht="15.75" customHeight="1">
      <c r="A403" s="9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</row>
    <row r="404" ht="15.75" customHeight="1">
      <c r="A404" s="9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</row>
    <row r="405" ht="15.75" customHeight="1">
      <c r="A405" s="9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</row>
    <row r="406" ht="15.75" customHeight="1">
      <c r="A406" s="9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</row>
    <row r="407" ht="15.75" customHeight="1">
      <c r="A407" s="9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</row>
    <row r="408" ht="15.75" customHeight="1">
      <c r="A408" s="9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</row>
    <row r="409" ht="15.75" customHeight="1">
      <c r="A409" s="9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</row>
    <row r="410" ht="15.75" customHeight="1">
      <c r="A410" s="9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</row>
    <row r="411" ht="15.75" customHeight="1">
      <c r="A411" s="9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</row>
    <row r="412" ht="15.75" customHeight="1">
      <c r="A412" s="9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</row>
    <row r="413" ht="15.75" customHeight="1">
      <c r="A413" s="9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</row>
    <row r="414" ht="15.75" customHeight="1">
      <c r="A414" s="9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</row>
    <row r="415" ht="15.75" customHeight="1">
      <c r="A415" s="9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</row>
    <row r="416" ht="15.75" customHeight="1">
      <c r="A416" s="9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</row>
    <row r="417" ht="15.75" customHeight="1">
      <c r="A417" s="9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</row>
    <row r="418" ht="15.75" customHeight="1">
      <c r="A418" s="9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</row>
    <row r="419" ht="15.75" customHeight="1">
      <c r="A419" s="9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</row>
    <row r="420" ht="15.75" customHeight="1">
      <c r="A420" s="9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</row>
    <row r="421" ht="15.75" customHeight="1">
      <c r="A421" s="9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</row>
    <row r="422" ht="15.75" customHeight="1">
      <c r="A422" s="9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</row>
    <row r="423" ht="15.75" customHeight="1">
      <c r="A423" s="9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</row>
    <row r="424" ht="15.75" customHeight="1">
      <c r="A424" s="9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</row>
    <row r="425" ht="15.75" customHeight="1">
      <c r="A425" s="9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</row>
    <row r="426" ht="15.75" customHeight="1">
      <c r="A426" s="9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</row>
    <row r="427" ht="15.75" customHeight="1">
      <c r="A427" s="9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</row>
    <row r="428" ht="15.75" customHeight="1">
      <c r="A428" s="9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</row>
    <row r="429" ht="15.75" customHeight="1">
      <c r="A429" s="9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</row>
    <row r="430" ht="15.75" customHeight="1">
      <c r="A430" s="9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</row>
    <row r="431" ht="15.75" customHeight="1">
      <c r="A431" s="9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</row>
    <row r="432" ht="15.75" customHeight="1">
      <c r="A432" s="9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</row>
    <row r="433" ht="15.75" customHeight="1">
      <c r="A433" s="9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</row>
    <row r="434" ht="15.75" customHeight="1">
      <c r="A434" s="9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</row>
    <row r="435" ht="15.75" customHeight="1">
      <c r="A435" s="9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</row>
    <row r="436" ht="15.75" customHeight="1">
      <c r="A436" s="9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</row>
    <row r="437" ht="15.75" customHeight="1">
      <c r="A437" s="9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</row>
    <row r="438" ht="15.75" customHeight="1">
      <c r="A438" s="9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</row>
    <row r="439" ht="15.75" customHeight="1">
      <c r="A439" s="9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</row>
    <row r="440" ht="15.75" customHeight="1">
      <c r="A440" s="9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</row>
    <row r="441" ht="15.75" customHeight="1">
      <c r="A441" s="9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</row>
    <row r="442" ht="15.75" customHeight="1">
      <c r="A442" s="9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</row>
    <row r="443" ht="15.75" customHeight="1">
      <c r="A443" s="9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</row>
    <row r="444" ht="15.75" customHeight="1">
      <c r="A444" s="9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</row>
    <row r="445" ht="15.75" customHeight="1">
      <c r="A445" s="9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</row>
    <row r="446" ht="15.75" customHeight="1">
      <c r="A446" s="9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</row>
    <row r="447" ht="15.75" customHeight="1">
      <c r="A447" s="9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</row>
    <row r="448" ht="15.75" customHeight="1">
      <c r="A448" s="9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</row>
    <row r="449" ht="15.75" customHeight="1">
      <c r="A449" s="9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</row>
    <row r="450" ht="15.75" customHeight="1">
      <c r="A450" s="9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</row>
    <row r="451" ht="15.75" customHeight="1">
      <c r="A451" s="9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</row>
    <row r="452" ht="15.75" customHeight="1">
      <c r="A452" s="9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</row>
    <row r="453" ht="15.75" customHeight="1">
      <c r="A453" s="9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</row>
    <row r="454" ht="15.75" customHeight="1">
      <c r="A454" s="9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</row>
    <row r="455" ht="15.75" customHeight="1">
      <c r="A455" s="9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</row>
    <row r="456" ht="15.75" customHeight="1">
      <c r="A456" s="9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</row>
    <row r="457" ht="15.75" customHeight="1">
      <c r="A457" s="9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</row>
    <row r="458" ht="15.75" customHeight="1">
      <c r="A458" s="9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</row>
    <row r="459" ht="15.75" customHeight="1">
      <c r="A459" s="9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</row>
    <row r="460" ht="15.75" customHeight="1">
      <c r="A460" s="9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</row>
    <row r="461" ht="15.75" customHeight="1">
      <c r="A461" s="9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</row>
    <row r="462" ht="15.75" customHeight="1">
      <c r="A462" s="9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</row>
    <row r="463" ht="15.75" customHeight="1">
      <c r="A463" s="9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</row>
    <row r="464" ht="15.75" customHeight="1">
      <c r="A464" s="9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</row>
    <row r="465" ht="15.75" customHeight="1">
      <c r="A465" s="9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</row>
    <row r="466" ht="15.75" customHeight="1">
      <c r="A466" s="9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</row>
    <row r="467" ht="15.75" customHeight="1">
      <c r="A467" s="9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</row>
    <row r="468" ht="15.75" customHeight="1">
      <c r="A468" s="9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</row>
    <row r="469" ht="15.75" customHeight="1">
      <c r="A469" s="9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</row>
    <row r="470" ht="15.75" customHeight="1">
      <c r="A470" s="9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</row>
    <row r="471" ht="15.75" customHeight="1">
      <c r="A471" s="9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</row>
    <row r="472" ht="15.75" customHeight="1">
      <c r="A472" s="9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</row>
    <row r="473" ht="15.75" customHeight="1">
      <c r="A473" s="9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</row>
    <row r="474" ht="15.75" customHeight="1">
      <c r="A474" s="9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</row>
    <row r="475" ht="15.75" customHeight="1">
      <c r="A475" s="9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</row>
    <row r="476" ht="15.75" customHeight="1">
      <c r="A476" s="9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</row>
    <row r="477" ht="15.75" customHeight="1">
      <c r="A477" s="9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</row>
    <row r="478" ht="15.75" customHeight="1">
      <c r="A478" s="9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</row>
    <row r="479" ht="15.75" customHeight="1">
      <c r="A479" s="9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</row>
    <row r="480" ht="15.75" customHeight="1">
      <c r="A480" s="9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</row>
    <row r="481" ht="15.75" customHeight="1">
      <c r="A481" s="9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</row>
    <row r="482" ht="15.75" customHeight="1">
      <c r="A482" s="9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</row>
    <row r="483" ht="15.75" customHeight="1">
      <c r="A483" s="9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</row>
    <row r="484" ht="15.75" customHeight="1">
      <c r="A484" s="9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</row>
    <row r="485" ht="15.75" customHeight="1">
      <c r="A485" s="9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</row>
    <row r="486" ht="15.75" customHeight="1">
      <c r="A486" s="9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</row>
    <row r="487" ht="15.75" customHeight="1">
      <c r="A487" s="9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</row>
    <row r="488" ht="15.75" customHeight="1">
      <c r="A488" s="9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</row>
    <row r="489" ht="15.75" customHeight="1">
      <c r="A489" s="9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</row>
    <row r="490" ht="15.75" customHeight="1">
      <c r="A490" s="9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</row>
    <row r="491" ht="15.75" customHeight="1">
      <c r="A491" s="9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</row>
    <row r="492" ht="15.75" customHeight="1">
      <c r="A492" s="9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</row>
    <row r="493" ht="15.75" customHeight="1">
      <c r="A493" s="9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</row>
    <row r="494" ht="15.75" customHeight="1">
      <c r="A494" s="9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</row>
    <row r="495" ht="15.75" customHeight="1">
      <c r="A495" s="9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</row>
    <row r="496" ht="15.75" customHeight="1">
      <c r="A496" s="9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</row>
    <row r="497" ht="15.75" customHeight="1">
      <c r="A497" s="9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</row>
    <row r="498" ht="15.75" customHeight="1">
      <c r="A498" s="9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</row>
    <row r="499" ht="15.75" customHeight="1">
      <c r="A499" s="9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</row>
    <row r="500" ht="15.75" customHeight="1">
      <c r="A500" s="9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</row>
    <row r="501" ht="15.75" customHeight="1">
      <c r="A501" s="9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</row>
    <row r="502" ht="15.75" customHeight="1">
      <c r="A502" s="9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</row>
    <row r="503" ht="15.75" customHeight="1">
      <c r="A503" s="9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</row>
    <row r="504" ht="15.75" customHeight="1">
      <c r="A504" s="9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</row>
    <row r="505" ht="15.75" customHeight="1">
      <c r="A505" s="9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</row>
    <row r="506" ht="15.75" customHeight="1">
      <c r="A506" s="9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</row>
    <row r="507" ht="15.75" customHeight="1">
      <c r="A507" s="9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</row>
    <row r="508" ht="15.75" customHeight="1">
      <c r="A508" s="9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</row>
    <row r="509" ht="15.75" customHeight="1">
      <c r="A509" s="9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</row>
    <row r="510" ht="15.75" customHeight="1">
      <c r="A510" s="9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</row>
    <row r="511" ht="15.75" customHeight="1">
      <c r="A511" s="9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</row>
    <row r="512" ht="15.75" customHeight="1">
      <c r="A512" s="9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</row>
    <row r="513" ht="15.75" customHeight="1">
      <c r="A513" s="9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</row>
    <row r="514" ht="15.75" customHeight="1">
      <c r="A514" s="9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</row>
    <row r="515" ht="15.75" customHeight="1">
      <c r="A515" s="9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</row>
    <row r="516" ht="15.75" customHeight="1">
      <c r="A516" s="9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</row>
    <row r="517" ht="15.75" customHeight="1">
      <c r="A517" s="9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</row>
    <row r="518" ht="15.75" customHeight="1">
      <c r="A518" s="9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</row>
    <row r="519" ht="15.75" customHeight="1">
      <c r="A519" s="9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</row>
    <row r="520" ht="15.75" customHeight="1">
      <c r="A520" s="9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</row>
    <row r="521" ht="15.75" customHeight="1">
      <c r="A521" s="9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</row>
    <row r="522" ht="15.75" customHeight="1">
      <c r="A522" s="9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</row>
    <row r="523" ht="15.75" customHeight="1">
      <c r="A523" s="9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</row>
    <row r="524" ht="15.75" customHeight="1">
      <c r="A524" s="9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</row>
    <row r="525" ht="15.75" customHeight="1">
      <c r="A525" s="9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</row>
    <row r="526" ht="15.75" customHeight="1">
      <c r="A526" s="9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</row>
    <row r="527" ht="15.75" customHeight="1">
      <c r="A527" s="9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</row>
    <row r="528" ht="15.75" customHeight="1">
      <c r="A528" s="9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</row>
    <row r="529" ht="15.75" customHeight="1">
      <c r="A529" s="9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</row>
    <row r="530" ht="15.75" customHeight="1">
      <c r="A530" s="9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</row>
    <row r="531" ht="15.75" customHeight="1">
      <c r="A531" s="9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</row>
    <row r="532" ht="15.75" customHeight="1">
      <c r="A532" s="9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</row>
    <row r="533" ht="15.75" customHeight="1">
      <c r="A533" s="9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</row>
    <row r="534" ht="15.75" customHeight="1">
      <c r="A534" s="9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</row>
    <row r="535" ht="15.75" customHeight="1">
      <c r="A535" s="9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</row>
    <row r="536" ht="15.75" customHeight="1">
      <c r="A536" s="9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</row>
    <row r="537" ht="15.75" customHeight="1">
      <c r="A537" s="9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</row>
    <row r="538" ht="15.75" customHeight="1">
      <c r="A538" s="9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</row>
    <row r="539" ht="15.75" customHeight="1">
      <c r="A539" s="9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</row>
    <row r="540" ht="15.75" customHeight="1">
      <c r="A540" s="9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</row>
    <row r="541" ht="15.75" customHeight="1">
      <c r="A541" s="9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</row>
    <row r="542" ht="15.75" customHeight="1">
      <c r="A542" s="9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</row>
    <row r="543" ht="15.75" customHeight="1">
      <c r="A543" s="9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</row>
    <row r="544" ht="15.75" customHeight="1">
      <c r="A544" s="9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</row>
    <row r="545" ht="15.75" customHeight="1">
      <c r="A545" s="9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</row>
    <row r="546" ht="15.75" customHeight="1">
      <c r="A546" s="9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</row>
    <row r="547" ht="15.75" customHeight="1">
      <c r="A547" s="9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</row>
    <row r="548" ht="15.75" customHeight="1">
      <c r="A548" s="9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</row>
    <row r="549" ht="15.75" customHeight="1">
      <c r="A549" s="9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</row>
    <row r="550" ht="15.75" customHeight="1">
      <c r="A550" s="9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</row>
    <row r="551" ht="15.75" customHeight="1">
      <c r="A551" s="9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</row>
    <row r="552" ht="15.75" customHeight="1">
      <c r="A552" s="9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</row>
    <row r="553" ht="15.75" customHeight="1">
      <c r="A553" s="9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</row>
    <row r="554" ht="15.75" customHeight="1">
      <c r="A554" s="9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</row>
    <row r="555" ht="15.75" customHeight="1">
      <c r="A555" s="9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</row>
    <row r="556" ht="15.75" customHeight="1">
      <c r="A556" s="9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</row>
    <row r="557" ht="15.75" customHeight="1">
      <c r="A557" s="9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</row>
    <row r="558" ht="15.75" customHeight="1">
      <c r="A558" s="9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</row>
    <row r="559" ht="15.75" customHeight="1">
      <c r="A559" s="9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</row>
    <row r="560" ht="15.75" customHeight="1">
      <c r="A560" s="9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</row>
    <row r="561" ht="15.75" customHeight="1">
      <c r="A561" s="9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</row>
    <row r="562" ht="15.75" customHeight="1">
      <c r="A562" s="9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</row>
    <row r="563" ht="15.75" customHeight="1">
      <c r="A563" s="9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</row>
    <row r="564" ht="15.75" customHeight="1">
      <c r="A564" s="9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</row>
    <row r="565" ht="15.75" customHeight="1">
      <c r="A565" s="9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</row>
    <row r="566" ht="15.75" customHeight="1">
      <c r="A566" s="9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</row>
    <row r="567" ht="15.75" customHeight="1">
      <c r="A567" s="9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</row>
    <row r="568" ht="15.75" customHeight="1">
      <c r="A568" s="9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</row>
    <row r="569" ht="15.75" customHeight="1">
      <c r="A569" s="9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</row>
    <row r="570" ht="15.75" customHeight="1">
      <c r="A570" s="9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</row>
    <row r="571" ht="15.75" customHeight="1">
      <c r="A571" s="9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</row>
    <row r="572" ht="15.75" customHeight="1">
      <c r="A572" s="9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</row>
    <row r="573" ht="15.75" customHeight="1">
      <c r="A573" s="9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</row>
    <row r="574" ht="15.75" customHeight="1">
      <c r="A574" s="9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</row>
    <row r="575" ht="15.75" customHeight="1">
      <c r="A575" s="9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</row>
    <row r="576" ht="15.75" customHeight="1">
      <c r="A576" s="9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</row>
    <row r="577" ht="15.75" customHeight="1">
      <c r="A577" s="9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</row>
    <row r="578" ht="15.75" customHeight="1">
      <c r="A578" s="9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</row>
    <row r="579" ht="15.75" customHeight="1">
      <c r="A579" s="9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</row>
    <row r="580" ht="15.75" customHeight="1">
      <c r="A580" s="9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</row>
    <row r="581" ht="15.75" customHeight="1">
      <c r="A581" s="9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</row>
    <row r="582" ht="15.75" customHeight="1">
      <c r="A582" s="9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</row>
    <row r="583" ht="15.75" customHeight="1">
      <c r="A583" s="9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</row>
    <row r="584" ht="15.75" customHeight="1">
      <c r="A584" s="9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</row>
    <row r="585" ht="15.75" customHeight="1">
      <c r="A585" s="9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</row>
    <row r="586" ht="15.75" customHeight="1">
      <c r="A586" s="9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</row>
    <row r="587" ht="15.75" customHeight="1">
      <c r="A587" s="9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</row>
    <row r="588" ht="15.75" customHeight="1">
      <c r="A588" s="9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</row>
    <row r="589" ht="15.75" customHeight="1">
      <c r="A589" s="9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</row>
    <row r="590" ht="15.75" customHeight="1">
      <c r="A590" s="9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</row>
    <row r="591" ht="15.75" customHeight="1">
      <c r="A591" s="9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</row>
    <row r="592" ht="15.75" customHeight="1">
      <c r="A592" s="9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</row>
    <row r="593" ht="15.75" customHeight="1">
      <c r="A593" s="9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</row>
    <row r="594" ht="15.75" customHeight="1">
      <c r="A594" s="9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</row>
    <row r="595" ht="15.75" customHeight="1">
      <c r="A595" s="9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</row>
    <row r="596" ht="15.75" customHeight="1">
      <c r="A596" s="9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</row>
    <row r="597" ht="15.75" customHeight="1">
      <c r="A597" s="9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</row>
    <row r="598" ht="15.75" customHeight="1">
      <c r="A598" s="9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</row>
    <row r="599" ht="15.75" customHeight="1">
      <c r="A599" s="9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</row>
    <row r="600" ht="15.75" customHeight="1">
      <c r="A600" s="9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</row>
    <row r="601" ht="15.75" customHeight="1">
      <c r="A601" s="9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</row>
    <row r="602" ht="15.75" customHeight="1">
      <c r="A602" s="9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</row>
    <row r="603" ht="15.75" customHeight="1">
      <c r="A603" s="9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</row>
    <row r="604" ht="15.75" customHeight="1">
      <c r="A604" s="9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</row>
    <row r="605" ht="15.75" customHeight="1">
      <c r="A605" s="9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</row>
    <row r="606" ht="15.75" customHeight="1">
      <c r="A606" s="9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</row>
    <row r="607" ht="15.75" customHeight="1">
      <c r="A607" s="9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</row>
    <row r="608" ht="15.75" customHeight="1">
      <c r="A608" s="9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</row>
    <row r="609" ht="15.75" customHeight="1">
      <c r="A609" s="9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</row>
    <row r="610" ht="15.75" customHeight="1">
      <c r="A610" s="9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</row>
    <row r="611" ht="15.75" customHeight="1">
      <c r="A611" s="9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</row>
    <row r="612" ht="15.75" customHeight="1">
      <c r="A612" s="9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</row>
    <row r="613" ht="15.75" customHeight="1">
      <c r="A613" s="9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</row>
    <row r="614" ht="15.75" customHeight="1">
      <c r="A614" s="9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</row>
    <row r="615" ht="15.75" customHeight="1">
      <c r="A615" s="9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</row>
    <row r="616" ht="15.75" customHeight="1">
      <c r="A616" s="9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</row>
    <row r="617" ht="15.75" customHeight="1">
      <c r="A617" s="9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</row>
    <row r="618" ht="15.75" customHeight="1">
      <c r="A618" s="9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</row>
    <row r="619" ht="15.75" customHeight="1">
      <c r="A619" s="9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</row>
    <row r="620" ht="15.75" customHeight="1">
      <c r="A620" s="9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</row>
    <row r="621" ht="15.75" customHeight="1">
      <c r="A621" s="9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</row>
    <row r="622" ht="15.75" customHeight="1">
      <c r="A622" s="9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</row>
    <row r="623" ht="15.75" customHeight="1">
      <c r="A623" s="9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</row>
    <row r="624" ht="15.75" customHeight="1">
      <c r="A624" s="9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</row>
    <row r="625" ht="15.75" customHeight="1">
      <c r="A625" s="9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</row>
    <row r="626" ht="15.75" customHeight="1">
      <c r="A626" s="9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</row>
    <row r="627" ht="15.75" customHeight="1">
      <c r="A627" s="9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</row>
    <row r="628" ht="15.75" customHeight="1">
      <c r="A628" s="9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</row>
    <row r="629" ht="15.75" customHeight="1">
      <c r="A629" s="9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</row>
    <row r="630" ht="15.75" customHeight="1">
      <c r="A630" s="9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</row>
    <row r="631" ht="15.75" customHeight="1">
      <c r="A631" s="9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</row>
    <row r="632" ht="15.75" customHeight="1">
      <c r="A632" s="9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</row>
    <row r="633" ht="15.75" customHeight="1">
      <c r="A633" s="9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</row>
    <row r="634" ht="15.75" customHeight="1">
      <c r="A634" s="9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</row>
    <row r="635" ht="15.75" customHeight="1">
      <c r="A635" s="9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</row>
    <row r="636" ht="15.75" customHeight="1">
      <c r="A636" s="9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</row>
    <row r="637" ht="15.75" customHeight="1">
      <c r="A637" s="9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</row>
    <row r="638" ht="15.75" customHeight="1">
      <c r="A638" s="9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</row>
    <row r="639" ht="15.75" customHeight="1">
      <c r="A639" s="9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</row>
    <row r="640" ht="15.75" customHeight="1">
      <c r="A640" s="9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</row>
    <row r="641" ht="15.75" customHeight="1">
      <c r="A641" s="9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</row>
    <row r="642" ht="15.75" customHeight="1">
      <c r="A642" s="9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</row>
    <row r="643" ht="15.75" customHeight="1">
      <c r="A643" s="9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</row>
    <row r="644" ht="15.75" customHeight="1">
      <c r="A644" s="9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</row>
    <row r="645" ht="15.75" customHeight="1">
      <c r="A645" s="9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</row>
    <row r="646" ht="15.75" customHeight="1">
      <c r="A646" s="9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</row>
    <row r="647" ht="15.75" customHeight="1">
      <c r="A647" s="9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</row>
    <row r="648" ht="15.75" customHeight="1">
      <c r="A648" s="9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</row>
    <row r="649" ht="15.75" customHeight="1">
      <c r="A649" s="9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</row>
    <row r="650" ht="15.75" customHeight="1">
      <c r="A650" s="9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</row>
    <row r="651" ht="15.75" customHeight="1">
      <c r="A651" s="9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</row>
    <row r="652" ht="15.75" customHeight="1">
      <c r="A652" s="9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</row>
    <row r="653" ht="15.75" customHeight="1">
      <c r="A653" s="9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</row>
    <row r="654" ht="15.75" customHeight="1">
      <c r="A654" s="9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</row>
    <row r="655" ht="15.75" customHeight="1">
      <c r="A655" s="9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</row>
    <row r="656" ht="15.75" customHeight="1">
      <c r="A656" s="9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</row>
    <row r="657" ht="15.75" customHeight="1">
      <c r="A657" s="9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</row>
    <row r="658" ht="15.75" customHeight="1">
      <c r="A658" s="9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</row>
    <row r="659" ht="15.75" customHeight="1">
      <c r="A659" s="9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</row>
    <row r="660" ht="15.75" customHeight="1">
      <c r="A660" s="9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</row>
    <row r="661" ht="15.75" customHeight="1">
      <c r="A661" s="9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</row>
    <row r="662" ht="15.75" customHeight="1">
      <c r="A662" s="9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</row>
    <row r="663" ht="15.75" customHeight="1">
      <c r="A663" s="9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</row>
    <row r="664" ht="15.75" customHeight="1">
      <c r="A664" s="9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</row>
    <row r="665" ht="15.75" customHeight="1">
      <c r="A665" s="9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</row>
    <row r="666" ht="15.75" customHeight="1">
      <c r="A666" s="9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</row>
    <row r="667" ht="15.75" customHeight="1">
      <c r="A667" s="9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</row>
    <row r="668" ht="15.75" customHeight="1">
      <c r="A668" s="9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</row>
    <row r="669" ht="15.75" customHeight="1">
      <c r="A669" s="9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</row>
    <row r="670" ht="15.75" customHeight="1">
      <c r="A670" s="9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</row>
    <row r="671" ht="15.75" customHeight="1">
      <c r="A671" s="9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</row>
    <row r="672" ht="15.75" customHeight="1">
      <c r="A672" s="9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</row>
    <row r="673" ht="15.75" customHeight="1">
      <c r="A673" s="9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</row>
    <row r="674" ht="15.75" customHeight="1">
      <c r="A674" s="9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</row>
    <row r="675" ht="15.75" customHeight="1">
      <c r="A675" s="9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</row>
    <row r="676" ht="15.75" customHeight="1">
      <c r="A676" s="9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</row>
    <row r="677" ht="15.75" customHeight="1">
      <c r="A677" s="9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</row>
    <row r="678" ht="15.75" customHeight="1">
      <c r="A678" s="9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</row>
    <row r="679" ht="15.75" customHeight="1">
      <c r="A679" s="9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</row>
    <row r="680" ht="15.75" customHeight="1">
      <c r="A680" s="9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</row>
    <row r="681" ht="15.75" customHeight="1">
      <c r="A681" s="9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</row>
    <row r="682" ht="15.75" customHeight="1">
      <c r="A682" s="9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</row>
    <row r="683" ht="15.75" customHeight="1">
      <c r="A683" s="9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</row>
    <row r="684" ht="15.75" customHeight="1">
      <c r="A684" s="9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</row>
    <row r="685" ht="15.75" customHeight="1">
      <c r="A685" s="9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</row>
    <row r="686" ht="15.75" customHeight="1">
      <c r="A686" s="9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</row>
    <row r="687" ht="15.75" customHeight="1">
      <c r="A687" s="9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</row>
    <row r="688" ht="15.75" customHeight="1">
      <c r="A688" s="9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</row>
    <row r="689" ht="15.75" customHeight="1">
      <c r="A689" s="9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</row>
    <row r="690" ht="15.75" customHeight="1">
      <c r="A690" s="9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</row>
    <row r="691" ht="15.75" customHeight="1">
      <c r="A691" s="9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</row>
    <row r="692" ht="15.75" customHeight="1">
      <c r="A692" s="9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</row>
    <row r="693" ht="15.75" customHeight="1">
      <c r="A693" s="9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</row>
    <row r="694" ht="15.75" customHeight="1">
      <c r="A694" s="9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</row>
    <row r="695" ht="15.75" customHeight="1">
      <c r="A695" s="9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</row>
    <row r="696" ht="15.75" customHeight="1">
      <c r="A696" s="9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</row>
    <row r="697" ht="15.75" customHeight="1">
      <c r="A697" s="9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</row>
    <row r="698" ht="15.75" customHeight="1">
      <c r="A698" s="9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</row>
    <row r="699" ht="15.75" customHeight="1">
      <c r="A699" s="9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</row>
    <row r="700" ht="15.75" customHeight="1">
      <c r="A700" s="9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</row>
    <row r="701" ht="15.75" customHeight="1">
      <c r="A701" s="9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</row>
    <row r="702" ht="15.75" customHeight="1">
      <c r="A702" s="9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</row>
    <row r="703" ht="15.75" customHeight="1">
      <c r="A703" s="9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</row>
    <row r="704" ht="15.75" customHeight="1">
      <c r="A704" s="9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</row>
    <row r="705" ht="15.75" customHeight="1">
      <c r="A705" s="9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</row>
    <row r="706" ht="15.75" customHeight="1">
      <c r="A706" s="9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</row>
    <row r="707" ht="15.75" customHeight="1">
      <c r="A707" s="9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</row>
    <row r="708" ht="15.75" customHeight="1">
      <c r="A708" s="9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</row>
    <row r="709" ht="15.75" customHeight="1">
      <c r="A709" s="9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</row>
    <row r="710" ht="15.75" customHeight="1">
      <c r="A710" s="9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</row>
    <row r="711" ht="15.75" customHeight="1">
      <c r="A711" s="9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</row>
    <row r="712" ht="15.75" customHeight="1">
      <c r="A712" s="9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</row>
    <row r="713" ht="15.75" customHeight="1">
      <c r="A713" s="9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</row>
    <row r="714" ht="15.75" customHeight="1">
      <c r="A714" s="9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</row>
    <row r="715" ht="15.75" customHeight="1">
      <c r="A715" s="9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</row>
    <row r="716" ht="15.75" customHeight="1">
      <c r="A716" s="9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</row>
    <row r="717" ht="15.75" customHeight="1">
      <c r="A717" s="9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</row>
    <row r="718" ht="15.75" customHeight="1">
      <c r="A718" s="9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</row>
    <row r="719" ht="15.75" customHeight="1">
      <c r="A719" s="9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</row>
    <row r="720" ht="15.75" customHeight="1">
      <c r="A720" s="9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</row>
    <row r="721" ht="15.75" customHeight="1">
      <c r="A721" s="9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</row>
    <row r="722" ht="15.75" customHeight="1">
      <c r="A722" s="9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</row>
    <row r="723" ht="15.75" customHeight="1">
      <c r="A723" s="9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</row>
    <row r="724" ht="15.75" customHeight="1">
      <c r="A724" s="9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</row>
    <row r="725" ht="15.75" customHeight="1">
      <c r="A725" s="9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</row>
    <row r="726" ht="15.75" customHeight="1">
      <c r="A726" s="9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</row>
    <row r="727" ht="15.75" customHeight="1">
      <c r="A727" s="9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</row>
    <row r="728" ht="15.75" customHeight="1">
      <c r="A728" s="9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</row>
    <row r="729" ht="15.75" customHeight="1">
      <c r="A729" s="9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</row>
    <row r="730" ht="15.75" customHeight="1">
      <c r="A730" s="9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</row>
    <row r="731" ht="15.75" customHeight="1">
      <c r="A731" s="9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</row>
    <row r="732" ht="15.75" customHeight="1">
      <c r="A732" s="9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</row>
    <row r="733" ht="15.75" customHeight="1">
      <c r="A733" s="9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</row>
    <row r="734" ht="15.75" customHeight="1">
      <c r="A734" s="9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</row>
    <row r="735" ht="15.75" customHeight="1">
      <c r="A735" s="9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</row>
    <row r="736" ht="15.75" customHeight="1">
      <c r="A736" s="9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</row>
    <row r="737" ht="15.75" customHeight="1">
      <c r="A737" s="9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</row>
    <row r="738" ht="15.75" customHeight="1">
      <c r="A738" s="9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</row>
    <row r="739" ht="15.75" customHeight="1">
      <c r="A739" s="9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</row>
    <row r="740" ht="15.75" customHeight="1">
      <c r="A740" s="9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</row>
    <row r="741" ht="15.75" customHeight="1">
      <c r="A741" s="9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</row>
    <row r="742" ht="15.75" customHeight="1">
      <c r="A742" s="9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</row>
    <row r="743" ht="15.75" customHeight="1">
      <c r="A743" s="9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</row>
    <row r="744" ht="15.75" customHeight="1">
      <c r="A744" s="9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</row>
    <row r="745" ht="15.75" customHeight="1">
      <c r="A745" s="9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</row>
    <row r="746" ht="15.75" customHeight="1">
      <c r="A746" s="9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</row>
    <row r="747" ht="15.75" customHeight="1">
      <c r="A747" s="9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</row>
    <row r="748" ht="15.75" customHeight="1">
      <c r="A748" s="9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</row>
    <row r="749" ht="15.75" customHeight="1">
      <c r="A749" s="9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</row>
    <row r="750" ht="15.75" customHeight="1">
      <c r="A750" s="9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</row>
    <row r="751" ht="15.75" customHeight="1">
      <c r="A751" s="9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</row>
    <row r="752" ht="15.75" customHeight="1">
      <c r="A752" s="9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</row>
    <row r="753" ht="15.75" customHeight="1">
      <c r="A753" s="9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</row>
    <row r="754" ht="15.75" customHeight="1">
      <c r="A754" s="9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</row>
    <row r="755" ht="15.75" customHeight="1">
      <c r="A755" s="9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</row>
    <row r="756" ht="15.75" customHeight="1">
      <c r="A756" s="9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</row>
    <row r="757" ht="15.75" customHeight="1">
      <c r="A757" s="9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</row>
    <row r="758" ht="15.75" customHeight="1">
      <c r="A758" s="9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</row>
    <row r="759" ht="15.75" customHeight="1">
      <c r="A759" s="9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</row>
    <row r="760" ht="15.75" customHeight="1">
      <c r="A760" s="9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</row>
    <row r="761" ht="15.75" customHeight="1">
      <c r="A761" s="9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</row>
    <row r="762" ht="15.75" customHeight="1">
      <c r="A762" s="9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</row>
    <row r="763" ht="15.75" customHeight="1">
      <c r="A763" s="9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</row>
    <row r="764" ht="15.75" customHeight="1">
      <c r="A764" s="9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</row>
    <row r="765" ht="15.75" customHeight="1">
      <c r="A765" s="9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</row>
    <row r="766" ht="15.75" customHeight="1">
      <c r="A766" s="9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</row>
    <row r="767" ht="15.75" customHeight="1">
      <c r="A767" s="9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</row>
    <row r="768" ht="15.75" customHeight="1">
      <c r="A768" s="9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</row>
    <row r="769" ht="15.75" customHeight="1">
      <c r="A769" s="9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</row>
    <row r="770" ht="15.75" customHeight="1">
      <c r="A770" s="9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</row>
    <row r="771" ht="15.75" customHeight="1">
      <c r="A771" s="9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</row>
    <row r="772" ht="15.75" customHeight="1">
      <c r="A772" s="9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</row>
    <row r="773" ht="15.75" customHeight="1">
      <c r="A773" s="9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</row>
    <row r="774" ht="15.75" customHeight="1">
      <c r="A774" s="9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</row>
    <row r="775" ht="15.75" customHeight="1">
      <c r="A775" s="9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</row>
    <row r="776" ht="15.75" customHeight="1">
      <c r="A776" s="9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</row>
    <row r="777" ht="15.75" customHeight="1">
      <c r="A777" s="9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</row>
    <row r="778" ht="15.75" customHeight="1">
      <c r="A778" s="9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</row>
    <row r="779" ht="15.75" customHeight="1">
      <c r="A779" s="9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</row>
    <row r="780" ht="15.75" customHeight="1">
      <c r="A780" s="9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</row>
    <row r="781" ht="15.75" customHeight="1">
      <c r="A781" s="9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</row>
    <row r="782" ht="15.75" customHeight="1">
      <c r="A782" s="9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</row>
    <row r="783" ht="15.75" customHeight="1">
      <c r="A783" s="9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</row>
    <row r="784" ht="15.75" customHeight="1">
      <c r="A784" s="9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</row>
    <row r="785" ht="15.75" customHeight="1">
      <c r="A785" s="9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</row>
    <row r="786" ht="15.75" customHeight="1">
      <c r="A786" s="9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</row>
    <row r="787" ht="15.75" customHeight="1">
      <c r="A787" s="9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</row>
    <row r="788" ht="15.75" customHeight="1">
      <c r="A788" s="9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</row>
    <row r="789" ht="15.75" customHeight="1">
      <c r="A789" s="9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</row>
    <row r="790" ht="15.75" customHeight="1">
      <c r="A790" s="9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</row>
    <row r="791" ht="15.75" customHeight="1">
      <c r="A791" s="9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</row>
    <row r="792" ht="15.75" customHeight="1">
      <c r="A792" s="9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</row>
    <row r="793" ht="15.75" customHeight="1">
      <c r="A793" s="9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</row>
    <row r="794" ht="15.75" customHeight="1">
      <c r="A794" s="9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</row>
    <row r="795" ht="15.75" customHeight="1">
      <c r="A795" s="9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</row>
    <row r="796" ht="15.75" customHeight="1">
      <c r="A796" s="9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</row>
    <row r="797" ht="15.75" customHeight="1">
      <c r="A797" s="9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</row>
    <row r="798" ht="15.75" customHeight="1">
      <c r="A798" s="9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</row>
    <row r="799" ht="15.75" customHeight="1">
      <c r="A799" s="9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</row>
    <row r="800" ht="15.75" customHeight="1">
      <c r="A800" s="9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</row>
    <row r="801" ht="15.75" customHeight="1">
      <c r="A801" s="9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</row>
    <row r="802" ht="15.75" customHeight="1">
      <c r="A802" s="9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</row>
    <row r="803" ht="15.75" customHeight="1">
      <c r="A803" s="9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</row>
    <row r="804" ht="15.75" customHeight="1">
      <c r="A804" s="9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</row>
    <row r="805" ht="15.75" customHeight="1">
      <c r="A805" s="9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</row>
    <row r="806" ht="15.75" customHeight="1">
      <c r="A806" s="9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</row>
    <row r="807" ht="15.75" customHeight="1">
      <c r="A807" s="9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</row>
    <row r="808" ht="15.75" customHeight="1">
      <c r="A808" s="9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</row>
    <row r="809" ht="15.75" customHeight="1">
      <c r="A809" s="9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</row>
    <row r="810" ht="15.75" customHeight="1">
      <c r="A810" s="9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</row>
    <row r="811" ht="15.75" customHeight="1">
      <c r="A811" s="9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</row>
    <row r="812" ht="15.75" customHeight="1">
      <c r="A812" s="9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</row>
    <row r="813" ht="15.75" customHeight="1">
      <c r="A813" s="9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</row>
    <row r="814" ht="15.75" customHeight="1">
      <c r="A814" s="9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</row>
    <row r="815" ht="15.75" customHeight="1">
      <c r="A815" s="9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</row>
    <row r="816" ht="15.75" customHeight="1">
      <c r="A816" s="9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</row>
    <row r="817" ht="15.75" customHeight="1">
      <c r="A817" s="9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</row>
    <row r="818" ht="15.75" customHeight="1">
      <c r="A818" s="9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</row>
    <row r="819" ht="15.75" customHeight="1">
      <c r="A819" s="9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</row>
    <row r="820" ht="15.75" customHeight="1">
      <c r="A820" s="9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</row>
    <row r="821" ht="15.75" customHeight="1">
      <c r="A821" s="9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</row>
    <row r="822" ht="15.75" customHeight="1">
      <c r="A822" s="9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</row>
    <row r="823" ht="15.75" customHeight="1">
      <c r="A823" s="9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</row>
    <row r="824" ht="15.75" customHeight="1">
      <c r="A824" s="9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</row>
    <row r="825" ht="15.75" customHeight="1">
      <c r="A825" s="9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</row>
    <row r="826" ht="15.75" customHeight="1">
      <c r="A826" s="9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</row>
    <row r="827" ht="15.75" customHeight="1">
      <c r="A827" s="9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</row>
    <row r="828" ht="15.75" customHeight="1">
      <c r="A828" s="9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</row>
    <row r="829" ht="15.75" customHeight="1">
      <c r="A829" s="9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</row>
    <row r="830" ht="15.75" customHeight="1">
      <c r="A830" s="9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</row>
    <row r="831" ht="15.75" customHeight="1">
      <c r="A831" s="9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</row>
    <row r="832" ht="15.75" customHeight="1">
      <c r="A832" s="9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</row>
    <row r="833" ht="15.75" customHeight="1">
      <c r="A833" s="9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</row>
    <row r="834" ht="15.75" customHeight="1">
      <c r="A834" s="9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</row>
    <row r="835" ht="15.75" customHeight="1">
      <c r="A835" s="9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</row>
    <row r="836" ht="15.75" customHeight="1">
      <c r="A836" s="9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</row>
    <row r="837" ht="15.75" customHeight="1">
      <c r="A837" s="9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</row>
    <row r="838" ht="15.75" customHeight="1">
      <c r="A838" s="9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</row>
    <row r="839" ht="15.75" customHeight="1">
      <c r="A839" s="9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</row>
    <row r="840" ht="15.75" customHeight="1">
      <c r="A840" s="9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</row>
    <row r="841" ht="15.75" customHeight="1">
      <c r="A841" s="9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</row>
    <row r="842" ht="15.75" customHeight="1">
      <c r="A842" s="9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</row>
    <row r="843" ht="15.75" customHeight="1">
      <c r="A843" s="9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</row>
    <row r="844" ht="15.75" customHeight="1">
      <c r="A844" s="9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</row>
    <row r="845" ht="15.75" customHeight="1">
      <c r="A845" s="9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</row>
    <row r="846" ht="15.75" customHeight="1">
      <c r="A846" s="9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</row>
    <row r="847" ht="15.75" customHeight="1">
      <c r="A847" s="9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</row>
    <row r="848" ht="15.75" customHeight="1">
      <c r="A848" s="9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</row>
    <row r="849" ht="15.75" customHeight="1">
      <c r="A849" s="9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</row>
    <row r="850" ht="15.75" customHeight="1">
      <c r="A850" s="9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</row>
    <row r="851" ht="15.75" customHeight="1">
      <c r="A851" s="9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</row>
    <row r="852" ht="15.75" customHeight="1">
      <c r="A852" s="9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</row>
    <row r="853" ht="15.75" customHeight="1">
      <c r="A853" s="9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</row>
    <row r="854" ht="15.75" customHeight="1">
      <c r="A854" s="9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</row>
    <row r="855" ht="15.75" customHeight="1">
      <c r="A855" s="9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</row>
    <row r="856" ht="15.75" customHeight="1">
      <c r="A856" s="9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</row>
    <row r="857" ht="15.75" customHeight="1">
      <c r="A857" s="9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</row>
    <row r="858" ht="15.75" customHeight="1">
      <c r="A858" s="9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</row>
    <row r="859" ht="15.75" customHeight="1">
      <c r="A859" s="9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</row>
    <row r="860" ht="15.75" customHeight="1">
      <c r="A860" s="9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</row>
    <row r="861" ht="15.75" customHeight="1">
      <c r="A861" s="9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</row>
    <row r="862" ht="15.75" customHeight="1">
      <c r="A862" s="9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</row>
    <row r="863" ht="15.75" customHeight="1">
      <c r="A863" s="9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</row>
    <row r="864" ht="15.75" customHeight="1">
      <c r="A864" s="9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</row>
    <row r="865" ht="15.75" customHeight="1">
      <c r="A865" s="9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</row>
    <row r="866" ht="15.75" customHeight="1">
      <c r="A866" s="9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</row>
    <row r="867" ht="15.75" customHeight="1">
      <c r="A867" s="9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</row>
    <row r="868" ht="15.75" customHeight="1">
      <c r="A868" s="9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</row>
    <row r="869" ht="15.75" customHeight="1">
      <c r="A869" s="9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</row>
    <row r="870" ht="15.75" customHeight="1">
      <c r="A870" s="9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</row>
    <row r="871" ht="15.75" customHeight="1">
      <c r="A871" s="9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</row>
    <row r="872" ht="15.75" customHeight="1">
      <c r="A872" s="9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</row>
    <row r="873" ht="15.75" customHeight="1">
      <c r="A873" s="9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</row>
    <row r="874" ht="15.75" customHeight="1">
      <c r="A874" s="9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</row>
    <row r="875" ht="15.75" customHeight="1">
      <c r="A875" s="9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</row>
    <row r="876" ht="15.75" customHeight="1">
      <c r="A876" s="9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</row>
    <row r="877" ht="15.75" customHeight="1">
      <c r="A877" s="9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</row>
    <row r="878" ht="15.75" customHeight="1">
      <c r="A878" s="9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</row>
    <row r="879" ht="15.75" customHeight="1">
      <c r="A879" s="9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</row>
    <row r="880" ht="15.75" customHeight="1">
      <c r="A880" s="9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</row>
    <row r="881" ht="15.75" customHeight="1">
      <c r="A881" s="9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</row>
    <row r="882" ht="15.75" customHeight="1">
      <c r="A882" s="9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</row>
    <row r="883" ht="15.75" customHeight="1">
      <c r="A883" s="9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</row>
    <row r="884" ht="15.75" customHeight="1">
      <c r="A884" s="9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</row>
    <row r="885" ht="15.75" customHeight="1">
      <c r="A885" s="9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</row>
    <row r="886" ht="15.75" customHeight="1">
      <c r="A886" s="9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</row>
    <row r="887" ht="15.75" customHeight="1">
      <c r="A887" s="9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</row>
    <row r="888" ht="15.75" customHeight="1">
      <c r="A888" s="9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</row>
    <row r="889" ht="15.75" customHeight="1">
      <c r="A889" s="9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</row>
    <row r="890" ht="15.75" customHeight="1">
      <c r="A890" s="9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</row>
    <row r="891" ht="15.75" customHeight="1">
      <c r="A891" s="9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</row>
    <row r="892" ht="15.75" customHeight="1">
      <c r="A892" s="9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</row>
    <row r="893" ht="15.75" customHeight="1">
      <c r="A893" s="9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</row>
    <row r="894" ht="15.75" customHeight="1">
      <c r="A894" s="9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</row>
    <row r="895" ht="15.75" customHeight="1">
      <c r="A895" s="9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</row>
    <row r="896" ht="15.75" customHeight="1">
      <c r="A896" s="9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</row>
    <row r="897" ht="15.75" customHeight="1">
      <c r="A897" s="9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</row>
    <row r="898" ht="15.75" customHeight="1">
      <c r="A898" s="9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</row>
    <row r="899" ht="15.75" customHeight="1">
      <c r="A899" s="9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</row>
    <row r="900" ht="15.75" customHeight="1">
      <c r="A900" s="9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</row>
    <row r="901" ht="15.75" customHeight="1">
      <c r="A901" s="9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</row>
    <row r="902" ht="15.75" customHeight="1">
      <c r="A902" s="9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</row>
    <row r="903" ht="15.75" customHeight="1">
      <c r="A903" s="9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</row>
    <row r="904" ht="15.75" customHeight="1">
      <c r="A904" s="9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</row>
    <row r="905" ht="15.75" customHeight="1">
      <c r="A905" s="9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</row>
    <row r="906" ht="15.75" customHeight="1">
      <c r="A906" s="9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</row>
    <row r="907" ht="15.75" customHeight="1">
      <c r="A907" s="9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</row>
    <row r="908" ht="15.75" customHeight="1">
      <c r="A908" s="9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</row>
    <row r="909" ht="15.75" customHeight="1">
      <c r="A909" s="9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</row>
    <row r="910" ht="15.75" customHeight="1">
      <c r="A910" s="9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</row>
    <row r="911" ht="15.75" customHeight="1">
      <c r="A911" s="9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</row>
    <row r="912" ht="15.75" customHeight="1">
      <c r="A912" s="9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</row>
    <row r="913" ht="15.75" customHeight="1">
      <c r="A913" s="9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</row>
    <row r="914" ht="15.75" customHeight="1">
      <c r="A914" s="9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</row>
    <row r="915" ht="15.75" customHeight="1">
      <c r="A915" s="9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</row>
    <row r="916" ht="15.75" customHeight="1">
      <c r="A916" s="9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</row>
    <row r="917" ht="15.75" customHeight="1">
      <c r="A917" s="9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</row>
    <row r="918" ht="15.75" customHeight="1">
      <c r="A918" s="9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</row>
    <row r="919" ht="15.75" customHeight="1">
      <c r="A919" s="9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</row>
    <row r="920" ht="15.75" customHeight="1">
      <c r="A920" s="9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</row>
    <row r="921" ht="15.75" customHeight="1">
      <c r="A921" s="9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</row>
    <row r="922" ht="15.75" customHeight="1">
      <c r="A922" s="9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</row>
    <row r="923" ht="15.75" customHeight="1">
      <c r="A923" s="9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</row>
    <row r="924" ht="15.75" customHeight="1">
      <c r="A924" s="9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</row>
    <row r="925" ht="15.75" customHeight="1">
      <c r="A925" s="9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</row>
    <row r="926" ht="15.75" customHeight="1">
      <c r="A926" s="9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</row>
    <row r="927" ht="15.75" customHeight="1">
      <c r="A927" s="9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</row>
    <row r="928" ht="15.75" customHeight="1">
      <c r="A928" s="9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</row>
    <row r="929" ht="15.75" customHeight="1">
      <c r="A929" s="9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</row>
    <row r="930" ht="15.75" customHeight="1">
      <c r="A930" s="9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</row>
    <row r="931" ht="15.75" customHeight="1">
      <c r="A931" s="9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</row>
    <row r="932" ht="15.75" customHeight="1">
      <c r="A932" s="9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</row>
    <row r="933" ht="15.75" customHeight="1">
      <c r="A933" s="9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</row>
    <row r="934" ht="15.75" customHeight="1">
      <c r="A934" s="9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</row>
    <row r="935" ht="15.75" customHeight="1">
      <c r="A935" s="9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</row>
    <row r="936" ht="15.75" customHeight="1">
      <c r="A936" s="9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</row>
    <row r="937" ht="15.75" customHeight="1">
      <c r="A937" s="9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</row>
    <row r="938" ht="15.75" customHeight="1">
      <c r="A938" s="9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</row>
    <row r="939" ht="15.75" customHeight="1">
      <c r="A939" s="9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</row>
    <row r="940" ht="15.75" customHeight="1">
      <c r="A940" s="9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</row>
    <row r="941" ht="15.75" customHeight="1">
      <c r="A941" s="9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</row>
    <row r="942" ht="15.75" customHeight="1">
      <c r="A942" s="9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</row>
    <row r="943" ht="15.75" customHeight="1">
      <c r="A943" s="9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</row>
    <row r="944" ht="15.75" customHeight="1">
      <c r="A944" s="9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</row>
    <row r="945" ht="15.75" customHeight="1">
      <c r="A945" s="9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</row>
    <row r="946" ht="15.75" customHeight="1">
      <c r="A946" s="9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</row>
    <row r="947" ht="15.75" customHeight="1">
      <c r="A947" s="9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</row>
    <row r="948" ht="15.75" customHeight="1">
      <c r="A948" s="9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</row>
    <row r="949" ht="15.75" customHeight="1">
      <c r="A949" s="9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</row>
    <row r="950" ht="15.75" customHeight="1">
      <c r="A950" s="9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</row>
    <row r="951" ht="15.75" customHeight="1">
      <c r="A951" s="9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</row>
    <row r="952" ht="15.75" customHeight="1">
      <c r="A952" s="9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</row>
    <row r="953" ht="15.75" customHeight="1">
      <c r="A953" s="9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</row>
    <row r="954" ht="15.75" customHeight="1">
      <c r="A954" s="9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</row>
    <row r="955" ht="15.75" customHeight="1">
      <c r="A955" s="9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</row>
    <row r="956" ht="15.75" customHeight="1">
      <c r="A956" s="9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</row>
    <row r="957" ht="15.75" customHeight="1">
      <c r="A957" s="9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</row>
    <row r="958" ht="15.75" customHeight="1">
      <c r="A958" s="9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</row>
    <row r="959" ht="15.75" customHeight="1">
      <c r="A959" s="9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</row>
    <row r="960" ht="15.75" customHeight="1">
      <c r="A960" s="9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</row>
    <row r="961" ht="15.75" customHeight="1">
      <c r="A961" s="9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</row>
    <row r="962" ht="15.75" customHeight="1">
      <c r="A962" s="9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</row>
    <row r="963" ht="15.75" customHeight="1">
      <c r="A963" s="9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</row>
    <row r="964" ht="15.75" customHeight="1">
      <c r="A964" s="9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</row>
    <row r="965" ht="15.75" customHeight="1">
      <c r="A965" s="9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</row>
    <row r="966" ht="15.75" customHeight="1">
      <c r="A966" s="9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</row>
    <row r="967" ht="15.75" customHeight="1">
      <c r="A967" s="9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</row>
    <row r="968" ht="15.75" customHeight="1">
      <c r="A968" s="9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</row>
    <row r="969" ht="15.75" customHeight="1">
      <c r="A969" s="9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</row>
    <row r="970" ht="15.75" customHeight="1">
      <c r="A970" s="9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</row>
    <row r="971" ht="15.75" customHeight="1">
      <c r="A971" s="9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</row>
    <row r="972" ht="15.75" customHeight="1">
      <c r="A972" s="9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</row>
    <row r="973" ht="15.75" customHeight="1">
      <c r="A973" s="9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</row>
    <row r="974" ht="15.75" customHeight="1">
      <c r="A974" s="9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</row>
    <row r="975" ht="15.75" customHeight="1">
      <c r="A975" s="9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</row>
    <row r="976" ht="15.75" customHeight="1">
      <c r="A976" s="9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</row>
    <row r="977" ht="15.75" customHeight="1">
      <c r="A977" s="9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</row>
    <row r="978" ht="15.75" customHeight="1">
      <c r="A978" s="9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</row>
    <row r="979" ht="15.75" customHeight="1">
      <c r="A979" s="9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</row>
    <row r="980" ht="15.75" customHeight="1">
      <c r="A980" s="9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</row>
    <row r="981" ht="15.75" customHeight="1">
      <c r="A981" s="9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</row>
    <row r="982" ht="15.75" customHeight="1">
      <c r="A982" s="9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</row>
    <row r="983" ht="15.75" customHeight="1">
      <c r="A983" s="9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</row>
    <row r="984" ht="15.75" customHeight="1">
      <c r="A984" s="9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</row>
    <row r="985" ht="15.75" customHeight="1">
      <c r="A985" s="9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</row>
    <row r="986" ht="15.75" customHeight="1">
      <c r="A986" s="9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</row>
    <row r="987" ht="15.75" customHeight="1">
      <c r="A987" s="9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</row>
    <row r="988" ht="15.75" customHeight="1">
      <c r="A988" s="9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</row>
    <row r="989" ht="15.75" customHeight="1">
      <c r="A989" s="9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</row>
    <row r="990" ht="15.75" customHeight="1">
      <c r="A990" s="9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</row>
    <row r="991" ht="15.75" customHeight="1">
      <c r="A991" s="9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</row>
    <row r="992" ht="15.75" customHeight="1">
      <c r="A992" s="9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</row>
    <row r="993" ht="15.75" customHeight="1">
      <c r="A993" s="9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</row>
    <row r="994" ht="15.75" customHeight="1">
      <c r="A994" s="9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</row>
    <row r="995" ht="15.75" customHeight="1">
      <c r="A995" s="9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</row>
    <row r="996" ht="15.75" customHeight="1">
      <c r="A996" s="9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</row>
    <row r="997" ht="15.75" customHeight="1">
      <c r="A997" s="9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</row>
    <row r="998" ht="15.75" customHeight="1">
      <c r="A998" s="9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</row>
    <row r="999" ht="15.75" customHeight="1">
      <c r="A999" s="9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</row>
    <row r="1000" ht="15.75" customHeight="1">
      <c r="A1000" s="9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</row>
    <row r="1001" ht="15.75" customHeight="1">
      <c r="A1001" s="9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</row>
  </sheetData>
  <mergeCells count="7503"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1:AI331"/>
    <mergeCell ref="AJ331:AK331"/>
    <mergeCell ref="AL331:AM331"/>
    <mergeCell ref="AN331:AO331"/>
    <mergeCell ref="AP331:AQ331"/>
    <mergeCell ref="AR331:AS331"/>
    <mergeCell ref="AT331:AU331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AJ332:AK332"/>
    <mergeCell ref="AL332:AM332"/>
    <mergeCell ref="AN332:AO332"/>
    <mergeCell ref="AP332:AQ332"/>
    <mergeCell ref="AR332:AS332"/>
    <mergeCell ref="AT332:AU332"/>
    <mergeCell ref="F334:G334"/>
    <mergeCell ref="H334:I334"/>
    <mergeCell ref="J334:K334"/>
    <mergeCell ref="L334:M334"/>
    <mergeCell ref="N334:O334"/>
    <mergeCell ref="P334:Q334"/>
    <mergeCell ref="R334:S334"/>
    <mergeCell ref="AP334:AQ334"/>
    <mergeCell ref="AR334:AS334"/>
    <mergeCell ref="AL333:AM333"/>
    <mergeCell ref="AN333:AO333"/>
    <mergeCell ref="AP333:AQ333"/>
    <mergeCell ref="AR333:AS333"/>
    <mergeCell ref="AT333:AU333"/>
    <mergeCell ref="AL334:AM334"/>
    <mergeCell ref="AN334:AO334"/>
    <mergeCell ref="AT334:AU334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F332:G332"/>
    <mergeCell ref="H332:I332"/>
    <mergeCell ref="J332:K332"/>
    <mergeCell ref="L332:M332"/>
    <mergeCell ref="N332:O332"/>
    <mergeCell ref="P332:Q332"/>
    <mergeCell ref="R332:S332"/>
    <mergeCell ref="F333:G333"/>
    <mergeCell ref="H333:I333"/>
    <mergeCell ref="J333:K333"/>
    <mergeCell ref="L333:M333"/>
    <mergeCell ref="N333:O333"/>
    <mergeCell ref="P333:Q333"/>
    <mergeCell ref="R333:S333"/>
    <mergeCell ref="AH335:AI335"/>
    <mergeCell ref="AJ335:AK335"/>
    <mergeCell ref="AL335:AM335"/>
    <mergeCell ref="AN335:AO335"/>
    <mergeCell ref="AP335:AQ335"/>
    <mergeCell ref="AR335:AS335"/>
    <mergeCell ref="AT335:AU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L337:AM337"/>
    <mergeCell ref="AN337:AO337"/>
    <mergeCell ref="AP337:AQ337"/>
    <mergeCell ref="AR337:AS337"/>
    <mergeCell ref="AT337:AU337"/>
    <mergeCell ref="AH336:AI336"/>
    <mergeCell ref="AJ336:AK336"/>
    <mergeCell ref="AL336:AM336"/>
    <mergeCell ref="AN336:AO336"/>
    <mergeCell ref="AP336:AQ336"/>
    <mergeCell ref="AR336:AS336"/>
    <mergeCell ref="AT336:AU336"/>
    <mergeCell ref="F337:G337"/>
    <mergeCell ref="H337:I337"/>
    <mergeCell ref="J337:K337"/>
    <mergeCell ref="L337:M337"/>
    <mergeCell ref="N337:O337"/>
    <mergeCell ref="P337:Q337"/>
    <mergeCell ref="R337:S337"/>
    <mergeCell ref="AH338:AI338"/>
    <mergeCell ref="AJ338:AK338"/>
    <mergeCell ref="AL338:AM338"/>
    <mergeCell ref="AN338:AO338"/>
    <mergeCell ref="AP338:AQ338"/>
    <mergeCell ref="AR338:AS338"/>
    <mergeCell ref="AT338:AU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AL339:AM339"/>
    <mergeCell ref="AN339:AO339"/>
    <mergeCell ref="AP339:AQ339"/>
    <mergeCell ref="AR339:AS339"/>
    <mergeCell ref="AT339:AU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49:AI349"/>
    <mergeCell ref="AJ349:AK349"/>
    <mergeCell ref="AL349:AM349"/>
    <mergeCell ref="AN349:AO349"/>
    <mergeCell ref="AP349:AQ349"/>
    <mergeCell ref="AR349:AS349"/>
    <mergeCell ref="AT349:AU349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L350:AM350"/>
    <mergeCell ref="AN350:AO350"/>
    <mergeCell ref="AP350:AQ350"/>
    <mergeCell ref="AR350:AS350"/>
    <mergeCell ref="AT350:AU350"/>
    <mergeCell ref="F352:G352"/>
    <mergeCell ref="H352:I352"/>
    <mergeCell ref="J352:K352"/>
    <mergeCell ref="L352:M352"/>
    <mergeCell ref="N352:O352"/>
    <mergeCell ref="P352:Q352"/>
    <mergeCell ref="R352:S352"/>
    <mergeCell ref="AP352:AQ352"/>
    <mergeCell ref="AR352:AS352"/>
    <mergeCell ref="AL351:AM351"/>
    <mergeCell ref="AN351:AO351"/>
    <mergeCell ref="AP351:AQ351"/>
    <mergeCell ref="AR351:AS351"/>
    <mergeCell ref="AT351:AU351"/>
    <mergeCell ref="AL352:AM352"/>
    <mergeCell ref="AN352:AO352"/>
    <mergeCell ref="AT352:AU352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F350:G350"/>
    <mergeCell ref="H350:I350"/>
    <mergeCell ref="J350:K350"/>
    <mergeCell ref="L350:M350"/>
    <mergeCell ref="N350:O350"/>
    <mergeCell ref="P350:Q350"/>
    <mergeCell ref="R350:S350"/>
    <mergeCell ref="F351:G351"/>
    <mergeCell ref="H351:I351"/>
    <mergeCell ref="J351:K351"/>
    <mergeCell ref="L351:M351"/>
    <mergeCell ref="N351:O351"/>
    <mergeCell ref="P351:Q351"/>
    <mergeCell ref="R351:S351"/>
    <mergeCell ref="AH353:AI353"/>
    <mergeCell ref="AJ353:AK353"/>
    <mergeCell ref="AL353:AM353"/>
    <mergeCell ref="AN353:AO353"/>
    <mergeCell ref="AP353:AQ353"/>
    <mergeCell ref="AR353:AS353"/>
    <mergeCell ref="AT353:AU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L355:AM355"/>
    <mergeCell ref="AN355:AO355"/>
    <mergeCell ref="AP355:AQ355"/>
    <mergeCell ref="AR355:AS355"/>
    <mergeCell ref="AT355:AU355"/>
    <mergeCell ref="AH354:AI354"/>
    <mergeCell ref="AJ354:AK354"/>
    <mergeCell ref="AL354:AM354"/>
    <mergeCell ref="AN354:AO354"/>
    <mergeCell ref="AP354:AQ354"/>
    <mergeCell ref="AR354:AS354"/>
    <mergeCell ref="AT354:AU354"/>
    <mergeCell ref="AH358:AI358"/>
    <mergeCell ref="AJ358:AK358"/>
    <mergeCell ref="AL358:AM358"/>
    <mergeCell ref="AN358:AO358"/>
    <mergeCell ref="AP358:AQ358"/>
    <mergeCell ref="AR358:AS358"/>
    <mergeCell ref="AT358:AU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AL359:AM359"/>
    <mergeCell ref="AN359:AO359"/>
    <mergeCell ref="AP359:AQ359"/>
    <mergeCell ref="AR359:AS359"/>
    <mergeCell ref="AT359:AU359"/>
    <mergeCell ref="T359:U359"/>
    <mergeCell ref="V359:W359"/>
    <mergeCell ref="X359:Y359"/>
    <mergeCell ref="Z359:AA359"/>
    <mergeCell ref="AB359:AC359"/>
    <mergeCell ref="AD359:AE359"/>
    <mergeCell ref="AF359:AG359"/>
    <mergeCell ref="F355:G355"/>
    <mergeCell ref="H355:I355"/>
    <mergeCell ref="J355:K355"/>
    <mergeCell ref="L355:M355"/>
    <mergeCell ref="N355:O355"/>
    <mergeCell ref="P355:Q355"/>
    <mergeCell ref="R355:S355"/>
    <mergeCell ref="AH356:AI356"/>
    <mergeCell ref="AJ356:AK356"/>
    <mergeCell ref="AL356:AM356"/>
    <mergeCell ref="AN356:AO356"/>
    <mergeCell ref="AP356:AQ356"/>
    <mergeCell ref="AR356:AS356"/>
    <mergeCell ref="AT356:AU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AL357:AM357"/>
    <mergeCell ref="AN357:AO357"/>
    <mergeCell ref="AP357:AQ357"/>
    <mergeCell ref="AR357:AS357"/>
    <mergeCell ref="AT357:AU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0:AI340"/>
    <mergeCell ref="AJ340:AK340"/>
    <mergeCell ref="AL340:AM340"/>
    <mergeCell ref="AN340:AO340"/>
    <mergeCell ref="AP340:AQ340"/>
    <mergeCell ref="AR340:AS340"/>
    <mergeCell ref="AT340:AU340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AJ341:AK341"/>
    <mergeCell ref="AL341:AM341"/>
    <mergeCell ref="AN341:AO341"/>
    <mergeCell ref="AP341:AQ341"/>
    <mergeCell ref="AR341:AS341"/>
    <mergeCell ref="AT341:AU341"/>
    <mergeCell ref="F343:G343"/>
    <mergeCell ref="H343:I343"/>
    <mergeCell ref="J343:K343"/>
    <mergeCell ref="L343:M343"/>
    <mergeCell ref="N343:O343"/>
    <mergeCell ref="P343:Q343"/>
    <mergeCell ref="R343:S343"/>
    <mergeCell ref="AP343:AQ343"/>
    <mergeCell ref="AR343:AS343"/>
    <mergeCell ref="AL342:AM342"/>
    <mergeCell ref="AN342:AO342"/>
    <mergeCell ref="AP342:AQ342"/>
    <mergeCell ref="AR342:AS342"/>
    <mergeCell ref="AT342:AU342"/>
    <mergeCell ref="AL343:AM343"/>
    <mergeCell ref="AN343:AO343"/>
    <mergeCell ref="AT343:AU343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H344:AI344"/>
    <mergeCell ref="AJ344:AK344"/>
    <mergeCell ref="AL344:AM344"/>
    <mergeCell ref="AN344:AO344"/>
    <mergeCell ref="AP344:AQ344"/>
    <mergeCell ref="AR344:AS344"/>
    <mergeCell ref="AT344:AU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L346:AM346"/>
    <mergeCell ref="AN346:AO346"/>
    <mergeCell ref="AP346:AQ346"/>
    <mergeCell ref="AR346:AS346"/>
    <mergeCell ref="AT346:AU346"/>
    <mergeCell ref="AH345:AI345"/>
    <mergeCell ref="AJ345:AK345"/>
    <mergeCell ref="AL345:AM345"/>
    <mergeCell ref="AN345:AO345"/>
    <mergeCell ref="AP345:AQ345"/>
    <mergeCell ref="AR345:AS345"/>
    <mergeCell ref="AT345:AU345"/>
    <mergeCell ref="F346:G346"/>
    <mergeCell ref="H346:I346"/>
    <mergeCell ref="J346:K346"/>
    <mergeCell ref="L346:M346"/>
    <mergeCell ref="N346:O346"/>
    <mergeCell ref="P346:Q346"/>
    <mergeCell ref="R346:S346"/>
    <mergeCell ref="AH347:AI347"/>
    <mergeCell ref="AJ347:AK347"/>
    <mergeCell ref="AL347:AM347"/>
    <mergeCell ref="AN347:AO347"/>
    <mergeCell ref="AP347:AQ347"/>
    <mergeCell ref="AR347:AS347"/>
    <mergeCell ref="AT347:AU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AL348:AM348"/>
    <mergeCell ref="AN348:AO348"/>
    <mergeCell ref="AP348:AQ348"/>
    <mergeCell ref="AR348:AS348"/>
    <mergeCell ref="AT348:AU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8:AI268"/>
    <mergeCell ref="AJ268:AK268"/>
    <mergeCell ref="AL268:AM268"/>
    <mergeCell ref="AN268:AO268"/>
    <mergeCell ref="AP268:AQ268"/>
    <mergeCell ref="AR268:AS268"/>
    <mergeCell ref="AT268:AU268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O269"/>
    <mergeCell ref="AP269:AQ269"/>
    <mergeCell ref="AR269:AS269"/>
    <mergeCell ref="AT269:AU269"/>
    <mergeCell ref="F271:G271"/>
    <mergeCell ref="H271:I271"/>
    <mergeCell ref="J271:K271"/>
    <mergeCell ref="L271:M271"/>
    <mergeCell ref="N271:O271"/>
    <mergeCell ref="P271:Q271"/>
    <mergeCell ref="R271:S271"/>
    <mergeCell ref="AP271:AQ271"/>
    <mergeCell ref="AR271:AS271"/>
    <mergeCell ref="AL270:AM270"/>
    <mergeCell ref="AN270:AO270"/>
    <mergeCell ref="AP270:AQ270"/>
    <mergeCell ref="AR270:AS270"/>
    <mergeCell ref="AT270:AU270"/>
    <mergeCell ref="AL271:AM271"/>
    <mergeCell ref="AN271:AO271"/>
    <mergeCell ref="AT271:AU271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H272:AI272"/>
    <mergeCell ref="AJ272:AK272"/>
    <mergeCell ref="AL272:AM272"/>
    <mergeCell ref="AN272:AO272"/>
    <mergeCell ref="AP272:AQ272"/>
    <mergeCell ref="AR272:AS272"/>
    <mergeCell ref="AT272:AU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L274:AM274"/>
    <mergeCell ref="AN274:AO274"/>
    <mergeCell ref="AP274:AQ274"/>
    <mergeCell ref="AR274:AS274"/>
    <mergeCell ref="AT274:AU274"/>
    <mergeCell ref="AH273:AI273"/>
    <mergeCell ref="AJ273:AK273"/>
    <mergeCell ref="AL273:AM273"/>
    <mergeCell ref="AN273:AO273"/>
    <mergeCell ref="AP273:AQ273"/>
    <mergeCell ref="AR273:AS273"/>
    <mergeCell ref="AT273:AU273"/>
    <mergeCell ref="F274:G274"/>
    <mergeCell ref="H274:I274"/>
    <mergeCell ref="J274:K274"/>
    <mergeCell ref="L274:M274"/>
    <mergeCell ref="N274:O274"/>
    <mergeCell ref="P274:Q274"/>
    <mergeCell ref="R274:S274"/>
    <mergeCell ref="AH275:AI275"/>
    <mergeCell ref="AJ275:AK275"/>
    <mergeCell ref="AL275:AM275"/>
    <mergeCell ref="AN275:AO275"/>
    <mergeCell ref="AP275:AQ275"/>
    <mergeCell ref="AR275:AS275"/>
    <mergeCell ref="AT275:AU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AL276:AM276"/>
    <mergeCell ref="AN276:AO276"/>
    <mergeCell ref="AP276:AQ276"/>
    <mergeCell ref="AR276:AS276"/>
    <mergeCell ref="AT276:AU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7:AI277"/>
    <mergeCell ref="AJ277:AK277"/>
    <mergeCell ref="AL277:AM277"/>
    <mergeCell ref="AN277:AO277"/>
    <mergeCell ref="AP277:AQ277"/>
    <mergeCell ref="AR277:AS277"/>
    <mergeCell ref="AT277:AU277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O278"/>
    <mergeCell ref="AP278:AQ278"/>
    <mergeCell ref="AR278:AS278"/>
    <mergeCell ref="AT278:AU278"/>
    <mergeCell ref="F280:G280"/>
    <mergeCell ref="H280:I280"/>
    <mergeCell ref="J280:K280"/>
    <mergeCell ref="L280:M280"/>
    <mergeCell ref="N280:O280"/>
    <mergeCell ref="P280:Q280"/>
    <mergeCell ref="R280:S280"/>
    <mergeCell ref="AP280:AQ280"/>
    <mergeCell ref="AR280:AS280"/>
    <mergeCell ref="AL279:AM279"/>
    <mergeCell ref="AN279:AO279"/>
    <mergeCell ref="AP279:AQ279"/>
    <mergeCell ref="AR279:AS279"/>
    <mergeCell ref="AT279:AU279"/>
    <mergeCell ref="AL280:AM280"/>
    <mergeCell ref="AN280:AO280"/>
    <mergeCell ref="AT280:AU280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F278:G278"/>
    <mergeCell ref="H278:I278"/>
    <mergeCell ref="J278:K278"/>
    <mergeCell ref="L278:M278"/>
    <mergeCell ref="N278:O278"/>
    <mergeCell ref="P278:Q278"/>
    <mergeCell ref="R278:S278"/>
    <mergeCell ref="F279:G279"/>
    <mergeCell ref="H279:I279"/>
    <mergeCell ref="J279:K279"/>
    <mergeCell ref="L279:M279"/>
    <mergeCell ref="N279:O279"/>
    <mergeCell ref="P279:Q279"/>
    <mergeCell ref="R279:S279"/>
    <mergeCell ref="AH281:AI281"/>
    <mergeCell ref="AJ281:AK281"/>
    <mergeCell ref="AL281:AM281"/>
    <mergeCell ref="AN281:AO281"/>
    <mergeCell ref="AP281:AQ281"/>
    <mergeCell ref="AR281:AS281"/>
    <mergeCell ref="AT281:AU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L283:AM283"/>
    <mergeCell ref="AN283:AO283"/>
    <mergeCell ref="AP283:AQ283"/>
    <mergeCell ref="AR283:AS283"/>
    <mergeCell ref="AT283:AU283"/>
    <mergeCell ref="AH282:AI282"/>
    <mergeCell ref="AJ282:AK282"/>
    <mergeCell ref="AL282:AM282"/>
    <mergeCell ref="AN282:AO282"/>
    <mergeCell ref="AP282:AQ282"/>
    <mergeCell ref="AR282:AS282"/>
    <mergeCell ref="AT282:AU282"/>
    <mergeCell ref="F283:G283"/>
    <mergeCell ref="H283:I283"/>
    <mergeCell ref="J283:K283"/>
    <mergeCell ref="L283:M283"/>
    <mergeCell ref="N283:O283"/>
    <mergeCell ref="P283:Q283"/>
    <mergeCell ref="R283:S283"/>
    <mergeCell ref="AH284:AI284"/>
    <mergeCell ref="AJ284:AK284"/>
    <mergeCell ref="AL284:AM284"/>
    <mergeCell ref="AN284:AO284"/>
    <mergeCell ref="AP284:AQ284"/>
    <mergeCell ref="AR284:AS284"/>
    <mergeCell ref="AT284:AU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AL285:AM285"/>
    <mergeCell ref="AN285:AO285"/>
    <mergeCell ref="AP285:AQ285"/>
    <mergeCell ref="AR285:AS285"/>
    <mergeCell ref="AT285:AU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6:AI286"/>
    <mergeCell ref="AJ286:AK286"/>
    <mergeCell ref="AL286:AM286"/>
    <mergeCell ref="AN286:AO286"/>
    <mergeCell ref="AP286:AQ286"/>
    <mergeCell ref="AR286:AS286"/>
    <mergeCell ref="AT286:AU286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F289:G289"/>
    <mergeCell ref="H289:I289"/>
    <mergeCell ref="J289:K289"/>
    <mergeCell ref="L289:M289"/>
    <mergeCell ref="N289:O289"/>
    <mergeCell ref="P289:Q289"/>
    <mergeCell ref="R289:S289"/>
    <mergeCell ref="AP289:AQ289"/>
    <mergeCell ref="AR289:AS289"/>
    <mergeCell ref="AL288:AM288"/>
    <mergeCell ref="AN288:AO288"/>
    <mergeCell ref="AP288:AQ288"/>
    <mergeCell ref="AR288:AS288"/>
    <mergeCell ref="AT288:AU288"/>
    <mergeCell ref="AL289:AM289"/>
    <mergeCell ref="AN289:AO289"/>
    <mergeCell ref="AT289:AU289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H290:AI290"/>
    <mergeCell ref="AJ290:AK290"/>
    <mergeCell ref="AL290:AM290"/>
    <mergeCell ref="AN290:AO290"/>
    <mergeCell ref="AP290:AQ290"/>
    <mergeCell ref="AR290:AS290"/>
    <mergeCell ref="AT290:AU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L292:AM292"/>
    <mergeCell ref="AN292:AO292"/>
    <mergeCell ref="AP292:AQ292"/>
    <mergeCell ref="AR292:AS292"/>
    <mergeCell ref="AT292:AU292"/>
    <mergeCell ref="AH291:AI291"/>
    <mergeCell ref="AJ291:AK291"/>
    <mergeCell ref="AL291:AM291"/>
    <mergeCell ref="AN291:AO291"/>
    <mergeCell ref="AP291:AQ291"/>
    <mergeCell ref="AR291:AS291"/>
    <mergeCell ref="AT291:AU291"/>
    <mergeCell ref="F292:G292"/>
    <mergeCell ref="H292:I292"/>
    <mergeCell ref="J292:K292"/>
    <mergeCell ref="L292:M292"/>
    <mergeCell ref="N292:O292"/>
    <mergeCell ref="P292:Q292"/>
    <mergeCell ref="R292:S292"/>
    <mergeCell ref="AH293:AI293"/>
    <mergeCell ref="AJ293:AK293"/>
    <mergeCell ref="AL293:AM293"/>
    <mergeCell ref="AN293:AO293"/>
    <mergeCell ref="AP293:AQ293"/>
    <mergeCell ref="AR293:AS293"/>
    <mergeCell ref="AT293:AU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AL294:AM294"/>
    <mergeCell ref="AN294:AO294"/>
    <mergeCell ref="AP294:AQ294"/>
    <mergeCell ref="AR294:AS294"/>
    <mergeCell ref="AT294:AU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5:AI295"/>
    <mergeCell ref="AJ295:AK295"/>
    <mergeCell ref="AL295:AM295"/>
    <mergeCell ref="AN295:AO295"/>
    <mergeCell ref="AP295:AQ295"/>
    <mergeCell ref="AR295:AS295"/>
    <mergeCell ref="AT295:AU295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F298:G298"/>
    <mergeCell ref="H298:I298"/>
    <mergeCell ref="J298:K298"/>
    <mergeCell ref="L298:M298"/>
    <mergeCell ref="N298:O298"/>
    <mergeCell ref="P298:Q298"/>
    <mergeCell ref="R298:S298"/>
    <mergeCell ref="AP298:AQ298"/>
    <mergeCell ref="AR298:AS298"/>
    <mergeCell ref="AL297:AM297"/>
    <mergeCell ref="AN297:AO297"/>
    <mergeCell ref="AP297:AQ297"/>
    <mergeCell ref="AR297:AS297"/>
    <mergeCell ref="AT297:AU297"/>
    <mergeCell ref="AL298:AM298"/>
    <mergeCell ref="AN298:AO298"/>
    <mergeCell ref="AT298:AU298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F296:G296"/>
    <mergeCell ref="H296:I296"/>
    <mergeCell ref="J296:K296"/>
    <mergeCell ref="L296:M296"/>
    <mergeCell ref="N296:O296"/>
    <mergeCell ref="P296:Q296"/>
    <mergeCell ref="R296:S296"/>
    <mergeCell ref="F297:G297"/>
    <mergeCell ref="H297:I297"/>
    <mergeCell ref="J297:K297"/>
    <mergeCell ref="L297:M297"/>
    <mergeCell ref="N297:O297"/>
    <mergeCell ref="P297:Q297"/>
    <mergeCell ref="R297:S297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L301:AM301"/>
    <mergeCell ref="AN301:AO301"/>
    <mergeCell ref="AP301:AQ301"/>
    <mergeCell ref="AR301:AS301"/>
    <mergeCell ref="AT301:AU301"/>
    <mergeCell ref="AH300:AI300"/>
    <mergeCell ref="AJ300:AK300"/>
    <mergeCell ref="AL300:AM300"/>
    <mergeCell ref="AN300:AO300"/>
    <mergeCell ref="AP300:AQ300"/>
    <mergeCell ref="AR300:AS300"/>
    <mergeCell ref="AT300:AU300"/>
    <mergeCell ref="F301:G301"/>
    <mergeCell ref="H301:I301"/>
    <mergeCell ref="J301:K301"/>
    <mergeCell ref="L301:M301"/>
    <mergeCell ref="N301:O301"/>
    <mergeCell ref="P301:Q301"/>
    <mergeCell ref="R301:S301"/>
    <mergeCell ref="AH302:AI302"/>
    <mergeCell ref="AJ302:AK302"/>
    <mergeCell ref="AL302:AM302"/>
    <mergeCell ref="AN302:AO302"/>
    <mergeCell ref="AP302:AQ302"/>
    <mergeCell ref="AR302:AS302"/>
    <mergeCell ref="AT302:AU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AL303:AM303"/>
    <mergeCell ref="AN303:AO303"/>
    <mergeCell ref="AP303:AQ303"/>
    <mergeCell ref="AR303:AS303"/>
    <mergeCell ref="AT303:AU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4:AI304"/>
    <mergeCell ref="AJ304:AK304"/>
    <mergeCell ref="AL304:AM304"/>
    <mergeCell ref="AN304:AO304"/>
    <mergeCell ref="AP304:AQ304"/>
    <mergeCell ref="AR304:AS304"/>
    <mergeCell ref="AT304:AU304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F307:G307"/>
    <mergeCell ref="H307:I307"/>
    <mergeCell ref="J307:K307"/>
    <mergeCell ref="L307:M307"/>
    <mergeCell ref="N307:O307"/>
    <mergeCell ref="P307:Q307"/>
    <mergeCell ref="R307:S307"/>
    <mergeCell ref="AP307:AQ307"/>
    <mergeCell ref="AR307:AS307"/>
    <mergeCell ref="AL306:AM306"/>
    <mergeCell ref="AN306:AO306"/>
    <mergeCell ref="AP306:AQ306"/>
    <mergeCell ref="AR306:AS306"/>
    <mergeCell ref="AT306:AU306"/>
    <mergeCell ref="AL307:AM307"/>
    <mergeCell ref="AN307:AO307"/>
    <mergeCell ref="AT307:AU307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L310:AM310"/>
    <mergeCell ref="AN310:AO310"/>
    <mergeCell ref="AP310:AQ310"/>
    <mergeCell ref="AR310:AS310"/>
    <mergeCell ref="AT310:AU310"/>
    <mergeCell ref="AH309:AI309"/>
    <mergeCell ref="AJ309:AK309"/>
    <mergeCell ref="AL309:AM309"/>
    <mergeCell ref="AN309:AO309"/>
    <mergeCell ref="AP309:AQ309"/>
    <mergeCell ref="AR309:AS309"/>
    <mergeCell ref="AT309:AU309"/>
    <mergeCell ref="F310:G310"/>
    <mergeCell ref="H310:I310"/>
    <mergeCell ref="J310:K310"/>
    <mergeCell ref="L310:M310"/>
    <mergeCell ref="N310:O310"/>
    <mergeCell ref="P310:Q310"/>
    <mergeCell ref="R310:S310"/>
    <mergeCell ref="AH311:AI311"/>
    <mergeCell ref="AJ311:AK311"/>
    <mergeCell ref="AL311:AM311"/>
    <mergeCell ref="AN311:AO311"/>
    <mergeCell ref="AP311:AQ311"/>
    <mergeCell ref="AR311:AS311"/>
    <mergeCell ref="AT311:AU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AL312:AM312"/>
    <mergeCell ref="AN312:AO312"/>
    <mergeCell ref="AP312:AQ312"/>
    <mergeCell ref="AR312:AS312"/>
    <mergeCell ref="AT312:AU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3:AI313"/>
    <mergeCell ref="AJ313:AK313"/>
    <mergeCell ref="AL313:AM313"/>
    <mergeCell ref="AN313:AO313"/>
    <mergeCell ref="AP313:AQ313"/>
    <mergeCell ref="AR313:AS313"/>
    <mergeCell ref="AT313:AU313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O314"/>
    <mergeCell ref="AP314:AQ314"/>
    <mergeCell ref="AR314:AS314"/>
    <mergeCell ref="AT314:AU314"/>
    <mergeCell ref="F316:G316"/>
    <mergeCell ref="H316:I316"/>
    <mergeCell ref="J316:K316"/>
    <mergeCell ref="L316:M316"/>
    <mergeCell ref="N316:O316"/>
    <mergeCell ref="P316:Q316"/>
    <mergeCell ref="R316:S316"/>
    <mergeCell ref="AP316:AQ316"/>
    <mergeCell ref="AR316:AS316"/>
    <mergeCell ref="AL315:AM315"/>
    <mergeCell ref="AN315:AO315"/>
    <mergeCell ref="AP315:AQ315"/>
    <mergeCell ref="AR315:AS315"/>
    <mergeCell ref="AT315:AU315"/>
    <mergeCell ref="AL316:AM316"/>
    <mergeCell ref="AN316:AO316"/>
    <mergeCell ref="AT316:AU316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F314:G314"/>
    <mergeCell ref="H314:I314"/>
    <mergeCell ref="J314:K314"/>
    <mergeCell ref="L314:M314"/>
    <mergeCell ref="N314:O314"/>
    <mergeCell ref="P314:Q314"/>
    <mergeCell ref="R314:S314"/>
    <mergeCell ref="F315:G315"/>
    <mergeCell ref="H315:I315"/>
    <mergeCell ref="J315:K315"/>
    <mergeCell ref="L315:M315"/>
    <mergeCell ref="N315:O315"/>
    <mergeCell ref="P315:Q315"/>
    <mergeCell ref="R315:S315"/>
    <mergeCell ref="AH317:AI317"/>
    <mergeCell ref="AJ317:AK317"/>
    <mergeCell ref="AL317:AM317"/>
    <mergeCell ref="AN317:AO317"/>
    <mergeCell ref="AP317:AQ317"/>
    <mergeCell ref="AR317:AS317"/>
    <mergeCell ref="AT317:AU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L319:AM319"/>
    <mergeCell ref="AN319:AO319"/>
    <mergeCell ref="AP319:AQ319"/>
    <mergeCell ref="AR319:AS319"/>
    <mergeCell ref="AT319:AU319"/>
    <mergeCell ref="AH318:AI318"/>
    <mergeCell ref="AJ318:AK318"/>
    <mergeCell ref="AL318:AM318"/>
    <mergeCell ref="AN318:AO318"/>
    <mergeCell ref="AP318:AQ318"/>
    <mergeCell ref="AR318:AS318"/>
    <mergeCell ref="AT318:AU318"/>
    <mergeCell ref="F319:G319"/>
    <mergeCell ref="H319:I319"/>
    <mergeCell ref="J319:K319"/>
    <mergeCell ref="L319:M319"/>
    <mergeCell ref="N319:O319"/>
    <mergeCell ref="P319:Q319"/>
    <mergeCell ref="R319:S319"/>
    <mergeCell ref="AH320:AI320"/>
    <mergeCell ref="AJ320:AK320"/>
    <mergeCell ref="AL320:AM320"/>
    <mergeCell ref="AN320:AO320"/>
    <mergeCell ref="AP320:AQ320"/>
    <mergeCell ref="AR320:AS320"/>
    <mergeCell ref="AT320:AU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AL321:AM321"/>
    <mergeCell ref="AN321:AO321"/>
    <mergeCell ref="AP321:AQ321"/>
    <mergeCell ref="AR321:AS321"/>
    <mergeCell ref="AT321:AU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2:AI322"/>
    <mergeCell ref="AJ322:AK322"/>
    <mergeCell ref="AL322:AM322"/>
    <mergeCell ref="AN322:AO322"/>
    <mergeCell ref="AP322:AQ322"/>
    <mergeCell ref="AR322:AS322"/>
    <mergeCell ref="AT322:AU322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O323"/>
    <mergeCell ref="AP323:AQ323"/>
    <mergeCell ref="AR323:AS323"/>
    <mergeCell ref="AT323:AU323"/>
    <mergeCell ref="F325:G325"/>
    <mergeCell ref="H325:I325"/>
    <mergeCell ref="J325:K325"/>
    <mergeCell ref="L325:M325"/>
    <mergeCell ref="N325:O325"/>
    <mergeCell ref="P325:Q325"/>
    <mergeCell ref="R325:S325"/>
    <mergeCell ref="AP325:AQ325"/>
    <mergeCell ref="AR325:AS325"/>
    <mergeCell ref="AL324:AM324"/>
    <mergeCell ref="AN324:AO324"/>
    <mergeCell ref="AP324:AQ324"/>
    <mergeCell ref="AR324:AS324"/>
    <mergeCell ref="AT324:AU324"/>
    <mergeCell ref="AL325:AM325"/>
    <mergeCell ref="AN325:AO325"/>
    <mergeCell ref="AT325:AU325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H326:AI326"/>
    <mergeCell ref="AJ326:AK326"/>
    <mergeCell ref="AL326:AM326"/>
    <mergeCell ref="AN326:AO326"/>
    <mergeCell ref="AP326:AQ326"/>
    <mergeCell ref="AR326:AS326"/>
    <mergeCell ref="AT326:AU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L328:AM328"/>
    <mergeCell ref="AN328:AO328"/>
    <mergeCell ref="AP328:AQ328"/>
    <mergeCell ref="AR328:AS328"/>
    <mergeCell ref="AT328:AU328"/>
    <mergeCell ref="AH327:AI327"/>
    <mergeCell ref="AJ327:AK327"/>
    <mergeCell ref="AL327:AM327"/>
    <mergeCell ref="AN327:AO327"/>
    <mergeCell ref="AP327:AQ327"/>
    <mergeCell ref="AR327:AS327"/>
    <mergeCell ref="AT327:AU327"/>
    <mergeCell ref="F328:G328"/>
    <mergeCell ref="H328:I328"/>
    <mergeCell ref="J328:K328"/>
    <mergeCell ref="L328:M328"/>
    <mergeCell ref="N328:O328"/>
    <mergeCell ref="P328:Q328"/>
    <mergeCell ref="R328:S328"/>
    <mergeCell ref="AH329:AI329"/>
    <mergeCell ref="AJ329:AK329"/>
    <mergeCell ref="AL329:AM329"/>
    <mergeCell ref="AN329:AO329"/>
    <mergeCell ref="AP329:AQ329"/>
    <mergeCell ref="AR329:AS329"/>
    <mergeCell ref="AT329:AU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AL330:AM330"/>
    <mergeCell ref="AN330:AO330"/>
    <mergeCell ref="AP330:AQ330"/>
    <mergeCell ref="AR330:AS330"/>
    <mergeCell ref="AT330:AU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J3:AK3"/>
    <mergeCell ref="AL3:AM3"/>
    <mergeCell ref="AN3:AO3"/>
    <mergeCell ref="AP3:AQ3"/>
    <mergeCell ref="AR3:AS3"/>
    <mergeCell ref="AT3:AU3"/>
    <mergeCell ref="A1:E1"/>
    <mergeCell ref="F1:Q1"/>
    <mergeCell ref="R1:AC1"/>
    <mergeCell ref="AD1:AI1"/>
    <mergeCell ref="AJ1:AU1"/>
    <mergeCell ref="AV1:AZ1"/>
    <mergeCell ref="F3:G3"/>
    <mergeCell ref="X3:Y3"/>
    <mergeCell ref="Z3:AA3"/>
    <mergeCell ref="X4:Y4"/>
    <mergeCell ref="Z4:AA4"/>
    <mergeCell ref="X5:Y5"/>
    <mergeCell ref="Z5:AA5"/>
    <mergeCell ref="AB3:AC3"/>
    <mergeCell ref="AD3:AE3"/>
    <mergeCell ref="AB4:AC4"/>
    <mergeCell ref="AD4:AE4"/>
    <mergeCell ref="AB5:AC5"/>
    <mergeCell ref="AD5:AE5"/>
    <mergeCell ref="AF5:AG5"/>
    <mergeCell ref="L3:M3"/>
    <mergeCell ref="N3:O3"/>
    <mergeCell ref="L4:M4"/>
    <mergeCell ref="N4:O4"/>
    <mergeCell ref="L5:M5"/>
    <mergeCell ref="N5:O5"/>
    <mergeCell ref="P3:Q3"/>
    <mergeCell ref="R3:S3"/>
    <mergeCell ref="P4:Q4"/>
    <mergeCell ref="R4:S4"/>
    <mergeCell ref="P5:Q5"/>
    <mergeCell ref="R5:S5"/>
    <mergeCell ref="T3:U3"/>
    <mergeCell ref="V3:W3"/>
    <mergeCell ref="T4:U4"/>
    <mergeCell ref="V4:W4"/>
    <mergeCell ref="T5:U5"/>
    <mergeCell ref="V5:W5"/>
    <mergeCell ref="AP4:AQ4"/>
    <mergeCell ref="AR4:AS4"/>
    <mergeCell ref="AT4:AU4"/>
    <mergeCell ref="AF3:AG3"/>
    <mergeCell ref="AH3:AI3"/>
    <mergeCell ref="AF4:AG4"/>
    <mergeCell ref="AH4:AI4"/>
    <mergeCell ref="AJ4:AK4"/>
    <mergeCell ref="AL4:AM4"/>
    <mergeCell ref="AN4:AO4"/>
    <mergeCell ref="AH5:AI5"/>
    <mergeCell ref="AJ5:AK5"/>
    <mergeCell ref="AL5:AM5"/>
    <mergeCell ref="AN5:AO5"/>
    <mergeCell ref="AP5:AQ5"/>
    <mergeCell ref="AR5:AS5"/>
    <mergeCell ref="AT5:AU5"/>
    <mergeCell ref="H3:I3"/>
    <mergeCell ref="J3:K3"/>
    <mergeCell ref="F4:G4"/>
    <mergeCell ref="H4:I4"/>
    <mergeCell ref="J4:K4"/>
    <mergeCell ref="H5:I5"/>
    <mergeCell ref="J5:K5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M22"/>
    <mergeCell ref="AN22:AO22"/>
    <mergeCell ref="AP22:AQ22"/>
    <mergeCell ref="AR22:AS22"/>
    <mergeCell ref="AT22:AU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H23:AI23"/>
    <mergeCell ref="AJ23:AK23"/>
    <mergeCell ref="AL23:AM23"/>
    <mergeCell ref="AN23:AO23"/>
    <mergeCell ref="AP23:AQ23"/>
    <mergeCell ref="AR23:AS23"/>
    <mergeCell ref="AT23:AU23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O25"/>
    <mergeCell ref="AP25:AQ25"/>
    <mergeCell ref="AR25:AS25"/>
    <mergeCell ref="AT25:AU25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7:G27"/>
    <mergeCell ref="H27:I27"/>
    <mergeCell ref="J27:K27"/>
    <mergeCell ref="L27:M27"/>
    <mergeCell ref="N27:O27"/>
    <mergeCell ref="P27:Q27"/>
    <mergeCell ref="R27:S27"/>
    <mergeCell ref="AL27:AM27"/>
    <mergeCell ref="AN27:AO27"/>
    <mergeCell ref="AP27:AQ27"/>
    <mergeCell ref="AR27:AS27"/>
    <mergeCell ref="AT27:AU27"/>
    <mergeCell ref="AH26:AI26"/>
    <mergeCell ref="AJ26:AK26"/>
    <mergeCell ref="AL26:AM26"/>
    <mergeCell ref="AN26:AO26"/>
    <mergeCell ref="AP26:AQ26"/>
    <mergeCell ref="AR26:AS26"/>
    <mergeCell ref="AT26:AU26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AH28:AI28"/>
    <mergeCell ref="AJ28:AK28"/>
    <mergeCell ref="AL28:AM28"/>
    <mergeCell ref="AN28:AO28"/>
    <mergeCell ref="AP28:AQ28"/>
    <mergeCell ref="AR28:AS28"/>
    <mergeCell ref="AT28:AU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H29:AI29"/>
    <mergeCell ref="AJ29:AK29"/>
    <mergeCell ref="AL29:AM29"/>
    <mergeCell ref="AN29:AO29"/>
    <mergeCell ref="AP29:AQ29"/>
    <mergeCell ref="AR29:AS29"/>
    <mergeCell ref="AT29:AU29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AL31:AM31"/>
    <mergeCell ref="AN31:AO31"/>
    <mergeCell ref="AP31:AQ31"/>
    <mergeCell ref="AR31:AS31"/>
    <mergeCell ref="AT31:AU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3:G33"/>
    <mergeCell ref="H33:I33"/>
    <mergeCell ref="J33:K33"/>
    <mergeCell ref="L33:M33"/>
    <mergeCell ref="N33:O33"/>
    <mergeCell ref="P33:Q33"/>
    <mergeCell ref="R33:S33"/>
    <mergeCell ref="AL33:AM33"/>
    <mergeCell ref="AN33:AO33"/>
    <mergeCell ref="AP33:AQ33"/>
    <mergeCell ref="AR33:AS33"/>
    <mergeCell ref="AT33:AU33"/>
    <mergeCell ref="AH32:AI32"/>
    <mergeCell ref="AJ32:AK32"/>
    <mergeCell ref="AL32:AM32"/>
    <mergeCell ref="AN32:AO32"/>
    <mergeCell ref="AP32:AQ32"/>
    <mergeCell ref="AR32:AS32"/>
    <mergeCell ref="AT32:AU32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AH34:AI34"/>
    <mergeCell ref="AJ34:AK34"/>
    <mergeCell ref="AL34:AM34"/>
    <mergeCell ref="AN34:AO34"/>
    <mergeCell ref="AP34:AQ34"/>
    <mergeCell ref="AR34:AS34"/>
    <mergeCell ref="AT34:AU34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H35:AI35"/>
    <mergeCell ref="AJ35:AK35"/>
    <mergeCell ref="AL35:AM35"/>
    <mergeCell ref="AN35:AO35"/>
    <mergeCell ref="AP35:AQ35"/>
    <mergeCell ref="AR35:AS35"/>
    <mergeCell ref="AT35:AU35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AH37:AI37"/>
    <mergeCell ref="AJ37:AK37"/>
    <mergeCell ref="AL37:AM37"/>
    <mergeCell ref="AN37:AO37"/>
    <mergeCell ref="AP37:AQ37"/>
    <mergeCell ref="AR37:AS37"/>
    <mergeCell ref="AT37:AU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AL38:AM38"/>
    <mergeCell ref="AN38:AO38"/>
    <mergeCell ref="AP38:AQ38"/>
    <mergeCell ref="AR38:AS38"/>
    <mergeCell ref="AT38:AU38"/>
    <mergeCell ref="F39:G39"/>
    <mergeCell ref="H39:I39"/>
    <mergeCell ref="J39:K39"/>
    <mergeCell ref="L39:M39"/>
    <mergeCell ref="N39:O39"/>
    <mergeCell ref="P39:Q39"/>
    <mergeCell ref="R39:S39"/>
    <mergeCell ref="AH15:AI15"/>
    <mergeCell ref="AJ15:AK15"/>
    <mergeCell ref="AL15:AM15"/>
    <mergeCell ref="AN15:AO15"/>
    <mergeCell ref="AP15:AQ15"/>
    <mergeCell ref="AR15:AS15"/>
    <mergeCell ref="AT15:AU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F18:G18"/>
    <mergeCell ref="H18:I18"/>
    <mergeCell ref="J18:K18"/>
    <mergeCell ref="L18:M18"/>
    <mergeCell ref="N18:O18"/>
    <mergeCell ref="P18:Q18"/>
    <mergeCell ref="R18:S18"/>
    <mergeCell ref="AP18:AQ18"/>
    <mergeCell ref="AR18:AS18"/>
    <mergeCell ref="AL17:AM17"/>
    <mergeCell ref="AN17:AO17"/>
    <mergeCell ref="AP17:AQ17"/>
    <mergeCell ref="AR17:AS17"/>
    <mergeCell ref="AT17:AU17"/>
    <mergeCell ref="AL18:AM18"/>
    <mergeCell ref="AN18:AO18"/>
    <mergeCell ref="AT18:AU18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19:AI19"/>
    <mergeCell ref="AJ19:AK19"/>
    <mergeCell ref="AL19:AM19"/>
    <mergeCell ref="AN19:AO19"/>
    <mergeCell ref="AP19:AQ19"/>
    <mergeCell ref="AR19:AS19"/>
    <mergeCell ref="AT19:AU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1:G21"/>
    <mergeCell ref="H21:I21"/>
    <mergeCell ref="J21:K21"/>
    <mergeCell ref="L21:M21"/>
    <mergeCell ref="N21:O21"/>
    <mergeCell ref="P21:Q21"/>
    <mergeCell ref="R21:S21"/>
    <mergeCell ref="AL21:AM21"/>
    <mergeCell ref="AN21:AO21"/>
    <mergeCell ref="AP21:AQ21"/>
    <mergeCell ref="AR21:AS21"/>
    <mergeCell ref="AT21:AU21"/>
    <mergeCell ref="AH20:AI20"/>
    <mergeCell ref="AJ20:AK20"/>
    <mergeCell ref="AL20:AM20"/>
    <mergeCell ref="AN20:AO20"/>
    <mergeCell ref="AP20:AQ20"/>
    <mergeCell ref="AR20:AS20"/>
    <mergeCell ref="AT20:AU20"/>
    <mergeCell ref="AF6:AG6"/>
    <mergeCell ref="AH6:AI6"/>
    <mergeCell ref="AJ6:AK6"/>
    <mergeCell ref="AL6:AM6"/>
    <mergeCell ref="AN6:AO6"/>
    <mergeCell ref="AP6:AQ6"/>
    <mergeCell ref="AR6:AS6"/>
    <mergeCell ref="AT6:AU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F9:G9"/>
    <mergeCell ref="H9:I9"/>
    <mergeCell ref="J9:K9"/>
    <mergeCell ref="L9:M9"/>
    <mergeCell ref="N9:O9"/>
    <mergeCell ref="P9:Q9"/>
    <mergeCell ref="R9:S9"/>
    <mergeCell ref="AP9:AQ9"/>
    <mergeCell ref="AR9:AS9"/>
    <mergeCell ref="AL8:AM8"/>
    <mergeCell ref="AN8:AO8"/>
    <mergeCell ref="AP8:AQ8"/>
    <mergeCell ref="AR8:AS8"/>
    <mergeCell ref="AT8:AU8"/>
    <mergeCell ref="AL9:AM9"/>
    <mergeCell ref="AN9:AO9"/>
    <mergeCell ref="AT9:AU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  <mergeCell ref="L8:M8"/>
    <mergeCell ref="N8:O8"/>
    <mergeCell ref="P8:Q8"/>
    <mergeCell ref="R8:S8"/>
    <mergeCell ref="AH10:AI10"/>
    <mergeCell ref="AJ10:AK10"/>
    <mergeCell ref="AL10:AM10"/>
    <mergeCell ref="AN10:AO10"/>
    <mergeCell ref="AP10:AQ10"/>
    <mergeCell ref="AR10:AS10"/>
    <mergeCell ref="AT10:AU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L12:AM12"/>
    <mergeCell ref="AN12:AO12"/>
    <mergeCell ref="AP12:AQ12"/>
    <mergeCell ref="AR12:AS12"/>
    <mergeCell ref="AT12:AU12"/>
    <mergeCell ref="AH11:AI11"/>
    <mergeCell ref="AJ11:AK11"/>
    <mergeCell ref="AL11:AM11"/>
    <mergeCell ref="AN11:AO11"/>
    <mergeCell ref="AP11:AQ11"/>
    <mergeCell ref="AR11:AS11"/>
    <mergeCell ref="AT11:AU11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H14:AI14"/>
    <mergeCell ref="AJ14:AK14"/>
    <mergeCell ref="AL14:AM14"/>
    <mergeCell ref="AN14:AO14"/>
    <mergeCell ref="AP14:AQ14"/>
    <mergeCell ref="AR14:AS14"/>
    <mergeCell ref="AT14:AU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60:AI60"/>
    <mergeCell ref="AJ60:AK60"/>
    <mergeCell ref="AL60:AM60"/>
    <mergeCell ref="AN60:AO60"/>
    <mergeCell ref="AP60:AQ60"/>
    <mergeCell ref="AR60:AS60"/>
    <mergeCell ref="AT60:AU60"/>
    <mergeCell ref="T60:U60"/>
    <mergeCell ref="V60:W60"/>
    <mergeCell ref="X60:Y60"/>
    <mergeCell ref="Z60:AA60"/>
    <mergeCell ref="AB60:AC60"/>
    <mergeCell ref="AD60:AE60"/>
    <mergeCell ref="AF60:AG60"/>
    <mergeCell ref="AH61:AI61"/>
    <mergeCell ref="AJ61:AK61"/>
    <mergeCell ref="AL61:AM61"/>
    <mergeCell ref="AN61:AO61"/>
    <mergeCell ref="AP61:AQ61"/>
    <mergeCell ref="AR61:AS61"/>
    <mergeCell ref="AT61:AU61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F64:G64"/>
    <mergeCell ref="H64:I64"/>
    <mergeCell ref="J64:K64"/>
    <mergeCell ref="L64:M64"/>
    <mergeCell ref="N64:O64"/>
    <mergeCell ref="P64:Q64"/>
    <mergeCell ref="R64:S64"/>
    <mergeCell ref="AP64:AQ64"/>
    <mergeCell ref="AR64:AS64"/>
    <mergeCell ref="AL63:AM63"/>
    <mergeCell ref="AN63:AO63"/>
    <mergeCell ref="AP63:AQ63"/>
    <mergeCell ref="AR63:AS63"/>
    <mergeCell ref="AT63:AU63"/>
    <mergeCell ref="AL64:AM64"/>
    <mergeCell ref="AN64:AO64"/>
    <mergeCell ref="AT64:AU64"/>
    <mergeCell ref="F62:G62"/>
    <mergeCell ref="H62:I62"/>
    <mergeCell ref="J62:K62"/>
    <mergeCell ref="L62:M62"/>
    <mergeCell ref="N62:O62"/>
    <mergeCell ref="P62:Q62"/>
    <mergeCell ref="R62:S62"/>
    <mergeCell ref="F63:G63"/>
    <mergeCell ref="H63:I63"/>
    <mergeCell ref="J63:K63"/>
    <mergeCell ref="L63:M63"/>
    <mergeCell ref="N63:O63"/>
    <mergeCell ref="P63:Q63"/>
    <mergeCell ref="R63:S63"/>
    <mergeCell ref="AH65:AI65"/>
    <mergeCell ref="AJ65:AK65"/>
    <mergeCell ref="AL65:AM65"/>
    <mergeCell ref="AN65:AO65"/>
    <mergeCell ref="AP65:AQ65"/>
    <mergeCell ref="AR65:AS65"/>
    <mergeCell ref="AT65:AU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L67:AM67"/>
    <mergeCell ref="AN67:AO67"/>
    <mergeCell ref="AP67:AQ67"/>
    <mergeCell ref="AR67:AS67"/>
    <mergeCell ref="AT67:AU67"/>
    <mergeCell ref="AH66:AI66"/>
    <mergeCell ref="AJ66:AK66"/>
    <mergeCell ref="AL66:AM66"/>
    <mergeCell ref="AN66:AO66"/>
    <mergeCell ref="AP66:AQ66"/>
    <mergeCell ref="AR66:AS66"/>
    <mergeCell ref="AT66:AU66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68:AI68"/>
    <mergeCell ref="AJ68:AK68"/>
    <mergeCell ref="AL68:AM68"/>
    <mergeCell ref="AN68:AO68"/>
    <mergeCell ref="AP68:AQ68"/>
    <mergeCell ref="AR68:AS68"/>
    <mergeCell ref="AT68:AU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AL69:AM69"/>
    <mergeCell ref="AN69:AO69"/>
    <mergeCell ref="AP69:AQ69"/>
    <mergeCell ref="AR69:AS69"/>
    <mergeCell ref="AT69:AU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39:AI39"/>
    <mergeCell ref="AJ39:AK39"/>
    <mergeCell ref="AL39:AM39"/>
    <mergeCell ref="AN39:AO39"/>
    <mergeCell ref="AP39:AQ39"/>
    <mergeCell ref="AR39:AS39"/>
    <mergeCell ref="AT39:AU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AL40:AM40"/>
    <mergeCell ref="AN40:AO40"/>
    <mergeCell ref="AP40:AQ40"/>
    <mergeCell ref="AR40:AS40"/>
    <mergeCell ref="AT40:AU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H41:AI41"/>
    <mergeCell ref="AJ41:AK41"/>
    <mergeCell ref="AL41:AM41"/>
    <mergeCell ref="AN41:AO41"/>
    <mergeCell ref="AP41:AQ41"/>
    <mergeCell ref="AR41:AS41"/>
    <mergeCell ref="AT41:AU41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5:G45"/>
    <mergeCell ref="H45:I45"/>
    <mergeCell ref="J45:K45"/>
    <mergeCell ref="L45:M45"/>
    <mergeCell ref="N45:O45"/>
    <mergeCell ref="P45:Q45"/>
    <mergeCell ref="R45:S45"/>
    <mergeCell ref="AL45:AM45"/>
    <mergeCell ref="AN45:AO45"/>
    <mergeCell ref="AP45:AQ45"/>
    <mergeCell ref="AR45:AS45"/>
    <mergeCell ref="AT45:AU45"/>
    <mergeCell ref="AH44:AI44"/>
    <mergeCell ref="AJ44:AK44"/>
    <mergeCell ref="AL44:AM44"/>
    <mergeCell ref="AN44:AO44"/>
    <mergeCell ref="AP44:AQ44"/>
    <mergeCell ref="AR44:AS44"/>
    <mergeCell ref="AT44:AU44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H47:AI47"/>
    <mergeCell ref="AJ47:AK47"/>
    <mergeCell ref="AL47:AM47"/>
    <mergeCell ref="AN47:AO47"/>
    <mergeCell ref="AP47:AQ47"/>
    <mergeCell ref="AR47:AS47"/>
    <mergeCell ref="AT47:AU47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AL49:AM49"/>
    <mergeCell ref="AN49:AO49"/>
    <mergeCell ref="AP49:AQ49"/>
    <mergeCell ref="AR49:AS49"/>
    <mergeCell ref="AT49:AU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1:G51"/>
    <mergeCell ref="H51:I51"/>
    <mergeCell ref="J51:K51"/>
    <mergeCell ref="L51:M51"/>
    <mergeCell ref="N51:O51"/>
    <mergeCell ref="P51:Q51"/>
    <mergeCell ref="R51:S51"/>
    <mergeCell ref="AL51:AM51"/>
    <mergeCell ref="AN51:AO51"/>
    <mergeCell ref="AP51:AQ51"/>
    <mergeCell ref="AR51:AS51"/>
    <mergeCell ref="AT51:AU51"/>
    <mergeCell ref="AH50:AI50"/>
    <mergeCell ref="AJ50:AK50"/>
    <mergeCell ref="AL50:AM50"/>
    <mergeCell ref="AN50:AO50"/>
    <mergeCell ref="AP50:AQ50"/>
    <mergeCell ref="AR50:AS50"/>
    <mergeCell ref="AT50:AU50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AH52:AI52"/>
    <mergeCell ref="AJ52:AK52"/>
    <mergeCell ref="AL52:AM52"/>
    <mergeCell ref="AN52:AO52"/>
    <mergeCell ref="AP52:AQ52"/>
    <mergeCell ref="AR52:AS52"/>
    <mergeCell ref="AT52:AU52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H53:AI53"/>
    <mergeCell ref="AJ53:AK53"/>
    <mergeCell ref="AL53:AM53"/>
    <mergeCell ref="AN53:AO53"/>
    <mergeCell ref="AP53:AQ53"/>
    <mergeCell ref="AR53:AS53"/>
    <mergeCell ref="AT53:AU53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AH55:AI55"/>
    <mergeCell ref="AJ55:AK55"/>
    <mergeCell ref="AL55:AM55"/>
    <mergeCell ref="AN55:AO55"/>
    <mergeCell ref="AP55:AQ55"/>
    <mergeCell ref="AR55:AS55"/>
    <mergeCell ref="AT55:AU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7:G57"/>
    <mergeCell ref="H57:I57"/>
    <mergeCell ref="J57:K57"/>
    <mergeCell ref="L57:M57"/>
    <mergeCell ref="N57:O57"/>
    <mergeCell ref="P57:Q57"/>
    <mergeCell ref="R57:S57"/>
    <mergeCell ref="AL57:AM57"/>
    <mergeCell ref="AN57:AO57"/>
    <mergeCell ref="AP57:AQ57"/>
    <mergeCell ref="AR57:AS57"/>
    <mergeCell ref="AT57:AU57"/>
    <mergeCell ref="AH56:AI56"/>
    <mergeCell ref="AJ56:AK56"/>
    <mergeCell ref="AL56:AM56"/>
    <mergeCell ref="AN56:AO56"/>
    <mergeCell ref="AP56:AQ56"/>
    <mergeCell ref="AR56:AS56"/>
    <mergeCell ref="AT56:AU56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0:AI70"/>
    <mergeCell ref="AJ70:AK70"/>
    <mergeCell ref="AL70:AM70"/>
    <mergeCell ref="AN70:AO70"/>
    <mergeCell ref="AP70:AQ70"/>
    <mergeCell ref="AR70:AS70"/>
    <mergeCell ref="AT70:AU70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F73:G73"/>
    <mergeCell ref="H73:I73"/>
    <mergeCell ref="J73:K73"/>
    <mergeCell ref="L73:M73"/>
    <mergeCell ref="N73:O73"/>
    <mergeCell ref="P73:Q73"/>
    <mergeCell ref="R73:S73"/>
    <mergeCell ref="AP73:AQ73"/>
    <mergeCell ref="AR73:AS73"/>
    <mergeCell ref="AL72:AM72"/>
    <mergeCell ref="AN72:AO72"/>
    <mergeCell ref="AP72:AQ72"/>
    <mergeCell ref="AR72:AS72"/>
    <mergeCell ref="AT72:AU72"/>
    <mergeCell ref="AL73:AM73"/>
    <mergeCell ref="AN73:AO73"/>
    <mergeCell ref="AT73:AU73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H74:AI74"/>
    <mergeCell ref="AJ74:AK74"/>
    <mergeCell ref="AL74:AM74"/>
    <mergeCell ref="AN74:AO74"/>
    <mergeCell ref="AP74:AQ74"/>
    <mergeCell ref="AR74:AS74"/>
    <mergeCell ref="AT74:AU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L76:AM76"/>
    <mergeCell ref="AN76:AO76"/>
    <mergeCell ref="AP76:AQ76"/>
    <mergeCell ref="AR76:AS76"/>
    <mergeCell ref="AT76:AU76"/>
    <mergeCell ref="AH75:AI75"/>
    <mergeCell ref="AJ75:AK75"/>
    <mergeCell ref="AL75:AM75"/>
    <mergeCell ref="AN75:AO75"/>
    <mergeCell ref="AP75:AQ75"/>
    <mergeCell ref="AR75:AS75"/>
    <mergeCell ref="AT75:AU75"/>
    <mergeCell ref="F76:G76"/>
    <mergeCell ref="H76:I76"/>
    <mergeCell ref="J76:K76"/>
    <mergeCell ref="L76:M76"/>
    <mergeCell ref="N76:O76"/>
    <mergeCell ref="P76:Q76"/>
    <mergeCell ref="R76:S76"/>
    <mergeCell ref="AH77:AI77"/>
    <mergeCell ref="AJ77:AK77"/>
    <mergeCell ref="AL77:AM77"/>
    <mergeCell ref="AN77:AO77"/>
    <mergeCell ref="AP77:AQ77"/>
    <mergeCell ref="AR77:AS77"/>
    <mergeCell ref="AT77:AU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AL78:AM78"/>
    <mergeCell ref="AN78:AO78"/>
    <mergeCell ref="AP78:AQ78"/>
    <mergeCell ref="AR78:AS78"/>
    <mergeCell ref="AT78:AU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79:AI79"/>
    <mergeCell ref="AJ79:AK79"/>
    <mergeCell ref="AL79:AM79"/>
    <mergeCell ref="AN79:AO79"/>
    <mergeCell ref="AP79:AQ79"/>
    <mergeCell ref="AR79:AS79"/>
    <mergeCell ref="AT79:AU79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F82:G82"/>
    <mergeCell ref="H82:I82"/>
    <mergeCell ref="J82:K82"/>
    <mergeCell ref="L82:M82"/>
    <mergeCell ref="N82:O82"/>
    <mergeCell ref="P82:Q82"/>
    <mergeCell ref="R82:S82"/>
    <mergeCell ref="AP82:AQ82"/>
    <mergeCell ref="AR82:AS82"/>
    <mergeCell ref="AL81:AM81"/>
    <mergeCell ref="AN81:AO81"/>
    <mergeCell ref="AP81:AQ81"/>
    <mergeCell ref="AR81:AS81"/>
    <mergeCell ref="AT81:AU81"/>
    <mergeCell ref="AL82:AM82"/>
    <mergeCell ref="AN82:AO82"/>
    <mergeCell ref="AT82:AU82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  <mergeCell ref="AH83:AI83"/>
    <mergeCell ref="AJ83:AK83"/>
    <mergeCell ref="AL83:AM83"/>
    <mergeCell ref="AN83:AO83"/>
    <mergeCell ref="AP83:AQ83"/>
    <mergeCell ref="AR83:AS83"/>
    <mergeCell ref="AT83:AU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L85:AM85"/>
    <mergeCell ref="AN85:AO85"/>
    <mergeCell ref="AP85:AQ85"/>
    <mergeCell ref="AR85:AS85"/>
    <mergeCell ref="AT85:AU85"/>
    <mergeCell ref="AH84:AI84"/>
    <mergeCell ref="AJ84:AK84"/>
    <mergeCell ref="AL84:AM84"/>
    <mergeCell ref="AN84:AO84"/>
    <mergeCell ref="AP84:AQ84"/>
    <mergeCell ref="AR84:AS84"/>
    <mergeCell ref="AT84:AU84"/>
    <mergeCell ref="F85:G85"/>
    <mergeCell ref="H85:I85"/>
    <mergeCell ref="J85:K85"/>
    <mergeCell ref="L85:M85"/>
    <mergeCell ref="N85:O85"/>
    <mergeCell ref="P85:Q85"/>
    <mergeCell ref="R85:S85"/>
    <mergeCell ref="AH86:AI86"/>
    <mergeCell ref="AJ86:AK86"/>
    <mergeCell ref="AL86:AM86"/>
    <mergeCell ref="AN86:AO86"/>
    <mergeCell ref="AP86:AQ86"/>
    <mergeCell ref="AR86:AS86"/>
    <mergeCell ref="AT86:AU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AL87:AM87"/>
    <mergeCell ref="AN87:AO87"/>
    <mergeCell ref="AP87:AQ87"/>
    <mergeCell ref="AR87:AS87"/>
    <mergeCell ref="AT87:AU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8:AI88"/>
    <mergeCell ref="AJ88:AK88"/>
    <mergeCell ref="AL88:AM88"/>
    <mergeCell ref="AN88:AO88"/>
    <mergeCell ref="AP88:AQ88"/>
    <mergeCell ref="AR88:AS88"/>
    <mergeCell ref="AT88:AU88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N89:AO89"/>
    <mergeCell ref="AP89:AQ89"/>
    <mergeCell ref="AR89:AS89"/>
    <mergeCell ref="AT89:AU89"/>
    <mergeCell ref="F91:G91"/>
    <mergeCell ref="H91:I91"/>
    <mergeCell ref="J91:K91"/>
    <mergeCell ref="L91:M91"/>
    <mergeCell ref="N91:O91"/>
    <mergeCell ref="P91:Q91"/>
    <mergeCell ref="R91:S91"/>
    <mergeCell ref="AP91:AQ91"/>
    <mergeCell ref="AR91:AS91"/>
    <mergeCell ref="AL90:AM90"/>
    <mergeCell ref="AN90:AO90"/>
    <mergeCell ref="AP90:AQ90"/>
    <mergeCell ref="AR90:AS90"/>
    <mergeCell ref="AT90:AU90"/>
    <mergeCell ref="AL91:AM91"/>
    <mergeCell ref="AN91:AO91"/>
    <mergeCell ref="AT91:AU91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H92:AI92"/>
    <mergeCell ref="AJ92:AK92"/>
    <mergeCell ref="AL92:AM92"/>
    <mergeCell ref="AN92:AO92"/>
    <mergeCell ref="AP92:AQ92"/>
    <mergeCell ref="AR92:AS92"/>
    <mergeCell ref="AT92:AU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L94:AM94"/>
    <mergeCell ref="AN94:AO94"/>
    <mergeCell ref="AP94:AQ94"/>
    <mergeCell ref="AR94:AS94"/>
    <mergeCell ref="AT94:AU94"/>
    <mergeCell ref="AH93:AI93"/>
    <mergeCell ref="AJ93:AK93"/>
    <mergeCell ref="AL93:AM93"/>
    <mergeCell ref="AN93:AO93"/>
    <mergeCell ref="AP93:AQ93"/>
    <mergeCell ref="AR93:AS93"/>
    <mergeCell ref="AT93:AU93"/>
    <mergeCell ref="F94:G94"/>
    <mergeCell ref="H94:I94"/>
    <mergeCell ref="J94:K94"/>
    <mergeCell ref="L94:M94"/>
    <mergeCell ref="N94:O94"/>
    <mergeCell ref="P94:Q94"/>
    <mergeCell ref="R94:S94"/>
    <mergeCell ref="AH95:AI95"/>
    <mergeCell ref="AJ95:AK95"/>
    <mergeCell ref="AL95:AM95"/>
    <mergeCell ref="AN95:AO95"/>
    <mergeCell ref="AP95:AQ95"/>
    <mergeCell ref="AR95:AS95"/>
    <mergeCell ref="AT95:AU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AL96:AM96"/>
    <mergeCell ref="AN96:AO96"/>
    <mergeCell ref="AP96:AQ96"/>
    <mergeCell ref="AR96:AS96"/>
    <mergeCell ref="AT96:AU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7:AI97"/>
    <mergeCell ref="AJ97:AK97"/>
    <mergeCell ref="AL97:AM97"/>
    <mergeCell ref="AN97:AO97"/>
    <mergeCell ref="AP97:AQ97"/>
    <mergeCell ref="AR97:AS97"/>
    <mergeCell ref="AT97:AU97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F100:G100"/>
    <mergeCell ref="H100:I100"/>
    <mergeCell ref="J100:K100"/>
    <mergeCell ref="L100:M100"/>
    <mergeCell ref="N100:O100"/>
    <mergeCell ref="P100:Q100"/>
    <mergeCell ref="R100:S100"/>
    <mergeCell ref="AP100:AQ100"/>
    <mergeCell ref="AR100:AS100"/>
    <mergeCell ref="AL99:AM99"/>
    <mergeCell ref="AN99:AO99"/>
    <mergeCell ref="AP99:AQ99"/>
    <mergeCell ref="AR99:AS99"/>
    <mergeCell ref="AT99:AU99"/>
    <mergeCell ref="AL100:AM100"/>
    <mergeCell ref="AN100:AO100"/>
    <mergeCell ref="AT100:AU100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F98:G98"/>
    <mergeCell ref="H98:I98"/>
    <mergeCell ref="J98:K98"/>
    <mergeCell ref="L98:M98"/>
    <mergeCell ref="N98:O98"/>
    <mergeCell ref="P98:Q98"/>
    <mergeCell ref="R98:S98"/>
    <mergeCell ref="F99:G99"/>
    <mergeCell ref="H99:I99"/>
    <mergeCell ref="J99:K99"/>
    <mergeCell ref="L99:M99"/>
    <mergeCell ref="N99:O99"/>
    <mergeCell ref="P99:Q99"/>
    <mergeCell ref="R99:S99"/>
    <mergeCell ref="AH101:AI101"/>
    <mergeCell ref="AJ101:AK101"/>
    <mergeCell ref="AL101:AM101"/>
    <mergeCell ref="AN101:AO101"/>
    <mergeCell ref="AP101:AQ101"/>
    <mergeCell ref="AR101:AS101"/>
    <mergeCell ref="AT101:AU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L103:AM103"/>
    <mergeCell ref="AN103:AO103"/>
    <mergeCell ref="AP103:AQ103"/>
    <mergeCell ref="AR103:AS103"/>
    <mergeCell ref="AT103:AU103"/>
    <mergeCell ref="AH102:AI102"/>
    <mergeCell ref="AJ102:AK102"/>
    <mergeCell ref="AL102:AM102"/>
    <mergeCell ref="AN102:AO102"/>
    <mergeCell ref="AP102:AQ102"/>
    <mergeCell ref="AR102:AS102"/>
    <mergeCell ref="AT102:AU102"/>
    <mergeCell ref="F103:G103"/>
    <mergeCell ref="H103:I103"/>
    <mergeCell ref="J103:K103"/>
    <mergeCell ref="L103:M103"/>
    <mergeCell ref="N103:O103"/>
    <mergeCell ref="P103:Q103"/>
    <mergeCell ref="R103:S103"/>
    <mergeCell ref="AH104:AI104"/>
    <mergeCell ref="AJ104:AK104"/>
    <mergeCell ref="AL104:AM104"/>
    <mergeCell ref="AN104:AO104"/>
    <mergeCell ref="AP104:AQ104"/>
    <mergeCell ref="AR104:AS104"/>
    <mergeCell ref="AT104:AU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AL105:AM105"/>
    <mergeCell ref="AN105:AO105"/>
    <mergeCell ref="AP105:AQ105"/>
    <mergeCell ref="AR105:AS105"/>
    <mergeCell ref="AT105:AU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6:AI106"/>
    <mergeCell ref="AJ106:AK106"/>
    <mergeCell ref="AL106:AM106"/>
    <mergeCell ref="AN106:AO106"/>
    <mergeCell ref="AP106:AQ106"/>
    <mergeCell ref="AR106:AS106"/>
    <mergeCell ref="AT106:AU106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F109:G109"/>
    <mergeCell ref="H109:I109"/>
    <mergeCell ref="J109:K109"/>
    <mergeCell ref="L109:M109"/>
    <mergeCell ref="N109:O109"/>
    <mergeCell ref="P109:Q109"/>
    <mergeCell ref="R109:S109"/>
    <mergeCell ref="AP109:AQ109"/>
    <mergeCell ref="AR109:AS109"/>
    <mergeCell ref="AL108:AM108"/>
    <mergeCell ref="AN108:AO108"/>
    <mergeCell ref="AP108:AQ108"/>
    <mergeCell ref="AR108:AS108"/>
    <mergeCell ref="AT108:AU108"/>
    <mergeCell ref="AL109:AM109"/>
    <mergeCell ref="AN109:AO109"/>
    <mergeCell ref="AT109:AU109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H110:AI110"/>
    <mergeCell ref="AJ110:AK110"/>
    <mergeCell ref="AL110:AM110"/>
    <mergeCell ref="AN110:AO110"/>
    <mergeCell ref="AP110:AQ110"/>
    <mergeCell ref="AR110:AS110"/>
    <mergeCell ref="AT110:AU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L112:AM112"/>
    <mergeCell ref="AN112:AO112"/>
    <mergeCell ref="AP112:AQ112"/>
    <mergeCell ref="AR112:AS112"/>
    <mergeCell ref="AT112:AU112"/>
    <mergeCell ref="AH111:AI111"/>
    <mergeCell ref="AJ111:AK111"/>
    <mergeCell ref="AL111:AM111"/>
    <mergeCell ref="AN111:AO111"/>
    <mergeCell ref="AP111:AQ111"/>
    <mergeCell ref="AR111:AS111"/>
    <mergeCell ref="AT111:AU111"/>
    <mergeCell ref="F112:G112"/>
    <mergeCell ref="H112:I112"/>
    <mergeCell ref="J112:K112"/>
    <mergeCell ref="L112:M112"/>
    <mergeCell ref="N112:O112"/>
    <mergeCell ref="P112:Q112"/>
    <mergeCell ref="R112:S112"/>
    <mergeCell ref="AH113:AI113"/>
    <mergeCell ref="AJ113:AK113"/>
    <mergeCell ref="AL113:AM113"/>
    <mergeCell ref="AN113:AO113"/>
    <mergeCell ref="AP113:AQ113"/>
    <mergeCell ref="AR113:AS113"/>
    <mergeCell ref="AT113:AU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AL114:AM114"/>
    <mergeCell ref="AN114:AO114"/>
    <mergeCell ref="AP114:AQ114"/>
    <mergeCell ref="AR114:AS114"/>
    <mergeCell ref="AT114:AU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5:AI115"/>
    <mergeCell ref="AJ115:AK115"/>
    <mergeCell ref="AL115:AM115"/>
    <mergeCell ref="AN115:AO115"/>
    <mergeCell ref="AP115:AQ115"/>
    <mergeCell ref="AR115:AS115"/>
    <mergeCell ref="AT115:AU115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O116"/>
    <mergeCell ref="AP116:AQ116"/>
    <mergeCell ref="AR116:AS116"/>
    <mergeCell ref="AT116:AU116"/>
    <mergeCell ref="F118:G118"/>
    <mergeCell ref="H118:I118"/>
    <mergeCell ref="J118:K118"/>
    <mergeCell ref="L118:M118"/>
    <mergeCell ref="N118:O118"/>
    <mergeCell ref="P118:Q118"/>
    <mergeCell ref="R118:S118"/>
    <mergeCell ref="AP118:AQ118"/>
    <mergeCell ref="AR118:AS118"/>
    <mergeCell ref="AL117:AM117"/>
    <mergeCell ref="AN117:AO117"/>
    <mergeCell ref="AP117:AQ117"/>
    <mergeCell ref="AR117:AS117"/>
    <mergeCell ref="AT117:AU117"/>
    <mergeCell ref="AL118:AM118"/>
    <mergeCell ref="AN118:AO118"/>
    <mergeCell ref="AT118:AU118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F116:G116"/>
    <mergeCell ref="H116:I116"/>
    <mergeCell ref="J116:K116"/>
    <mergeCell ref="L116:M116"/>
    <mergeCell ref="N116:O116"/>
    <mergeCell ref="P116:Q116"/>
    <mergeCell ref="R116:S116"/>
    <mergeCell ref="F117:G117"/>
    <mergeCell ref="H117:I117"/>
    <mergeCell ref="J117:K117"/>
    <mergeCell ref="L117:M117"/>
    <mergeCell ref="N117:O117"/>
    <mergeCell ref="P117:Q117"/>
    <mergeCell ref="R117:S117"/>
    <mergeCell ref="AH119:AI119"/>
    <mergeCell ref="AJ119:AK119"/>
    <mergeCell ref="AL119:AM119"/>
    <mergeCell ref="AN119:AO119"/>
    <mergeCell ref="AP119:AQ119"/>
    <mergeCell ref="AR119:AS119"/>
    <mergeCell ref="AT119:AU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L121:AM121"/>
    <mergeCell ref="AN121:AO121"/>
    <mergeCell ref="AP121:AQ121"/>
    <mergeCell ref="AR121:AS121"/>
    <mergeCell ref="AT121:AU121"/>
    <mergeCell ref="AH120:AI120"/>
    <mergeCell ref="AJ120:AK120"/>
    <mergeCell ref="AL120:AM120"/>
    <mergeCell ref="AN120:AO120"/>
    <mergeCell ref="AP120:AQ120"/>
    <mergeCell ref="AR120:AS120"/>
    <mergeCell ref="AT120:AU120"/>
    <mergeCell ref="F121:G121"/>
    <mergeCell ref="H121:I121"/>
    <mergeCell ref="J121:K121"/>
    <mergeCell ref="L121:M121"/>
    <mergeCell ref="N121:O121"/>
    <mergeCell ref="P121:Q121"/>
    <mergeCell ref="R121:S121"/>
    <mergeCell ref="AH122:AI122"/>
    <mergeCell ref="AJ122:AK122"/>
    <mergeCell ref="AL122:AM122"/>
    <mergeCell ref="AN122:AO122"/>
    <mergeCell ref="AP122:AQ122"/>
    <mergeCell ref="AR122:AS122"/>
    <mergeCell ref="AT122:AU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AL123:AM123"/>
    <mergeCell ref="AN123:AO123"/>
    <mergeCell ref="AP123:AQ123"/>
    <mergeCell ref="AR123:AS123"/>
    <mergeCell ref="AT123:AU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4:AI124"/>
    <mergeCell ref="AJ124:AK124"/>
    <mergeCell ref="AL124:AM124"/>
    <mergeCell ref="AN124:AO124"/>
    <mergeCell ref="AP124:AQ124"/>
    <mergeCell ref="AR124:AS124"/>
    <mergeCell ref="AT124:AU124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O125"/>
    <mergeCell ref="AP125:AQ125"/>
    <mergeCell ref="AR125:AS125"/>
    <mergeCell ref="AT125:AU125"/>
    <mergeCell ref="F127:G127"/>
    <mergeCell ref="H127:I127"/>
    <mergeCell ref="J127:K127"/>
    <mergeCell ref="L127:M127"/>
    <mergeCell ref="N127:O127"/>
    <mergeCell ref="P127:Q127"/>
    <mergeCell ref="R127:S127"/>
    <mergeCell ref="AP127:AQ127"/>
    <mergeCell ref="AR127:AS127"/>
    <mergeCell ref="AL126:AM126"/>
    <mergeCell ref="AN126:AO126"/>
    <mergeCell ref="AP126:AQ126"/>
    <mergeCell ref="AR126:AS126"/>
    <mergeCell ref="AT126:AU126"/>
    <mergeCell ref="AL127:AM127"/>
    <mergeCell ref="AN127:AO127"/>
    <mergeCell ref="AT127:AU127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H128:AI128"/>
    <mergeCell ref="AJ128:AK128"/>
    <mergeCell ref="AL128:AM128"/>
    <mergeCell ref="AN128:AO128"/>
    <mergeCell ref="AP128:AQ128"/>
    <mergeCell ref="AR128:AS128"/>
    <mergeCell ref="AT128:AU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L130:AM130"/>
    <mergeCell ref="AN130:AO130"/>
    <mergeCell ref="AP130:AQ130"/>
    <mergeCell ref="AR130:AS130"/>
    <mergeCell ref="AT130:AU130"/>
    <mergeCell ref="AH129:AI129"/>
    <mergeCell ref="AJ129:AK129"/>
    <mergeCell ref="AL129:AM129"/>
    <mergeCell ref="AN129:AO129"/>
    <mergeCell ref="AP129:AQ129"/>
    <mergeCell ref="AR129:AS129"/>
    <mergeCell ref="AT129:AU129"/>
    <mergeCell ref="F130:G130"/>
    <mergeCell ref="H130:I130"/>
    <mergeCell ref="J130:K130"/>
    <mergeCell ref="L130:M130"/>
    <mergeCell ref="N130:O130"/>
    <mergeCell ref="P130:Q130"/>
    <mergeCell ref="R130:S130"/>
    <mergeCell ref="AH131:AI131"/>
    <mergeCell ref="AJ131:AK131"/>
    <mergeCell ref="AL131:AM131"/>
    <mergeCell ref="AN131:AO131"/>
    <mergeCell ref="AP131:AQ131"/>
    <mergeCell ref="AR131:AS131"/>
    <mergeCell ref="AT131:AU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AL132:AM132"/>
    <mergeCell ref="AN132:AO132"/>
    <mergeCell ref="AP132:AQ132"/>
    <mergeCell ref="AR132:AS132"/>
    <mergeCell ref="AT132:AU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3:AI133"/>
    <mergeCell ref="AJ133:AK133"/>
    <mergeCell ref="AL133:AM133"/>
    <mergeCell ref="AN133:AO133"/>
    <mergeCell ref="AP133:AQ133"/>
    <mergeCell ref="AR133:AS133"/>
    <mergeCell ref="AT133:AU133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  <mergeCell ref="AP134:AQ134"/>
    <mergeCell ref="AR134:AS134"/>
    <mergeCell ref="AT134:AU134"/>
    <mergeCell ref="F136:G136"/>
    <mergeCell ref="H136:I136"/>
    <mergeCell ref="J136:K136"/>
    <mergeCell ref="L136:M136"/>
    <mergeCell ref="N136:O136"/>
    <mergeCell ref="P136:Q136"/>
    <mergeCell ref="R136:S136"/>
    <mergeCell ref="AP136:AQ136"/>
    <mergeCell ref="AR136:AS136"/>
    <mergeCell ref="AL135:AM135"/>
    <mergeCell ref="AN135:AO135"/>
    <mergeCell ref="AP135:AQ135"/>
    <mergeCell ref="AR135:AS135"/>
    <mergeCell ref="AT135:AU135"/>
    <mergeCell ref="AL136:AM136"/>
    <mergeCell ref="AN136:AO136"/>
    <mergeCell ref="AT136:AU136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F134:G134"/>
    <mergeCell ref="H134:I134"/>
    <mergeCell ref="J134:K134"/>
    <mergeCell ref="L134:M134"/>
    <mergeCell ref="N134:O134"/>
    <mergeCell ref="P134:Q134"/>
    <mergeCell ref="R134:S134"/>
    <mergeCell ref="F135:G135"/>
    <mergeCell ref="H135:I135"/>
    <mergeCell ref="J135:K135"/>
    <mergeCell ref="L135:M135"/>
    <mergeCell ref="N135:O135"/>
    <mergeCell ref="P135:Q135"/>
    <mergeCell ref="R135:S135"/>
    <mergeCell ref="AH137:AI137"/>
    <mergeCell ref="AJ137:AK137"/>
    <mergeCell ref="AL137:AM137"/>
    <mergeCell ref="AN137:AO137"/>
    <mergeCell ref="AP137:AQ137"/>
    <mergeCell ref="AR137:AS137"/>
    <mergeCell ref="AT137:AU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L139:AM139"/>
    <mergeCell ref="AN139:AO139"/>
    <mergeCell ref="AP139:AQ139"/>
    <mergeCell ref="AR139:AS139"/>
    <mergeCell ref="AT139:AU139"/>
    <mergeCell ref="AH138:AI138"/>
    <mergeCell ref="AJ138:AK138"/>
    <mergeCell ref="AL138:AM138"/>
    <mergeCell ref="AN138:AO138"/>
    <mergeCell ref="AP138:AQ138"/>
    <mergeCell ref="AR138:AS138"/>
    <mergeCell ref="AT138:AU138"/>
    <mergeCell ref="F139:G139"/>
    <mergeCell ref="H139:I139"/>
    <mergeCell ref="J139:K139"/>
    <mergeCell ref="L139:M139"/>
    <mergeCell ref="N139:O139"/>
    <mergeCell ref="P139:Q139"/>
    <mergeCell ref="R139:S139"/>
    <mergeCell ref="AH140:AI140"/>
    <mergeCell ref="AJ140:AK140"/>
    <mergeCell ref="AL140:AM140"/>
    <mergeCell ref="AN140:AO140"/>
    <mergeCell ref="AP140:AQ140"/>
    <mergeCell ref="AR140:AS140"/>
    <mergeCell ref="AT140:AU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AL141:AM141"/>
    <mergeCell ref="AN141:AO141"/>
    <mergeCell ref="AP141:AQ141"/>
    <mergeCell ref="AR141:AS141"/>
    <mergeCell ref="AT141:AU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2:AI142"/>
    <mergeCell ref="AJ142:AK142"/>
    <mergeCell ref="AL142:AM142"/>
    <mergeCell ref="AN142:AO142"/>
    <mergeCell ref="AP142:AQ142"/>
    <mergeCell ref="AR142:AS142"/>
    <mergeCell ref="AT142:AU142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O143"/>
    <mergeCell ref="AP143:AQ143"/>
    <mergeCell ref="AR143:AS143"/>
    <mergeCell ref="AT143:AU143"/>
    <mergeCell ref="F145:G145"/>
    <mergeCell ref="H145:I145"/>
    <mergeCell ref="J145:K145"/>
    <mergeCell ref="L145:M145"/>
    <mergeCell ref="N145:O145"/>
    <mergeCell ref="P145:Q145"/>
    <mergeCell ref="R145:S145"/>
    <mergeCell ref="AP145:AQ145"/>
    <mergeCell ref="AR145:AS145"/>
    <mergeCell ref="AL144:AM144"/>
    <mergeCell ref="AN144:AO144"/>
    <mergeCell ref="AP144:AQ144"/>
    <mergeCell ref="AR144:AS144"/>
    <mergeCell ref="AT144:AU144"/>
    <mergeCell ref="AL145:AM145"/>
    <mergeCell ref="AN145:AO145"/>
    <mergeCell ref="AT145:AU145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H146:AI146"/>
    <mergeCell ref="AJ146:AK146"/>
    <mergeCell ref="AL146:AM146"/>
    <mergeCell ref="AN146:AO146"/>
    <mergeCell ref="AP146:AQ146"/>
    <mergeCell ref="AR146:AS146"/>
    <mergeCell ref="AT146:AU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L148:AM148"/>
    <mergeCell ref="AN148:AO148"/>
    <mergeCell ref="AP148:AQ148"/>
    <mergeCell ref="AR148:AS148"/>
    <mergeCell ref="AT148:AU148"/>
    <mergeCell ref="AH147:AI147"/>
    <mergeCell ref="AJ147:AK147"/>
    <mergeCell ref="AL147:AM147"/>
    <mergeCell ref="AN147:AO147"/>
    <mergeCell ref="AP147:AQ147"/>
    <mergeCell ref="AR147:AS147"/>
    <mergeCell ref="AT147:AU147"/>
    <mergeCell ref="F148:G148"/>
    <mergeCell ref="H148:I148"/>
    <mergeCell ref="J148:K148"/>
    <mergeCell ref="L148:M148"/>
    <mergeCell ref="N148:O148"/>
    <mergeCell ref="P148:Q148"/>
    <mergeCell ref="R148:S148"/>
    <mergeCell ref="AH149:AI149"/>
    <mergeCell ref="AJ149:AK149"/>
    <mergeCell ref="AL149:AM149"/>
    <mergeCell ref="AN149:AO149"/>
    <mergeCell ref="AP149:AQ149"/>
    <mergeCell ref="AR149:AS149"/>
    <mergeCell ref="AT149:AU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AL150:AM150"/>
    <mergeCell ref="AN150:AO150"/>
    <mergeCell ref="AP150:AQ150"/>
    <mergeCell ref="AR150:AS150"/>
    <mergeCell ref="AT150:AU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1:AI151"/>
    <mergeCell ref="AJ151:AK151"/>
    <mergeCell ref="AL151:AM151"/>
    <mergeCell ref="AN151:AO151"/>
    <mergeCell ref="AP151:AQ151"/>
    <mergeCell ref="AR151:AS151"/>
    <mergeCell ref="AT151:AU151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AT152:AU152"/>
    <mergeCell ref="F154:G154"/>
    <mergeCell ref="H154:I154"/>
    <mergeCell ref="J154:K154"/>
    <mergeCell ref="L154:M154"/>
    <mergeCell ref="N154:O154"/>
    <mergeCell ref="P154:Q154"/>
    <mergeCell ref="R154:S154"/>
    <mergeCell ref="AP154:AQ154"/>
    <mergeCell ref="AR154:AS154"/>
    <mergeCell ref="AL153:AM153"/>
    <mergeCell ref="AN153:AO153"/>
    <mergeCell ref="AP153:AQ153"/>
    <mergeCell ref="AR153:AS153"/>
    <mergeCell ref="AT153:AU153"/>
    <mergeCell ref="AL154:AM154"/>
    <mergeCell ref="AN154:AO154"/>
    <mergeCell ref="AT154:AU154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F152:G152"/>
    <mergeCell ref="H152:I152"/>
    <mergeCell ref="J152:K152"/>
    <mergeCell ref="L152:M152"/>
    <mergeCell ref="N152:O152"/>
    <mergeCell ref="P152:Q152"/>
    <mergeCell ref="R152:S152"/>
    <mergeCell ref="F153:G153"/>
    <mergeCell ref="H153:I153"/>
    <mergeCell ref="J153:K153"/>
    <mergeCell ref="L153:M153"/>
    <mergeCell ref="N153:O153"/>
    <mergeCell ref="P153:Q153"/>
    <mergeCell ref="R153:S153"/>
    <mergeCell ref="AH155:AI155"/>
    <mergeCell ref="AJ155:AK155"/>
    <mergeCell ref="AL155:AM155"/>
    <mergeCell ref="AN155:AO155"/>
    <mergeCell ref="AP155:AQ155"/>
    <mergeCell ref="AR155:AS155"/>
    <mergeCell ref="AT155:AU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L157:AM157"/>
    <mergeCell ref="AN157:AO157"/>
    <mergeCell ref="AP157:AQ157"/>
    <mergeCell ref="AR157:AS157"/>
    <mergeCell ref="AT157:AU157"/>
    <mergeCell ref="AH156:AI156"/>
    <mergeCell ref="AJ156:AK156"/>
    <mergeCell ref="AL156:AM156"/>
    <mergeCell ref="AN156:AO156"/>
    <mergeCell ref="AP156:AQ156"/>
    <mergeCell ref="AR156:AS156"/>
    <mergeCell ref="AT156:AU156"/>
    <mergeCell ref="F157:G157"/>
    <mergeCell ref="H157:I157"/>
    <mergeCell ref="J157:K157"/>
    <mergeCell ref="L157:M157"/>
    <mergeCell ref="N157:O157"/>
    <mergeCell ref="P157:Q157"/>
    <mergeCell ref="R157:S157"/>
    <mergeCell ref="AH158:AI158"/>
    <mergeCell ref="AJ158:AK158"/>
    <mergeCell ref="AL158:AM158"/>
    <mergeCell ref="AN158:AO158"/>
    <mergeCell ref="AP158:AQ158"/>
    <mergeCell ref="AR158:AS158"/>
    <mergeCell ref="AT158:AU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AL159:AM159"/>
    <mergeCell ref="AN159:AO159"/>
    <mergeCell ref="AP159:AQ159"/>
    <mergeCell ref="AR159:AS159"/>
    <mergeCell ref="AT159:AU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0:AI160"/>
    <mergeCell ref="AJ160:AK160"/>
    <mergeCell ref="AL160:AM160"/>
    <mergeCell ref="AN160:AO160"/>
    <mergeCell ref="AP160:AQ160"/>
    <mergeCell ref="AR160:AS160"/>
    <mergeCell ref="AT160:AU160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F163:G163"/>
    <mergeCell ref="H163:I163"/>
    <mergeCell ref="J163:K163"/>
    <mergeCell ref="L163:M163"/>
    <mergeCell ref="N163:O163"/>
    <mergeCell ref="P163:Q163"/>
    <mergeCell ref="R163:S163"/>
    <mergeCell ref="AP163:AQ163"/>
    <mergeCell ref="AR163:AS163"/>
    <mergeCell ref="AL162:AM162"/>
    <mergeCell ref="AN162:AO162"/>
    <mergeCell ref="AP162:AQ162"/>
    <mergeCell ref="AR162:AS162"/>
    <mergeCell ref="AT162:AU162"/>
    <mergeCell ref="AL163:AM163"/>
    <mergeCell ref="AN163:AO163"/>
    <mergeCell ref="AT163:AU163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H164:AI164"/>
    <mergeCell ref="AJ164:AK164"/>
    <mergeCell ref="AL164:AM164"/>
    <mergeCell ref="AN164:AO164"/>
    <mergeCell ref="AP164:AQ164"/>
    <mergeCell ref="AR164:AS164"/>
    <mergeCell ref="AT164:AU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L166:AM166"/>
    <mergeCell ref="AN166:AO166"/>
    <mergeCell ref="AP166:AQ166"/>
    <mergeCell ref="AR166:AS166"/>
    <mergeCell ref="AT166:AU166"/>
    <mergeCell ref="AH165:AI165"/>
    <mergeCell ref="AJ165:AK165"/>
    <mergeCell ref="AL165:AM165"/>
    <mergeCell ref="AN165:AO165"/>
    <mergeCell ref="AP165:AQ165"/>
    <mergeCell ref="AR165:AS165"/>
    <mergeCell ref="AT165:AU165"/>
    <mergeCell ref="F166:G166"/>
    <mergeCell ref="H166:I166"/>
    <mergeCell ref="J166:K166"/>
    <mergeCell ref="L166:M166"/>
    <mergeCell ref="N166:O166"/>
    <mergeCell ref="P166:Q166"/>
    <mergeCell ref="R166:S166"/>
    <mergeCell ref="AH167:AI167"/>
    <mergeCell ref="AJ167:AK167"/>
    <mergeCell ref="AL167:AM167"/>
    <mergeCell ref="AN167:AO167"/>
    <mergeCell ref="AP167:AQ167"/>
    <mergeCell ref="AR167:AS167"/>
    <mergeCell ref="AT167:AU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F172:G172"/>
    <mergeCell ref="H172:I172"/>
    <mergeCell ref="J172:K172"/>
    <mergeCell ref="L172:M172"/>
    <mergeCell ref="N172:O172"/>
    <mergeCell ref="P172:Q172"/>
    <mergeCell ref="R172:S172"/>
    <mergeCell ref="AP172:AQ172"/>
    <mergeCell ref="AR172:AS172"/>
    <mergeCell ref="AL171:AM171"/>
    <mergeCell ref="AN171:AO171"/>
    <mergeCell ref="AP171:AQ171"/>
    <mergeCell ref="AR171:AS171"/>
    <mergeCell ref="AT171:AU171"/>
    <mergeCell ref="AL172:AM172"/>
    <mergeCell ref="AN172:AO172"/>
    <mergeCell ref="AT172:AU172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F170:G170"/>
    <mergeCell ref="H170:I170"/>
    <mergeCell ref="J170:K170"/>
    <mergeCell ref="L170:M170"/>
    <mergeCell ref="N170:O170"/>
    <mergeCell ref="P170:Q170"/>
    <mergeCell ref="R170:S170"/>
    <mergeCell ref="F171:G171"/>
    <mergeCell ref="H171:I171"/>
    <mergeCell ref="J171:K171"/>
    <mergeCell ref="L171:M171"/>
    <mergeCell ref="N171:O171"/>
    <mergeCell ref="P171:Q171"/>
    <mergeCell ref="R171:S171"/>
    <mergeCell ref="AH173:AI173"/>
    <mergeCell ref="AJ173:AK173"/>
    <mergeCell ref="AL173:AM173"/>
    <mergeCell ref="AN173:AO173"/>
    <mergeCell ref="AP173:AQ173"/>
    <mergeCell ref="AR173:AS173"/>
    <mergeCell ref="AT173:AU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L175:AM175"/>
    <mergeCell ref="AN175:AO175"/>
    <mergeCell ref="AP175:AQ175"/>
    <mergeCell ref="AR175:AS175"/>
    <mergeCell ref="AT175:AU175"/>
    <mergeCell ref="AH174:AI174"/>
    <mergeCell ref="AJ174:AK174"/>
    <mergeCell ref="AL174:AM174"/>
    <mergeCell ref="AN174:AO174"/>
    <mergeCell ref="AP174:AQ174"/>
    <mergeCell ref="AR174:AS174"/>
    <mergeCell ref="AT174:AU174"/>
    <mergeCell ref="F175:G175"/>
    <mergeCell ref="H175:I175"/>
    <mergeCell ref="J175:K175"/>
    <mergeCell ref="L175:M175"/>
    <mergeCell ref="N175:O175"/>
    <mergeCell ref="P175:Q175"/>
    <mergeCell ref="R175:S175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8:AI178"/>
    <mergeCell ref="AJ178:AK178"/>
    <mergeCell ref="AL178:AM178"/>
    <mergeCell ref="AN178:AO178"/>
    <mergeCell ref="AP178:AQ178"/>
    <mergeCell ref="AR178:AS178"/>
    <mergeCell ref="AT178:AU178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F181:G181"/>
    <mergeCell ref="H181:I181"/>
    <mergeCell ref="J181:K181"/>
    <mergeCell ref="L181:M181"/>
    <mergeCell ref="N181:O181"/>
    <mergeCell ref="P181:Q181"/>
    <mergeCell ref="R181:S181"/>
    <mergeCell ref="AP181:AQ181"/>
    <mergeCell ref="AR181:AS181"/>
    <mergeCell ref="AL180:AM180"/>
    <mergeCell ref="AN180:AO180"/>
    <mergeCell ref="AP180:AQ180"/>
    <mergeCell ref="AR180:AS180"/>
    <mergeCell ref="AT180:AU180"/>
    <mergeCell ref="AL181:AM181"/>
    <mergeCell ref="AN181:AO181"/>
    <mergeCell ref="AT181:AU181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H182:AI182"/>
    <mergeCell ref="AJ182:AK182"/>
    <mergeCell ref="AL182:AM182"/>
    <mergeCell ref="AN182:AO182"/>
    <mergeCell ref="AP182:AQ182"/>
    <mergeCell ref="AR182:AS182"/>
    <mergeCell ref="AT182:AU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L184:AM184"/>
    <mergeCell ref="AN184:AO184"/>
    <mergeCell ref="AP184:AQ184"/>
    <mergeCell ref="AR184:AS184"/>
    <mergeCell ref="AT184:AU184"/>
    <mergeCell ref="AH183:AI183"/>
    <mergeCell ref="AJ183:AK183"/>
    <mergeCell ref="AL183:AM183"/>
    <mergeCell ref="AN183:AO183"/>
    <mergeCell ref="AP183:AQ183"/>
    <mergeCell ref="AR183:AS183"/>
    <mergeCell ref="AT183:AU183"/>
    <mergeCell ref="F184:G184"/>
    <mergeCell ref="H184:I184"/>
    <mergeCell ref="J184:K184"/>
    <mergeCell ref="L184:M184"/>
    <mergeCell ref="N184:O184"/>
    <mergeCell ref="P184:Q184"/>
    <mergeCell ref="R184:S184"/>
    <mergeCell ref="AH185:AI185"/>
    <mergeCell ref="AJ185:AK185"/>
    <mergeCell ref="AL185:AM185"/>
    <mergeCell ref="AN185:AO185"/>
    <mergeCell ref="AP185:AQ185"/>
    <mergeCell ref="AR185:AS185"/>
    <mergeCell ref="AT185:AU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AL186:AM186"/>
    <mergeCell ref="AN186:AO186"/>
    <mergeCell ref="AP186:AQ186"/>
    <mergeCell ref="AR186:AS186"/>
    <mergeCell ref="AT186:AU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7:AI187"/>
    <mergeCell ref="AJ187:AK187"/>
    <mergeCell ref="AL187:AM187"/>
    <mergeCell ref="AN187:AO187"/>
    <mergeCell ref="AP187:AQ187"/>
    <mergeCell ref="AR187:AS187"/>
    <mergeCell ref="AT187:AU187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O188"/>
    <mergeCell ref="AP188:AQ188"/>
    <mergeCell ref="AR188:AS188"/>
    <mergeCell ref="AT188:AU188"/>
    <mergeCell ref="F190:G190"/>
    <mergeCell ref="H190:I190"/>
    <mergeCell ref="J190:K190"/>
    <mergeCell ref="L190:M190"/>
    <mergeCell ref="N190:O190"/>
    <mergeCell ref="P190:Q190"/>
    <mergeCell ref="R190:S190"/>
    <mergeCell ref="AP190:AQ190"/>
    <mergeCell ref="AR190:AS190"/>
    <mergeCell ref="AL189:AM189"/>
    <mergeCell ref="AN189:AO189"/>
    <mergeCell ref="AP189:AQ189"/>
    <mergeCell ref="AR189:AS189"/>
    <mergeCell ref="AT189:AU189"/>
    <mergeCell ref="AL190:AM190"/>
    <mergeCell ref="AN190:AO190"/>
    <mergeCell ref="AT190:AU190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F188:G188"/>
    <mergeCell ref="H188:I188"/>
    <mergeCell ref="J188:K188"/>
    <mergeCell ref="L188:M188"/>
    <mergeCell ref="N188:O188"/>
    <mergeCell ref="P188:Q188"/>
    <mergeCell ref="R188:S188"/>
    <mergeCell ref="F189:G189"/>
    <mergeCell ref="H189:I189"/>
    <mergeCell ref="J189:K189"/>
    <mergeCell ref="L189:M189"/>
    <mergeCell ref="N189:O189"/>
    <mergeCell ref="P189:Q189"/>
    <mergeCell ref="R189:S189"/>
    <mergeCell ref="AH191:AI191"/>
    <mergeCell ref="AJ191:AK191"/>
    <mergeCell ref="AL191:AM191"/>
    <mergeCell ref="AN191:AO191"/>
    <mergeCell ref="AP191:AQ191"/>
    <mergeCell ref="AR191:AS191"/>
    <mergeCell ref="AT191:AU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L193:AM193"/>
    <mergeCell ref="AN193:AO193"/>
    <mergeCell ref="AP193:AQ193"/>
    <mergeCell ref="AR193:AS193"/>
    <mergeCell ref="AT193:AU193"/>
    <mergeCell ref="AH192:AI192"/>
    <mergeCell ref="AJ192:AK192"/>
    <mergeCell ref="AL192:AM192"/>
    <mergeCell ref="AN192:AO192"/>
    <mergeCell ref="AP192:AQ192"/>
    <mergeCell ref="AR192:AS192"/>
    <mergeCell ref="AT192:AU192"/>
    <mergeCell ref="F193:G193"/>
    <mergeCell ref="H193:I193"/>
    <mergeCell ref="J193:K193"/>
    <mergeCell ref="L193:M193"/>
    <mergeCell ref="N193:O193"/>
    <mergeCell ref="P193:Q193"/>
    <mergeCell ref="R193:S193"/>
    <mergeCell ref="AH194:AI194"/>
    <mergeCell ref="AJ194:AK194"/>
    <mergeCell ref="AL194:AM194"/>
    <mergeCell ref="AN194:AO194"/>
    <mergeCell ref="AP194:AQ194"/>
    <mergeCell ref="AR194:AS194"/>
    <mergeCell ref="AT194:AU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AL195:AM195"/>
    <mergeCell ref="AN195:AO195"/>
    <mergeCell ref="AP195:AQ195"/>
    <mergeCell ref="AR195:AS195"/>
    <mergeCell ref="AT195:AU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6:AI196"/>
    <mergeCell ref="AJ196:AK196"/>
    <mergeCell ref="AL196:AM196"/>
    <mergeCell ref="AN196:AO196"/>
    <mergeCell ref="AP196:AQ196"/>
    <mergeCell ref="AR196:AS196"/>
    <mergeCell ref="AT196:AU196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O197"/>
    <mergeCell ref="AP197:AQ197"/>
    <mergeCell ref="AR197:AS197"/>
    <mergeCell ref="AT197:AU197"/>
    <mergeCell ref="F199:G199"/>
    <mergeCell ref="H199:I199"/>
    <mergeCell ref="J199:K199"/>
    <mergeCell ref="L199:M199"/>
    <mergeCell ref="N199:O199"/>
    <mergeCell ref="P199:Q199"/>
    <mergeCell ref="R199:S199"/>
    <mergeCell ref="AP199:AQ199"/>
    <mergeCell ref="AR199:AS199"/>
    <mergeCell ref="AL198:AM198"/>
    <mergeCell ref="AN198:AO198"/>
    <mergeCell ref="AP198:AQ198"/>
    <mergeCell ref="AR198:AS198"/>
    <mergeCell ref="AT198:AU198"/>
    <mergeCell ref="AL199:AM199"/>
    <mergeCell ref="AN199:AO199"/>
    <mergeCell ref="AT199:AU199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H200:AI200"/>
    <mergeCell ref="AJ200:AK200"/>
    <mergeCell ref="AL200:AM200"/>
    <mergeCell ref="AN200:AO200"/>
    <mergeCell ref="AP200:AQ200"/>
    <mergeCell ref="AR200:AS200"/>
    <mergeCell ref="AT200:AU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L202:AM202"/>
    <mergeCell ref="AN202:AO202"/>
    <mergeCell ref="AP202:AQ202"/>
    <mergeCell ref="AR202:AS202"/>
    <mergeCell ref="AT202:AU202"/>
    <mergeCell ref="AH201:AI201"/>
    <mergeCell ref="AJ201:AK201"/>
    <mergeCell ref="AL201:AM201"/>
    <mergeCell ref="AN201:AO201"/>
    <mergeCell ref="AP201:AQ201"/>
    <mergeCell ref="AR201:AS201"/>
    <mergeCell ref="AT201:AU201"/>
    <mergeCell ref="F202:G202"/>
    <mergeCell ref="H202:I202"/>
    <mergeCell ref="J202:K202"/>
    <mergeCell ref="L202:M202"/>
    <mergeCell ref="N202:O202"/>
    <mergeCell ref="P202:Q202"/>
    <mergeCell ref="R202:S202"/>
    <mergeCell ref="AH203:AI203"/>
    <mergeCell ref="AJ203:AK203"/>
    <mergeCell ref="AL203:AM203"/>
    <mergeCell ref="AN203:AO203"/>
    <mergeCell ref="AP203:AQ203"/>
    <mergeCell ref="AR203:AS203"/>
    <mergeCell ref="AT203:AU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AL204:AM204"/>
    <mergeCell ref="AN204:AO204"/>
    <mergeCell ref="AP204:AQ204"/>
    <mergeCell ref="AR204:AS204"/>
    <mergeCell ref="AT204:AU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5:AI205"/>
    <mergeCell ref="AJ205:AK205"/>
    <mergeCell ref="AL205:AM205"/>
    <mergeCell ref="AN205:AO205"/>
    <mergeCell ref="AP205:AQ205"/>
    <mergeCell ref="AR205:AS205"/>
    <mergeCell ref="AT205:AU205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6:AO206"/>
    <mergeCell ref="AP206:AQ206"/>
    <mergeCell ref="AR206:AS206"/>
    <mergeCell ref="AT206:AU206"/>
    <mergeCell ref="F208:G208"/>
    <mergeCell ref="H208:I208"/>
    <mergeCell ref="J208:K208"/>
    <mergeCell ref="L208:M208"/>
    <mergeCell ref="N208:O208"/>
    <mergeCell ref="P208:Q208"/>
    <mergeCell ref="R208:S208"/>
    <mergeCell ref="AP208:AQ208"/>
    <mergeCell ref="AR208:AS208"/>
    <mergeCell ref="AL207:AM207"/>
    <mergeCell ref="AN207:AO207"/>
    <mergeCell ref="AP207:AQ207"/>
    <mergeCell ref="AR207:AS207"/>
    <mergeCell ref="AT207:AU207"/>
    <mergeCell ref="AL208:AM208"/>
    <mergeCell ref="AN208:AO208"/>
    <mergeCell ref="AT208:AU208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F206:G206"/>
    <mergeCell ref="H206:I206"/>
    <mergeCell ref="J206:K206"/>
    <mergeCell ref="L206:M206"/>
    <mergeCell ref="N206:O206"/>
    <mergeCell ref="P206:Q206"/>
    <mergeCell ref="R206:S206"/>
    <mergeCell ref="F207:G207"/>
    <mergeCell ref="H207:I207"/>
    <mergeCell ref="J207:K207"/>
    <mergeCell ref="L207:M207"/>
    <mergeCell ref="N207:O207"/>
    <mergeCell ref="P207:Q207"/>
    <mergeCell ref="R207:S207"/>
    <mergeCell ref="AH209:AI209"/>
    <mergeCell ref="AJ209:AK209"/>
    <mergeCell ref="AL209:AM209"/>
    <mergeCell ref="AN209:AO209"/>
    <mergeCell ref="AP209:AQ209"/>
    <mergeCell ref="AR209:AS209"/>
    <mergeCell ref="AT209:AU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L211:AM211"/>
    <mergeCell ref="AN211:AO211"/>
    <mergeCell ref="AP211:AQ211"/>
    <mergeCell ref="AR211:AS211"/>
    <mergeCell ref="AT211:AU211"/>
    <mergeCell ref="AH210:AI210"/>
    <mergeCell ref="AJ210:AK210"/>
    <mergeCell ref="AL210:AM210"/>
    <mergeCell ref="AN210:AO210"/>
    <mergeCell ref="AP210:AQ210"/>
    <mergeCell ref="AR210:AS210"/>
    <mergeCell ref="AT210:AU210"/>
    <mergeCell ref="F211:G211"/>
    <mergeCell ref="H211:I211"/>
    <mergeCell ref="J211:K211"/>
    <mergeCell ref="L211:M211"/>
    <mergeCell ref="N211:O211"/>
    <mergeCell ref="P211:Q211"/>
    <mergeCell ref="R211:S211"/>
    <mergeCell ref="AH212:AI212"/>
    <mergeCell ref="AJ212:AK212"/>
    <mergeCell ref="AL212:AM212"/>
    <mergeCell ref="AN212:AO212"/>
    <mergeCell ref="AP212:AQ212"/>
    <mergeCell ref="AR212:AS212"/>
    <mergeCell ref="AT212:AU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AL213:AM213"/>
    <mergeCell ref="AN213:AO213"/>
    <mergeCell ref="AP213:AQ213"/>
    <mergeCell ref="AR213:AS213"/>
    <mergeCell ref="AT213:AU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4:AI214"/>
    <mergeCell ref="AJ214:AK214"/>
    <mergeCell ref="AL214:AM214"/>
    <mergeCell ref="AN214:AO214"/>
    <mergeCell ref="AP214:AQ214"/>
    <mergeCell ref="AR214:AS214"/>
    <mergeCell ref="AT214:AU214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O215"/>
    <mergeCell ref="AP215:AQ215"/>
    <mergeCell ref="AR215:AS215"/>
    <mergeCell ref="AT215:AU215"/>
    <mergeCell ref="F217:G217"/>
    <mergeCell ref="H217:I217"/>
    <mergeCell ref="J217:K217"/>
    <mergeCell ref="L217:M217"/>
    <mergeCell ref="N217:O217"/>
    <mergeCell ref="P217:Q217"/>
    <mergeCell ref="R217:S217"/>
    <mergeCell ref="AP217:AQ217"/>
    <mergeCell ref="AR217:AS217"/>
    <mergeCell ref="AL216:AM216"/>
    <mergeCell ref="AN216:AO216"/>
    <mergeCell ref="AP216:AQ216"/>
    <mergeCell ref="AR216:AS216"/>
    <mergeCell ref="AT216:AU216"/>
    <mergeCell ref="AL217:AM217"/>
    <mergeCell ref="AN217:AO217"/>
    <mergeCell ref="AT217:AU217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H218:AI218"/>
    <mergeCell ref="AJ218:AK218"/>
    <mergeCell ref="AL218:AM218"/>
    <mergeCell ref="AN218:AO218"/>
    <mergeCell ref="AP218:AQ218"/>
    <mergeCell ref="AR218:AS218"/>
    <mergeCell ref="AT218:AU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L220:AM220"/>
    <mergeCell ref="AN220:AO220"/>
    <mergeCell ref="AP220:AQ220"/>
    <mergeCell ref="AR220:AS220"/>
    <mergeCell ref="AT220:AU220"/>
    <mergeCell ref="AH219:AI219"/>
    <mergeCell ref="AJ219:AK219"/>
    <mergeCell ref="AL219:AM219"/>
    <mergeCell ref="AN219:AO219"/>
    <mergeCell ref="AP219:AQ219"/>
    <mergeCell ref="AR219:AS219"/>
    <mergeCell ref="AT219:AU219"/>
    <mergeCell ref="F220:G220"/>
    <mergeCell ref="H220:I220"/>
    <mergeCell ref="J220:K220"/>
    <mergeCell ref="L220:M220"/>
    <mergeCell ref="N220:O220"/>
    <mergeCell ref="P220:Q220"/>
    <mergeCell ref="R220:S220"/>
    <mergeCell ref="AH221:AI221"/>
    <mergeCell ref="AJ221:AK221"/>
    <mergeCell ref="AL221:AM221"/>
    <mergeCell ref="AN221:AO221"/>
    <mergeCell ref="AP221:AQ221"/>
    <mergeCell ref="AR221:AS221"/>
    <mergeCell ref="AT221:AU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AL222:AM222"/>
    <mergeCell ref="AN222:AO222"/>
    <mergeCell ref="AP222:AQ222"/>
    <mergeCell ref="AR222:AS222"/>
    <mergeCell ref="AT222:AU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F226:G226"/>
    <mergeCell ref="H226:I226"/>
    <mergeCell ref="J226:K226"/>
    <mergeCell ref="L226:M226"/>
    <mergeCell ref="N226:O226"/>
    <mergeCell ref="P226:Q226"/>
    <mergeCell ref="R226:S226"/>
    <mergeCell ref="AP226:AQ226"/>
    <mergeCell ref="AR226:AS226"/>
    <mergeCell ref="AL225:AM225"/>
    <mergeCell ref="AN225:AO225"/>
    <mergeCell ref="AP225:AQ225"/>
    <mergeCell ref="AR225:AS225"/>
    <mergeCell ref="AT225:AU225"/>
    <mergeCell ref="AL226:AM226"/>
    <mergeCell ref="AN226:AO226"/>
    <mergeCell ref="AT226:AU226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F224:G224"/>
    <mergeCell ref="H224:I224"/>
    <mergeCell ref="J224:K224"/>
    <mergeCell ref="L224:M224"/>
    <mergeCell ref="N224:O224"/>
    <mergeCell ref="P224:Q224"/>
    <mergeCell ref="R224:S224"/>
    <mergeCell ref="F225:G225"/>
    <mergeCell ref="H225:I225"/>
    <mergeCell ref="J225:K225"/>
    <mergeCell ref="L225:M225"/>
    <mergeCell ref="N225:O225"/>
    <mergeCell ref="P225:Q225"/>
    <mergeCell ref="R225:S225"/>
    <mergeCell ref="AH227:AI227"/>
    <mergeCell ref="AJ227:AK227"/>
    <mergeCell ref="AL227:AM227"/>
    <mergeCell ref="AN227:AO227"/>
    <mergeCell ref="AP227:AQ227"/>
    <mergeCell ref="AR227:AS227"/>
    <mergeCell ref="AT227:AU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L229:AM229"/>
    <mergeCell ref="AN229:AO229"/>
    <mergeCell ref="AP229:AQ229"/>
    <mergeCell ref="AR229:AS229"/>
    <mergeCell ref="AT229:AU229"/>
    <mergeCell ref="AH228:AI228"/>
    <mergeCell ref="AJ228:AK228"/>
    <mergeCell ref="AL228:AM228"/>
    <mergeCell ref="AN228:AO228"/>
    <mergeCell ref="AP228:AQ228"/>
    <mergeCell ref="AR228:AS228"/>
    <mergeCell ref="AT228:AU228"/>
    <mergeCell ref="F229:G229"/>
    <mergeCell ref="H229:I229"/>
    <mergeCell ref="J229:K229"/>
    <mergeCell ref="L229:M229"/>
    <mergeCell ref="N229:O229"/>
    <mergeCell ref="P229:Q229"/>
    <mergeCell ref="R229:S229"/>
    <mergeCell ref="AH230:AI230"/>
    <mergeCell ref="AJ230:AK230"/>
    <mergeCell ref="AL230:AM230"/>
    <mergeCell ref="AN230:AO230"/>
    <mergeCell ref="AP230:AQ230"/>
    <mergeCell ref="AR230:AS230"/>
    <mergeCell ref="AT230:AU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AL231:AM231"/>
    <mergeCell ref="AN231:AO231"/>
    <mergeCell ref="AP231:AQ231"/>
    <mergeCell ref="AR231:AS231"/>
    <mergeCell ref="AT231:AU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2:AI232"/>
    <mergeCell ref="AJ232:AK232"/>
    <mergeCell ref="AL232:AM232"/>
    <mergeCell ref="AN232:AO232"/>
    <mergeCell ref="AP232:AQ232"/>
    <mergeCell ref="AR232:AS232"/>
    <mergeCell ref="AT232:AU232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F235:G235"/>
    <mergeCell ref="H235:I235"/>
    <mergeCell ref="J235:K235"/>
    <mergeCell ref="L235:M235"/>
    <mergeCell ref="N235:O235"/>
    <mergeCell ref="P235:Q235"/>
    <mergeCell ref="R235:S235"/>
    <mergeCell ref="AP235:AQ235"/>
    <mergeCell ref="AR235:AS235"/>
    <mergeCell ref="AL234:AM234"/>
    <mergeCell ref="AN234:AO234"/>
    <mergeCell ref="AP234:AQ234"/>
    <mergeCell ref="AR234:AS234"/>
    <mergeCell ref="AT234:AU234"/>
    <mergeCell ref="AL235:AM235"/>
    <mergeCell ref="AN235:AO235"/>
    <mergeCell ref="AT235:AU235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H236:AI236"/>
    <mergeCell ref="AJ236:AK236"/>
    <mergeCell ref="AL236:AM236"/>
    <mergeCell ref="AN236:AO236"/>
    <mergeCell ref="AP236:AQ236"/>
    <mergeCell ref="AR236:AS236"/>
    <mergeCell ref="AT236:AU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L238:AM238"/>
    <mergeCell ref="AN238:AO238"/>
    <mergeCell ref="AP238:AQ238"/>
    <mergeCell ref="AR238:AS238"/>
    <mergeCell ref="AT238:AU238"/>
    <mergeCell ref="AH237:AI237"/>
    <mergeCell ref="AJ237:AK237"/>
    <mergeCell ref="AL237:AM237"/>
    <mergeCell ref="AN237:AO237"/>
    <mergeCell ref="AP237:AQ237"/>
    <mergeCell ref="AR237:AS237"/>
    <mergeCell ref="AT237:AU237"/>
    <mergeCell ref="F238:G238"/>
    <mergeCell ref="H238:I238"/>
    <mergeCell ref="J238:K238"/>
    <mergeCell ref="L238:M238"/>
    <mergeCell ref="N238:O238"/>
    <mergeCell ref="P238:Q238"/>
    <mergeCell ref="R238:S238"/>
    <mergeCell ref="AH239:AI239"/>
    <mergeCell ref="AJ239:AK239"/>
    <mergeCell ref="AL239:AM239"/>
    <mergeCell ref="AN239:AO239"/>
    <mergeCell ref="AP239:AQ239"/>
    <mergeCell ref="AR239:AS239"/>
    <mergeCell ref="AT239:AU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AL240:AM240"/>
    <mergeCell ref="AN240:AO240"/>
    <mergeCell ref="AP240:AQ240"/>
    <mergeCell ref="AR240:AS240"/>
    <mergeCell ref="AT240:AU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L242:AM242"/>
    <mergeCell ref="AN242:AO242"/>
    <mergeCell ref="AP242:AQ242"/>
    <mergeCell ref="AR242:AS242"/>
    <mergeCell ref="AT242:AU242"/>
    <mergeCell ref="F244:G244"/>
    <mergeCell ref="H244:I244"/>
    <mergeCell ref="J244:K244"/>
    <mergeCell ref="L244:M244"/>
    <mergeCell ref="N244:O244"/>
    <mergeCell ref="P244:Q244"/>
    <mergeCell ref="R244:S244"/>
    <mergeCell ref="AP244:AQ244"/>
    <mergeCell ref="AR244:AS244"/>
    <mergeCell ref="AL243:AM243"/>
    <mergeCell ref="AN243:AO243"/>
    <mergeCell ref="AP243:AQ243"/>
    <mergeCell ref="AR243:AS243"/>
    <mergeCell ref="AT243:AU243"/>
    <mergeCell ref="AL244:AM244"/>
    <mergeCell ref="AN244:AO244"/>
    <mergeCell ref="AT244:AU244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F242:G242"/>
    <mergeCell ref="H242:I242"/>
    <mergeCell ref="J242:K242"/>
    <mergeCell ref="L242:M242"/>
    <mergeCell ref="N242:O242"/>
    <mergeCell ref="P242:Q242"/>
    <mergeCell ref="R242:S242"/>
    <mergeCell ref="F243:G243"/>
    <mergeCell ref="H243:I243"/>
    <mergeCell ref="J243:K243"/>
    <mergeCell ref="L243:M243"/>
    <mergeCell ref="N243:O243"/>
    <mergeCell ref="P243:Q243"/>
    <mergeCell ref="R243:S243"/>
    <mergeCell ref="AH245:AI245"/>
    <mergeCell ref="AJ245:AK245"/>
    <mergeCell ref="AL245:AM245"/>
    <mergeCell ref="AN245:AO245"/>
    <mergeCell ref="AP245:AQ245"/>
    <mergeCell ref="AR245:AS245"/>
    <mergeCell ref="AT245:AU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L247:AM247"/>
    <mergeCell ref="AN247:AO247"/>
    <mergeCell ref="AP247:AQ247"/>
    <mergeCell ref="AR247:AS247"/>
    <mergeCell ref="AT247:AU247"/>
    <mergeCell ref="AH246:AI246"/>
    <mergeCell ref="AJ246:AK246"/>
    <mergeCell ref="AL246:AM246"/>
    <mergeCell ref="AN246:AO246"/>
    <mergeCell ref="AP246:AQ246"/>
    <mergeCell ref="AR246:AS246"/>
    <mergeCell ref="AT246:AU246"/>
    <mergeCell ref="F247:G247"/>
    <mergeCell ref="H247:I247"/>
    <mergeCell ref="J247:K247"/>
    <mergeCell ref="L247:M247"/>
    <mergeCell ref="N247:O247"/>
    <mergeCell ref="P247:Q247"/>
    <mergeCell ref="R247:S247"/>
    <mergeCell ref="AH248:AI248"/>
    <mergeCell ref="AJ248:AK248"/>
    <mergeCell ref="AL248:AM248"/>
    <mergeCell ref="AN248:AO248"/>
    <mergeCell ref="AP248:AQ248"/>
    <mergeCell ref="AR248:AS248"/>
    <mergeCell ref="AT248:AU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AL249:AM249"/>
    <mergeCell ref="AN249:AO249"/>
    <mergeCell ref="AP249:AQ249"/>
    <mergeCell ref="AR249:AS249"/>
    <mergeCell ref="AT249:AU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0:AI250"/>
    <mergeCell ref="AJ250:AK250"/>
    <mergeCell ref="AL250:AM250"/>
    <mergeCell ref="AN250:AO250"/>
    <mergeCell ref="AP250:AQ250"/>
    <mergeCell ref="AR250:AS250"/>
    <mergeCell ref="AT250:AU250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F253:G253"/>
    <mergeCell ref="H253:I253"/>
    <mergeCell ref="J253:K253"/>
    <mergeCell ref="L253:M253"/>
    <mergeCell ref="N253:O253"/>
    <mergeCell ref="P253:Q253"/>
    <mergeCell ref="R253:S253"/>
    <mergeCell ref="AP253:AQ253"/>
    <mergeCell ref="AR253:AS253"/>
    <mergeCell ref="AL252:AM252"/>
    <mergeCell ref="AN252:AO252"/>
    <mergeCell ref="AP252:AQ252"/>
    <mergeCell ref="AR252:AS252"/>
    <mergeCell ref="AT252:AU252"/>
    <mergeCell ref="AL253:AM253"/>
    <mergeCell ref="AN253:AO253"/>
    <mergeCell ref="AT253:AU253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H254:AI254"/>
    <mergeCell ref="AJ254:AK254"/>
    <mergeCell ref="AL254:AM254"/>
    <mergeCell ref="AN254:AO254"/>
    <mergeCell ref="AP254:AQ254"/>
    <mergeCell ref="AR254:AS254"/>
    <mergeCell ref="AT254:AU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L256:AM256"/>
    <mergeCell ref="AN256:AO256"/>
    <mergeCell ref="AP256:AQ256"/>
    <mergeCell ref="AR256:AS256"/>
    <mergeCell ref="AT256:AU256"/>
    <mergeCell ref="AH255:AI255"/>
    <mergeCell ref="AJ255:AK255"/>
    <mergeCell ref="AL255:AM255"/>
    <mergeCell ref="AN255:AO255"/>
    <mergeCell ref="AP255:AQ255"/>
    <mergeCell ref="AR255:AS255"/>
    <mergeCell ref="AT255:AU255"/>
    <mergeCell ref="F256:G256"/>
    <mergeCell ref="H256:I256"/>
    <mergeCell ref="J256:K256"/>
    <mergeCell ref="L256:M256"/>
    <mergeCell ref="N256:O256"/>
    <mergeCell ref="P256:Q256"/>
    <mergeCell ref="R256:S256"/>
    <mergeCell ref="AH257:AI257"/>
    <mergeCell ref="AJ257:AK257"/>
    <mergeCell ref="AL257:AM257"/>
    <mergeCell ref="AN257:AO257"/>
    <mergeCell ref="AP257:AQ257"/>
    <mergeCell ref="AR257:AS257"/>
    <mergeCell ref="AT257:AU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AL258:AM258"/>
    <mergeCell ref="AN258:AO258"/>
    <mergeCell ref="AP258:AQ258"/>
    <mergeCell ref="AR258:AS258"/>
    <mergeCell ref="AT258:AU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59:AI259"/>
    <mergeCell ref="AJ259:AK259"/>
    <mergeCell ref="AL259:AM259"/>
    <mergeCell ref="AN259:AO259"/>
    <mergeCell ref="AP259:AQ259"/>
    <mergeCell ref="AR259:AS259"/>
    <mergeCell ref="AT259:AU259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O260"/>
    <mergeCell ref="AP260:AQ260"/>
    <mergeCell ref="AR260:AS260"/>
    <mergeCell ref="AT260:AU260"/>
    <mergeCell ref="F262:G262"/>
    <mergeCell ref="H262:I262"/>
    <mergeCell ref="J262:K262"/>
    <mergeCell ref="L262:M262"/>
    <mergeCell ref="N262:O262"/>
    <mergeCell ref="P262:Q262"/>
    <mergeCell ref="R262:S262"/>
    <mergeCell ref="AP262:AQ262"/>
    <mergeCell ref="AR262:AS262"/>
    <mergeCell ref="AL261:AM261"/>
    <mergeCell ref="AN261:AO261"/>
    <mergeCell ref="AP261:AQ261"/>
    <mergeCell ref="AR261:AS261"/>
    <mergeCell ref="AT261:AU261"/>
    <mergeCell ref="AL262:AM262"/>
    <mergeCell ref="AN262:AO262"/>
    <mergeCell ref="AT262:AU262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F260:G260"/>
    <mergeCell ref="H260:I260"/>
    <mergeCell ref="J260:K260"/>
    <mergeCell ref="L260:M260"/>
    <mergeCell ref="N260:O260"/>
    <mergeCell ref="P260:Q260"/>
    <mergeCell ref="R260:S260"/>
    <mergeCell ref="F261:G261"/>
    <mergeCell ref="H261:I261"/>
    <mergeCell ref="J261:K261"/>
    <mergeCell ref="L261:M261"/>
    <mergeCell ref="N261:O261"/>
    <mergeCell ref="P261:Q261"/>
    <mergeCell ref="R261:S261"/>
    <mergeCell ref="AH263:AI263"/>
    <mergeCell ref="AJ263:AK263"/>
    <mergeCell ref="AL263:AM263"/>
    <mergeCell ref="AN263:AO263"/>
    <mergeCell ref="AP263:AQ263"/>
    <mergeCell ref="AR263:AS263"/>
    <mergeCell ref="AT263:AU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L265:AM265"/>
    <mergeCell ref="AN265:AO265"/>
    <mergeCell ref="AP265:AQ265"/>
    <mergeCell ref="AR265:AS265"/>
    <mergeCell ref="AT265:AU265"/>
    <mergeCell ref="AH264:AI264"/>
    <mergeCell ref="AJ264:AK264"/>
    <mergeCell ref="AL264:AM264"/>
    <mergeCell ref="AN264:AO264"/>
    <mergeCell ref="AP264:AQ264"/>
    <mergeCell ref="AR264:AS264"/>
    <mergeCell ref="AT264:AU264"/>
    <mergeCell ref="F265:G265"/>
    <mergeCell ref="H265:I265"/>
    <mergeCell ref="J265:K265"/>
    <mergeCell ref="L265:M265"/>
    <mergeCell ref="N265:O265"/>
    <mergeCell ref="P265:Q265"/>
    <mergeCell ref="R265:S265"/>
    <mergeCell ref="AH266:AI266"/>
    <mergeCell ref="AJ266:AK266"/>
    <mergeCell ref="AL266:AM266"/>
    <mergeCell ref="AN266:AO266"/>
    <mergeCell ref="AP266:AQ266"/>
    <mergeCell ref="AR266:AS266"/>
    <mergeCell ref="AT266:AU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AL267:AM267"/>
    <mergeCell ref="AN267:AO267"/>
    <mergeCell ref="AP267:AQ267"/>
    <mergeCell ref="AR267:AS267"/>
    <mergeCell ref="AT267:AU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47" width="3.67"/>
    <col customWidth="1" min="48" max="48" width="10.78"/>
    <col customWidth="1" min="49" max="50" width="8.0"/>
    <col customWidth="1" min="51" max="51" width="11.44"/>
    <col customWidth="1" min="52" max="5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6" t="s">
        <v>4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  <c r="AV1" s="7" t="s">
        <v>5</v>
      </c>
      <c r="AW1" s="8"/>
      <c r="AX1" s="8"/>
      <c r="AY1" s="8"/>
      <c r="AZ1" s="9"/>
    </row>
    <row r="2" ht="135.0" customHeight="1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 t="s">
        <v>11</v>
      </c>
      <c r="G2" s="13">
        <v>20.29</v>
      </c>
      <c r="H2" s="12" t="s">
        <v>12</v>
      </c>
      <c r="I2" s="13">
        <v>20.29</v>
      </c>
      <c r="J2" s="12" t="s">
        <v>13</v>
      </c>
      <c r="K2" s="13">
        <v>20.29</v>
      </c>
      <c r="L2" s="14" t="s">
        <v>14</v>
      </c>
      <c r="M2" s="13">
        <v>20.29</v>
      </c>
      <c r="N2" s="14" t="s">
        <v>15</v>
      </c>
      <c r="O2" s="13">
        <v>20.29</v>
      </c>
      <c r="P2" s="15" t="s">
        <v>16</v>
      </c>
      <c r="Q2" s="15">
        <v>0.0</v>
      </c>
      <c r="R2" s="12" t="s">
        <v>11</v>
      </c>
      <c r="S2" s="13">
        <v>10.14</v>
      </c>
      <c r="T2" s="12" t="s">
        <v>12</v>
      </c>
      <c r="U2" s="13">
        <v>10.14</v>
      </c>
      <c r="V2" s="12" t="s">
        <v>13</v>
      </c>
      <c r="W2" s="13">
        <v>10.14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2" t="s">
        <v>11</v>
      </c>
      <c r="AE2" s="13">
        <v>14.5</v>
      </c>
      <c r="AF2" s="14" t="s">
        <v>17</v>
      </c>
      <c r="AG2" s="13">
        <v>14.5</v>
      </c>
      <c r="AH2" s="14" t="s">
        <v>18</v>
      </c>
      <c r="AI2" s="13">
        <v>14.5</v>
      </c>
      <c r="AJ2" s="16" t="s">
        <v>19</v>
      </c>
      <c r="AK2" s="17">
        <v>0.0</v>
      </c>
      <c r="AL2" s="14" t="s">
        <v>20</v>
      </c>
      <c r="AM2" s="13">
        <v>15.0</v>
      </c>
      <c r="AN2" s="14" t="s">
        <v>21</v>
      </c>
      <c r="AO2" s="13">
        <v>1.5</v>
      </c>
      <c r="AP2" s="14" t="s">
        <v>22</v>
      </c>
      <c r="AQ2" s="13">
        <v>1.5</v>
      </c>
      <c r="AR2" s="14" t="s">
        <v>23</v>
      </c>
      <c r="AS2" s="13">
        <v>34.0</v>
      </c>
      <c r="AT2" s="14" t="s">
        <v>24</v>
      </c>
      <c r="AU2" s="13">
        <v>10.14</v>
      </c>
      <c r="AV2" s="18" t="s">
        <v>25</v>
      </c>
      <c r="AW2" s="18" t="s">
        <v>26</v>
      </c>
      <c r="AX2" s="18" t="s">
        <v>27</v>
      </c>
      <c r="AY2" s="18" t="s">
        <v>28</v>
      </c>
      <c r="AZ2" s="18" t="s">
        <v>29</v>
      </c>
    </row>
    <row r="3" ht="15.75" customHeight="1">
      <c r="A3" s="19" t="s">
        <v>30</v>
      </c>
      <c r="B3" s="20">
        <v>44563.0</v>
      </c>
      <c r="C3" s="21">
        <v>1.0</v>
      </c>
      <c r="D3" s="22" t="s">
        <v>31</v>
      </c>
      <c r="E3" s="23"/>
      <c r="F3" s="24">
        <v>0.0</v>
      </c>
      <c r="H3" s="25">
        <v>0.0</v>
      </c>
      <c r="J3" s="25">
        <v>0.0</v>
      </c>
      <c r="L3" s="25">
        <v>0.0</v>
      </c>
      <c r="N3" s="25">
        <v>0.0</v>
      </c>
      <c r="P3" s="25">
        <v>0.0</v>
      </c>
      <c r="Q3" s="26"/>
      <c r="R3" s="24">
        <v>0.0</v>
      </c>
      <c r="T3" s="25">
        <v>0.0</v>
      </c>
      <c r="V3" s="25">
        <v>0.0</v>
      </c>
      <c r="X3" s="25">
        <v>0.0</v>
      </c>
      <c r="Z3" s="25">
        <v>0.0</v>
      </c>
      <c r="AB3" s="25">
        <v>0.0</v>
      </c>
      <c r="AC3" s="26"/>
      <c r="AD3" s="25">
        <v>0.0</v>
      </c>
      <c r="AF3" s="25">
        <v>0.0</v>
      </c>
      <c r="AH3" s="25">
        <v>0.0</v>
      </c>
      <c r="AJ3" s="27">
        <v>0.0</v>
      </c>
      <c r="AK3" s="26"/>
      <c r="AL3" s="28" t="s">
        <v>32</v>
      </c>
      <c r="AM3" s="26"/>
      <c r="AN3" s="28" t="s">
        <v>32</v>
      </c>
      <c r="AO3" s="26"/>
      <c r="AP3" s="24">
        <v>0.0</v>
      </c>
      <c r="AQ3" s="26"/>
      <c r="AR3" s="25">
        <v>0.0</v>
      </c>
      <c r="AT3" s="25">
        <v>0.0</v>
      </c>
      <c r="AU3" s="26"/>
      <c r="AV3" s="29">
        <f t="shared" ref="AV3:AV359" si="1">(F3*G$2)+(H3*I$2)+(J3*K$2)+(L3*M$2)+(N3*O$2)+(P3*Q$2)+(R3*S$2)+(T3*U$2)+(V3*W$2)+(X3*Y$2)+(Z3*AA$2)+(AB3*AC$2)+(AJ3*AK$2)+(AL3*AM$2)+(AN3*AO$2)+(AP3*AQ$2)+(AR3*AS$2)+(AT3*AU$2)+(AD3*AE$2)+(AF3*AG$2)+(AH3*AI$2)</f>
        <v>0</v>
      </c>
      <c r="AW3" s="21">
        <f t="shared" ref="AW3:AW359" si="2">sum(F3,H3,J3,L3,R3,T3,V3,AD3,AF3,AH3,AJ3,AL3,AN3,AP3,AR3,AT3)</f>
        <v>0</v>
      </c>
      <c r="AX3" s="21">
        <f t="shared" ref="AX3:AX359" si="3">sum(N3,P3,X3,Z3)</f>
        <v>0</v>
      </c>
      <c r="AY3" s="21">
        <f t="shared" ref="AY3:AY359" si="4">sum(F3:AU3)</f>
        <v>0</v>
      </c>
      <c r="AZ3" s="30" t="str">
        <f t="shared" ref="AZ3:AZ359" si="5">iferror(AV3/AY3,"")</f>
        <v/>
      </c>
    </row>
    <row r="4" ht="15.75" customHeight="1">
      <c r="A4" s="31" t="s">
        <v>33</v>
      </c>
      <c r="B4" s="32">
        <f t="shared" ref="B4:B359" si="6">B3+1</f>
        <v>44564</v>
      </c>
      <c r="C4" s="33">
        <v>1.0</v>
      </c>
      <c r="D4" s="33" t="s">
        <v>31</v>
      </c>
      <c r="E4" s="34"/>
      <c r="F4" s="24">
        <v>0.0</v>
      </c>
      <c r="H4" s="25">
        <v>0.0</v>
      </c>
      <c r="J4" s="25">
        <v>0.0</v>
      </c>
      <c r="L4" s="25">
        <v>0.0</v>
      </c>
      <c r="N4" s="25">
        <v>0.0</v>
      </c>
      <c r="P4" s="25">
        <v>0.0</v>
      </c>
      <c r="Q4" s="26"/>
      <c r="R4" s="24">
        <v>0.0</v>
      </c>
      <c r="T4" s="25">
        <v>0.0</v>
      </c>
      <c r="V4" s="25">
        <v>0.0</v>
      </c>
      <c r="X4" s="25">
        <v>0.0</v>
      </c>
      <c r="Z4" s="25">
        <v>0.0</v>
      </c>
      <c r="AB4" s="25">
        <v>0.0</v>
      </c>
      <c r="AC4" s="26"/>
      <c r="AD4" s="25">
        <v>0.0</v>
      </c>
      <c r="AF4" s="25">
        <v>0.0</v>
      </c>
      <c r="AH4" s="25">
        <v>0.0</v>
      </c>
      <c r="AJ4" s="27">
        <v>0.0</v>
      </c>
      <c r="AK4" s="26"/>
      <c r="AL4" s="24">
        <v>0.0</v>
      </c>
      <c r="AM4" s="26"/>
      <c r="AN4" s="24">
        <v>0.0</v>
      </c>
      <c r="AO4" s="26"/>
      <c r="AP4" s="24">
        <v>0.0</v>
      </c>
      <c r="AQ4" s="26"/>
      <c r="AR4" s="25">
        <v>0.0</v>
      </c>
      <c r="AT4" s="25">
        <v>0.0</v>
      </c>
      <c r="AU4" s="26"/>
      <c r="AV4" s="35">
        <f t="shared" si="1"/>
        <v>0</v>
      </c>
      <c r="AW4" s="33">
        <f t="shared" si="2"/>
        <v>0</v>
      </c>
      <c r="AX4" s="33">
        <f t="shared" si="3"/>
        <v>0</v>
      </c>
      <c r="AY4" s="33">
        <f t="shared" si="4"/>
        <v>0</v>
      </c>
      <c r="AZ4" s="30" t="str">
        <f t="shared" si="5"/>
        <v/>
      </c>
    </row>
    <row r="5" ht="15.75" customHeight="1">
      <c r="A5" s="31" t="s">
        <v>34</v>
      </c>
      <c r="B5" s="32">
        <f t="shared" si="6"/>
        <v>44565</v>
      </c>
      <c r="C5" s="33">
        <v>1.0</v>
      </c>
      <c r="D5" s="33" t="s">
        <v>31</v>
      </c>
      <c r="E5" s="34"/>
      <c r="F5" s="24">
        <v>0.0</v>
      </c>
      <c r="H5" s="25">
        <v>0.0</v>
      </c>
      <c r="J5" s="25">
        <v>0.0</v>
      </c>
      <c r="L5" s="25">
        <v>0.0</v>
      </c>
      <c r="N5" s="25">
        <v>0.0</v>
      </c>
      <c r="P5" s="25">
        <v>0.0</v>
      </c>
      <c r="Q5" s="26"/>
      <c r="R5" s="24">
        <v>0.0</v>
      </c>
      <c r="T5" s="25">
        <v>0.0</v>
      </c>
      <c r="V5" s="25">
        <v>0.0</v>
      </c>
      <c r="X5" s="25">
        <v>0.0</v>
      </c>
      <c r="Z5" s="25">
        <v>0.0</v>
      </c>
      <c r="AB5" s="25">
        <v>0.0</v>
      </c>
      <c r="AC5" s="26"/>
      <c r="AD5" s="25">
        <v>0.0</v>
      </c>
      <c r="AF5" s="25">
        <v>0.0</v>
      </c>
      <c r="AH5" s="25">
        <v>0.0</v>
      </c>
      <c r="AJ5" s="27">
        <v>0.0</v>
      </c>
      <c r="AK5" s="26"/>
      <c r="AL5" s="24">
        <v>0.0</v>
      </c>
      <c r="AM5" s="26"/>
      <c r="AN5" s="24">
        <v>0.0</v>
      </c>
      <c r="AO5" s="26"/>
      <c r="AP5" s="24">
        <v>0.0</v>
      </c>
      <c r="AQ5" s="26"/>
      <c r="AR5" s="25">
        <v>0.0</v>
      </c>
      <c r="AT5" s="25">
        <v>0.0</v>
      </c>
      <c r="AU5" s="26"/>
      <c r="AV5" s="35">
        <f t="shared" si="1"/>
        <v>0</v>
      </c>
      <c r="AW5" s="33">
        <f t="shared" si="2"/>
        <v>0</v>
      </c>
      <c r="AX5" s="33">
        <f t="shared" si="3"/>
        <v>0</v>
      </c>
      <c r="AY5" s="33">
        <f t="shared" si="4"/>
        <v>0</v>
      </c>
      <c r="AZ5" s="30" t="str">
        <f t="shared" si="5"/>
        <v/>
      </c>
    </row>
    <row r="6" ht="15.75" customHeight="1">
      <c r="A6" s="31" t="s">
        <v>35</v>
      </c>
      <c r="B6" s="32">
        <f t="shared" si="6"/>
        <v>44566</v>
      </c>
      <c r="C6" s="33">
        <v>1.0</v>
      </c>
      <c r="D6" s="33" t="s">
        <v>31</v>
      </c>
      <c r="E6" s="34"/>
      <c r="F6" s="24">
        <v>0.0</v>
      </c>
      <c r="H6" s="25">
        <v>0.0</v>
      </c>
      <c r="J6" s="25">
        <v>0.0</v>
      </c>
      <c r="L6" s="25">
        <v>0.0</v>
      </c>
      <c r="N6" s="25">
        <v>0.0</v>
      </c>
      <c r="P6" s="25">
        <v>0.0</v>
      </c>
      <c r="Q6" s="26"/>
      <c r="R6" s="24">
        <v>0.0</v>
      </c>
      <c r="T6" s="25">
        <v>0.0</v>
      </c>
      <c r="V6" s="25">
        <v>0.0</v>
      </c>
      <c r="X6" s="25">
        <v>0.0</v>
      </c>
      <c r="Z6" s="25">
        <v>0.0</v>
      </c>
      <c r="AB6" s="25">
        <v>0.0</v>
      </c>
      <c r="AC6" s="26"/>
      <c r="AD6" s="25">
        <v>0.0</v>
      </c>
      <c r="AF6" s="25">
        <v>0.0</v>
      </c>
      <c r="AH6" s="25">
        <v>0.0</v>
      </c>
      <c r="AJ6" s="27">
        <v>0.0</v>
      </c>
      <c r="AK6" s="26"/>
      <c r="AL6" s="24">
        <v>0.0</v>
      </c>
      <c r="AM6" s="26"/>
      <c r="AN6" s="24">
        <v>0.0</v>
      </c>
      <c r="AO6" s="26"/>
      <c r="AP6" s="24">
        <v>0.0</v>
      </c>
      <c r="AQ6" s="26"/>
      <c r="AR6" s="25">
        <v>0.0</v>
      </c>
      <c r="AT6" s="25">
        <v>0.0</v>
      </c>
      <c r="AU6" s="26"/>
      <c r="AV6" s="35">
        <f t="shared" si="1"/>
        <v>0</v>
      </c>
      <c r="AW6" s="33">
        <f t="shared" si="2"/>
        <v>0</v>
      </c>
      <c r="AX6" s="33">
        <f t="shared" si="3"/>
        <v>0</v>
      </c>
      <c r="AY6" s="33">
        <f t="shared" si="4"/>
        <v>0</v>
      </c>
      <c r="AZ6" s="30" t="str">
        <f t="shared" si="5"/>
        <v/>
      </c>
    </row>
    <row r="7" ht="15.75" customHeight="1">
      <c r="A7" s="31" t="s">
        <v>38</v>
      </c>
      <c r="B7" s="32">
        <f t="shared" si="6"/>
        <v>44567</v>
      </c>
      <c r="C7" s="33">
        <v>1.0</v>
      </c>
      <c r="D7" s="33" t="s">
        <v>31</v>
      </c>
      <c r="E7" s="34"/>
      <c r="F7" s="24">
        <v>0.0</v>
      </c>
      <c r="H7" s="25">
        <v>0.0</v>
      </c>
      <c r="J7" s="25">
        <v>0.0</v>
      </c>
      <c r="L7" s="25">
        <v>0.0</v>
      </c>
      <c r="N7" s="25">
        <v>0.0</v>
      </c>
      <c r="P7" s="25">
        <v>0.0</v>
      </c>
      <c r="Q7" s="26"/>
      <c r="R7" s="24">
        <v>0.0</v>
      </c>
      <c r="T7" s="25">
        <v>0.0</v>
      </c>
      <c r="V7" s="25">
        <v>0.0</v>
      </c>
      <c r="X7" s="25">
        <v>0.0</v>
      </c>
      <c r="Z7" s="25">
        <v>0.0</v>
      </c>
      <c r="AB7" s="25">
        <v>0.0</v>
      </c>
      <c r="AC7" s="26"/>
      <c r="AD7" s="25">
        <v>0.0</v>
      </c>
      <c r="AF7" s="25">
        <v>0.0</v>
      </c>
      <c r="AH7" s="25">
        <v>0.0</v>
      </c>
      <c r="AJ7" s="27">
        <v>0.0</v>
      </c>
      <c r="AK7" s="26"/>
      <c r="AL7" s="24">
        <v>0.0</v>
      </c>
      <c r="AM7" s="26"/>
      <c r="AN7" s="24">
        <v>0.0</v>
      </c>
      <c r="AO7" s="26"/>
      <c r="AP7" s="24">
        <v>0.0</v>
      </c>
      <c r="AQ7" s="26"/>
      <c r="AR7" s="25">
        <v>0.0</v>
      </c>
      <c r="AT7" s="25">
        <v>0.0</v>
      </c>
      <c r="AU7" s="26"/>
      <c r="AV7" s="35">
        <f t="shared" si="1"/>
        <v>0</v>
      </c>
      <c r="AW7" s="33">
        <f t="shared" si="2"/>
        <v>0</v>
      </c>
      <c r="AX7" s="33">
        <f t="shared" si="3"/>
        <v>0</v>
      </c>
      <c r="AY7" s="33">
        <f t="shared" si="4"/>
        <v>0</v>
      </c>
      <c r="AZ7" s="30" t="str">
        <f t="shared" si="5"/>
        <v/>
      </c>
    </row>
    <row r="8" ht="15.75" customHeight="1">
      <c r="A8" s="31" t="s">
        <v>45</v>
      </c>
      <c r="B8" s="32">
        <f t="shared" si="6"/>
        <v>44568</v>
      </c>
      <c r="C8" s="33">
        <v>1.0</v>
      </c>
      <c r="D8" s="33" t="s">
        <v>31</v>
      </c>
      <c r="E8" s="34"/>
      <c r="F8" s="24">
        <v>0.0</v>
      </c>
      <c r="H8" s="25">
        <v>0.0</v>
      </c>
      <c r="J8" s="25">
        <v>0.0</v>
      </c>
      <c r="L8" s="25">
        <v>0.0</v>
      </c>
      <c r="N8" s="25">
        <v>0.0</v>
      </c>
      <c r="P8" s="25">
        <v>0.0</v>
      </c>
      <c r="Q8" s="26"/>
      <c r="R8" s="24">
        <v>0.0</v>
      </c>
      <c r="T8" s="25">
        <v>0.0</v>
      </c>
      <c r="V8" s="25">
        <v>0.0</v>
      </c>
      <c r="X8" s="25">
        <v>0.0</v>
      </c>
      <c r="Z8" s="25">
        <v>0.0</v>
      </c>
      <c r="AB8" s="25">
        <v>0.0</v>
      </c>
      <c r="AC8" s="26"/>
      <c r="AD8" s="25">
        <v>0.0</v>
      </c>
      <c r="AF8" s="25">
        <v>0.0</v>
      </c>
      <c r="AH8" s="25">
        <v>0.0</v>
      </c>
      <c r="AJ8" s="27">
        <v>0.0</v>
      </c>
      <c r="AK8" s="26"/>
      <c r="AL8" s="24">
        <v>0.0</v>
      </c>
      <c r="AM8" s="26"/>
      <c r="AN8" s="24">
        <v>0.0</v>
      </c>
      <c r="AO8" s="26"/>
      <c r="AP8" s="24">
        <v>0.0</v>
      </c>
      <c r="AQ8" s="26"/>
      <c r="AR8" s="25">
        <v>0.0</v>
      </c>
      <c r="AT8" s="25">
        <v>0.0</v>
      </c>
      <c r="AU8" s="26"/>
      <c r="AV8" s="35">
        <f t="shared" si="1"/>
        <v>0</v>
      </c>
      <c r="AW8" s="33">
        <f t="shared" si="2"/>
        <v>0</v>
      </c>
      <c r="AX8" s="33">
        <f t="shared" si="3"/>
        <v>0</v>
      </c>
      <c r="AY8" s="33">
        <f t="shared" si="4"/>
        <v>0</v>
      </c>
      <c r="AZ8" s="30" t="str">
        <f t="shared" si="5"/>
        <v/>
      </c>
    </row>
    <row r="9" ht="15.75" customHeight="1">
      <c r="A9" s="44" t="s">
        <v>46</v>
      </c>
      <c r="B9" s="45">
        <f t="shared" si="6"/>
        <v>44569</v>
      </c>
      <c r="C9" s="46">
        <v>1.0</v>
      </c>
      <c r="D9" s="46" t="s">
        <v>31</v>
      </c>
      <c r="E9" s="47"/>
      <c r="F9" s="49">
        <v>0.0</v>
      </c>
      <c r="G9" s="51"/>
      <c r="H9" s="52">
        <v>0.0</v>
      </c>
      <c r="I9" s="51"/>
      <c r="J9" s="52">
        <v>0.0</v>
      </c>
      <c r="K9" s="51"/>
      <c r="L9" s="52">
        <v>0.0</v>
      </c>
      <c r="M9" s="51"/>
      <c r="N9" s="52">
        <v>0.0</v>
      </c>
      <c r="O9" s="51"/>
      <c r="P9" s="52">
        <v>0.0</v>
      </c>
      <c r="Q9" s="53"/>
      <c r="R9" s="49">
        <v>0.0</v>
      </c>
      <c r="S9" s="51"/>
      <c r="T9" s="52">
        <v>0.0</v>
      </c>
      <c r="U9" s="51"/>
      <c r="V9" s="52">
        <v>0.0</v>
      </c>
      <c r="W9" s="51"/>
      <c r="X9" s="52">
        <v>0.0</v>
      </c>
      <c r="Y9" s="51"/>
      <c r="Z9" s="52">
        <v>0.0</v>
      </c>
      <c r="AA9" s="51"/>
      <c r="AB9" s="52">
        <v>0.0</v>
      </c>
      <c r="AC9" s="53"/>
      <c r="AD9" s="52">
        <v>0.0</v>
      </c>
      <c r="AE9" s="51"/>
      <c r="AF9" s="52">
        <v>0.0</v>
      </c>
      <c r="AG9" s="51"/>
      <c r="AH9" s="52">
        <v>0.0</v>
      </c>
      <c r="AI9" s="51"/>
      <c r="AJ9" s="54">
        <v>0.0</v>
      </c>
      <c r="AK9" s="53"/>
      <c r="AL9" s="49">
        <v>0.0</v>
      </c>
      <c r="AM9" s="53"/>
      <c r="AN9" s="49">
        <v>0.0</v>
      </c>
      <c r="AO9" s="53"/>
      <c r="AP9" s="49">
        <v>0.0</v>
      </c>
      <c r="AQ9" s="53"/>
      <c r="AR9" s="52">
        <v>0.0</v>
      </c>
      <c r="AS9" s="51"/>
      <c r="AT9" s="52">
        <v>0.0</v>
      </c>
      <c r="AU9" s="53"/>
      <c r="AV9" s="55">
        <f t="shared" si="1"/>
        <v>0</v>
      </c>
      <c r="AW9" s="46">
        <f t="shared" si="2"/>
        <v>0</v>
      </c>
      <c r="AX9" s="46">
        <f t="shared" si="3"/>
        <v>0</v>
      </c>
      <c r="AY9" s="46">
        <f t="shared" si="4"/>
        <v>0</v>
      </c>
      <c r="AZ9" s="56" t="str">
        <f t="shared" si="5"/>
        <v/>
      </c>
    </row>
    <row r="10" ht="15.75" customHeight="1">
      <c r="A10" s="19" t="s">
        <v>30</v>
      </c>
      <c r="B10" s="57">
        <f t="shared" si="6"/>
        <v>44570</v>
      </c>
      <c r="C10" s="21">
        <v>1.0</v>
      </c>
      <c r="D10" s="21" t="s">
        <v>47</v>
      </c>
      <c r="E10" s="23"/>
      <c r="F10" s="24">
        <v>0.0</v>
      </c>
      <c r="H10" s="25">
        <v>0.0</v>
      </c>
      <c r="J10" s="25">
        <v>0.0</v>
      </c>
      <c r="L10" s="25">
        <v>0.0</v>
      </c>
      <c r="N10" s="25">
        <v>0.0</v>
      </c>
      <c r="P10" s="25">
        <v>0.0</v>
      </c>
      <c r="Q10" s="26"/>
      <c r="R10" s="24">
        <v>60.0</v>
      </c>
      <c r="T10" s="25">
        <v>60.0</v>
      </c>
      <c r="V10" s="25">
        <v>0.0</v>
      </c>
      <c r="X10" s="25">
        <v>0.0</v>
      </c>
      <c r="Z10" s="25">
        <v>0.0</v>
      </c>
      <c r="AB10" s="25">
        <v>0.0</v>
      </c>
      <c r="AC10" s="26"/>
      <c r="AD10" s="25">
        <v>0.0</v>
      </c>
      <c r="AF10" s="25">
        <v>0.0</v>
      </c>
      <c r="AH10" s="25">
        <v>0.0</v>
      </c>
      <c r="AJ10" s="27">
        <v>0.0</v>
      </c>
      <c r="AK10" s="26"/>
      <c r="AL10" s="24">
        <v>0.0</v>
      </c>
      <c r="AM10" s="26"/>
      <c r="AN10" s="24">
        <v>0.0</v>
      </c>
      <c r="AO10" s="26"/>
      <c r="AP10" s="24">
        <v>0.0</v>
      </c>
      <c r="AQ10" s="26"/>
      <c r="AR10" s="25">
        <v>0.0</v>
      </c>
      <c r="AT10" s="25">
        <v>0.0</v>
      </c>
      <c r="AU10" s="26"/>
      <c r="AV10" s="29">
        <f t="shared" si="1"/>
        <v>1216.8</v>
      </c>
      <c r="AW10" s="21">
        <f t="shared" si="2"/>
        <v>120</v>
      </c>
      <c r="AX10" s="21">
        <f t="shared" si="3"/>
        <v>0</v>
      </c>
      <c r="AY10" s="21">
        <f t="shared" si="4"/>
        <v>120</v>
      </c>
      <c r="AZ10" s="58">
        <f t="shared" si="5"/>
        <v>10.14</v>
      </c>
    </row>
    <row r="11" ht="15.75" customHeight="1">
      <c r="A11" s="31" t="s">
        <v>33</v>
      </c>
      <c r="B11" s="32">
        <f t="shared" si="6"/>
        <v>44571</v>
      </c>
      <c r="C11" s="33">
        <v>1.0</v>
      </c>
      <c r="D11" s="33" t="s">
        <v>47</v>
      </c>
      <c r="E11" s="34"/>
      <c r="F11" s="24">
        <v>0.0</v>
      </c>
      <c r="H11" s="25">
        <v>0.0</v>
      </c>
      <c r="J11" s="25">
        <v>0.0</v>
      </c>
      <c r="L11" s="25">
        <v>0.0</v>
      </c>
      <c r="N11" s="25">
        <v>0.0</v>
      </c>
      <c r="P11" s="25">
        <v>0.0</v>
      </c>
      <c r="Q11" s="26"/>
      <c r="R11" s="24">
        <v>65.0</v>
      </c>
      <c r="T11" s="25">
        <v>65.0</v>
      </c>
      <c r="V11" s="25">
        <v>0.0</v>
      </c>
      <c r="X11" s="25">
        <v>0.0</v>
      </c>
      <c r="Z11" s="25">
        <v>0.0</v>
      </c>
      <c r="AB11" s="25">
        <v>0.0</v>
      </c>
      <c r="AC11" s="26"/>
      <c r="AD11" s="25">
        <v>0.0</v>
      </c>
      <c r="AF11" s="25">
        <v>0.0</v>
      </c>
      <c r="AH11" s="25">
        <v>0.0</v>
      </c>
      <c r="AJ11" s="27">
        <v>0.0</v>
      </c>
      <c r="AK11" s="26"/>
      <c r="AL11" s="24">
        <v>0.0</v>
      </c>
      <c r="AM11" s="26"/>
      <c r="AN11" s="24">
        <v>0.0</v>
      </c>
      <c r="AO11" s="26"/>
      <c r="AP11" s="24">
        <v>0.0</v>
      </c>
      <c r="AQ11" s="26"/>
      <c r="AR11" s="25">
        <v>0.0</v>
      </c>
      <c r="AT11" s="25">
        <v>0.0</v>
      </c>
      <c r="AU11" s="26"/>
      <c r="AV11" s="35">
        <f t="shared" si="1"/>
        <v>1318.2</v>
      </c>
      <c r="AW11" s="33">
        <f t="shared" si="2"/>
        <v>130</v>
      </c>
      <c r="AX11" s="33">
        <f t="shared" si="3"/>
        <v>0</v>
      </c>
      <c r="AY11" s="33">
        <f t="shared" si="4"/>
        <v>130</v>
      </c>
      <c r="AZ11" s="30">
        <f t="shared" si="5"/>
        <v>10.14</v>
      </c>
    </row>
    <row r="12" ht="15.75" customHeight="1">
      <c r="A12" s="31" t="s">
        <v>34</v>
      </c>
      <c r="B12" s="32">
        <f t="shared" si="6"/>
        <v>44572</v>
      </c>
      <c r="C12" s="33">
        <v>1.0</v>
      </c>
      <c r="D12" s="33" t="s">
        <v>47</v>
      </c>
      <c r="E12" s="34"/>
      <c r="F12" s="24">
        <v>0.0</v>
      </c>
      <c r="H12" s="25">
        <v>0.0</v>
      </c>
      <c r="J12" s="25">
        <v>0.0</v>
      </c>
      <c r="L12" s="25">
        <v>0.0</v>
      </c>
      <c r="N12" s="25">
        <v>0.0</v>
      </c>
      <c r="P12" s="25">
        <v>0.0</v>
      </c>
      <c r="Q12" s="26"/>
      <c r="R12" s="24">
        <v>80.0</v>
      </c>
      <c r="T12" s="25">
        <v>80.0</v>
      </c>
      <c r="V12" s="25">
        <v>0.0</v>
      </c>
      <c r="X12" s="25">
        <v>0.0</v>
      </c>
      <c r="Z12" s="25">
        <v>0.0</v>
      </c>
      <c r="AB12" s="25">
        <v>0.0</v>
      </c>
      <c r="AC12" s="26"/>
      <c r="AD12" s="25">
        <v>0.0</v>
      </c>
      <c r="AF12" s="25">
        <v>0.0</v>
      </c>
      <c r="AH12" s="25">
        <v>0.0</v>
      </c>
      <c r="AJ12" s="27">
        <v>0.0</v>
      </c>
      <c r="AK12" s="26"/>
      <c r="AL12" s="24">
        <v>0.0</v>
      </c>
      <c r="AM12" s="26"/>
      <c r="AN12" s="24">
        <v>0.0</v>
      </c>
      <c r="AO12" s="26"/>
      <c r="AP12" s="24">
        <v>0.0</v>
      </c>
      <c r="AQ12" s="26"/>
      <c r="AR12" s="25">
        <v>0.0</v>
      </c>
      <c r="AT12" s="25">
        <v>0.0</v>
      </c>
      <c r="AU12" s="26"/>
      <c r="AV12" s="35">
        <f t="shared" si="1"/>
        <v>1622.4</v>
      </c>
      <c r="AW12" s="33">
        <f t="shared" si="2"/>
        <v>160</v>
      </c>
      <c r="AX12" s="33">
        <f t="shared" si="3"/>
        <v>0</v>
      </c>
      <c r="AY12" s="33">
        <f t="shared" si="4"/>
        <v>160</v>
      </c>
      <c r="AZ12" s="30">
        <f t="shared" si="5"/>
        <v>10.14</v>
      </c>
    </row>
    <row r="13" ht="15.75" customHeight="1">
      <c r="A13" s="31" t="s">
        <v>35</v>
      </c>
      <c r="B13" s="32">
        <f t="shared" si="6"/>
        <v>44573</v>
      </c>
      <c r="C13" s="33">
        <v>1.0</v>
      </c>
      <c r="D13" s="33" t="s">
        <v>47</v>
      </c>
      <c r="E13" s="34"/>
      <c r="F13" s="24">
        <v>0.0</v>
      </c>
      <c r="H13" s="25">
        <v>0.0</v>
      </c>
      <c r="J13" s="25">
        <v>0.0</v>
      </c>
      <c r="L13" s="25">
        <v>0.0</v>
      </c>
      <c r="N13" s="25">
        <v>0.0</v>
      </c>
      <c r="P13" s="25">
        <v>0.0</v>
      </c>
      <c r="Q13" s="26"/>
      <c r="R13" s="24">
        <v>80.0</v>
      </c>
      <c r="T13" s="25">
        <v>80.0</v>
      </c>
      <c r="V13" s="25">
        <v>0.0</v>
      </c>
      <c r="X13" s="25">
        <v>0.0</v>
      </c>
      <c r="Z13" s="25">
        <v>0.0</v>
      </c>
      <c r="AB13" s="25">
        <v>0.0</v>
      </c>
      <c r="AC13" s="26"/>
      <c r="AD13" s="25">
        <v>0.0</v>
      </c>
      <c r="AF13" s="25">
        <v>0.0</v>
      </c>
      <c r="AH13" s="25">
        <v>0.0</v>
      </c>
      <c r="AJ13" s="27">
        <v>0.0</v>
      </c>
      <c r="AK13" s="26"/>
      <c r="AL13" s="24">
        <v>0.0</v>
      </c>
      <c r="AM13" s="26"/>
      <c r="AN13" s="24">
        <v>0.0</v>
      </c>
      <c r="AO13" s="26"/>
      <c r="AP13" s="24">
        <v>0.0</v>
      </c>
      <c r="AQ13" s="26"/>
      <c r="AR13" s="25">
        <v>0.0</v>
      </c>
      <c r="AT13" s="25">
        <v>0.0</v>
      </c>
      <c r="AU13" s="26"/>
      <c r="AV13" s="35">
        <f t="shared" si="1"/>
        <v>1622.4</v>
      </c>
      <c r="AW13" s="33">
        <f t="shared" si="2"/>
        <v>160</v>
      </c>
      <c r="AX13" s="33">
        <f t="shared" si="3"/>
        <v>0</v>
      </c>
      <c r="AY13" s="33">
        <f t="shared" si="4"/>
        <v>160</v>
      </c>
      <c r="AZ13" s="30">
        <f t="shared" si="5"/>
        <v>10.14</v>
      </c>
    </row>
    <row r="14" ht="15.75" customHeight="1">
      <c r="A14" s="31" t="s">
        <v>38</v>
      </c>
      <c r="B14" s="32">
        <f t="shared" si="6"/>
        <v>44574</v>
      </c>
      <c r="C14" s="33">
        <v>1.0</v>
      </c>
      <c r="D14" s="33" t="s">
        <v>47</v>
      </c>
      <c r="E14" s="34"/>
      <c r="F14" s="24">
        <v>0.0</v>
      </c>
      <c r="H14" s="25">
        <v>0.0</v>
      </c>
      <c r="J14" s="25">
        <v>0.0</v>
      </c>
      <c r="L14" s="25">
        <v>0.0</v>
      </c>
      <c r="N14" s="25">
        <v>0.0</v>
      </c>
      <c r="P14" s="25">
        <v>0.0</v>
      </c>
      <c r="Q14" s="26"/>
      <c r="R14" s="24">
        <v>65.0</v>
      </c>
      <c r="T14" s="25">
        <v>65.0</v>
      </c>
      <c r="V14" s="25">
        <v>0.0</v>
      </c>
      <c r="X14" s="25">
        <v>0.0</v>
      </c>
      <c r="Z14" s="25">
        <v>0.0</v>
      </c>
      <c r="AB14" s="25">
        <v>0.0</v>
      </c>
      <c r="AC14" s="26"/>
      <c r="AD14" s="25">
        <v>0.0</v>
      </c>
      <c r="AF14" s="25">
        <v>0.0</v>
      </c>
      <c r="AH14" s="25">
        <v>0.0</v>
      </c>
      <c r="AJ14" s="27">
        <v>0.0</v>
      </c>
      <c r="AK14" s="26"/>
      <c r="AL14" s="24">
        <v>0.0</v>
      </c>
      <c r="AM14" s="26"/>
      <c r="AN14" s="24">
        <v>0.0</v>
      </c>
      <c r="AO14" s="26"/>
      <c r="AP14" s="24">
        <v>0.0</v>
      </c>
      <c r="AQ14" s="26"/>
      <c r="AR14" s="25">
        <v>0.0</v>
      </c>
      <c r="AT14" s="25">
        <v>0.0</v>
      </c>
      <c r="AU14" s="26"/>
      <c r="AV14" s="35">
        <f t="shared" si="1"/>
        <v>1318.2</v>
      </c>
      <c r="AW14" s="33">
        <f t="shared" si="2"/>
        <v>130</v>
      </c>
      <c r="AX14" s="33">
        <f t="shared" si="3"/>
        <v>0</v>
      </c>
      <c r="AY14" s="33">
        <f t="shared" si="4"/>
        <v>130</v>
      </c>
      <c r="AZ14" s="30">
        <f t="shared" si="5"/>
        <v>10.14</v>
      </c>
    </row>
    <row r="15" ht="15.75" customHeight="1">
      <c r="A15" s="31" t="s">
        <v>45</v>
      </c>
      <c r="B15" s="32">
        <f t="shared" si="6"/>
        <v>44575</v>
      </c>
      <c r="C15" s="33">
        <v>1.0</v>
      </c>
      <c r="D15" s="33" t="s">
        <v>47</v>
      </c>
      <c r="E15" s="34"/>
      <c r="F15" s="24">
        <v>0.0</v>
      </c>
      <c r="H15" s="25">
        <v>0.0</v>
      </c>
      <c r="J15" s="25">
        <v>0.0</v>
      </c>
      <c r="L15" s="25">
        <v>0.0</v>
      </c>
      <c r="N15" s="25">
        <v>0.0</v>
      </c>
      <c r="P15" s="25">
        <v>0.0</v>
      </c>
      <c r="Q15" s="26"/>
      <c r="R15" s="24">
        <v>0.0</v>
      </c>
      <c r="T15" s="25">
        <v>0.0</v>
      </c>
      <c r="V15" s="25">
        <v>0.0</v>
      </c>
      <c r="X15" s="25">
        <v>0.0</v>
      </c>
      <c r="Z15" s="25">
        <v>0.0</v>
      </c>
      <c r="AB15" s="25">
        <v>0.0</v>
      </c>
      <c r="AC15" s="26"/>
      <c r="AD15" s="25">
        <v>0.0</v>
      </c>
      <c r="AF15" s="25">
        <v>0.0</v>
      </c>
      <c r="AH15" s="25">
        <v>0.0</v>
      </c>
      <c r="AJ15" s="27">
        <v>0.0</v>
      </c>
      <c r="AK15" s="26"/>
      <c r="AL15" s="24">
        <v>0.0</v>
      </c>
      <c r="AM15" s="26"/>
      <c r="AN15" s="24">
        <v>0.0</v>
      </c>
      <c r="AO15" s="26"/>
      <c r="AP15" s="24">
        <v>0.0</v>
      </c>
      <c r="AQ15" s="26"/>
      <c r="AR15" s="25">
        <v>0.0</v>
      </c>
      <c r="AT15" s="25">
        <v>0.0</v>
      </c>
      <c r="AU15" s="26"/>
      <c r="AV15" s="35">
        <f t="shared" si="1"/>
        <v>0</v>
      </c>
      <c r="AW15" s="33">
        <f t="shared" si="2"/>
        <v>0</v>
      </c>
      <c r="AX15" s="33">
        <f t="shared" si="3"/>
        <v>0</v>
      </c>
      <c r="AY15" s="33">
        <f t="shared" si="4"/>
        <v>0</v>
      </c>
      <c r="AZ15" s="30" t="str">
        <f t="shared" si="5"/>
        <v/>
      </c>
    </row>
    <row r="16" ht="15.75" customHeight="1">
      <c r="A16" s="44" t="s">
        <v>46</v>
      </c>
      <c r="B16" s="45">
        <f t="shared" si="6"/>
        <v>44576</v>
      </c>
      <c r="C16" s="46">
        <v>1.0</v>
      </c>
      <c r="D16" s="46" t="s">
        <v>47</v>
      </c>
      <c r="E16" s="47"/>
      <c r="F16" s="49">
        <v>0.0</v>
      </c>
      <c r="G16" s="51"/>
      <c r="H16" s="52">
        <v>0.0</v>
      </c>
      <c r="I16" s="51"/>
      <c r="J16" s="52">
        <v>0.0</v>
      </c>
      <c r="K16" s="51"/>
      <c r="L16" s="52">
        <v>0.0</v>
      </c>
      <c r="M16" s="51"/>
      <c r="N16" s="52">
        <v>0.0</v>
      </c>
      <c r="O16" s="51"/>
      <c r="P16" s="52">
        <v>0.0</v>
      </c>
      <c r="Q16" s="53"/>
      <c r="R16" s="49">
        <v>0.0</v>
      </c>
      <c r="S16" s="51"/>
      <c r="T16" s="52">
        <v>0.0</v>
      </c>
      <c r="U16" s="51"/>
      <c r="V16" s="52">
        <v>0.0</v>
      </c>
      <c r="W16" s="51"/>
      <c r="X16" s="52">
        <v>0.0</v>
      </c>
      <c r="Y16" s="51"/>
      <c r="Z16" s="52">
        <v>0.0</v>
      </c>
      <c r="AA16" s="51"/>
      <c r="AB16" s="52">
        <v>0.0</v>
      </c>
      <c r="AC16" s="53"/>
      <c r="AD16" s="52">
        <v>0.0</v>
      </c>
      <c r="AE16" s="51"/>
      <c r="AF16" s="52">
        <v>0.0</v>
      </c>
      <c r="AG16" s="51"/>
      <c r="AH16" s="52">
        <v>0.0</v>
      </c>
      <c r="AI16" s="51"/>
      <c r="AJ16" s="54">
        <v>0.0</v>
      </c>
      <c r="AK16" s="53"/>
      <c r="AL16" s="49">
        <v>0.0</v>
      </c>
      <c r="AM16" s="53"/>
      <c r="AN16" s="49">
        <v>0.0</v>
      </c>
      <c r="AO16" s="53"/>
      <c r="AP16" s="49">
        <v>0.0</v>
      </c>
      <c r="AQ16" s="53"/>
      <c r="AR16" s="52">
        <v>0.0</v>
      </c>
      <c r="AS16" s="51"/>
      <c r="AT16" s="52">
        <v>0.0</v>
      </c>
      <c r="AU16" s="53"/>
      <c r="AV16" s="55">
        <f t="shared" si="1"/>
        <v>0</v>
      </c>
      <c r="AW16" s="46">
        <f t="shared" si="2"/>
        <v>0</v>
      </c>
      <c r="AX16" s="46">
        <f t="shared" si="3"/>
        <v>0</v>
      </c>
      <c r="AY16" s="46">
        <f t="shared" si="4"/>
        <v>0</v>
      </c>
      <c r="AZ16" s="56" t="str">
        <f t="shared" si="5"/>
        <v/>
      </c>
    </row>
    <row r="17" ht="15.75" customHeight="1">
      <c r="A17" s="19" t="s">
        <v>30</v>
      </c>
      <c r="B17" s="57">
        <f t="shared" si="6"/>
        <v>44577</v>
      </c>
      <c r="C17" s="21">
        <v>1.0</v>
      </c>
      <c r="D17" s="21" t="s">
        <v>48</v>
      </c>
      <c r="E17" s="23"/>
      <c r="F17" s="24">
        <v>0.0</v>
      </c>
      <c r="H17" s="25">
        <v>0.0</v>
      </c>
      <c r="J17" s="25">
        <v>0.0</v>
      </c>
      <c r="L17" s="25">
        <v>0.0</v>
      </c>
      <c r="N17" s="25">
        <v>0.0</v>
      </c>
      <c r="P17" s="25">
        <v>0.0</v>
      </c>
      <c r="Q17" s="26"/>
      <c r="R17" s="24">
        <v>150.0</v>
      </c>
      <c r="T17" s="25">
        <v>150.0</v>
      </c>
      <c r="V17" s="25">
        <v>0.0</v>
      </c>
      <c r="X17" s="25">
        <v>0.0</v>
      </c>
      <c r="Z17" s="25">
        <v>0.0</v>
      </c>
      <c r="AB17" s="25">
        <v>0.0</v>
      </c>
      <c r="AC17" s="26"/>
      <c r="AD17" s="25">
        <v>0.0</v>
      </c>
      <c r="AF17" s="25">
        <v>0.0</v>
      </c>
      <c r="AH17" s="25">
        <v>0.0</v>
      </c>
      <c r="AJ17" s="27">
        <v>0.0</v>
      </c>
      <c r="AK17" s="26"/>
      <c r="AL17" s="24">
        <v>0.0</v>
      </c>
      <c r="AM17" s="26"/>
      <c r="AN17" s="24">
        <v>0.0</v>
      </c>
      <c r="AO17" s="26"/>
      <c r="AP17" s="24">
        <v>0.0</v>
      </c>
      <c r="AQ17" s="26"/>
      <c r="AR17" s="25">
        <v>0.0</v>
      </c>
      <c r="AT17" s="25">
        <v>0.0</v>
      </c>
      <c r="AU17" s="26"/>
      <c r="AV17" s="29">
        <f t="shared" si="1"/>
        <v>3042</v>
      </c>
      <c r="AW17" s="21">
        <f t="shared" si="2"/>
        <v>300</v>
      </c>
      <c r="AX17" s="21">
        <f t="shared" si="3"/>
        <v>0</v>
      </c>
      <c r="AY17" s="21">
        <f t="shared" si="4"/>
        <v>300</v>
      </c>
      <c r="AZ17" s="58">
        <f t="shared" si="5"/>
        <v>10.14</v>
      </c>
    </row>
    <row r="18" ht="15.75" customHeight="1">
      <c r="A18" s="31" t="s">
        <v>33</v>
      </c>
      <c r="B18" s="32">
        <f t="shared" si="6"/>
        <v>44578</v>
      </c>
      <c r="C18" s="33">
        <v>1.0</v>
      </c>
      <c r="D18" s="33" t="s">
        <v>48</v>
      </c>
      <c r="E18" s="34"/>
      <c r="F18" s="24">
        <v>0.0</v>
      </c>
      <c r="H18" s="25">
        <v>0.0</v>
      </c>
      <c r="J18" s="25">
        <v>0.0</v>
      </c>
      <c r="L18" s="25">
        <v>0.0</v>
      </c>
      <c r="N18" s="25">
        <v>0.0</v>
      </c>
      <c r="P18" s="25">
        <v>0.0</v>
      </c>
      <c r="Q18" s="26"/>
      <c r="R18" s="24">
        <v>150.0</v>
      </c>
      <c r="T18" s="25">
        <v>150.0</v>
      </c>
      <c r="V18" s="25">
        <v>0.0</v>
      </c>
      <c r="X18" s="25">
        <v>0.0</v>
      </c>
      <c r="Z18" s="25">
        <v>0.0</v>
      </c>
      <c r="AB18" s="25">
        <v>0.0</v>
      </c>
      <c r="AC18" s="26"/>
      <c r="AD18" s="25">
        <v>0.0</v>
      </c>
      <c r="AF18" s="25">
        <v>0.0</v>
      </c>
      <c r="AH18" s="25">
        <v>0.0</v>
      </c>
      <c r="AJ18" s="27">
        <v>0.0</v>
      </c>
      <c r="AK18" s="26"/>
      <c r="AL18" s="24">
        <v>0.0</v>
      </c>
      <c r="AM18" s="26"/>
      <c r="AN18" s="24">
        <v>0.0</v>
      </c>
      <c r="AO18" s="26"/>
      <c r="AP18" s="24">
        <v>0.0</v>
      </c>
      <c r="AQ18" s="26"/>
      <c r="AR18" s="25">
        <v>0.0</v>
      </c>
      <c r="AT18" s="25">
        <v>0.0</v>
      </c>
      <c r="AU18" s="26"/>
      <c r="AV18" s="35">
        <f t="shared" si="1"/>
        <v>3042</v>
      </c>
      <c r="AW18" s="33">
        <f t="shared" si="2"/>
        <v>300</v>
      </c>
      <c r="AX18" s="33">
        <f t="shared" si="3"/>
        <v>0</v>
      </c>
      <c r="AY18" s="33">
        <f t="shared" si="4"/>
        <v>300</v>
      </c>
      <c r="AZ18" s="30">
        <f t="shared" si="5"/>
        <v>10.14</v>
      </c>
    </row>
    <row r="19" ht="15.75" customHeight="1">
      <c r="A19" s="31" t="s">
        <v>34</v>
      </c>
      <c r="B19" s="32">
        <f t="shared" si="6"/>
        <v>44579</v>
      </c>
      <c r="C19" s="33">
        <v>1.0</v>
      </c>
      <c r="D19" s="33" t="s">
        <v>48</v>
      </c>
      <c r="E19" s="34"/>
      <c r="F19" s="24">
        <v>0.0</v>
      </c>
      <c r="H19" s="25">
        <v>0.0</v>
      </c>
      <c r="J19" s="25">
        <v>0.0</v>
      </c>
      <c r="L19" s="25">
        <v>0.0</v>
      </c>
      <c r="N19" s="25">
        <v>0.0</v>
      </c>
      <c r="P19" s="25">
        <v>0.0</v>
      </c>
      <c r="Q19" s="26"/>
      <c r="R19" s="24">
        <v>170.0</v>
      </c>
      <c r="T19" s="25">
        <v>170.0</v>
      </c>
      <c r="V19" s="25">
        <v>0.0</v>
      </c>
      <c r="X19" s="25">
        <v>0.0</v>
      </c>
      <c r="Z19" s="25">
        <v>0.0</v>
      </c>
      <c r="AB19" s="25">
        <v>0.0</v>
      </c>
      <c r="AC19" s="26"/>
      <c r="AD19" s="25">
        <v>0.0</v>
      </c>
      <c r="AF19" s="25">
        <v>0.0</v>
      </c>
      <c r="AH19" s="25">
        <v>0.0</v>
      </c>
      <c r="AJ19" s="27">
        <v>0.0</v>
      </c>
      <c r="AK19" s="26"/>
      <c r="AL19" s="24">
        <v>0.0</v>
      </c>
      <c r="AM19" s="26"/>
      <c r="AN19" s="24">
        <v>0.0</v>
      </c>
      <c r="AO19" s="26"/>
      <c r="AP19" s="24">
        <v>0.0</v>
      </c>
      <c r="AQ19" s="26"/>
      <c r="AR19" s="25">
        <v>0.0</v>
      </c>
      <c r="AT19" s="25">
        <v>0.0</v>
      </c>
      <c r="AU19" s="26"/>
      <c r="AV19" s="35">
        <f t="shared" si="1"/>
        <v>3447.6</v>
      </c>
      <c r="AW19" s="33">
        <f t="shared" si="2"/>
        <v>340</v>
      </c>
      <c r="AX19" s="33">
        <f t="shared" si="3"/>
        <v>0</v>
      </c>
      <c r="AY19" s="33">
        <f t="shared" si="4"/>
        <v>340</v>
      </c>
      <c r="AZ19" s="30">
        <f t="shared" si="5"/>
        <v>10.14</v>
      </c>
    </row>
    <row r="20" ht="15.75" customHeight="1">
      <c r="A20" s="31" t="s">
        <v>35</v>
      </c>
      <c r="B20" s="32">
        <f t="shared" si="6"/>
        <v>44580</v>
      </c>
      <c r="C20" s="33">
        <v>1.0</v>
      </c>
      <c r="D20" s="33" t="s">
        <v>48</v>
      </c>
      <c r="E20" s="34"/>
      <c r="F20" s="24">
        <v>0.0</v>
      </c>
      <c r="H20" s="25">
        <v>0.0</v>
      </c>
      <c r="J20" s="25">
        <v>0.0</v>
      </c>
      <c r="L20" s="25">
        <v>0.0</v>
      </c>
      <c r="N20" s="25">
        <v>0.0</v>
      </c>
      <c r="P20" s="25">
        <v>0.0</v>
      </c>
      <c r="Q20" s="26"/>
      <c r="R20" s="24">
        <v>170.0</v>
      </c>
      <c r="T20" s="25">
        <v>170.0</v>
      </c>
      <c r="V20" s="25">
        <v>0.0</v>
      </c>
      <c r="X20" s="25">
        <v>0.0</v>
      </c>
      <c r="Z20" s="25">
        <v>0.0</v>
      </c>
      <c r="AB20" s="25">
        <v>0.0</v>
      </c>
      <c r="AC20" s="26"/>
      <c r="AD20" s="25">
        <v>0.0</v>
      </c>
      <c r="AF20" s="25">
        <v>0.0</v>
      </c>
      <c r="AH20" s="25">
        <v>0.0</v>
      </c>
      <c r="AJ20" s="27">
        <v>0.0</v>
      </c>
      <c r="AK20" s="26"/>
      <c r="AL20" s="24">
        <v>0.0</v>
      </c>
      <c r="AM20" s="26"/>
      <c r="AN20" s="24">
        <v>0.0</v>
      </c>
      <c r="AO20" s="26"/>
      <c r="AP20" s="24">
        <v>0.0</v>
      </c>
      <c r="AQ20" s="26"/>
      <c r="AR20" s="25">
        <v>0.0</v>
      </c>
      <c r="AT20" s="25">
        <v>0.0</v>
      </c>
      <c r="AU20" s="26"/>
      <c r="AV20" s="35">
        <f t="shared" si="1"/>
        <v>3447.6</v>
      </c>
      <c r="AW20" s="33">
        <f t="shared" si="2"/>
        <v>340</v>
      </c>
      <c r="AX20" s="33">
        <f t="shared" si="3"/>
        <v>0</v>
      </c>
      <c r="AY20" s="33">
        <f t="shared" si="4"/>
        <v>340</v>
      </c>
      <c r="AZ20" s="30">
        <f t="shared" si="5"/>
        <v>10.14</v>
      </c>
    </row>
    <row r="21" ht="15.75" customHeight="1">
      <c r="A21" s="31" t="s">
        <v>38</v>
      </c>
      <c r="B21" s="32">
        <f t="shared" si="6"/>
        <v>44581</v>
      </c>
      <c r="C21" s="33">
        <v>1.0</v>
      </c>
      <c r="D21" s="33" t="s">
        <v>48</v>
      </c>
      <c r="E21" s="34"/>
      <c r="F21" s="24">
        <v>0.0</v>
      </c>
      <c r="H21" s="25">
        <v>0.0</v>
      </c>
      <c r="J21" s="25">
        <v>0.0</v>
      </c>
      <c r="L21" s="25">
        <v>0.0</v>
      </c>
      <c r="N21" s="25">
        <v>0.0</v>
      </c>
      <c r="P21" s="25">
        <v>0.0</v>
      </c>
      <c r="Q21" s="26"/>
      <c r="R21" s="24">
        <v>150.0</v>
      </c>
      <c r="T21" s="25">
        <v>150.0</v>
      </c>
      <c r="V21" s="25">
        <v>0.0</v>
      </c>
      <c r="X21" s="25">
        <v>0.0</v>
      </c>
      <c r="Z21" s="25">
        <v>0.0</v>
      </c>
      <c r="AB21" s="25">
        <v>0.0</v>
      </c>
      <c r="AC21" s="26"/>
      <c r="AD21" s="25">
        <v>0.0</v>
      </c>
      <c r="AF21" s="25">
        <v>0.0</v>
      </c>
      <c r="AH21" s="25">
        <v>0.0</v>
      </c>
      <c r="AJ21" s="27">
        <v>0.0</v>
      </c>
      <c r="AK21" s="26"/>
      <c r="AL21" s="24">
        <v>0.0</v>
      </c>
      <c r="AM21" s="26"/>
      <c r="AN21" s="24">
        <v>0.0</v>
      </c>
      <c r="AO21" s="26"/>
      <c r="AP21" s="24">
        <v>0.0</v>
      </c>
      <c r="AQ21" s="26"/>
      <c r="AR21" s="25">
        <v>0.0</v>
      </c>
      <c r="AT21" s="25">
        <v>0.0</v>
      </c>
      <c r="AU21" s="26"/>
      <c r="AV21" s="35">
        <f t="shared" si="1"/>
        <v>3042</v>
      </c>
      <c r="AW21" s="33">
        <f t="shared" si="2"/>
        <v>300</v>
      </c>
      <c r="AX21" s="33">
        <f t="shared" si="3"/>
        <v>0</v>
      </c>
      <c r="AY21" s="33">
        <f t="shared" si="4"/>
        <v>300</v>
      </c>
      <c r="AZ21" s="30">
        <f t="shared" si="5"/>
        <v>10.14</v>
      </c>
    </row>
    <row r="22" ht="15.75" customHeight="1">
      <c r="A22" s="31" t="s">
        <v>45</v>
      </c>
      <c r="B22" s="32">
        <f t="shared" si="6"/>
        <v>44582</v>
      </c>
      <c r="C22" s="33">
        <v>1.0</v>
      </c>
      <c r="D22" s="33" t="s">
        <v>48</v>
      </c>
      <c r="E22" s="34"/>
      <c r="F22" s="24">
        <v>0.0</v>
      </c>
      <c r="H22" s="25">
        <v>0.0</v>
      </c>
      <c r="J22" s="25">
        <v>0.0</v>
      </c>
      <c r="L22" s="25">
        <v>0.0</v>
      </c>
      <c r="N22" s="25">
        <v>0.0</v>
      </c>
      <c r="P22" s="25">
        <v>0.0</v>
      </c>
      <c r="Q22" s="26"/>
      <c r="R22" s="24">
        <v>0.0</v>
      </c>
      <c r="T22" s="25">
        <v>0.0</v>
      </c>
      <c r="V22" s="25">
        <v>0.0</v>
      </c>
      <c r="X22" s="25">
        <v>0.0</v>
      </c>
      <c r="Z22" s="25">
        <v>0.0</v>
      </c>
      <c r="AB22" s="25">
        <v>0.0</v>
      </c>
      <c r="AC22" s="26"/>
      <c r="AD22" s="25">
        <v>0.0</v>
      </c>
      <c r="AF22" s="25">
        <v>0.0</v>
      </c>
      <c r="AH22" s="25">
        <v>0.0</v>
      </c>
      <c r="AJ22" s="27">
        <v>0.0</v>
      </c>
      <c r="AK22" s="26"/>
      <c r="AL22" s="24">
        <v>0.0</v>
      </c>
      <c r="AM22" s="26"/>
      <c r="AN22" s="24">
        <v>0.0</v>
      </c>
      <c r="AO22" s="26"/>
      <c r="AP22" s="24">
        <v>0.0</v>
      </c>
      <c r="AQ22" s="26"/>
      <c r="AR22" s="25">
        <v>0.0</v>
      </c>
      <c r="AT22" s="25">
        <v>0.0</v>
      </c>
      <c r="AU22" s="26"/>
      <c r="AV22" s="35">
        <f t="shared" si="1"/>
        <v>0</v>
      </c>
      <c r="AW22" s="33">
        <f t="shared" si="2"/>
        <v>0</v>
      </c>
      <c r="AX22" s="33">
        <f t="shared" si="3"/>
        <v>0</v>
      </c>
      <c r="AY22" s="33">
        <f t="shared" si="4"/>
        <v>0</v>
      </c>
      <c r="AZ22" s="30" t="str">
        <f t="shared" si="5"/>
        <v/>
      </c>
    </row>
    <row r="23" ht="15.75" customHeight="1">
      <c r="A23" s="44" t="s">
        <v>46</v>
      </c>
      <c r="B23" s="45">
        <f t="shared" si="6"/>
        <v>44583</v>
      </c>
      <c r="C23" s="46">
        <v>1.0</v>
      </c>
      <c r="D23" s="46" t="s">
        <v>48</v>
      </c>
      <c r="E23" s="47"/>
      <c r="F23" s="49">
        <v>0.0</v>
      </c>
      <c r="G23" s="51"/>
      <c r="H23" s="52">
        <v>0.0</v>
      </c>
      <c r="I23" s="51"/>
      <c r="J23" s="52">
        <v>0.0</v>
      </c>
      <c r="K23" s="51"/>
      <c r="L23" s="52">
        <v>0.0</v>
      </c>
      <c r="M23" s="51"/>
      <c r="N23" s="52">
        <v>0.0</v>
      </c>
      <c r="O23" s="51"/>
      <c r="P23" s="52">
        <v>0.0</v>
      </c>
      <c r="Q23" s="53"/>
      <c r="R23" s="49">
        <v>0.0</v>
      </c>
      <c r="S23" s="51"/>
      <c r="T23" s="52">
        <v>0.0</v>
      </c>
      <c r="U23" s="51"/>
      <c r="V23" s="52">
        <v>0.0</v>
      </c>
      <c r="W23" s="51"/>
      <c r="X23" s="52">
        <v>0.0</v>
      </c>
      <c r="Y23" s="51"/>
      <c r="Z23" s="52">
        <v>0.0</v>
      </c>
      <c r="AA23" s="51"/>
      <c r="AB23" s="52">
        <v>0.0</v>
      </c>
      <c r="AC23" s="53"/>
      <c r="AD23" s="52">
        <v>0.0</v>
      </c>
      <c r="AE23" s="51"/>
      <c r="AF23" s="52">
        <v>0.0</v>
      </c>
      <c r="AG23" s="51"/>
      <c r="AH23" s="52">
        <v>0.0</v>
      </c>
      <c r="AI23" s="51"/>
      <c r="AJ23" s="54">
        <v>0.0</v>
      </c>
      <c r="AK23" s="53"/>
      <c r="AL23" s="49">
        <v>0.0</v>
      </c>
      <c r="AM23" s="53"/>
      <c r="AN23" s="49">
        <v>0.0</v>
      </c>
      <c r="AO23" s="53"/>
      <c r="AP23" s="49">
        <v>0.0</v>
      </c>
      <c r="AQ23" s="53"/>
      <c r="AR23" s="52">
        <v>0.0</v>
      </c>
      <c r="AS23" s="51"/>
      <c r="AT23" s="52">
        <v>0.0</v>
      </c>
      <c r="AU23" s="53"/>
      <c r="AV23" s="55">
        <f t="shared" si="1"/>
        <v>0</v>
      </c>
      <c r="AW23" s="46">
        <f t="shared" si="2"/>
        <v>0</v>
      </c>
      <c r="AX23" s="46">
        <f t="shared" si="3"/>
        <v>0</v>
      </c>
      <c r="AY23" s="46">
        <f t="shared" si="4"/>
        <v>0</v>
      </c>
      <c r="AZ23" s="56" t="str">
        <f t="shared" si="5"/>
        <v/>
      </c>
    </row>
    <row r="24" ht="15.75" customHeight="1">
      <c r="A24" s="19" t="s">
        <v>30</v>
      </c>
      <c r="B24" s="57">
        <f t="shared" si="6"/>
        <v>44584</v>
      </c>
      <c r="C24" s="21">
        <v>1.0</v>
      </c>
      <c r="D24" s="21" t="s">
        <v>49</v>
      </c>
      <c r="E24" s="23"/>
      <c r="F24" s="24">
        <v>0.0</v>
      </c>
      <c r="H24" s="25">
        <v>0.0</v>
      </c>
      <c r="J24" s="25">
        <v>0.0</v>
      </c>
      <c r="L24" s="25">
        <v>0.0</v>
      </c>
      <c r="N24" s="25">
        <v>0.0</v>
      </c>
      <c r="P24" s="25">
        <v>0.0</v>
      </c>
      <c r="Q24" s="26"/>
      <c r="R24" s="24">
        <v>150.0</v>
      </c>
      <c r="T24" s="25">
        <v>150.0</v>
      </c>
      <c r="V24" s="25">
        <v>0.0</v>
      </c>
      <c r="X24" s="25">
        <v>0.0</v>
      </c>
      <c r="Z24" s="25">
        <v>0.0</v>
      </c>
      <c r="AB24" s="25">
        <v>0.0</v>
      </c>
      <c r="AC24" s="26"/>
      <c r="AD24" s="25">
        <v>0.0</v>
      </c>
      <c r="AF24" s="25">
        <v>0.0</v>
      </c>
      <c r="AH24" s="25">
        <v>0.0</v>
      </c>
      <c r="AJ24" s="27">
        <v>0.0</v>
      </c>
      <c r="AK24" s="26"/>
      <c r="AL24" s="24">
        <v>0.0</v>
      </c>
      <c r="AM24" s="26"/>
      <c r="AN24" s="24">
        <v>0.0</v>
      </c>
      <c r="AO24" s="26"/>
      <c r="AP24" s="24">
        <v>0.0</v>
      </c>
      <c r="AQ24" s="26"/>
      <c r="AR24" s="25">
        <v>0.0</v>
      </c>
      <c r="AT24" s="25">
        <v>0.0</v>
      </c>
      <c r="AU24" s="26"/>
      <c r="AV24" s="29">
        <f t="shared" si="1"/>
        <v>3042</v>
      </c>
      <c r="AW24" s="21">
        <f t="shared" si="2"/>
        <v>300</v>
      </c>
      <c r="AX24" s="21">
        <f t="shared" si="3"/>
        <v>0</v>
      </c>
      <c r="AY24" s="21">
        <f t="shared" si="4"/>
        <v>300</v>
      </c>
      <c r="AZ24" s="58">
        <f t="shared" si="5"/>
        <v>10.14</v>
      </c>
    </row>
    <row r="25" ht="15.75" customHeight="1">
      <c r="A25" s="31" t="s">
        <v>33</v>
      </c>
      <c r="B25" s="32">
        <f t="shared" si="6"/>
        <v>44585</v>
      </c>
      <c r="C25" s="33">
        <v>1.0</v>
      </c>
      <c r="D25" s="33" t="s">
        <v>49</v>
      </c>
      <c r="E25" s="34"/>
      <c r="F25" s="24">
        <v>0.0</v>
      </c>
      <c r="H25" s="25">
        <v>0.0</v>
      </c>
      <c r="J25" s="25">
        <v>0.0</v>
      </c>
      <c r="L25" s="25">
        <v>0.0</v>
      </c>
      <c r="N25" s="25">
        <v>0.0</v>
      </c>
      <c r="P25" s="25">
        <v>0.0</v>
      </c>
      <c r="Q25" s="26"/>
      <c r="R25" s="24">
        <v>150.0</v>
      </c>
      <c r="T25" s="25">
        <v>170.0</v>
      </c>
      <c r="V25" s="25">
        <v>0.0</v>
      </c>
      <c r="X25" s="25">
        <v>0.0</v>
      </c>
      <c r="Z25" s="25">
        <v>0.0</v>
      </c>
      <c r="AB25" s="25">
        <v>0.0</v>
      </c>
      <c r="AC25" s="26"/>
      <c r="AD25" s="25">
        <v>0.0</v>
      </c>
      <c r="AF25" s="25">
        <v>0.0</v>
      </c>
      <c r="AH25" s="25">
        <v>0.0</v>
      </c>
      <c r="AJ25" s="27">
        <v>0.0</v>
      </c>
      <c r="AK25" s="26"/>
      <c r="AL25" s="24">
        <v>0.0</v>
      </c>
      <c r="AM25" s="26"/>
      <c r="AN25" s="24">
        <v>0.0</v>
      </c>
      <c r="AO25" s="26"/>
      <c r="AP25" s="24">
        <v>0.0</v>
      </c>
      <c r="AQ25" s="26"/>
      <c r="AR25" s="25">
        <v>0.0</v>
      </c>
      <c r="AT25" s="25">
        <v>0.0</v>
      </c>
      <c r="AU25" s="26"/>
      <c r="AV25" s="35">
        <f t="shared" si="1"/>
        <v>3244.8</v>
      </c>
      <c r="AW25" s="33">
        <f t="shared" si="2"/>
        <v>320</v>
      </c>
      <c r="AX25" s="33">
        <f t="shared" si="3"/>
        <v>0</v>
      </c>
      <c r="AY25" s="33">
        <f t="shared" si="4"/>
        <v>320</v>
      </c>
      <c r="AZ25" s="30">
        <f t="shared" si="5"/>
        <v>10.14</v>
      </c>
    </row>
    <row r="26" ht="15.75" customHeight="1">
      <c r="A26" s="31" t="s">
        <v>34</v>
      </c>
      <c r="B26" s="32">
        <f t="shared" si="6"/>
        <v>44586</v>
      </c>
      <c r="C26" s="33">
        <v>1.0</v>
      </c>
      <c r="D26" s="33" t="s">
        <v>49</v>
      </c>
      <c r="E26" s="34"/>
      <c r="F26" s="24">
        <v>0.0</v>
      </c>
      <c r="H26" s="25">
        <v>0.0</v>
      </c>
      <c r="J26" s="25">
        <v>0.0</v>
      </c>
      <c r="L26" s="25">
        <v>0.0</v>
      </c>
      <c r="N26" s="25">
        <v>0.0</v>
      </c>
      <c r="P26" s="25">
        <v>0.0</v>
      </c>
      <c r="Q26" s="26"/>
      <c r="R26" s="24">
        <v>180.0</v>
      </c>
      <c r="T26" s="25">
        <v>180.0</v>
      </c>
      <c r="V26" s="25">
        <v>0.0</v>
      </c>
      <c r="X26" s="25">
        <v>0.0</v>
      </c>
      <c r="Z26" s="25">
        <v>0.0</v>
      </c>
      <c r="AB26" s="25">
        <v>0.0</v>
      </c>
      <c r="AC26" s="26"/>
      <c r="AD26" s="25">
        <v>0.0</v>
      </c>
      <c r="AF26" s="25">
        <v>0.0</v>
      </c>
      <c r="AH26" s="25">
        <v>0.0</v>
      </c>
      <c r="AJ26" s="27">
        <v>0.0</v>
      </c>
      <c r="AK26" s="26"/>
      <c r="AL26" s="24">
        <v>0.0</v>
      </c>
      <c r="AM26" s="26"/>
      <c r="AN26" s="24">
        <v>0.0</v>
      </c>
      <c r="AO26" s="26"/>
      <c r="AP26" s="24">
        <v>0.0</v>
      </c>
      <c r="AQ26" s="26"/>
      <c r="AR26" s="25">
        <v>0.0</v>
      </c>
      <c r="AT26" s="25">
        <v>0.0</v>
      </c>
      <c r="AU26" s="26"/>
      <c r="AV26" s="35">
        <f t="shared" si="1"/>
        <v>3650.4</v>
      </c>
      <c r="AW26" s="33">
        <f t="shared" si="2"/>
        <v>360</v>
      </c>
      <c r="AX26" s="33">
        <f t="shared" si="3"/>
        <v>0</v>
      </c>
      <c r="AY26" s="33">
        <f t="shared" si="4"/>
        <v>360</v>
      </c>
      <c r="AZ26" s="30">
        <f t="shared" si="5"/>
        <v>10.14</v>
      </c>
    </row>
    <row r="27" ht="15.75" customHeight="1">
      <c r="A27" s="31" t="s">
        <v>35</v>
      </c>
      <c r="B27" s="32">
        <f t="shared" si="6"/>
        <v>44587</v>
      </c>
      <c r="C27" s="33">
        <v>1.0</v>
      </c>
      <c r="D27" s="33" t="s">
        <v>49</v>
      </c>
      <c r="E27" s="34"/>
      <c r="F27" s="24">
        <v>0.0</v>
      </c>
      <c r="H27" s="25">
        <v>0.0</v>
      </c>
      <c r="J27" s="25">
        <v>0.0</v>
      </c>
      <c r="L27" s="25">
        <v>0.0</v>
      </c>
      <c r="N27" s="25">
        <v>0.0</v>
      </c>
      <c r="P27" s="25">
        <v>0.0</v>
      </c>
      <c r="Q27" s="26"/>
      <c r="R27" s="24">
        <v>180.0</v>
      </c>
      <c r="T27" s="25">
        <v>180.0</v>
      </c>
      <c r="V27" s="25">
        <v>0.0</v>
      </c>
      <c r="X27" s="25">
        <v>0.0</v>
      </c>
      <c r="Z27" s="25">
        <v>0.0</v>
      </c>
      <c r="AB27" s="25">
        <v>0.0</v>
      </c>
      <c r="AC27" s="26"/>
      <c r="AD27" s="25">
        <v>0.0</v>
      </c>
      <c r="AF27" s="25">
        <v>0.0</v>
      </c>
      <c r="AH27" s="25">
        <v>0.0</v>
      </c>
      <c r="AJ27" s="27">
        <v>0.0</v>
      </c>
      <c r="AK27" s="26"/>
      <c r="AL27" s="24">
        <v>0.0</v>
      </c>
      <c r="AM27" s="26"/>
      <c r="AN27" s="24">
        <v>0.0</v>
      </c>
      <c r="AO27" s="26"/>
      <c r="AP27" s="24">
        <v>0.0</v>
      </c>
      <c r="AQ27" s="26"/>
      <c r="AR27" s="25">
        <v>0.0</v>
      </c>
      <c r="AT27" s="25">
        <v>0.0</v>
      </c>
      <c r="AU27" s="26"/>
      <c r="AV27" s="35">
        <f t="shared" si="1"/>
        <v>3650.4</v>
      </c>
      <c r="AW27" s="33">
        <f t="shared" si="2"/>
        <v>360</v>
      </c>
      <c r="AX27" s="33">
        <f t="shared" si="3"/>
        <v>0</v>
      </c>
      <c r="AY27" s="33">
        <f t="shared" si="4"/>
        <v>360</v>
      </c>
      <c r="AZ27" s="30">
        <f t="shared" si="5"/>
        <v>10.14</v>
      </c>
    </row>
    <row r="28" ht="15.75" customHeight="1">
      <c r="A28" s="31" t="s">
        <v>38</v>
      </c>
      <c r="B28" s="32">
        <f t="shared" si="6"/>
        <v>44588</v>
      </c>
      <c r="C28" s="33">
        <v>1.0</v>
      </c>
      <c r="D28" s="33" t="s">
        <v>49</v>
      </c>
      <c r="E28" s="34"/>
      <c r="F28" s="24">
        <v>0.0</v>
      </c>
      <c r="H28" s="25">
        <v>0.0</v>
      </c>
      <c r="J28" s="25">
        <v>0.0</v>
      </c>
      <c r="L28" s="25">
        <v>0.0</v>
      </c>
      <c r="N28" s="25">
        <v>0.0</v>
      </c>
      <c r="P28" s="25">
        <v>0.0</v>
      </c>
      <c r="Q28" s="26"/>
      <c r="R28" s="24">
        <v>180.0</v>
      </c>
      <c r="T28" s="25">
        <v>180.0</v>
      </c>
      <c r="V28" s="25">
        <v>0.0</v>
      </c>
      <c r="X28" s="25">
        <v>0.0</v>
      </c>
      <c r="Z28" s="25">
        <v>0.0</v>
      </c>
      <c r="AB28" s="25">
        <v>0.0</v>
      </c>
      <c r="AC28" s="26"/>
      <c r="AD28" s="25">
        <v>0.0</v>
      </c>
      <c r="AF28" s="25">
        <v>0.0</v>
      </c>
      <c r="AH28" s="25">
        <v>0.0</v>
      </c>
      <c r="AJ28" s="27">
        <v>0.0</v>
      </c>
      <c r="AK28" s="26"/>
      <c r="AL28" s="24">
        <v>0.0</v>
      </c>
      <c r="AM28" s="26"/>
      <c r="AN28" s="24">
        <v>0.0</v>
      </c>
      <c r="AO28" s="26"/>
      <c r="AP28" s="24">
        <v>0.0</v>
      </c>
      <c r="AQ28" s="26"/>
      <c r="AR28" s="25">
        <v>0.0</v>
      </c>
      <c r="AT28" s="25">
        <v>0.0</v>
      </c>
      <c r="AU28" s="26"/>
      <c r="AV28" s="35">
        <f t="shared" si="1"/>
        <v>3650.4</v>
      </c>
      <c r="AW28" s="33">
        <f t="shared" si="2"/>
        <v>360</v>
      </c>
      <c r="AX28" s="33">
        <f t="shared" si="3"/>
        <v>0</v>
      </c>
      <c r="AY28" s="33">
        <f t="shared" si="4"/>
        <v>360</v>
      </c>
      <c r="AZ28" s="30">
        <f t="shared" si="5"/>
        <v>10.14</v>
      </c>
    </row>
    <row r="29" ht="15.75" customHeight="1">
      <c r="A29" s="31" t="s">
        <v>45</v>
      </c>
      <c r="B29" s="32">
        <f t="shared" si="6"/>
        <v>44589</v>
      </c>
      <c r="C29" s="33">
        <v>1.0</v>
      </c>
      <c r="D29" s="33" t="s">
        <v>49</v>
      </c>
      <c r="E29" s="34"/>
      <c r="F29" s="24">
        <v>0.0</v>
      </c>
      <c r="H29" s="25">
        <v>0.0</v>
      </c>
      <c r="J29" s="25">
        <v>0.0</v>
      </c>
      <c r="L29" s="25">
        <v>0.0</v>
      </c>
      <c r="N29" s="25">
        <v>0.0</v>
      </c>
      <c r="P29" s="25">
        <v>0.0</v>
      </c>
      <c r="Q29" s="26"/>
      <c r="R29" s="24">
        <v>0.0</v>
      </c>
      <c r="T29" s="25">
        <v>0.0</v>
      </c>
      <c r="V29" s="25">
        <v>0.0</v>
      </c>
      <c r="X29" s="25">
        <v>0.0</v>
      </c>
      <c r="Z29" s="25">
        <v>0.0</v>
      </c>
      <c r="AB29" s="25">
        <v>0.0</v>
      </c>
      <c r="AC29" s="26"/>
      <c r="AD29" s="25">
        <v>0.0</v>
      </c>
      <c r="AF29" s="25">
        <v>0.0</v>
      </c>
      <c r="AH29" s="25">
        <v>0.0</v>
      </c>
      <c r="AJ29" s="27">
        <v>0.0</v>
      </c>
      <c r="AK29" s="26"/>
      <c r="AL29" s="24">
        <v>0.0</v>
      </c>
      <c r="AM29" s="26"/>
      <c r="AN29" s="24">
        <v>0.0</v>
      </c>
      <c r="AO29" s="26"/>
      <c r="AP29" s="24">
        <v>0.0</v>
      </c>
      <c r="AQ29" s="26"/>
      <c r="AR29" s="25">
        <v>0.0</v>
      </c>
      <c r="AT29" s="25">
        <v>0.0</v>
      </c>
      <c r="AU29" s="26"/>
      <c r="AV29" s="35">
        <f t="shared" si="1"/>
        <v>0</v>
      </c>
      <c r="AW29" s="33">
        <f t="shared" si="2"/>
        <v>0</v>
      </c>
      <c r="AX29" s="33">
        <f t="shared" si="3"/>
        <v>0</v>
      </c>
      <c r="AY29" s="33">
        <f t="shared" si="4"/>
        <v>0</v>
      </c>
      <c r="AZ29" s="30" t="str">
        <f t="shared" si="5"/>
        <v/>
      </c>
    </row>
    <row r="30" ht="15.75" customHeight="1">
      <c r="A30" s="44" t="s">
        <v>46</v>
      </c>
      <c r="B30" s="45">
        <f t="shared" si="6"/>
        <v>44590</v>
      </c>
      <c r="C30" s="46">
        <v>1.0</v>
      </c>
      <c r="D30" s="46" t="s">
        <v>49</v>
      </c>
      <c r="E30" s="47"/>
      <c r="F30" s="49">
        <v>0.0</v>
      </c>
      <c r="G30" s="51"/>
      <c r="H30" s="52">
        <v>0.0</v>
      </c>
      <c r="I30" s="51"/>
      <c r="J30" s="52">
        <v>0.0</v>
      </c>
      <c r="K30" s="51"/>
      <c r="L30" s="52">
        <v>0.0</v>
      </c>
      <c r="M30" s="51"/>
      <c r="N30" s="52">
        <v>0.0</v>
      </c>
      <c r="O30" s="51"/>
      <c r="P30" s="52">
        <v>0.0</v>
      </c>
      <c r="Q30" s="53"/>
      <c r="R30" s="49">
        <v>0.0</v>
      </c>
      <c r="S30" s="51"/>
      <c r="T30" s="52">
        <v>0.0</v>
      </c>
      <c r="U30" s="51"/>
      <c r="V30" s="52">
        <v>0.0</v>
      </c>
      <c r="W30" s="51"/>
      <c r="X30" s="52">
        <v>0.0</v>
      </c>
      <c r="Y30" s="51"/>
      <c r="Z30" s="52">
        <v>0.0</v>
      </c>
      <c r="AA30" s="51"/>
      <c r="AB30" s="52">
        <v>0.0</v>
      </c>
      <c r="AC30" s="53"/>
      <c r="AD30" s="52">
        <v>0.0</v>
      </c>
      <c r="AE30" s="51"/>
      <c r="AF30" s="52">
        <v>0.0</v>
      </c>
      <c r="AG30" s="51"/>
      <c r="AH30" s="52">
        <v>0.0</v>
      </c>
      <c r="AI30" s="51"/>
      <c r="AJ30" s="54">
        <v>0.0</v>
      </c>
      <c r="AK30" s="53"/>
      <c r="AL30" s="49">
        <v>0.0</v>
      </c>
      <c r="AM30" s="53"/>
      <c r="AN30" s="49">
        <v>0.0</v>
      </c>
      <c r="AO30" s="53"/>
      <c r="AP30" s="49">
        <v>0.0</v>
      </c>
      <c r="AQ30" s="53"/>
      <c r="AR30" s="52">
        <v>0.0</v>
      </c>
      <c r="AS30" s="51"/>
      <c r="AT30" s="52">
        <v>0.0</v>
      </c>
      <c r="AU30" s="53"/>
      <c r="AV30" s="55">
        <f t="shared" si="1"/>
        <v>0</v>
      </c>
      <c r="AW30" s="46">
        <f t="shared" si="2"/>
        <v>0</v>
      </c>
      <c r="AX30" s="46">
        <f t="shared" si="3"/>
        <v>0</v>
      </c>
      <c r="AY30" s="46">
        <f t="shared" si="4"/>
        <v>0</v>
      </c>
      <c r="AZ30" s="56" t="str">
        <f t="shared" si="5"/>
        <v/>
      </c>
    </row>
    <row r="31" ht="15.75" customHeight="1">
      <c r="A31" s="19" t="s">
        <v>30</v>
      </c>
      <c r="B31" s="57">
        <f t="shared" si="6"/>
        <v>44591</v>
      </c>
      <c r="C31" s="69">
        <v>2.0</v>
      </c>
      <c r="D31" s="21" t="s">
        <v>31</v>
      </c>
      <c r="E31" s="23"/>
      <c r="F31" s="24">
        <v>30.0</v>
      </c>
      <c r="H31" s="25">
        <v>30.0</v>
      </c>
      <c r="J31" s="25">
        <v>0.0</v>
      </c>
      <c r="L31" s="25">
        <v>0.0</v>
      </c>
      <c r="N31" s="25">
        <v>0.0</v>
      </c>
      <c r="P31" s="25">
        <v>0.0</v>
      </c>
      <c r="Q31" s="26"/>
      <c r="R31" s="24">
        <v>90.0</v>
      </c>
      <c r="T31" s="25">
        <v>90.0</v>
      </c>
      <c r="V31" s="25">
        <v>0.0</v>
      </c>
      <c r="X31" s="25">
        <v>0.0</v>
      </c>
      <c r="Z31" s="25">
        <v>0.0</v>
      </c>
      <c r="AB31" s="25">
        <v>0.0</v>
      </c>
      <c r="AC31" s="26"/>
      <c r="AD31" s="25">
        <v>0.0</v>
      </c>
      <c r="AF31" s="25">
        <v>0.0</v>
      </c>
      <c r="AH31" s="25">
        <v>0.0</v>
      </c>
      <c r="AJ31" s="27">
        <v>0.0</v>
      </c>
      <c r="AK31" s="26"/>
      <c r="AL31" s="24">
        <v>0.0</v>
      </c>
      <c r="AM31" s="26"/>
      <c r="AN31" s="24">
        <v>80.0</v>
      </c>
      <c r="AO31" s="26"/>
      <c r="AP31" s="24">
        <v>0.0</v>
      </c>
      <c r="AQ31" s="26"/>
      <c r="AR31" s="25">
        <v>0.0</v>
      </c>
      <c r="AT31" s="25">
        <v>0.0</v>
      </c>
      <c r="AU31" s="26"/>
      <c r="AV31" s="29">
        <f t="shared" si="1"/>
        <v>3162.6</v>
      </c>
      <c r="AW31" s="21">
        <f t="shared" si="2"/>
        <v>320</v>
      </c>
      <c r="AX31" s="21">
        <f t="shared" si="3"/>
        <v>0</v>
      </c>
      <c r="AY31" s="21">
        <f t="shared" si="4"/>
        <v>320</v>
      </c>
      <c r="AZ31" s="58">
        <f t="shared" si="5"/>
        <v>9.883125</v>
      </c>
    </row>
    <row r="32" ht="15.75" customHeight="1">
      <c r="A32" s="31" t="s">
        <v>33</v>
      </c>
      <c r="B32" s="32">
        <f t="shared" si="6"/>
        <v>44592</v>
      </c>
      <c r="C32" s="70">
        <v>2.0</v>
      </c>
      <c r="D32" s="33" t="s">
        <v>31</v>
      </c>
      <c r="E32" s="34"/>
      <c r="F32" s="24">
        <v>30.0</v>
      </c>
      <c r="H32" s="25">
        <v>30.0</v>
      </c>
      <c r="J32" s="25">
        <v>0.0</v>
      </c>
      <c r="L32" s="25">
        <v>0.0</v>
      </c>
      <c r="N32" s="25">
        <v>0.0</v>
      </c>
      <c r="P32" s="25">
        <v>0.0</v>
      </c>
      <c r="Q32" s="26"/>
      <c r="R32" s="24">
        <v>90.0</v>
      </c>
      <c r="T32" s="25">
        <v>90.0</v>
      </c>
      <c r="V32" s="25">
        <v>0.0</v>
      </c>
      <c r="X32" s="25">
        <v>0.0</v>
      </c>
      <c r="Z32" s="25">
        <v>0.0</v>
      </c>
      <c r="AB32" s="25">
        <v>0.0</v>
      </c>
      <c r="AC32" s="26"/>
      <c r="AD32" s="25">
        <v>0.0</v>
      </c>
      <c r="AF32" s="25">
        <v>0.0</v>
      </c>
      <c r="AH32" s="25">
        <v>0.0</v>
      </c>
      <c r="AJ32" s="27">
        <v>0.0</v>
      </c>
      <c r="AK32" s="26"/>
      <c r="AL32" s="24">
        <v>0.0</v>
      </c>
      <c r="AM32" s="26"/>
      <c r="AN32" s="24">
        <v>0.0</v>
      </c>
      <c r="AO32" s="26"/>
      <c r="AP32" s="24">
        <v>0.0</v>
      </c>
      <c r="AQ32" s="26"/>
      <c r="AR32" s="25">
        <v>0.0</v>
      </c>
      <c r="AT32" s="25">
        <v>0.0</v>
      </c>
      <c r="AU32" s="26"/>
      <c r="AV32" s="35">
        <f t="shared" si="1"/>
        <v>3042.6</v>
      </c>
      <c r="AW32" s="33">
        <f t="shared" si="2"/>
        <v>240</v>
      </c>
      <c r="AX32" s="33">
        <f t="shared" si="3"/>
        <v>0</v>
      </c>
      <c r="AY32" s="33">
        <f t="shared" si="4"/>
        <v>240</v>
      </c>
      <c r="AZ32" s="30">
        <f t="shared" si="5"/>
        <v>12.6775</v>
      </c>
    </row>
    <row r="33" ht="15.75" customHeight="1">
      <c r="A33" s="31" t="s">
        <v>34</v>
      </c>
      <c r="B33" s="32">
        <f t="shared" si="6"/>
        <v>44593</v>
      </c>
      <c r="C33" s="70">
        <v>2.0</v>
      </c>
      <c r="D33" s="33" t="s">
        <v>31</v>
      </c>
      <c r="E33" s="34"/>
      <c r="F33" s="24">
        <v>30.0</v>
      </c>
      <c r="H33" s="25">
        <v>30.0</v>
      </c>
      <c r="J33" s="25">
        <v>0.0</v>
      </c>
      <c r="L33" s="25">
        <v>0.0</v>
      </c>
      <c r="N33" s="25">
        <v>0.0</v>
      </c>
      <c r="P33" s="25">
        <v>0.0</v>
      </c>
      <c r="Q33" s="26"/>
      <c r="R33" s="24">
        <v>90.0</v>
      </c>
      <c r="T33" s="25">
        <v>90.0</v>
      </c>
      <c r="V33" s="25">
        <v>0.0</v>
      </c>
      <c r="X33" s="25">
        <v>0.0</v>
      </c>
      <c r="Z33" s="25">
        <v>0.0</v>
      </c>
      <c r="AB33" s="25">
        <v>0.0</v>
      </c>
      <c r="AC33" s="26"/>
      <c r="AD33" s="25">
        <v>0.0</v>
      </c>
      <c r="AF33" s="25">
        <v>0.0</v>
      </c>
      <c r="AH33" s="25">
        <v>0.0</v>
      </c>
      <c r="AJ33" s="27">
        <v>0.0</v>
      </c>
      <c r="AK33" s="26"/>
      <c r="AL33" s="24">
        <v>0.0</v>
      </c>
      <c r="AM33" s="26"/>
      <c r="AN33" s="24">
        <v>0.0</v>
      </c>
      <c r="AO33" s="26"/>
      <c r="AP33" s="24">
        <v>0.0</v>
      </c>
      <c r="AQ33" s="26"/>
      <c r="AR33" s="25">
        <v>0.0</v>
      </c>
      <c r="AT33" s="25">
        <v>0.0</v>
      </c>
      <c r="AU33" s="26"/>
      <c r="AV33" s="35">
        <f t="shared" si="1"/>
        <v>3042.6</v>
      </c>
      <c r="AW33" s="33">
        <f t="shared" si="2"/>
        <v>240</v>
      </c>
      <c r="AX33" s="33">
        <f t="shared" si="3"/>
        <v>0</v>
      </c>
      <c r="AY33" s="33">
        <f t="shared" si="4"/>
        <v>240</v>
      </c>
      <c r="AZ33" s="30">
        <f t="shared" si="5"/>
        <v>12.6775</v>
      </c>
    </row>
    <row r="34" ht="15.75" customHeight="1">
      <c r="A34" s="31" t="s">
        <v>35</v>
      </c>
      <c r="B34" s="32">
        <f t="shared" si="6"/>
        <v>44594</v>
      </c>
      <c r="C34" s="70">
        <v>2.0</v>
      </c>
      <c r="D34" s="33" t="s">
        <v>31</v>
      </c>
      <c r="E34" s="34"/>
      <c r="F34" s="24">
        <v>30.0</v>
      </c>
      <c r="H34" s="25">
        <v>30.0</v>
      </c>
      <c r="J34" s="25">
        <v>0.0</v>
      </c>
      <c r="L34" s="25">
        <v>0.0</v>
      </c>
      <c r="N34" s="25">
        <v>0.0</v>
      </c>
      <c r="P34" s="25">
        <v>0.0</v>
      </c>
      <c r="Q34" s="26"/>
      <c r="R34" s="24">
        <v>90.0</v>
      </c>
      <c r="T34" s="25">
        <v>90.0</v>
      </c>
      <c r="V34" s="25">
        <v>0.0</v>
      </c>
      <c r="X34" s="25">
        <v>0.0</v>
      </c>
      <c r="Z34" s="25">
        <v>0.0</v>
      </c>
      <c r="AB34" s="25">
        <v>0.0</v>
      </c>
      <c r="AC34" s="26"/>
      <c r="AD34" s="25">
        <v>0.0</v>
      </c>
      <c r="AF34" s="25">
        <v>0.0</v>
      </c>
      <c r="AH34" s="25">
        <v>0.0</v>
      </c>
      <c r="AJ34" s="27">
        <v>0.0</v>
      </c>
      <c r="AK34" s="26"/>
      <c r="AL34" s="24">
        <v>0.0</v>
      </c>
      <c r="AM34" s="26"/>
      <c r="AN34" s="24">
        <v>0.0</v>
      </c>
      <c r="AO34" s="26"/>
      <c r="AP34" s="24">
        <v>0.0</v>
      </c>
      <c r="AQ34" s="26"/>
      <c r="AR34" s="25">
        <v>0.0</v>
      </c>
      <c r="AT34" s="25">
        <v>0.0</v>
      </c>
      <c r="AU34" s="26"/>
      <c r="AV34" s="35">
        <f t="shared" si="1"/>
        <v>3042.6</v>
      </c>
      <c r="AW34" s="33">
        <f t="shared" si="2"/>
        <v>240</v>
      </c>
      <c r="AX34" s="33">
        <f t="shared" si="3"/>
        <v>0</v>
      </c>
      <c r="AY34" s="33">
        <f t="shared" si="4"/>
        <v>240</v>
      </c>
      <c r="AZ34" s="30">
        <f t="shared" si="5"/>
        <v>12.6775</v>
      </c>
    </row>
    <row r="35" ht="15.75" customHeight="1">
      <c r="A35" s="31" t="s">
        <v>38</v>
      </c>
      <c r="B35" s="32">
        <f t="shared" si="6"/>
        <v>44595</v>
      </c>
      <c r="C35" s="70">
        <v>2.0</v>
      </c>
      <c r="D35" s="33" t="s">
        <v>31</v>
      </c>
      <c r="E35" s="34"/>
      <c r="F35" s="24">
        <v>30.0</v>
      </c>
      <c r="H35" s="25">
        <v>30.0</v>
      </c>
      <c r="J35" s="25">
        <v>0.0</v>
      </c>
      <c r="L35" s="25">
        <v>0.0</v>
      </c>
      <c r="N35" s="25">
        <v>0.0</v>
      </c>
      <c r="P35" s="25">
        <v>0.0</v>
      </c>
      <c r="Q35" s="26"/>
      <c r="R35" s="24">
        <v>90.0</v>
      </c>
      <c r="T35" s="25">
        <v>90.0</v>
      </c>
      <c r="V35" s="25">
        <v>0.0</v>
      </c>
      <c r="X35" s="25">
        <v>0.0</v>
      </c>
      <c r="Z35" s="25">
        <v>0.0</v>
      </c>
      <c r="AB35" s="25">
        <v>0.0</v>
      </c>
      <c r="AC35" s="26"/>
      <c r="AD35" s="25">
        <v>0.0</v>
      </c>
      <c r="AF35" s="25">
        <v>0.0</v>
      </c>
      <c r="AH35" s="25">
        <v>0.0</v>
      </c>
      <c r="AJ35" s="27">
        <v>0.0</v>
      </c>
      <c r="AK35" s="26"/>
      <c r="AL35" s="24">
        <v>0.0</v>
      </c>
      <c r="AM35" s="26"/>
      <c r="AN35" s="24">
        <v>20.0</v>
      </c>
      <c r="AO35" s="26"/>
      <c r="AP35" s="24">
        <v>0.0</v>
      </c>
      <c r="AQ35" s="26"/>
      <c r="AR35" s="25">
        <v>0.0</v>
      </c>
      <c r="AT35" s="25">
        <v>0.0</v>
      </c>
      <c r="AU35" s="26"/>
      <c r="AV35" s="35">
        <f t="shared" si="1"/>
        <v>3072.6</v>
      </c>
      <c r="AW35" s="33">
        <f t="shared" si="2"/>
        <v>260</v>
      </c>
      <c r="AX35" s="33">
        <f t="shared" si="3"/>
        <v>0</v>
      </c>
      <c r="AY35" s="33">
        <f t="shared" si="4"/>
        <v>260</v>
      </c>
      <c r="AZ35" s="30">
        <f t="shared" si="5"/>
        <v>11.81769231</v>
      </c>
    </row>
    <row r="36" ht="15.75" customHeight="1">
      <c r="A36" s="31" t="s">
        <v>45</v>
      </c>
      <c r="B36" s="32">
        <f t="shared" si="6"/>
        <v>44596</v>
      </c>
      <c r="C36" s="70">
        <v>2.0</v>
      </c>
      <c r="D36" s="33" t="s">
        <v>31</v>
      </c>
      <c r="E36" s="34"/>
      <c r="F36" s="24">
        <v>0.0</v>
      </c>
      <c r="H36" s="25">
        <v>0.0</v>
      </c>
      <c r="J36" s="25">
        <v>0.0</v>
      </c>
      <c r="L36" s="25">
        <v>0.0</v>
      </c>
      <c r="N36" s="25">
        <v>0.0</v>
      </c>
      <c r="P36" s="25">
        <v>0.0</v>
      </c>
      <c r="Q36" s="26"/>
      <c r="R36" s="24">
        <v>0.0</v>
      </c>
      <c r="T36" s="25">
        <v>0.0</v>
      </c>
      <c r="V36" s="25">
        <v>0.0</v>
      </c>
      <c r="X36" s="25">
        <v>0.0</v>
      </c>
      <c r="Z36" s="25">
        <v>0.0</v>
      </c>
      <c r="AB36" s="25">
        <v>0.0</v>
      </c>
      <c r="AC36" s="26"/>
      <c r="AD36" s="25">
        <v>0.0</v>
      </c>
      <c r="AF36" s="25">
        <v>0.0</v>
      </c>
      <c r="AH36" s="25">
        <v>0.0</v>
      </c>
      <c r="AJ36" s="27">
        <v>0.0</v>
      </c>
      <c r="AK36" s="26"/>
      <c r="AL36" s="24">
        <v>0.0</v>
      </c>
      <c r="AM36" s="26"/>
      <c r="AN36" s="24">
        <v>0.0</v>
      </c>
      <c r="AO36" s="26"/>
      <c r="AP36" s="24">
        <v>0.0</v>
      </c>
      <c r="AQ36" s="26"/>
      <c r="AR36" s="25">
        <v>0.0</v>
      </c>
      <c r="AT36" s="25">
        <v>0.0</v>
      </c>
      <c r="AU36" s="26"/>
      <c r="AV36" s="35">
        <f t="shared" si="1"/>
        <v>0</v>
      </c>
      <c r="AW36" s="33">
        <f t="shared" si="2"/>
        <v>0</v>
      </c>
      <c r="AX36" s="33">
        <f t="shared" si="3"/>
        <v>0</v>
      </c>
      <c r="AY36" s="33">
        <f t="shared" si="4"/>
        <v>0</v>
      </c>
      <c r="AZ36" s="30" t="str">
        <f t="shared" si="5"/>
        <v/>
      </c>
    </row>
    <row r="37" ht="15.75" customHeight="1">
      <c r="A37" s="44" t="s">
        <v>46</v>
      </c>
      <c r="B37" s="45">
        <f t="shared" si="6"/>
        <v>44597</v>
      </c>
      <c r="C37" s="71">
        <v>2.0</v>
      </c>
      <c r="D37" s="46" t="s">
        <v>31</v>
      </c>
      <c r="E37" s="47"/>
      <c r="F37" s="49">
        <v>0.0</v>
      </c>
      <c r="G37" s="51"/>
      <c r="H37" s="52">
        <v>0.0</v>
      </c>
      <c r="I37" s="51"/>
      <c r="J37" s="52">
        <v>0.0</v>
      </c>
      <c r="K37" s="51"/>
      <c r="L37" s="52">
        <v>0.0</v>
      </c>
      <c r="M37" s="51"/>
      <c r="N37" s="52">
        <v>0.0</v>
      </c>
      <c r="O37" s="51"/>
      <c r="P37" s="52">
        <v>0.0</v>
      </c>
      <c r="Q37" s="53"/>
      <c r="R37" s="49">
        <v>0.0</v>
      </c>
      <c r="S37" s="51"/>
      <c r="T37" s="52">
        <v>0.0</v>
      </c>
      <c r="U37" s="51"/>
      <c r="V37" s="52">
        <v>0.0</v>
      </c>
      <c r="W37" s="51"/>
      <c r="X37" s="52">
        <v>0.0</v>
      </c>
      <c r="Y37" s="51"/>
      <c r="Z37" s="52">
        <v>0.0</v>
      </c>
      <c r="AA37" s="51"/>
      <c r="AB37" s="52">
        <v>0.0</v>
      </c>
      <c r="AC37" s="53"/>
      <c r="AD37" s="52">
        <v>0.0</v>
      </c>
      <c r="AE37" s="51"/>
      <c r="AF37" s="52">
        <v>0.0</v>
      </c>
      <c r="AG37" s="51"/>
      <c r="AH37" s="52">
        <v>0.0</v>
      </c>
      <c r="AI37" s="51"/>
      <c r="AJ37" s="54">
        <v>0.0</v>
      </c>
      <c r="AK37" s="53"/>
      <c r="AL37" s="49">
        <v>0.0</v>
      </c>
      <c r="AM37" s="53"/>
      <c r="AN37" s="49">
        <v>0.0</v>
      </c>
      <c r="AO37" s="53"/>
      <c r="AP37" s="49">
        <v>0.0</v>
      </c>
      <c r="AQ37" s="53"/>
      <c r="AR37" s="52">
        <v>0.0</v>
      </c>
      <c r="AS37" s="51"/>
      <c r="AT37" s="52">
        <v>0.0</v>
      </c>
      <c r="AU37" s="53"/>
      <c r="AV37" s="55">
        <f t="shared" si="1"/>
        <v>0</v>
      </c>
      <c r="AW37" s="46">
        <f t="shared" si="2"/>
        <v>0</v>
      </c>
      <c r="AX37" s="46">
        <f t="shared" si="3"/>
        <v>0</v>
      </c>
      <c r="AY37" s="46">
        <f t="shared" si="4"/>
        <v>0</v>
      </c>
      <c r="AZ37" s="56" t="str">
        <f t="shared" si="5"/>
        <v/>
      </c>
    </row>
    <row r="38" ht="15.75" customHeight="1">
      <c r="A38" s="19" t="s">
        <v>30</v>
      </c>
      <c r="B38" s="57">
        <f t="shared" si="6"/>
        <v>44598</v>
      </c>
      <c r="C38" s="21">
        <v>2.0</v>
      </c>
      <c r="D38" s="21" t="s">
        <v>47</v>
      </c>
      <c r="E38" s="72" t="s">
        <v>50</v>
      </c>
      <c r="F38" s="24">
        <v>30.0</v>
      </c>
      <c r="H38" s="25">
        <v>30.0</v>
      </c>
      <c r="J38" s="25">
        <v>0.0</v>
      </c>
      <c r="L38" s="25">
        <v>0.0</v>
      </c>
      <c r="N38" s="25">
        <v>0.0</v>
      </c>
      <c r="P38" s="25">
        <v>0.0</v>
      </c>
      <c r="Q38" s="26"/>
      <c r="R38" s="24">
        <v>230.0</v>
      </c>
      <c r="T38" s="25">
        <v>230.0</v>
      </c>
      <c r="V38" s="25">
        <v>175.0</v>
      </c>
      <c r="X38" s="25">
        <v>0.0</v>
      </c>
      <c r="Z38" s="25">
        <v>0.0</v>
      </c>
      <c r="AB38" s="25">
        <v>0.0</v>
      </c>
      <c r="AC38" s="26"/>
      <c r="AD38" s="25">
        <v>0.0</v>
      </c>
      <c r="AF38" s="25">
        <v>0.0</v>
      </c>
      <c r="AH38" s="25">
        <v>0.0</v>
      </c>
      <c r="AJ38" s="27">
        <v>0.0</v>
      </c>
      <c r="AK38" s="26"/>
      <c r="AL38" s="24">
        <v>0.0</v>
      </c>
      <c r="AM38" s="26"/>
      <c r="AN38" s="24">
        <v>60.0</v>
      </c>
      <c r="AO38" s="26"/>
      <c r="AP38" s="24">
        <v>0.0</v>
      </c>
      <c r="AQ38" s="26"/>
      <c r="AR38" s="25">
        <v>0.0</v>
      </c>
      <c r="AT38" s="25">
        <v>0.0</v>
      </c>
      <c r="AU38" s="26"/>
      <c r="AV38" s="29">
        <f t="shared" si="1"/>
        <v>7746.3</v>
      </c>
      <c r="AW38" s="21">
        <f t="shared" si="2"/>
        <v>755</v>
      </c>
      <c r="AX38" s="21">
        <f t="shared" si="3"/>
        <v>0</v>
      </c>
      <c r="AY38" s="21">
        <f t="shared" si="4"/>
        <v>755</v>
      </c>
      <c r="AZ38" s="58">
        <f t="shared" si="5"/>
        <v>10.26</v>
      </c>
    </row>
    <row r="39" ht="15.75" customHeight="1">
      <c r="A39" s="31" t="s">
        <v>33</v>
      </c>
      <c r="B39" s="32">
        <f t="shared" si="6"/>
        <v>44599</v>
      </c>
      <c r="C39" s="33">
        <v>2.0</v>
      </c>
      <c r="D39" s="33" t="s">
        <v>47</v>
      </c>
      <c r="E39" s="34"/>
      <c r="F39" s="24">
        <v>30.0</v>
      </c>
      <c r="H39" s="25">
        <v>30.0</v>
      </c>
      <c r="J39" s="25">
        <v>0.0</v>
      </c>
      <c r="L39" s="25">
        <v>0.0</v>
      </c>
      <c r="N39" s="25">
        <v>0.0</v>
      </c>
      <c r="P39" s="25">
        <v>0.0</v>
      </c>
      <c r="Q39" s="26"/>
      <c r="R39" s="24">
        <v>230.0</v>
      </c>
      <c r="T39" s="25">
        <v>230.0</v>
      </c>
      <c r="V39" s="25">
        <v>0.0</v>
      </c>
      <c r="X39" s="25">
        <v>0.0</v>
      </c>
      <c r="Z39" s="25">
        <v>0.0</v>
      </c>
      <c r="AB39" s="25">
        <v>0.0</v>
      </c>
      <c r="AC39" s="26"/>
      <c r="AD39" s="25">
        <v>0.0</v>
      </c>
      <c r="AF39" s="25">
        <v>0.0</v>
      </c>
      <c r="AH39" s="25">
        <v>0.0</v>
      </c>
      <c r="AJ39" s="27">
        <v>0.0</v>
      </c>
      <c r="AK39" s="26"/>
      <c r="AL39" s="24">
        <v>0.0</v>
      </c>
      <c r="AM39" s="26"/>
      <c r="AN39" s="24">
        <v>0.0</v>
      </c>
      <c r="AO39" s="26"/>
      <c r="AP39" s="24">
        <v>0.0</v>
      </c>
      <c r="AQ39" s="26"/>
      <c r="AR39" s="25">
        <v>0.0</v>
      </c>
      <c r="AT39" s="25">
        <v>0.0</v>
      </c>
      <c r="AU39" s="26"/>
      <c r="AV39" s="35">
        <f t="shared" si="1"/>
        <v>5881.8</v>
      </c>
      <c r="AW39" s="33">
        <f t="shared" si="2"/>
        <v>520</v>
      </c>
      <c r="AX39" s="33">
        <f t="shared" si="3"/>
        <v>0</v>
      </c>
      <c r="AY39" s="33">
        <f t="shared" si="4"/>
        <v>520</v>
      </c>
      <c r="AZ39" s="30">
        <f t="shared" si="5"/>
        <v>11.31115385</v>
      </c>
    </row>
    <row r="40" ht="15.75" customHeight="1">
      <c r="A40" s="31" t="s">
        <v>34</v>
      </c>
      <c r="B40" s="32">
        <f t="shared" si="6"/>
        <v>44600</v>
      </c>
      <c r="C40" s="33">
        <v>2.0</v>
      </c>
      <c r="D40" s="33" t="s">
        <v>47</v>
      </c>
      <c r="E40" s="34"/>
      <c r="F40" s="24">
        <v>30.0</v>
      </c>
      <c r="H40" s="25">
        <v>30.0</v>
      </c>
      <c r="J40" s="25">
        <v>0.0</v>
      </c>
      <c r="L40" s="25">
        <v>0.0</v>
      </c>
      <c r="N40" s="25">
        <v>0.0</v>
      </c>
      <c r="P40" s="25">
        <v>0.0</v>
      </c>
      <c r="Q40" s="26"/>
      <c r="R40" s="24">
        <v>230.0</v>
      </c>
      <c r="T40" s="25">
        <v>230.0</v>
      </c>
      <c r="V40" s="25">
        <v>0.0</v>
      </c>
      <c r="X40" s="25">
        <v>0.0</v>
      </c>
      <c r="Z40" s="25">
        <v>0.0</v>
      </c>
      <c r="AB40" s="25">
        <v>0.0</v>
      </c>
      <c r="AC40" s="26"/>
      <c r="AD40" s="25">
        <v>0.0</v>
      </c>
      <c r="AF40" s="25">
        <v>0.0</v>
      </c>
      <c r="AH40" s="25">
        <v>0.0</v>
      </c>
      <c r="AJ40" s="27">
        <v>0.0</v>
      </c>
      <c r="AK40" s="26"/>
      <c r="AL40" s="24">
        <v>0.0</v>
      </c>
      <c r="AM40" s="26"/>
      <c r="AN40" s="24">
        <v>0.0</v>
      </c>
      <c r="AO40" s="26"/>
      <c r="AP40" s="24">
        <v>0.0</v>
      </c>
      <c r="AQ40" s="26"/>
      <c r="AR40" s="25">
        <v>0.0</v>
      </c>
      <c r="AT40" s="25">
        <v>0.0</v>
      </c>
      <c r="AU40" s="26"/>
      <c r="AV40" s="35">
        <f t="shared" si="1"/>
        <v>5881.8</v>
      </c>
      <c r="AW40" s="33">
        <f t="shared" si="2"/>
        <v>520</v>
      </c>
      <c r="AX40" s="33">
        <f t="shared" si="3"/>
        <v>0</v>
      </c>
      <c r="AY40" s="33">
        <f t="shared" si="4"/>
        <v>520</v>
      </c>
      <c r="AZ40" s="30">
        <f t="shared" si="5"/>
        <v>11.31115385</v>
      </c>
    </row>
    <row r="41" ht="15.75" customHeight="1">
      <c r="A41" s="31" t="s">
        <v>35</v>
      </c>
      <c r="B41" s="32">
        <f t="shared" si="6"/>
        <v>44601</v>
      </c>
      <c r="C41" s="33">
        <v>2.0</v>
      </c>
      <c r="D41" s="33" t="s">
        <v>47</v>
      </c>
      <c r="E41" s="34"/>
      <c r="F41" s="24">
        <v>30.0</v>
      </c>
      <c r="H41" s="25">
        <v>30.0</v>
      </c>
      <c r="J41" s="25">
        <v>0.0</v>
      </c>
      <c r="L41" s="25">
        <v>0.0</v>
      </c>
      <c r="N41" s="25">
        <v>0.0</v>
      </c>
      <c r="P41" s="25">
        <v>0.0</v>
      </c>
      <c r="Q41" s="26"/>
      <c r="R41" s="24">
        <v>230.0</v>
      </c>
      <c r="T41" s="25">
        <v>230.0</v>
      </c>
      <c r="V41" s="25">
        <v>0.0</v>
      </c>
      <c r="X41" s="25">
        <v>0.0</v>
      </c>
      <c r="Z41" s="25">
        <v>0.0</v>
      </c>
      <c r="AB41" s="25">
        <v>0.0</v>
      </c>
      <c r="AC41" s="26"/>
      <c r="AD41" s="25">
        <v>0.0</v>
      </c>
      <c r="AF41" s="25">
        <v>0.0</v>
      </c>
      <c r="AH41" s="25">
        <v>0.0</v>
      </c>
      <c r="AJ41" s="27">
        <v>0.0</v>
      </c>
      <c r="AK41" s="26"/>
      <c r="AL41" s="24">
        <v>0.0</v>
      </c>
      <c r="AM41" s="26"/>
      <c r="AN41" s="24">
        <v>0.0</v>
      </c>
      <c r="AO41" s="26"/>
      <c r="AP41" s="24">
        <v>0.0</v>
      </c>
      <c r="AQ41" s="26"/>
      <c r="AR41" s="25">
        <v>0.0</v>
      </c>
      <c r="AT41" s="25">
        <v>0.0</v>
      </c>
      <c r="AU41" s="26"/>
      <c r="AV41" s="35">
        <f t="shared" si="1"/>
        <v>5881.8</v>
      </c>
      <c r="AW41" s="33">
        <f t="shared" si="2"/>
        <v>520</v>
      </c>
      <c r="AX41" s="33">
        <f t="shared" si="3"/>
        <v>0</v>
      </c>
      <c r="AY41" s="33">
        <f t="shared" si="4"/>
        <v>520</v>
      </c>
      <c r="AZ41" s="30">
        <f t="shared" si="5"/>
        <v>11.31115385</v>
      </c>
    </row>
    <row r="42" ht="15.75" customHeight="1">
      <c r="A42" s="31" t="s">
        <v>38</v>
      </c>
      <c r="B42" s="32">
        <f t="shared" si="6"/>
        <v>44602</v>
      </c>
      <c r="C42" s="33">
        <v>2.0</v>
      </c>
      <c r="D42" s="33" t="s">
        <v>47</v>
      </c>
      <c r="E42" s="34"/>
      <c r="F42" s="24">
        <v>30.0</v>
      </c>
      <c r="H42" s="25">
        <v>30.0</v>
      </c>
      <c r="J42" s="25">
        <v>0.0</v>
      </c>
      <c r="L42" s="25">
        <v>0.0</v>
      </c>
      <c r="N42" s="25">
        <v>0.0</v>
      </c>
      <c r="P42" s="25">
        <v>0.0</v>
      </c>
      <c r="Q42" s="26"/>
      <c r="R42" s="24">
        <v>230.0</v>
      </c>
      <c r="T42" s="25">
        <v>230.0</v>
      </c>
      <c r="V42" s="25">
        <v>0.0</v>
      </c>
      <c r="X42" s="25">
        <v>0.0</v>
      </c>
      <c r="Z42" s="25">
        <v>0.0</v>
      </c>
      <c r="AB42" s="25">
        <v>0.0</v>
      </c>
      <c r="AC42" s="26"/>
      <c r="AD42" s="25">
        <v>0.0</v>
      </c>
      <c r="AF42" s="25">
        <v>0.0</v>
      </c>
      <c r="AH42" s="25">
        <v>0.0</v>
      </c>
      <c r="AJ42" s="27">
        <v>0.0</v>
      </c>
      <c r="AK42" s="26"/>
      <c r="AL42" s="24">
        <v>0.0</v>
      </c>
      <c r="AM42" s="26"/>
      <c r="AN42" s="24">
        <v>0.0</v>
      </c>
      <c r="AO42" s="26"/>
      <c r="AP42" s="24">
        <v>0.0</v>
      </c>
      <c r="AQ42" s="26"/>
      <c r="AR42" s="25">
        <v>0.0</v>
      </c>
      <c r="AT42" s="25">
        <v>0.0</v>
      </c>
      <c r="AU42" s="26"/>
      <c r="AV42" s="35">
        <f t="shared" si="1"/>
        <v>5881.8</v>
      </c>
      <c r="AW42" s="33">
        <f t="shared" si="2"/>
        <v>520</v>
      </c>
      <c r="AX42" s="33">
        <f t="shared" si="3"/>
        <v>0</v>
      </c>
      <c r="AY42" s="33">
        <f t="shared" si="4"/>
        <v>520</v>
      </c>
      <c r="AZ42" s="30">
        <f t="shared" si="5"/>
        <v>11.31115385</v>
      </c>
    </row>
    <row r="43" ht="15.75" customHeight="1">
      <c r="A43" s="31" t="s">
        <v>45</v>
      </c>
      <c r="B43" s="32">
        <f t="shared" si="6"/>
        <v>44603</v>
      </c>
      <c r="C43" s="33">
        <v>2.0</v>
      </c>
      <c r="D43" s="33" t="s">
        <v>47</v>
      </c>
      <c r="E43" s="34"/>
      <c r="F43" s="24">
        <v>30.0</v>
      </c>
      <c r="H43" s="25">
        <v>30.0</v>
      </c>
      <c r="J43" s="25">
        <v>0.0</v>
      </c>
      <c r="L43" s="25">
        <v>0.0</v>
      </c>
      <c r="N43" s="25">
        <v>0.0</v>
      </c>
      <c r="P43" s="25">
        <v>0.0</v>
      </c>
      <c r="Q43" s="26"/>
      <c r="R43" s="24">
        <v>230.0</v>
      </c>
      <c r="T43" s="25">
        <v>230.0</v>
      </c>
      <c r="V43" s="25">
        <v>0.0</v>
      </c>
      <c r="X43" s="25">
        <v>0.0</v>
      </c>
      <c r="Z43" s="25">
        <v>0.0</v>
      </c>
      <c r="AB43" s="25">
        <v>0.0</v>
      </c>
      <c r="AC43" s="26"/>
      <c r="AD43" s="25">
        <v>0.0</v>
      </c>
      <c r="AF43" s="25">
        <v>0.0</v>
      </c>
      <c r="AH43" s="25">
        <v>0.0</v>
      </c>
      <c r="AJ43" s="27">
        <v>0.0</v>
      </c>
      <c r="AK43" s="26"/>
      <c r="AL43" s="24">
        <v>0.0</v>
      </c>
      <c r="AM43" s="26"/>
      <c r="AN43" s="24">
        <v>0.0</v>
      </c>
      <c r="AO43" s="26"/>
      <c r="AP43" s="24">
        <v>0.0</v>
      </c>
      <c r="AQ43" s="26"/>
      <c r="AR43" s="25">
        <v>0.0</v>
      </c>
      <c r="AT43" s="25">
        <v>0.0</v>
      </c>
      <c r="AU43" s="26"/>
      <c r="AV43" s="35">
        <f t="shared" si="1"/>
        <v>5881.8</v>
      </c>
      <c r="AW43" s="33">
        <f t="shared" si="2"/>
        <v>520</v>
      </c>
      <c r="AX43" s="33">
        <f t="shared" si="3"/>
        <v>0</v>
      </c>
      <c r="AY43" s="33">
        <f t="shared" si="4"/>
        <v>520</v>
      </c>
      <c r="AZ43" s="30">
        <f t="shared" si="5"/>
        <v>11.31115385</v>
      </c>
    </row>
    <row r="44" ht="15.75" customHeight="1">
      <c r="A44" s="44" t="s">
        <v>46</v>
      </c>
      <c r="B44" s="45">
        <f t="shared" si="6"/>
        <v>44604</v>
      </c>
      <c r="C44" s="46">
        <v>2.0</v>
      </c>
      <c r="D44" s="46" t="s">
        <v>47</v>
      </c>
      <c r="E44" s="47"/>
      <c r="F44" s="49">
        <v>0.0</v>
      </c>
      <c r="G44" s="51"/>
      <c r="H44" s="52">
        <v>0.0</v>
      </c>
      <c r="I44" s="51"/>
      <c r="J44" s="52">
        <v>0.0</v>
      </c>
      <c r="K44" s="51"/>
      <c r="L44" s="52">
        <v>0.0</v>
      </c>
      <c r="M44" s="51"/>
      <c r="N44" s="52">
        <v>0.0</v>
      </c>
      <c r="O44" s="51"/>
      <c r="P44" s="52">
        <v>0.0</v>
      </c>
      <c r="Q44" s="53"/>
      <c r="R44" s="49">
        <v>0.0</v>
      </c>
      <c r="S44" s="51"/>
      <c r="T44" s="52">
        <v>0.0</v>
      </c>
      <c r="U44" s="51"/>
      <c r="V44" s="52">
        <v>0.0</v>
      </c>
      <c r="W44" s="51"/>
      <c r="X44" s="52">
        <v>0.0</v>
      </c>
      <c r="Y44" s="51"/>
      <c r="Z44" s="52">
        <v>0.0</v>
      </c>
      <c r="AA44" s="51"/>
      <c r="AB44" s="52">
        <v>0.0</v>
      </c>
      <c r="AC44" s="53"/>
      <c r="AD44" s="52">
        <v>0.0</v>
      </c>
      <c r="AE44" s="51"/>
      <c r="AF44" s="52">
        <v>0.0</v>
      </c>
      <c r="AG44" s="51"/>
      <c r="AH44" s="52">
        <v>0.0</v>
      </c>
      <c r="AI44" s="51"/>
      <c r="AJ44" s="54">
        <v>0.0</v>
      </c>
      <c r="AK44" s="53"/>
      <c r="AL44" s="49">
        <v>0.0</v>
      </c>
      <c r="AM44" s="53"/>
      <c r="AN44" s="49">
        <v>0.0</v>
      </c>
      <c r="AO44" s="53"/>
      <c r="AP44" s="49">
        <v>0.0</v>
      </c>
      <c r="AQ44" s="53"/>
      <c r="AR44" s="52">
        <v>0.0</v>
      </c>
      <c r="AS44" s="51"/>
      <c r="AT44" s="52">
        <v>0.0</v>
      </c>
      <c r="AU44" s="53"/>
      <c r="AV44" s="55">
        <f t="shared" si="1"/>
        <v>0</v>
      </c>
      <c r="AW44" s="46">
        <f t="shared" si="2"/>
        <v>0</v>
      </c>
      <c r="AX44" s="46">
        <f t="shared" si="3"/>
        <v>0</v>
      </c>
      <c r="AY44" s="46">
        <f t="shared" si="4"/>
        <v>0</v>
      </c>
      <c r="AZ44" s="56" t="str">
        <f t="shared" si="5"/>
        <v/>
      </c>
    </row>
    <row r="45" ht="15.75" customHeight="1">
      <c r="A45" s="19" t="s">
        <v>30</v>
      </c>
      <c r="B45" s="57">
        <f t="shared" si="6"/>
        <v>44605</v>
      </c>
      <c r="C45" s="21">
        <v>2.0</v>
      </c>
      <c r="D45" s="21" t="s">
        <v>48</v>
      </c>
      <c r="E45" s="23"/>
      <c r="F45" s="24">
        <v>110.0</v>
      </c>
      <c r="H45" s="25">
        <v>110.0</v>
      </c>
      <c r="J45" s="25">
        <v>0.0</v>
      </c>
      <c r="L45" s="25">
        <v>0.0</v>
      </c>
      <c r="N45" s="25">
        <v>0.0</v>
      </c>
      <c r="P45" s="73"/>
      <c r="Q45" s="26"/>
      <c r="R45" s="24">
        <v>240.0</v>
      </c>
      <c r="T45" s="25">
        <v>240.0</v>
      </c>
      <c r="V45" s="25">
        <v>0.0</v>
      </c>
      <c r="X45" s="25">
        <v>0.0</v>
      </c>
      <c r="Z45" s="25">
        <v>0.0</v>
      </c>
      <c r="AB45" s="25">
        <v>0.0</v>
      </c>
      <c r="AC45" s="26"/>
      <c r="AD45" s="25">
        <v>0.0</v>
      </c>
      <c r="AF45" s="25">
        <v>0.0</v>
      </c>
      <c r="AH45" s="25">
        <v>0.0</v>
      </c>
      <c r="AJ45" s="27">
        <v>0.0</v>
      </c>
      <c r="AK45" s="26"/>
      <c r="AL45" s="24">
        <v>0.0</v>
      </c>
      <c r="AM45" s="26"/>
      <c r="AN45" s="24">
        <v>120.0</v>
      </c>
      <c r="AO45" s="26"/>
      <c r="AP45" s="24">
        <v>0.0</v>
      </c>
      <c r="AQ45" s="26"/>
      <c r="AR45" s="25">
        <v>0.0</v>
      </c>
      <c r="AT45" s="25">
        <v>0.0</v>
      </c>
      <c r="AU45" s="26"/>
      <c r="AV45" s="29">
        <f t="shared" si="1"/>
        <v>9511</v>
      </c>
      <c r="AW45" s="21">
        <f t="shared" si="2"/>
        <v>820</v>
      </c>
      <c r="AX45" s="21">
        <f t="shared" si="3"/>
        <v>0</v>
      </c>
      <c r="AY45" s="21">
        <f t="shared" si="4"/>
        <v>820</v>
      </c>
      <c r="AZ45" s="58">
        <f t="shared" si="5"/>
        <v>11.59878049</v>
      </c>
    </row>
    <row r="46" ht="15.75" customHeight="1">
      <c r="A46" s="31" t="s">
        <v>33</v>
      </c>
      <c r="B46" s="32">
        <f t="shared" si="6"/>
        <v>44606</v>
      </c>
      <c r="C46" s="33">
        <v>2.0</v>
      </c>
      <c r="D46" s="33" t="s">
        <v>48</v>
      </c>
      <c r="E46" s="34"/>
      <c r="F46" s="24">
        <v>110.0</v>
      </c>
      <c r="H46" s="25">
        <v>110.0</v>
      </c>
      <c r="J46" s="25">
        <v>0.0</v>
      </c>
      <c r="L46" s="25">
        <v>0.0</v>
      </c>
      <c r="N46" s="25">
        <v>0.0</v>
      </c>
      <c r="P46" s="25">
        <v>0.0</v>
      </c>
      <c r="Q46" s="26"/>
      <c r="R46" s="24">
        <v>240.0</v>
      </c>
      <c r="T46" s="25">
        <v>240.0</v>
      </c>
      <c r="V46" s="25">
        <v>0.0</v>
      </c>
      <c r="X46" s="25">
        <v>0.0</v>
      </c>
      <c r="Z46" s="25">
        <v>0.0</v>
      </c>
      <c r="AB46" s="25">
        <v>0.0</v>
      </c>
      <c r="AC46" s="26"/>
      <c r="AD46" s="25">
        <v>0.0</v>
      </c>
      <c r="AF46" s="25">
        <v>0.0</v>
      </c>
      <c r="AH46" s="25">
        <v>0.0</v>
      </c>
      <c r="AJ46" s="27">
        <v>0.0</v>
      </c>
      <c r="AK46" s="26"/>
      <c r="AL46" s="24">
        <v>6.0</v>
      </c>
      <c r="AM46" s="26"/>
      <c r="AN46" s="24">
        <v>0.0</v>
      </c>
      <c r="AO46" s="26"/>
      <c r="AP46" s="24">
        <v>0.0</v>
      </c>
      <c r="AQ46" s="26"/>
      <c r="AR46" s="25">
        <v>0.0</v>
      </c>
      <c r="AT46" s="25">
        <v>0.0</v>
      </c>
      <c r="AU46" s="26"/>
      <c r="AV46" s="35">
        <f t="shared" si="1"/>
        <v>9421</v>
      </c>
      <c r="AW46" s="33">
        <f t="shared" si="2"/>
        <v>706</v>
      </c>
      <c r="AX46" s="33">
        <f t="shared" si="3"/>
        <v>0</v>
      </c>
      <c r="AY46" s="33">
        <f t="shared" si="4"/>
        <v>706</v>
      </c>
      <c r="AZ46" s="30">
        <f t="shared" si="5"/>
        <v>13.34419263</v>
      </c>
    </row>
    <row r="47" ht="15.75" customHeight="1">
      <c r="A47" s="31" t="s">
        <v>34</v>
      </c>
      <c r="B47" s="32">
        <f t="shared" si="6"/>
        <v>44607</v>
      </c>
      <c r="C47" s="33">
        <v>2.0</v>
      </c>
      <c r="D47" s="33" t="s">
        <v>48</v>
      </c>
      <c r="E47" s="74" t="s">
        <v>51</v>
      </c>
      <c r="F47" s="24">
        <v>110.0</v>
      </c>
      <c r="H47" s="25">
        <v>110.0</v>
      </c>
      <c r="J47" s="25">
        <v>120.0</v>
      </c>
      <c r="L47" s="25">
        <v>0.0</v>
      </c>
      <c r="N47" s="25">
        <v>0.0</v>
      </c>
      <c r="P47" s="25">
        <v>0.0</v>
      </c>
      <c r="Q47" s="26"/>
      <c r="R47" s="24">
        <v>240.0</v>
      </c>
      <c r="T47" s="25">
        <v>240.0</v>
      </c>
      <c r="V47" s="25">
        <v>0.0</v>
      </c>
      <c r="X47" s="25">
        <v>0.0</v>
      </c>
      <c r="Z47" s="25">
        <v>0.0</v>
      </c>
      <c r="AB47" s="25">
        <v>0.0</v>
      </c>
      <c r="AC47" s="26"/>
      <c r="AD47" s="25">
        <v>0.0</v>
      </c>
      <c r="AF47" s="25">
        <v>0.0</v>
      </c>
      <c r="AH47" s="25">
        <v>0.0</v>
      </c>
      <c r="AJ47" s="27">
        <v>0.0</v>
      </c>
      <c r="AK47" s="26"/>
      <c r="AL47" s="24">
        <v>2.0</v>
      </c>
      <c r="AM47" s="26"/>
      <c r="AN47" s="24">
        <v>300.0</v>
      </c>
      <c r="AO47" s="26"/>
      <c r="AP47" s="24">
        <v>0.0</v>
      </c>
      <c r="AQ47" s="26"/>
      <c r="AR47" s="25">
        <v>0.0</v>
      </c>
      <c r="AT47" s="25">
        <v>0.0</v>
      </c>
      <c r="AU47" s="26"/>
      <c r="AV47" s="35">
        <f t="shared" si="1"/>
        <v>12245.8</v>
      </c>
      <c r="AW47" s="33">
        <f t="shared" si="2"/>
        <v>1122</v>
      </c>
      <c r="AX47" s="33">
        <f t="shared" si="3"/>
        <v>0</v>
      </c>
      <c r="AY47" s="33">
        <f t="shared" si="4"/>
        <v>1122</v>
      </c>
      <c r="AZ47" s="30">
        <f t="shared" si="5"/>
        <v>10.91426025</v>
      </c>
    </row>
    <row r="48" ht="15.75" customHeight="1">
      <c r="A48" s="31" t="s">
        <v>35</v>
      </c>
      <c r="B48" s="32">
        <f t="shared" si="6"/>
        <v>44608</v>
      </c>
      <c r="C48" s="33">
        <v>2.0</v>
      </c>
      <c r="D48" s="33" t="s">
        <v>48</v>
      </c>
      <c r="E48" s="34"/>
      <c r="F48" s="24">
        <v>140.0</v>
      </c>
      <c r="H48" s="25">
        <v>140.0</v>
      </c>
      <c r="J48" s="25">
        <v>0.0</v>
      </c>
      <c r="L48" s="25">
        <v>0.0</v>
      </c>
      <c r="N48" s="25">
        <v>0.0</v>
      </c>
      <c r="P48" s="25">
        <v>0.0</v>
      </c>
      <c r="Q48" s="26"/>
      <c r="R48" s="24">
        <v>240.0</v>
      </c>
      <c r="T48" s="25">
        <v>240.0</v>
      </c>
      <c r="V48" s="25">
        <v>0.0</v>
      </c>
      <c r="X48" s="25">
        <v>0.0</v>
      </c>
      <c r="Z48" s="25">
        <v>0.0</v>
      </c>
      <c r="AB48" s="25">
        <v>0.0</v>
      </c>
      <c r="AC48" s="26"/>
      <c r="AD48" s="25">
        <v>0.0</v>
      </c>
      <c r="AF48" s="25">
        <v>0.0</v>
      </c>
      <c r="AH48" s="25">
        <v>0.0</v>
      </c>
      <c r="AJ48" s="27">
        <v>0.0</v>
      </c>
      <c r="AK48" s="26"/>
      <c r="AL48" s="24">
        <v>6.0</v>
      </c>
      <c r="AM48" s="26"/>
      <c r="AN48" s="24">
        <v>135.0</v>
      </c>
      <c r="AO48" s="26"/>
      <c r="AP48" s="24">
        <v>0.0</v>
      </c>
      <c r="AQ48" s="26"/>
      <c r="AR48" s="25">
        <v>0.0</v>
      </c>
      <c r="AT48" s="25">
        <v>0.0</v>
      </c>
      <c r="AU48" s="26"/>
      <c r="AV48" s="35">
        <f t="shared" si="1"/>
        <v>10840.9</v>
      </c>
      <c r="AW48" s="33">
        <f t="shared" si="2"/>
        <v>901</v>
      </c>
      <c r="AX48" s="33">
        <f t="shared" si="3"/>
        <v>0</v>
      </c>
      <c r="AY48" s="33">
        <f t="shared" si="4"/>
        <v>901</v>
      </c>
      <c r="AZ48" s="30">
        <f t="shared" si="5"/>
        <v>12.03207547</v>
      </c>
    </row>
    <row r="49" ht="15.75" customHeight="1">
      <c r="A49" s="31" t="s">
        <v>38</v>
      </c>
      <c r="B49" s="32">
        <f t="shared" si="6"/>
        <v>44609</v>
      </c>
      <c r="C49" s="33">
        <v>2.0</v>
      </c>
      <c r="D49" s="33" t="s">
        <v>48</v>
      </c>
      <c r="E49" s="34"/>
      <c r="F49" s="24">
        <v>140.0</v>
      </c>
      <c r="H49" s="25">
        <v>140.0</v>
      </c>
      <c r="J49" s="25">
        <v>0.0</v>
      </c>
      <c r="L49" s="25">
        <v>0.0</v>
      </c>
      <c r="N49" s="25">
        <v>0.0</v>
      </c>
      <c r="P49" s="25">
        <v>0.0</v>
      </c>
      <c r="Q49" s="26"/>
      <c r="R49" s="24">
        <v>240.0</v>
      </c>
      <c r="T49" s="25">
        <v>240.0</v>
      </c>
      <c r="V49" s="25">
        <v>0.0</v>
      </c>
      <c r="X49" s="25">
        <v>0.0</v>
      </c>
      <c r="Z49" s="25">
        <v>0.0</v>
      </c>
      <c r="AB49" s="25">
        <v>0.0</v>
      </c>
      <c r="AC49" s="26"/>
      <c r="AD49" s="25">
        <v>0.0</v>
      </c>
      <c r="AF49" s="25">
        <v>0.0</v>
      </c>
      <c r="AH49" s="25">
        <v>0.0</v>
      </c>
      <c r="AJ49" s="27">
        <v>0.0</v>
      </c>
      <c r="AK49" s="26"/>
      <c r="AL49" s="24">
        <v>5.0</v>
      </c>
      <c r="AM49" s="26"/>
      <c r="AN49" s="24">
        <v>0.0</v>
      </c>
      <c r="AO49" s="26"/>
      <c r="AP49" s="24">
        <v>0.0</v>
      </c>
      <c r="AQ49" s="26"/>
      <c r="AR49" s="25">
        <v>0.0</v>
      </c>
      <c r="AT49" s="25">
        <v>0.0</v>
      </c>
      <c r="AU49" s="26"/>
      <c r="AV49" s="35">
        <f t="shared" si="1"/>
        <v>10623.4</v>
      </c>
      <c r="AW49" s="33">
        <f t="shared" si="2"/>
        <v>765</v>
      </c>
      <c r="AX49" s="33">
        <f t="shared" si="3"/>
        <v>0</v>
      </c>
      <c r="AY49" s="33">
        <f t="shared" si="4"/>
        <v>765</v>
      </c>
      <c r="AZ49" s="30">
        <f t="shared" si="5"/>
        <v>13.88679739</v>
      </c>
    </row>
    <row r="50" ht="15.75" customHeight="1">
      <c r="A50" s="31" t="s">
        <v>45</v>
      </c>
      <c r="B50" s="32">
        <f t="shared" si="6"/>
        <v>44610</v>
      </c>
      <c r="C50" s="33">
        <v>2.0</v>
      </c>
      <c r="D50" s="33" t="s">
        <v>48</v>
      </c>
      <c r="E50" s="34"/>
      <c r="F50" s="24">
        <v>140.0</v>
      </c>
      <c r="H50" s="25">
        <v>140.0</v>
      </c>
      <c r="J50" s="25">
        <v>0.0</v>
      </c>
      <c r="L50" s="25">
        <v>0.0</v>
      </c>
      <c r="N50" s="25">
        <v>0.0</v>
      </c>
      <c r="P50" s="25">
        <v>0.0</v>
      </c>
      <c r="Q50" s="26"/>
      <c r="R50" s="24">
        <v>240.0</v>
      </c>
      <c r="T50" s="25">
        <v>240.0</v>
      </c>
      <c r="V50" s="25">
        <v>0.0</v>
      </c>
      <c r="X50" s="25">
        <v>0.0</v>
      </c>
      <c r="Z50" s="25">
        <v>0.0</v>
      </c>
      <c r="AB50" s="25">
        <v>0.0</v>
      </c>
      <c r="AC50" s="26"/>
      <c r="AD50" s="25">
        <v>0.0</v>
      </c>
      <c r="AF50" s="25">
        <v>0.0</v>
      </c>
      <c r="AH50" s="25">
        <v>0.0</v>
      </c>
      <c r="AJ50" s="27">
        <v>0.0</v>
      </c>
      <c r="AK50" s="26"/>
      <c r="AL50" s="24">
        <v>4.0</v>
      </c>
      <c r="AM50" s="26"/>
      <c r="AN50" s="24">
        <v>0.0</v>
      </c>
      <c r="AO50" s="26"/>
      <c r="AP50" s="24">
        <v>0.0</v>
      </c>
      <c r="AQ50" s="26"/>
      <c r="AR50" s="25">
        <v>0.0</v>
      </c>
      <c r="AT50" s="25">
        <v>0.0</v>
      </c>
      <c r="AU50" s="26"/>
      <c r="AV50" s="35">
        <f t="shared" si="1"/>
        <v>10608.4</v>
      </c>
      <c r="AW50" s="33">
        <f t="shared" si="2"/>
        <v>764</v>
      </c>
      <c r="AX50" s="33">
        <f t="shared" si="3"/>
        <v>0</v>
      </c>
      <c r="AY50" s="33">
        <f t="shared" si="4"/>
        <v>764</v>
      </c>
      <c r="AZ50" s="30">
        <f t="shared" si="5"/>
        <v>13.88534031</v>
      </c>
    </row>
    <row r="51" ht="15.75" customHeight="1">
      <c r="A51" s="44" t="s">
        <v>46</v>
      </c>
      <c r="B51" s="45">
        <f t="shared" si="6"/>
        <v>44611</v>
      </c>
      <c r="C51" s="46">
        <v>2.0</v>
      </c>
      <c r="D51" s="46" t="s">
        <v>48</v>
      </c>
      <c r="E51" s="47"/>
      <c r="F51" s="49">
        <v>140.0</v>
      </c>
      <c r="G51" s="51"/>
      <c r="H51" s="52">
        <v>140.0</v>
      </c>
      <c r="I51" s="51"/>
      <c r="J51" s="52">
        <v>0.0</v>
      </c>
      <c r="K51" s="51"/>
      <c r="L51" s="52">
        <v>0.0</v>
      </c>
      <c r="M51" s="51"/>
      <c r="N51" s="52">
        <v>0.0</v>
      </c>
      <c r="O51" s="51"/>
      <c r="P51" s="52">
        <v>0.0</v>
      </c>
      <c r="Q51" s="53"/>
      <c r="R51" s="49">
        <v>0.0</v>
      </c>
      <c r="S51" s="51"/>
      <c r="T51" s="52">
        <v>0.0</v>
      </c>
      <c r="U51" s="51"/>
      <c r="V51" s="52">
        <v>0.0</v>
      </c>
      <c r="W51" s="51"/>
      <c r="X51" s="52">
        <v>0.0</v>
      </c>
      <c r="Y51" s="51"/>
      <c r="Z51" s="52">
        <v>0.0</v>
      </c>
      <c r="AA51" s="51"/>
      <c r="AB51" s="52">
        <v>0.0</v>
      </c>
      <c r="AC51" s="53"/>
      <c r="AD51" s="52">
        <v>0.0</v>
      </c>
      <c r="AE51" s="51"/>
      <c r="AF51" s="52">
        <v>0.0</v>
      </c>
      <c r="AG51" s="51"/>
      <c r="AH51" s="52">
        <v>0.0</v>
      </c>
      <c r="AI51" s="51"/>
      <c r="AJ51" s="54">
        <v>0.0</v>
      </c>
      <c r="AK51" s="53"/>
      <c r="AL51" s="49">
        <v>5.0</v>
      </c>
      <c r="AM51" s="53"/>
      <c r="AN51" s="49">
        <v>0.0</v>
      </c>
      <c r="AO51" s="53"/>
      <c r="AP51" s="49">
        <v>0.0</v>
      </c>
      <c r="AQ51" s="53"/>
      <c r="AR51" s="52">
        <v>0.0</v>
      </c>
      <c r="AS51" s="51"/>
      <c r="AT51" s="52">
        <v>0.0</v>
      </c>
      <c r="AU51" s="53"/>
      <c r="AV51" s="55">
        <f t="shared" si="1"/>
        <v>5756.2</v>
      </c>
      <c r="AW51" s="46">
        <f t="shared" si="2"/>
        <v>285</v>
      </c>
      <c r="AX51" s="46">
        <f t="shared" si="3"/>
        <v>0</v>
      </c>
      <c r="AY51" s="46">
        <f t="shared" si="4"/>
        <v>285</v>
      </c>
      <c r="AZ51" s="56">
        <f t="shared" si="5"/>
        <v>20.19719298</v>
      </c>
    </row>
    <row r="52" ht="15.75" customHeight="1">
      <c r="A52" s="19" t="s">
        <v>30</v>
      </c>
      <c r="B52" s="57">
        <f t="shared" si="6"/>
        <v>44612</v>
      </c>
      <c r="C52" s="21">
        <v>2.0</v>
      </c>
      <c r="D52" s="21" t="s">
        <v>49</v>
      </c>
      <c r="E52" s="23"/>
      <c r="F52" s="24">
        <v>140.0</v>
      </c>
      <c r="H52" s="25">
        <v>140.0</v>
      </c>
      <c r="J52" s="25">
        <v>75.0</v>
      </c>
      <c r="L52" s="25">
        <v>0.0</v>
      </c>
      <c r="N52" s="25">
        <v>0.0</v>
      </c>
      <c r="P52" s="25">
        <v>0.0</v>
      </c>
      <c r="Q52" s="26"/>
      <c r="R52" s="24">
        <v>246.0</v>
      </c>
      <c r="T52" s="25">
        <v>246.0</v>
      </c>
      <c r="V52" s="25">
        <v>0.0</v>
      </c>
      <c r="X52" s="25">
        <v>0.0</v>
      </c>
      <c r="Z52" s="25">
        <v>0.0</v>
      </c>
      <c r="AB52" s="25">
        <v>0.0</v>
      </c>
      <c r="AC52" s="26"/>
      <c r="AD52" s="25">
        <v>0.0</v>
      </c>
      <c r="AF52" s="25">
        <v>0.0</v>
      </c>
      <c r="AH52" s="25">
        <v>0.0</v>
      </c>
      <c r="AJ52" s="27">
        <v>0.0</v>
      </c>
      <c r="AK52" s="26"/>
      <c r="AL52" s="24">
        <v>7.0</v>
      </c>
      <c r="AM52" s="26"/>
      <c r="AN52" s="24">
        <v>112.0</v>
      </c>
      <c r="AO52" s="26"/>
      <c r="AP52" s="24">
        <v>0.0</v>
      </c>
      <c r="AQ52" s="26"/>
      <c r="AR52" s="25">
        <v>0.0</v>
      </c>
      <c r="AT52" s="25">
        <v>0.0</v>
      </c>
      <c r="AU52" s="26"/>
      <c r="AV52" s="29">
        <f t="shared" si="1"/>
        <v>12464.83</v>
      </c>
      <c r="AW52" s="21">
        <f t="shared" si="2"/>
        <v>966</v>
      </c>
      <c r="AX52" s="21">
        <f t="shared" si="3"/>
        <v>0</v>
      </c>
      <c r="AY52" s="21">
        <f t="shared" si="4"/>
        <v>966</v>
      </c>
      <c r="AZ52" s="58">
        <f t="shared" si="5"/>
        <v>12.90355072</v>
      </c>
    </row>
    <row r="53" ht="15.75" customHeight="1">
      <c r="A53" s="31" t="s">
        <v>33</v>
      </c>
      <c r="B53" s="32">
        <f t="shared" si="6"/>
        <v>44613</v>
      </c>
      <c r="C53" s="33">
        <v>2.0</v>
      </c>
      <c r="D53" s="33" t="s">
        <v>49</v>
      </c>
      <c r="E53" s="34"/>
      <c r="F53" s="24">
        <v>150.0</v>
      </c>
      <c r="H53" s="25">
        <v>150.0</v>
      </c>
      <c r="J53" s="25">
        <v>0.0</v>
      </c>
      <c r="L53" s="25">
        <v>0.0</v>
      </c>
      <c r="N53" s="25">
        <v>0.0</v>
      </c>
      <c r="P53" s="25">
        <v>0.0</v>
      </c>
      <c r="Q53" s="26"/>
      <c r="R53" s="24">
        <v>246.0</v>
      </c>
      <c r="T53" s="25">
        <v>246.0</v>
      </c>
      <c r="V53" s="25">
        <v>0.0</v>
      </c>
      <c r="X53" s="25">
        <v>0.0</v>
      </c>
      <c r="Z53" s="25">
        <v>0.0</v>
      </c>
      <c r="AB53" s="25">
        <v>0.0</v>
      </c>
      <c r="AC53" s="26"/>
      <c r="AD53" s="25">
        <v>0.0</v>
      </c>
      <c r="AF53" s="25">
        <v>0.0</v>
      </c>
      <c r="AH53" s="25">
        <v>0.0</v>
      </c>
      <c r="AJ53" s="27">
        <v>0.0</v>
      </c>
      <c r="AK53" s="26"/>
      <c r="AL53" s="24">
        <v>7.0</v>
      </c>
      <c r="AM53" s="26"/>
      <c r="AN53" s="24">
        <v>12.0</v>
      </c>
      <c r="AO53" s="26"/>
      <c r="AP53" s="24">
        <v>0.0</v>
      </c>
      <c r="AQ53" s="26"/>
      <c r="AR53" s="25">
        <v>0.0</v>
      </c>
      <c r="AT53" s="25">
        <v>0.0</v>
      </c>
      <c r="AU53" s="26"/>
      <c r="AV53" s="35">
        <f t="shared" si="1"/>
        <v>11198.88</v>
      </c>
      <c r="AW53" s="33">
        <f t="shared" si="2"/>
        <v>811</v>
      </c>
      <c r="AX53" s="33">
        <f t="shared" si="3"/>
        <v>0</v>
      </c>
      <c r="AY53" s="33">
        <f t="shared" si="4"/>
        <v>811</v>
      </c>
      <c r="AZ53" s="30">
        <f t="shared" si="5"/>
        <v>13.80872996</v>
      </c>
    </row>
    <row r="54" ht="15.75" customHeight="1">
      <c r="A54" s="31" t="s">
        <v>34</v>
      </c>
      <c r="B54" s="32">
        <f t="shared" si="6"/>
        <v>44614</v>
      </c>
      <c r="C54" s="33">
        <v>2.0</v>
      </c>
      <c r="D54" s="33" t="s">
        <v>49</v>
      </c>
      <c r="E54" s="34"/>
      <c r="F54" s="24">
        <v>150.0</v>
      </c>
      <c r="H54" s="25">
        <v>150.0</v>
      </c>
      <c r="J54" s="25">
        <v>0.0</v>
      </c>
      <c r="L54" s="25">
        <v>0.0</v>
      </c>
      <c r="N54" s="25">
        <v>0.0</v>
      </c>
      <c r="P54" s="25">
        <v>0.0</v>
      </c>
      <c r="Q54" s="26"/>
      <c r="R54" s="24">
        <v>246.0</v>
      </c>
      <c r="T54" s="25">
        <v>246.0</v>
      </c>
      <c r="V54" s="25">
        <v>0.0</v>
      </c>
      <c r="X54" s="25">
        <v>0.0</v>
      </c>
      <c r="Z54" s="25">
        <v>0.0</v>
      </c>
      <c r="AB54" s="25">
        <v>0.0</v>
      </c>
      <c r="AC54" s="26"/>
      <c r="AD54" s="25">
        <v>0.0</v>
      </c>
      <c r="AF54" s="25">
        <v>0.0</v>
      </c>
      <c r="AH54" s="25">
        <v>0.0</v>
      </c>
      <c r="AJ54" s="27">
        <v>0.0</v>
      </c>
      <c r="AK54" s="26"/>
      <c r="AL54" s="24">
        <v>6.0</v>
      </c>
      <c r="AM54" s="26"/>
      <c r="AN54" s="24">
        <v>135.0</v>
      </c>
      <c r="AO54" s="26"/>
      <c r="AP54" s="24">
        <v>0.0</v>
      </c>
      <c r="AQ54" s="26"/>
      <c r="AR54" s="25">
        <v>0.0</v>
      </c>
      <c r="AT54" s="25">
        <v>0.0</v>
      </c>
      <c r="AU54" s="26"/>
      <c r="AV54" s="35">
        <f t="shared" si="1"/>
        <v>11368.38</v>
      </c>
      <c r="AW54" s="33">
        <f t="shared" si="2"/>
        <v>933</v>
      </c>
      <c r="AX54" s="33">
        <f t="shared" si="3"/>
        <v>0</v>
      </c>
      <c r="AY54" s="33">
        <f t="shared" si="4"/>
        <v>933</v>
      </c>
      <c r="AZ54" s="30">
        <f t="shared" si="5"/>
        <v>12.18475884</v>
      </c>
    </row>
    <row r="55" ht="15.75" customHeight="1">
      <c r="A55" s="31" t="s">
        <v>35</v>
      </c>
      <c r="B55" s="32">
        <f t="shared" si="6"/>
        <v>44615</v>
      </c>
      <c r="C55" s="33">
        <v>2.0</v>
      </c>
      <c r="D55" s="33" t="s">
        <v>49</v>
      </c>
      <c r="E55" s="34"/>
      <c r="F55" s="24">
        <v>150.0</v>
      </c>
      <c r="H55" s="25">
        <v>150.0</v>
      </c>
      <c r="J55" s="25">
        <v>0.0</v>
      </c>
      <c r="L55" s="25">
        <v>0.0</v>
      </c>
      <c r="N55" s="25">
        <v>0.0</v>
      </c>
      <c r="P55" s="25">
        <v>0.0</v>
      </c>
      <c r="Q55" s="26"/>
      <c r="R55" s="24">
        <v>246.0</v>
      </c>
      <c r="T55" s="25">
        <v>246.0</v>
      </c>
      <c r="V55" s="25">
        <v>0.0</v>
      </c>
      <c r="X55" s="25">
        <v>0.0</v>
      </c>
      <c r="Z55" s="25">
        <v>0.0</v>
      </c>
      <c r="AB55" s="25">
        <v>0.0</v>
      </c>
      <c r="AC55" s="26"/>
      <c r="AD55" s="25">
        <v>0.0</v>
      </c>
      <c r="AF55" s="25">
        <v>0.0</v>
      </c>
      <c r="AH55" s="25">
        <v>0.0</v>
      </c>
      <c r="AJ55" s="27">
        <v>0.0</v>
      </c>
      <c r="AK55" s="26"/>
      <c r="AL55" s="24">
        <v>4.0</v>
      </c>
      <c r="AM55" s="26"/>
      <c r="AN55" s="24">
        <v>20.0</v>
      </c>
      <c r="AO55" s="26"/>
      <c r="AP55" s="24">
        <v>0.0</v>
      </c>
      <c r="AQ55" s="26"/>
      <c r="AR55" s="25">
        <v>0.0</v>
      </c>
      <c r="AT55" s="25">
        <v>0.0</v>
      </c>
      <c r="AU55" s="26"/>
      <c r="AV55" s="35">
        <f t="shared" si="1"/>
        <v>11165.88</v>
      </c>
      <c r="AW55" s="33">
        <f t="shared" si="2"/>
        <v>816</v>
      </c>
      <c r="AX55" s="33">
        <f t="shared" si="3"/>
        <v>0</v>
      </c>
      <c r="AY55" s="33">
        <f t="shared" si="4"/>
        <v>816</v>
      </c>
      <c r="AZ55" s="30">
        <f t="shared" si="5"/>
        <v>13.68367647</v>
      </c>
    </row>
    <row r="56" ht="15.75" customHeight="1">
      <c r="A56" s="31" t="s">
        <v>38</v>
      </c>
      <c r="B56" s="32">
        <f t="shared" si="6"/>
        <v>44616</v>
      </c>
      <c r="C56" s="33">
        <v>2.0</v>
      </c>
      <c r="D56" s="33" t="s">
        <v>49</v>
      </c>
      <c r="E56" s="34"/>
      <c r="F56" s="24">
        <v>150.0</v>
      </c>
      <c r="H56" s="25">
        <v>150.0</v>
      </c>
      <c r="J56" s="25">
        <v>0.0</v>
      </c>
      <c r="L56" s="25">
        <v>0.0</v>
      </c>
      <c r="N56" s="25">
        <v>0.0</v>
      </c>
      <c r="P56" s="25">
        <v>0.0</v>
      </c>
      <c r="Q56" s="26"/>
      <c r="R56" s="24">
        <v>246.0</v>
      </c>
      <c r="T56" s="25">
        <v>246.0</v>
      </c>
      <c r="V56" s="25">
        <v>0.0</v>
      </c>
      <c r="X56" s="25">
        <v>0.0</v>
      </c>
      <c r="Z56" s="25">
        <v>0.0</v>
      </c>
      <c r="AB56" s="25">
        <v>0.0</v>
      </c>
      <c r="AC56" s="26"/>
      <c r="AD56" s="25">
        <v>0.0</v>
      </c>
      <c r="AF56" s="25">
        <v>0.0</v>
      </c>
      <c r="AH56" s="25">
        <v>0.0</v>
      </c>
      <c r="AJ56" s="27">
        <v>0.0</v>
      </c>
      <c r="AK56" s="26"/>
      <c r="AL56" s="24">
        <v>7.0</v>
      </c>
      <c r="AM56" s="26"/>
      <c r="AN56" s="24">
        <v>300.0</v>
      </c>
      <c r="AO56" s="26"/>
      <c r="AP56" s="24">
        <v>0.0</v>
      </c>
      <c r="AQ56" s="26"/>
      <c r="AR56" s="25">
        <v>0.0</v>
      </c>
      <c r="AT56" s="25">
        <v>0.0</v>
      </c>
      <c r="AU56" s="26"/>
      <c r="AV56" s="35">
        <f t="shared" si="1"/>
        <v>11630.88</v>
      </c>
      <c r="AW56" s="33">
        <f t="shared" si="2"/>
        <v>1099</v>
      </c>
      <c r="AX56" s="33">
        <f t="shared" si="3"/>
        <v>0</v>
      </c>
      <c r="AY56" s="33">
        <f t="shared" si="4"/>
        <v>1099</v>
      </c>
      <c r="AZ56" s="30">
        <f t="shared" si="5"/>
        <v>10.58314832</v>
      </c>
    </row>
    <row r="57" ht="15.75" customHeight="1">
      <c r="A57" s="31" t="s">
        <v>45</v>
      </c>
      <c r="B57" s="32">
        <f t="shared" si="6"/>
        <v>44617</v>
      </c>
      <c r="C57" s="33">
        <v>2.0</v>
      </c>
      <c r="D57" s="33" t="s">
        <v>49</v>
      </c>
      <c r="E57" s="34"/>
      <c r="F57" s="24">
        <v>150.0</v>
      </c>
      <c r="H57" s="25">
        <v>150.0</v>
      </c>
      <c r="J57" s="25">
        <v>0.0</v>
      </c>
      <c r="L57" s="25">
        <v>0.0</v>
      </c>
      <c r="N57" s="25">
        <v>0.0</v>
      </c>
      <c r="P57" s="25">
        <v>0.0</v>
      </c>
      <c r="Q57" s="26"/>
      <c r="R57" s="24">
        <v>246.0</v>
      </c>
      <c r="T57" s="25">
        <v>246.0</v>
      </c>
      <c r="V57" s="25">
        <v>0.0</v>
      </c>
      <c r="X57" s="25">
        <v>0.0</v>
      </c>
      <c r="Z57" s="25">
        <v>0.0</v>
      </c>
      <c r="AB57" s="25">
        <v>0.0</v>
      </c>
      <c r="AC57" s="26"/>
      <c r="AD57" s="25">
        <v>0.0</v>
      </c>
      <c r="AF57" s="25">
        <v>0.0</v>
      </c>
      <c r="AH57" s="25">
        <v>0.0</v>
      </c>
      <c r="AJ57" s="27">
        <v>0.0</v>
      </c>
      <c r="AK57" s="26"/>
      <c r="AL57" s="24">
        <v>0.0</v>
      </c>
      <c r="AM57" s="26"/>
      <c r="AN57" s="24">
        <v>60.0</v>
      </c>
      <c r="AO57" s="26"/>
      <c r="AP57" s="24">
        <v>0.0</v>
      </c>
      <c r="AQ57" s="26"/>
      <c r="AR57" s="25">
        <v>0.0</v>
      </c>
      <c r="AT57" s="25">
        <v>0.0</v>
      </c>
      <c r="AU57" s="26"/>
      <c r="AV57" s="35">
        <f t="shared" si="1"/>
        <v>11165.88</v>
      </c>
      <c r="AW57" s="33">
        <f t="shared" si="2"/>
        <v>852</v>
      </c>
      <c r="AX57" s="33">
        <f t="shared" si="3"/>
        <v>0</v>
      </c>
      <c r="AY57" s="33">
        <f t="shared" si="4"/>
        <v>852</v>
      </c>
      <c r="AZ57" s="30">
        <f t="shared" si="5"/>
        <v>13.10549296</v>
      </c>
    </row>
    <row r="58" ht="15.75" customHeight="1">
      <c r="A58" s="44" t="s">
        <v>46</v>
      </c>
      <c r="B58" s="45">
        <f t="shared" si="6"/>
        <v>44618</v>
      </c>
      <c r="C58" s="46">
        <v>2.0</v>
      </c>
      <c r="D58" s="46" t="s">
        <v>49</v>
      </c>
      <c r="E58" s="47"/>
      <c r="F58" s="49">
        <v>150.0</v>
      </c>
      <c r="G58" s="51"/>
      <c r="H58" s="52">
        <v>150.0</v>
      </c>
      <c r="I58" s="51"/>
      <c r="J58" s="52">
        <v>0.0</v>
      </c>
      <c r="K58" s="51"/>
      <c r="L58" s="52">
        <v>0.0</v>
      </c>
      <c r="M58" s="51"/>
      <c r="N58" s="52">
        <v>0.0</v>
      </c>
      <c r="O58" s="51"/>
      <c r="P58" s="52">
        <v>0.0</v>
      </c>
      <c r="Q58" s="53"/>
      <c r="R58" s="49">
        <v>0.0</v>
      </c>
      <c r="S58" s="51"/>
      <c r="T58" s="52">
        <v>0.0</v>
      </c>
      <c r="U58" s="51"/>
      <c r="V58" s="52">
        <v>0.0</v>
      </c>
      <c r="W58" s="51"/>
      <c r="X58" s="52">
        <v>0.0</v>
      </c>
      <c r="Y58" s="51"/>
      <c r="Z58" s="52">
        <v>0.0</v>
      </c>
      <c r="AA58" s="51"/>
      <c r="AB58" s="52">
        <v>0.0</v>
      </c>
      <c r="AC58" s="53"/>
      <c r="AD58" s="52">
        <v>0.0</v>
      </c>
      <c r="AE58" s="51"/>
      <c r="AF58" s="52">
        <v>0.0</v>
      </c>
      <c r="AG58" s="51"/>
      <c r="AH58" s="52">
        <v>0.0</v>
      </c>
      <c r="AI58" s="51"/>
      <c r="AJ58" s="54">
        <v>0.0</v>
      </c>
      <c r="AK58" s="53"/>
      <c r="AL58" s="49">
        <v>0.0</v>
      </c>
      <c r="AM58" s="53"/>
      <c r="AN58" s="49">
        <v>0.0</v>
      </c>
      <c r="AO58" s="53"/>
      <c r="AP58" s="49">
        <v>0.0</v>
      </c>
      <c r="AQ58" s="53"/>
      <c r="AR58" s="52">
        <v>0.0</v>
      </c>
      <c r="AS58" s="51"/>
      <c r="AT58" s="52">
        <v>0.0</v>
      </c>
      <c r="AU58" s="53"/>
      <c r="AV58" s="55">
        <f t="shared" si="1"/>
        <v>6087</v>
      </c>
      <c r="AW58" s="46">
        <f t="shared" si="2"/>
        <v>300</v>
      </c>
      <c r="AX58" s="46">
        <f t="shared" si="3"/>
        <v>0</v>
      </c>
      <c r="AY58" s="46">
        <f t="shared" si="4"/>
        <v>300</v>
      </c>
      <c r="AZ58" s="56">
        <f t="shared" si="5"/>
        <v>20.29</v>
      </c>
    </row>
    <row r="59" ht="15.75" customHeight="1">
      <c r="A59" s="19" t="s">
        <v>30</v>
      </c>
      <c r="B59" s="57">
        <f t="shared" si="6"/>
        <v>44619</v>
      </c>
      <c r="C59" s="21">
        <v>3.0</v>
      </c>
      <c r="D59" s="21" t="s">
        <v>31</v>
      </c>
      <c r="E59" s="23"/>
      <c r="F59" s="24">
        <v>150.0</v>
      </c>
      <c r="H59" s="25">
        <v>150.0</v>
      </c>
      <c r="J59" s="25">
        <v>0.0</v>
      </c>
      <c r="L59" s="25">
        <v>0.0</v>
      </c>
      <c r="N59" s="25">
        <v>0.0</v>
      </c>
      <c r="P59" s="25">
        <v>0.0</v>
      </c>
      <c r="Q59" s="26"/>
      <c r="R59" s="24">
        <v>260.0</v>
      </c>
      <c r="T59" s="25">
        <v>260.0</v>
      </c>
      <c r="V59" s="25">
        <v>85.0</v>
      </c>
      <c r="X59" s="25">
        <v>0.0</v>
      </c>
      <c r="Z59" s="25">
        <v>0.0</v>
      </c>
      <c r="AB59" s="25">
        <v>0.0</v>
      </c>
      <c r="AC59" s="26"/>
      <c r="AD59" s="25">
        <v>0.0</v>
      </c>
      <c r="AF59" s="25">
        <v>0.0</v>
      </c>
      <c r="AH59" s="25">
        <v>0.0</v>
      </c>
      <c r="AJ59" s="27">
        <v>0.0</v>
      </c>
      <c r="AK59" s="26"/>
      <c r="AL59" s="24">
        <v>0.0</v>
      </c>
      <c r="AM59" s="26"/>
      <c r="AN59" s="24">
        <v>0.0</v>
      </c>
      <c r="AO59" s="26"/>
      <c r="AP59" s="24">
        <v>0.0</v>
      </c>
      <c r="AQ59" s="26"/>
      <c r="AR59" s="25">
        <v>0.0</v>
      </c>
      <c r="AT59" s="25">
        <v>0.0</v>
      </c>
      <c r="AU59" s="26"/>
      <c r="AV59" s="29">
        <f t="shared" si="1"/>
        <v>12221.7</v>
      </c>
      <c r="AW59" s="21">
        <f t="shared" si="2"/>
        <v>905</v>
      </c>
      <c r="AX59" s="21">
        <f t="shared" si="3"/>
        <v>0</v>
      </c>
      <c r="AY59" s="21">
        <f t="shared" si="4"/>
        <v>905</v>
      </c>
      <c r="AZ59" s="58">
        <f t="shared" si="5"/>
        <v>13.50464088</v>
      </c>
    </row>
    <row r="60" ht="15.75" customHeight="1">
      <c r="A60" s="31" t="s">
        <v>33</v>
      </c>
      <c r="B60" s="32">
        <f t="shared" si="6"/>
        <v>44620</v>
      </c>
      <c r="C60" s="33">
        <v>3.0</v>
      </c>
      <c r="D60" s="33" t="s">
        <v>31</v>
      </c>
      <c r="E60" s="34"/>
      <c r="F60" s="24">
        <v>150.0</v>
      </c>
      <c r="H60" s="25">
        <v>150.0</v>
      </c>
      <c r="J60" s="25">
        <v>0.0</v>
      </c>
      <c r="L60" s="25">
        <v>0.0</v>
      </c>
      <c r="N60" s="25">
        <v>0.0</v>
      </c>
      <c r="P60" s="25">
        <v>0.0</v>
      </c>
      <c r="Q60" s="26"/>
      <c r="R60" s="24">
        <v>260.0</v>
      </c>
      <c r="T60" s="25">
        <v>260.0</v>
      </c>
      <c r="V60" s="25">
        <v>0.0</v>
      </c>
      <c r="X60" s="25">
        <v>0.0</v>
      </c>
      <c r="Z60" s="25">
        <v>0.0</v>
      </c>
      <c r="AB60" s="25">
        <v>0.0</v>
      </c>
      <c r="AC60" s="26"/>
      <c r="AD60" s="25">
        <v>0.0</v>
      </c>
      <c r="AF60" s="25">
        <v>0.0</v>
      </c>
      <c r="AH60" s="25">
        <v>0.0</v>
      </c>
      <c r="AJ60" s="27">
        <v>0.0</v>
      </c>
      <c r="AK60" s="26"/>
      <c r="AL60" s="24">
        <v>0.0</v>
      </c>
      <c r="AM60" s="26"/>
      <c r="AN60" s="24">
        <v>0.0</v>
      </c>
      <c r="AO60" s="26"/>
      <c r="AP60" s="24">
        <v>0.0</v>
      </c>
      <c r="AQ60" s="26"/>
      <c r="AR60" s="25">
        <v>0.0</v>
      </c>
      <c r="AT60" s="25">
        <v>0.0</v>
      </c>
      <c r="AU60" s="26"/>
      <c r="AV60" s="35">
        <f t="shared" si="1"/>
        <v>11359.8</v>
      </c>
      <c r="AW60" s="33">
        <f t="shared" si="2"/>
        <v>820</v>
      </c>
      <c r="AX60" s="33">
        <f t="shared" si="3"/>
        <v>0</v>
      </c>
      <c r="AY60" s="33">
        <f t="shared" si="4"/>
        <v>820</v>
      </c>
      <c r="AZ60" s="30">
        <f t="shared" si="5"/>
        <v>13.85341463</v>
      </c>
    </row>
    <row r="61" ht="15.75" customHeight="1">
      <c r="A61" s="31" t="s">
        <v>34</v>
      </c>
      <c r="B61" s="32">
        <f t="shared" si="6"/>
        <v>44621</v>
      </c>
      <c r="C61" s="33">
        <v>3.0</v>
      </c>
      <c r="D61" s="33" t="s">
        <v>31</v>
      </c>
      <c r="E61" s="34"/>
      <c r="F61" s="24">
        <v>150.0</v>
      </c>
      <c r="H61" s="25">
        <v>150.0</v>
      </c>
      <c r="J61" s="25">
        <v>0.0</v>
      </c>
      <c r="L61" s="25">
        <v>0.0</v>
      </c>
      <c r="N61" s="25">
        <v>0.0</v>
      </c>
      <c r="P61" s="25">
        <v>0.0</v>
      </c>
      <c r="Q61" s="26"/>
      <c r="R61" s="24">
        <v>280.0</v>
      </c>
      <c r="T61" s="25">
        <v>280.0</v>
      </c>
      <c r="V61" s="25">
        <v>0.0</v>
      </c>
      <c r="X61" s="25">
        <v>0.0</v>
      </c>
      <c r="Z61" s="25">
        <v>0.0</v>
      </c>
      <c r="AB61" s="25">
        <v>0.0</v>
      </c>
      <c r="AC61" s="26"/>
      <c r="AD61" s="25">
        <v>0.0</v>
      </c>
      <c r="AF61" s="25">
        <v>0.0</v>
      </c>
      <c r="AH61" s="25">
        <v>0.0</v>
      </c>
      <c r="AJ61" s="27">
        <v>0.0</v>
      </c>
      <c r="AK61" s="26"/>
      <c r="AL61" s="24">
        <v>0.0</v>
      </c>
      <c r="AM61" s="26"/>
      <c r="AN61" s="24">
        <v>0.0</v>
      </c>
      <c r="AO61" s="26"/>
      <c r="AP61" s="24">
        <v>0.0</v>
      </c>
      <c r="AQ61" s="26"/>
      <c r="AR61" s="25">
        <v>0.0</v>
      </c>
      <c r="AT61" s="25">
        <v>0.0</v>
      </c>
      <c r="AU61" s="26"/>
      <c r="AV61" s="35">
        <f t="shared" si="1"/>
        <v>11765.4</v>
      </c>
      <c r="AW61" s="33">
        <f t="shared" si="2"/>
        <v>860</v>
      </c>
      <c r="AX61" s="33">
        <f t="shared" si="3"/>
        <v>0</v>
      </c>
      <c r="AY61" s="33">
        <f t="shared" si="4"/>
        <v>860</v>
      </c>
      <c r="AZ61" s="30">
        <f t="shared" si="5"/>
        <v>13.68069767</v>
      </c>
    </row>
    <row r="62" ht="15.75" customHeight="1">
      <c r="A62" s="31" t="s">
        <v>35</v>
      </c>
      <c r="B62" s="32">
        <f t="shared" si="6"/>
        <v>44622</v>
      </c>
      <c r="C62" s="33">
        <v>3.0</v>
      </c>
      <c r="D62" s="33" t="s">
        <v>31</v>
      </c>
      <c r="E62" s="34"/>
      <c r="F62" s="24">
        <v>150.0</v>
      </c>
      <c r="H62" s="25">
        <v>150.0</v>
      </c>
      <c r="J62" s="25">
        <v>0.0</v>
      </c>
      <c r="L62" s="25">
        <v>0.0</v>
      </c>
      <c r="N62" s="25">
        <v>75.0</v>
      </c>
      <c r="P62" s="25">
        <v>0.0</v>
      </c>
      <c r="Q62" s="26"/>
      <c r="R62" s="24">
        <v>280.0</v>
      </c>
      <c r="T62" s="25">
        <v>280.0</v>
      </c>
      <c r="V62" s="25">
        <v>0.0</v>
      </c>
      <c r="X62" s="25">
        <v>0.0</v>
      </c>
      <c r="Z62" s="25">
        <v>0.0</v>
      </c>
      <c r="AB62" s="25">
        <v>0.0</v>
      </c>
      <c r="AC62" s="26"/>
      <c r="AD62" s="25">
        <v>0.0</v>
      </c>
      <c r="AF62" s="25">
        <v>0.0</v>
      </c>
      <c r="AH62" s="25">
        <v>0.0</v>
      </c>
      <c r="AJ62" s="27">
        <v>0.0</v>
      </c>
      <c r="AK62" s="26"/>
      <c r="AL62" s="24">
        <v>0.0</v>
      </c>
      <c r="AM62" s="26"/>
      <c r="AN62" s="24">
        <v>0.0</v>
      </c>
      <c r="AO62" s="26"/>
      <c r="AP62" s="24">
        <v>0.0</v>
      </c>
      <c r="AQ62" s="26"/>
      <c r="AR62" s="25">
        <v>0.0</v>
      </c>
      <c r="AT62" s="25">
        <v>0.0</v>
      </c>
      <c r="AU62" s="26"/>
      <c r="AV62" s="35">
        <f t="shared" si="1"/>
        <v>13287.15</v>
      </c>
      <c r="AW62" s="33">
        <f t="shared" si="2"/>
        <v>860</v>
      </c>
      <c r="AX62" s="33">
        <f t="shared" si="3"/>
        <v>75</v>
      </c>
      <c r="AY62" s="33">
        <f t="shared" si="4"/>
        <v>935</v>
      </c>
      <c r="AZ62" s="30">
        <f t="shared" si="5"/>
        <v>14.21085561</v>
      </c>
    </row>
    <row r="63" ht="15.75" customHeight="1">
      <c r="A63" s="31" t="s">
        <v>38</v>
      </c>
      <c r="B63" s="32">
        <f t="shared" si="6"/>
        <v>44623</v>
      </c>
      <c r="C63" s="33">
        <v>3.0</v>
      </c>
      <c r="D63" s="33" t="s">
        <v>31</v>
      </c>
      <c r="E63" s="34"/>
      <c r="F63" s="24">
        <v>150.0</v>
      </c>
      <c r="H63" s="25">
        <v>150.0</v>
      </c>
      <c r="J63" s="25">
        <v>0.0</v>
      </c>
      <c r="L63" s="25">
        <v>0.0</v>
      </c>
      <c r="N63" s="25">
        <v>75.0</v>
      </c>
      <c r="P63" s="25">
        <v>0.0</v>
      </c>
      <c r="Q63" s="26"/>
      <c r="R63" s="24">
        <v>260.0</v>
      </c>
      <c r="T63" s="25">
        <v>260.0</v>
      </c>
      <c r="V63" s="25">
        <v>0.0</v>
      </c>
      <c r="X63" s="25">
        <v>0.0</v>
      </c>
      <c r="Z63" s="25">
        <v>0.0</v>
      </c>
      <c r="AB63" s="25">
        <v>0.0</v>
      </c>
      <c r="AC63" s="26"/>
      <c r="AD63" s="25">
        <v>0.0</v>
      </c>
      <c r="AF63" s="25">
        <v>0.0</v>
      </c>
      <c r="AH63" s="25">
        <v>0.0</v>
      </c>
      <c r="AJ63" s="27">
        <v>0.0</v>
      </c>
      <c r="AK63" s="26"/>
      <c r="AL63" s="24">
        <v>0.0</v>
      </c>
      <c r="AM63" s="26"/>
      <c r="AN63" s="24">
        <v>0.0</v>
      </c>
      <c r="AO63" s="26"/>
      <c r="AP63" s="24">
        <v>0.0</v>
      </c>
      <c r="AQ63" s="26"/>
      <c r="AR63" s="25">
        <v>0.0</v>
      </c>
      <c r="AT63" s="25">
        <v>0.0</v>
      </c>
      <c r="AU63" s="26"/>
      <c r="AV63" s="35">
        <f t="shared" si="1"/>
        <v>12881.55</v>
      </c>
      <c r="AW63" s="33">
        <f t="shared" si="2"/>
        <v>820</v>
      </c>
      <c r="AX63" s="33">
        <f t="shared" si="3"/>
        <v>75</v>
      </c>
      <c r="AY63" s="33">
        <f t="shared" si="4"/>
        <v>895</v>
      </c>
      <c r="AZ63" s="30">
        <f t="shared" si="5"/>
        <v>14.3927933</v>
      </c>
    </row>
    <row r="64" ht="15.75" customHeight="1">
      <c r="A64" s="31" t="s">
        <v>45</v>
      </c>
      <c r="B64" s="32">
        <f t="shared" si="6"/>
        <v>44624</v>
      </c>
      <c r="C64" s="33">
        <v>3.0</v>
      </c>
      <c r="D64" s="33" t="s">
        <v>31</v>
      </c>
      <c r="E64" s="34"/>
      <c r="F64" s="24">
        <v>150.0</v>
      </c>
      <c r="H64" s="25">
        <v>75.0</v>
      </c>
      <c r="J64" s="25">
        <v>0.0</v>
      </c>
      <c r="L64" s="25">
        <v>0.0</v>
      </c>
      <c r="N64" s="25">
        <v>0.0</v>
      </c>
      <c r="P64" s="25">
        <v>0.0</v>
      </c>
      <c r="Q64" s="26"/>
      <c r="R64" s="24">
        <v>260.0</v>
      </c>
      <c r="T64" s="25">
        <v>260.0</v>
      </c>
      <c r="V64" s="25">
        <v>0.0</v>
      </c>
      <c r="X64" s="25">
        <v>0.0</v>
      </c>
      <c r="Z64" s="25">
        <v>0.0</v>
      </c>
      <c r="AB64" s="25">
        <v>0.0</v>
      </c>
      <c r="AC64" s="26"/>
      <c r="AD64" s="25">
        <v>0.0</v>
      </c>
      <c r="AF64" s="25">
        <v>0.0</v>
      </c>
      <c r="AH64" s="25">
        <v>0.0</v>
      </c>
      <c r="AJ64" s="27">
        <v>0.0</v>
      </c>
      <c r="AK64" s="26"/>
      <c r="AL64" s="24">
        <v>0.0</v>
      </c>
      <c r="AM64" s="26"/>
      <c r="AN64" s="24">
        <v>0.0</v>
      </c>
      <c r="AO64" s="26"/>
      <c r="AP64" s="24">
        <v>0.0</v>
      </c>
      <c r="AQ64" s="26"/>
      <c r="AR64" s="25">
        <v>0.0</v>
      </c>
      <c r="AT64" s="25">
        <v>0.0</v>
      </c>
      <c r="AU64" s="26"/>
      <c r="AV64" s="35">
        <f t="shared" si="1"/>
        <v>9838.05</v>
      </c>
      <c r="AW64" s="33">
        <f t="shared" si="2"/>
        <v>745</v>
      </c>
      <c r="AX64" s="33">
        <f t="shared" si="3"/>
        <v>0</v>
      </c>
      <c r="AY64" s="33">
        <f t="shared" si="4"/>
        <v>745</v>
      </c>
      <c r="AZ64" s="30">
        <f t="shared" si="5"/>
        <v>13.20543624</v>
      </c>
    </row>
    <row r="65" ht="15.75" customHeight="1">
      <c r="A65" s="44" t="s">
        <v>46</v>
      </c>
      <c r="B65" s="45">
        <f t="shared" si="6"/>
        <v>44625</v>
      </c>
      <c r="C65" s="46">
        <v>3.0</v>
      </c>
      <c r="D65" s="46" t="s">
        <v>31</v>
      </c>
      <c r="E65" s="47"/>
      <c r="F65" s="49">
        <v>150.0</v>
      </c>
      <c r="G65" s="51"/>
      <c r="H65" s="52">
        <v>150.0</v>
      </c>
      <c r="I65" s="51"/>
      <c r="J65" s="52">
        <v>0.0</v>
      </c>
      <c r="K65" s="51"/>
      <c r="L65" s="52">
        <v>0.0</v>
      </c>
      <c r="M65" s="51"/>
      <c r="N65" s="52">
        <v>75.0</v>
      </c>
      <c r="O65" s="51"/>
      <c r="P65" s="52">
        <v>0.0</v>
      </c>
      <c r="Q65" s="53"/>
      <c r="R65" s="49">
        <v>0.0</v>
      </c>
      <c r="S65" s="51"/>
      <c r="T65" s="52">
        <v>0.0</v>
      </c>
      <c r="U65" s="51"/>
      <c r="V65" s="52">
        <v>70.0</v>
      </c>
      <c r="W65" s="51"/>
      <c r="X65" s="52">
        <v>0.0</v>
      </c>
      <c r="Y65" s="51"/>
      <c r="Z65" s="52">
        <v>0.0</v>
      </c>
      <c r="AA65" s="51"/>
      <c r="AB65" s="52">
        <v>0.0</v>
      </c>
      <c r="AC65" s="53"/>
      <c r="AD65" s="52">
        <v>0.0</v>
      </c>
      <c r="AE65" s="51"/>
      <c r="AF65" s="52">
        <v>0.0</v>
      </c>
      <c r="AG65" s="51"/>
      <c r="AH65" s="52">
        <v>0.0</v>
      </c>
      <c r="AI65" s="51"/>
      <c r="AJ65" s="54">
        <v>0.0</v>
      </c>
      <c r="AK65" s="53"/>
      <c r="AL65" s="49">
        <v>0.0</v>
      </c>
      <c r="AM65" s="53"/>
      <c r="AN65" s="49">
        <v>0.0</v>
      </c>
      <c r="AO65" s="53"/>
      <c r="AP65" s="49">
        <v>0.0</v>
      </c>
      <c r="AQ65" s="53"/>
      <c r="AR65" s="52">
        <v>0.0</v>
      </c>
      <c r="AS65" s="51"/>
      <c r="AT65" s="52">
        <v>0.0</v>
      </c>
      <c r="AU65" s="53"/>
      <c r="AV65" s="55">
        <f t="shared" si="1"/>
        <v>8318.55</v>
      </c>
      <c r="AW65" s="46">
        <f t="shared" si="2"/>
        <v>370</v>
      </c>
      <c r="AX65" s="46">
        <f t="shared" si="3"/>
        <v>75</v>
      </c>
      <c r="AY65" s="46">
        <f t="shared" si="4"/>
        <v>445</v>
      </c>
      <c r="AZ65" s="56">
        <f t="shared" si="5"/>
        <v>18.69337079</v>
      </c>
    </row>
    <row r="66" ht="15.75" customHeight="1">
      <c r="A66" s="19" t="s">
        <v>30</v>
      </c>
      <c r="B66" s="57">
        <f t="shared" si="6"/>
        <v>44626</v>
      </c>
      <c r="C66" s="21">
        <v>3.0</v>
      </c>
      <c r="D66" s="21" t="s">
        <v>47</v>
      </c>
      <c r="E66" s="23"/>
      <c r="F66" s="24">
        <v>20.0</v>
      </c>
      <c r="H66" s="25">
        <v>20.0</v>
      </c>
      <c r="J66" s="25">
        <v>0.0</v>
      </c>
      <c r="L66" s="25">
        <v>0.0</v>
      </c>
      <c r="N66" s="25">
        <v>0.0</v>
      </c>
      <c r="P66" s="25">
        <v>0.0</v>
      </c>
      <c r="Q66" s="26"/>
      <c r="R66" s="24">
        <v>300.0</v>
      </c>
      <c r="T66" s="25">
        <v>300.0</v>
      </c>
      <c r="V66" s="25">
        <v>0.0</v>
      </c>
      <c r="X66" s="25">
        <v>0.0</v>
      </c>
      <c r="Z66" s="25">
        <v>0.0</v>
      </c>
      <c r="AB66" s="25">
        <v>0.0</v>
      </c>
      <c r="AC66" s="26"/>
      <c r="AD66" s="25">
        <v>0.0</v>
      </c>
      <c r="AF66" s="25">
        <v>0.0</v>
      </c>
      <c r="AH66" s="25">
        <v>0.0</v>
      </c>
      <c r="AJ66" s="27">
        <v>0.0</v>
      </c>
      <c r="AK66" s="26"/>
      <c r="AL66" s="24">
        <v>0.0</v>
      </c>
      <c r="AM66" s="26"/>
      <c r="AN66" s="24">
        <v>60.0</v>
      </c>
      <c r="AO66" s="26"/>
      <c r="AP66" s="24">
        <v>0.0</v>
      </c>
      <c r="AQ66" s="26"/>
      <c r="AR66" s="25">
        <v>0.0</v>
      </c>
      <c r="AT66" s="25">
        <v>0.0</v>
      </c>
      <c r="AU66" s="26"/>
      <c r="AV66" s="29">
        <f t="shared" si="1"/>
        <v>6985.6</v>
      </c>
      <c r="AW66" s="21">
        <f t="shared" si="2"/>
        <v>700</v>
      </c>
      <c r="AX66" s="21">
        <f t="shared" si="3"/>
        <v>0</v>
      </c>
      <c r="AY66" s="21">
        <f t="shared" si="4"/>
        <v>700</v>
      </c>
      <c r="AZ66" s="58">
        <f t="shared" si="5"/>
        <v>9.979428571</v>
      </c>
    </row>
    <row r="67" ht="15.75" customHeight="1">
      <c r="A67" s="31" t="s">
        <v>33</v>
      </c>
      <c r="B67" s="32">
        <f t="shared" si="6"/>
        <v>44627</v>
      </c>
      <c r="C67" s="33">
        <v>3.0</v>
      </c>
      <c r="D67" s="33" t="s">
        <v>47</v>
      </c>
      <c r="E67" s="34"/>
      <c r="F67" s="24">
        <v>150.0</v>
      </c>
      <c r="H67" s="25">
        <v>75.0</v>
      </c>
      <c r="J67" s="25">
        <v>0.0</v>
      </c>
      <c r="L67" s="25">
        <v>0.0</v>
      </c>
      <c r="N67" s="25">
        <v>0.0</v>
      </c>
      <c r="P67" s="25">
        <v>0.0</v>
      </c>
      <c r="Q67" s="26"/>
      <c r="R67" s="24">
        <v>300.0</v>
      </c>
      <c r="T67" s="25">
        <v>300.0</v>
      </c>
      <c r="V67" s="25">
        <v>0.0</v>
      </c>
      <c r="X67" s="25">
        <v>0.0</v>
      </c>
      <c r="Z67" s="25">
        <v>0.0</v>
      </c>
      <c r="AB67" s="25">
        <v>0.0</v>
      </c>
      <c r="AC67" s="26"/>
      <c r="AD67" s="25">
        <v>0.0</v>
      </c>
      <c r="AF67" s="25">
        <v>0.0</v>
      </c>
      <c r="AH67" s="25">
        <v>0.0</v>
      </c>
      <c r="AJ67" s="27">
        <v>0.0</v>
      </c>
      <c r="AK67" s="26"/>
      <c r="AL67" s="24">
        <v>0.0</v>
      </c>
      <c r="AM67" s="26"/>
      <c r="AN67" s="24">
        <v>50.0</v>
      </c>
      <c r="AO67" s="26"/>
      <c r="AP67" s="24">
        <v>0.0</v>
      </c>
      <c r="AQ67" s="26"/>
      <c r="AR67" s="25">
        <v>0.0</v>
      </c>
      <c r="AT67" s="25">
        <v>0.0</v>
      </c>
      <c r="AU67" s="26"/>
      <c r="AV67" s="35">
        <f t="shared" si="1"/>
        <v>10724.25</v>
      </c>
      <c r="AW67" s="33">
        <f t="shared" si="2"/>
        <v>875</v>
      </c>
      <c r="AX67" s="33">
        <f t="shared" si="3"/>
        <v>0</v>
      </c>
      <c r="AY67" s="33">
        <f t="shared" si="4"/>
        <v>875</v>
      </c>
      <c r="AZ67" s="30">
        <f t="shared" si="5"/>
        <v>12.25628571</v>
      </c>
    </row>
    <row r="68" ht="15.75" customHeight="1">
      <c r="A68" s="31" t="s">
        <v>34</v>
      </c>
      <c r="B68" s="32">
        <f t="shared" si="6"/>
        <v>44628</v>
      </c>
      <c r="C68" s="33">
        <v>3.0</v>
      </c>
      <c r="D68" s="33" t="s">
        <v>47</v>
      </c>
      <c r="E68" s="34"/>
      <c r="F68" s="24">
        <v>150.0</v>
      </c>
      <c r="H68" s="25">
        <v>150.0</v>
      </c>
      <c r="J68" s="25">
        <v>0.0</v>
      </c>
      <c r="L68" s="25">
        <v>0.0</v>
      </c>
      <c r="N68" s="25">
        <v>75.0</v>
      </c>
      <c r="P68" s="25">
        <v>0.0</v>
      </c>
      <c r="Q68" s="26"/>
      <c r="R68" s="24">
        <v>300.0</v>
      </c>
      <c r="T68" s="25">
        <v>300.0</v>
      </c>
      <c r="V68" s="25">
        <v>0.0</v>
      </c>
      <c r="X68" s="25">
        <v>0.0</v>
      </c>
      <c r="Z68" s="25">
        <v>0.0</v>
      </c>
      <c r="AB68" s="25">
        <v>0.0</v>
      </c>
      <c r="AC68" s="26"/>
      <c r="AD68" s="25">
        <v>0.0</v>
      </c>
      <c r="AF68" s="25">
        <v>0.0</v>
      </c>
      <c r="AH68" s="25">
        <v>0.0</v>
      </c>
      <c r="AJ68" s="27">
        <v>0.0</v>
      </c>
      <c r="AK68" s="26"/>
      <c r="AL68" s="24">
        <v>0.0</v>
      </c>
      <c r="AM68" s="26"/>
      <c r="AN68" s="24">
        <v>0.0</v>
      </c>
      <c r="AO68" s="26"/>
      <c r="AP68" s="24">
        <v>0.0</v>
      </c>
      <c r="AQ68" s="26"/>
      <c r="AR68" s="25">
        <v>0.0</v>
      </c>
      <c r="AT68" s="25">
        <v>0.0</v>
      </c>
      <c r="AU68" s="26"/>
      <c r="AV68" s="35">
        <f t="shared" si="1"/>
        <v>13692.75</v>
      </c>
      <c r="AW68" s="33">
        <f t="shared" si="2"/>
        <v>900</v>
      </c>
      <c r="AX68" s="33">
        <f t="shared" si="3"/>
        <v>75</v>
      </c>
      <c r="AY68" s="33">
        <f t="shared" si="4"/>
        <v>975</v>
      </c>
      <c r="AZ68" s="30">
        <f t="shared" si="5"/>
        <v>14.04384615</v>
      </c>
    </row>
    <row r="69" ht="15.75" customHeight="1">
      <c r="A69" s="31" t="s">
        <v>35</v>
      </c>
      <c r="B69" s="32">
        <f t="shared" si="6"/>
        <v>44629</v>
      </c>
      <c r="C69" s="33">
        <v>3.0</v>
      </c>
      <c r="D69" s="33" t="s">
        <v>47</v>
      </c>
      <c r="E69" s="34"/>
      <c r="F69" s="24">
        <v>150.0</v>
      </c>
      <c r="H69" s="25">
        <v>75.0</v>
      </c>
      <c r="J69" s="25">
        <v>0.0</v>
      </c>
      <c r="L69" s="25">
        <v>0.0</v>
      </c>
      <c r="N69" s="25">
        <v>75.0</v>
      </c>
      <c r="P69" s="25">
        <v>0.0</v>
      </c>
      <c r="Q69" s="26"/>
      <c r="R69" s="24">
        <v>300.0</v>
      </c>
      <c r="T69" s="25">
        <v>300.0</v>
      </c>
      <c r="V69" s="25">
        <v>0.0</v>
      </c>
      <c r="X69" s="25">
        <v>0.0</v>
      </c>
      <c r="Z69" s="25">
        <v>0.0</v>
      </c>
      <c r="AB69" s="25">
        <v>0.0</v>
      </c>
      <c r="AC69" s="26"/>
      <c r="AD69" s="25">
        <v>0.0</v>
      </c>
      <c r="AF69" s="25">
        <v>0.0</v>
      </c>
      <c r="AH69" s="25">
        <v>0.0</v>
      </c>
      <c r="AJ69" s="27">
        <v>0.0</v>
      </c>
      <c r="AK69" s="26"/>
      <c r="AL69" s="24">
        <v>0.0</v>
      </c>
      <c r="AM69" s="26"/>
      <c r="AN69" s="24">
        <v>0.0</v>
      </c>
      <c r="AO69" s="26"/>
      <c r="AP69" s="24">
        <v>0.0</v>
      </c>
      <c r="AQ69" s="26"/>
      <c r="AR69" s="25">
        <v>0.0</v>
      </c>
      <c r="AT69" s="25">
        <v>0.0</v>
      </c>
      <c r="AU69" s="26"/>
      <c r="AV69" s="35">
        <f t="shared" si="1"/>
        <v>12171</v>
      </c>
      <c r="AW69" s="33">
        <f t="shared" si="2"/>
        <v>825</v>
      </c>
      <c r="AX69" s="33">
        <f t="shared" si="3"/>
        <v>75</v>
      </c>
      <c r="AY69" s="33">
        <f t="shared" si="4"/>
        <v>900</v>
      </c>
      <c r="AZ69" s="30">
        <f t="shared" si="5"/>
        <v>13.52333333</v>
      </c>
    </row>
    <row r="70" ht="15.75" customHeight="1">
      <c r="A70" s="31" t="s">
        <v>38</v>
      </c>
      <c r="B70" s="32">
        <f t="shared" si="6"/>
        <v>44630</v>
      </c>
      <c r="C70" s="33">
        <v>3.0</v>
      </c>
      <c r="D70" s="33" t="s">
        <v>47</v>
      </c>
      <c r="E70" s="34"/>
      <c r="F70" s="24">
        <v>150.0</v>
      </c>
      <c r="H70" s="25">
        <v>75.0</v>
      </c>
      <c r="J70" s="25">
        <v>0.0</v>
      </c>
      <c r="L70" s="25">
        <v>0.0</v>
      </c>
      <c r="N70" s="25">
        <v>0.0</v>
      </c>
      <c r="P70" s="25">
        <v>0.0</v>
      </c>
      <c r="Q70" s="26"/>
      <c r="R70" s="24">
        <v>300.0</v>
      </c>
      <c r="T70" s="25">
        <v>300.0</v>
      </c>
      <c r="V70" s="25">
        <v>0.0</v>
      </c>
      <c r="X70" s="25">
        <v>0.0</v>
      </c>
      <c r="Z70" s="25">
        <v>0.0</v>
      </c>
      <c r="AB70" s="25">
        <v>0.0</v>
      </c>
      <c r="AC70" s="26"/>
      <c r="AD70" s="25">
        <v>0.0</v>
      </c>
      <c r="AF70" s="25">
        <v>0.0</v>
      </c>
      <c r="AH70" s="25">
        <v>0.0</v>
      </c>
      <c r="AJ70" s="27">
        <v>0.0</v>
      </c>
      <c r="AK70" s="26"/>
      <c r="AL70" s="24">
        <v>0.0</v>
      </c>
      <c r="AM70" s="26"/>
      <c r="AN70" s="24">
        <v>0.0</v>
      </c>
      <c r="AO70" s="26"/>
      <c r="AP70" s="24">
        <v>0.0</v>
      </c>
      <c r="AQ70" s="26"/>
      <c r="AR70" s="25">
        <v>0.0</v>
      </c>
      <c r="AT70" s="25">
        <v>0.0</v>
      </c>
      <c r="AU70" s="26"/>
      <c r="AV70" s="35">
        <f t="shared" si="1"/>
        <v>10649.25</v>
      </c>
      <c r="AW70" s="33">
        <f t="shared" si="2"/>
        <v>825</v>
      </c>
      <c r="AX70" s="33">
        <f t="shared" si="3"/>
        <v>0</v>
      </c>
      <c r="AY70" s="33">
        <f t="shared" si="4"/>
        <v>825</v>
      </c>
      <c r="AZ70" s="30">
        <f t="shared" si="5"/>
        <v>12.90818182</v>
      </c>
    </row>
    <row r="71" ht="15.75" customHeight="1">
      <c r="A71" s="31" t="s">
        <v>45</v>
      </c>
      <c r="B71" s="32">
        <f t="shared" si="6"/>
        <v>44631</v>
      </c>
      <c r="C71" s="33">
        <v>3.0</v>
      </c>
      <c r="D71" s="33" t="s">
        <v>47</v>
      </c>
      <c r="E71" s="34"/>
      <c r="F71" s="24">
        <v>150.0</v>
      </c>
      <c r="H71" s="25">
        <v>150.0</v>
      </c>
      <c r="J71" s="25">
        <v>0.0</v>
      </c>
      <c r="L71" s="25">
        <v>0.0</v>
      </c>
      <c r="N71" s="25">
        <v>65.0</v>
      </c>
      <c r="P71" s="25">
        <v>0.0</v>
      </c>
      <c r="Q71" s="26"/>
      <c r="R71" s="24">
        <v>300.0</v>
      </c>
      <c r="T71" s="25">
        <v>300.0</v>
      </c>
      <c r="V71" s="25">
        <v>0.0</v>
      </c>
      <c r="X71" s="25">
        <v>0.0</v>
      </c>
      <c r="Z71" s="25">
        <v>0.0</v>
      </c>
      <c r="AB71" s="25">
        <v>0.0</v>
      </c>
      <c r="AC71" s="26"/>
      <c r="AD71" s="25">
        <v>0.0</v>
      </c>
      <c r="AF71" s="25">
        <v>0.0</v>
      </c>
      <c r="AH71" s="25">
        <v>0.0</v>
      </c>
      <c r="AJ71" s="27">
        <v>0.0</v>
      </c>
      <c r="AK71" s="26"/>
      <c r="AL71" s="24">
        <v>0.0</v>
      </c>
      <c r="AM71" s="26"/>
      <c r="AN71" s="24">
        <v>0.0</v>
      </c>
      <c r="AO71" s="26"/>
      <c r="AP71" s="24">
        <v>0.0</v>
      </c>
      <c r="AQ71" s="26"/>
      <c r="AR71" s="25">
        <v>0.0</v>
      </c>
      <c r="AT71" s="25">
        <v>0.0</v>
      </c>
      <c r="AU71" s="26"/>
      <c r="AV71" s="35">
        <f t="shared" si="1"/>
        <v>13489.85</v>
      </c>
      <c r="AW71" s="33">
        <f t="shared" si="2"/>
        <v>900</v>
      </c>
      <c r="AX71" s="33">
        <f t="shared" si="3"/>
        <v>65</v>
      </c>
      <c r="AY71" s="33">
        <f t="shared" si="4"/>
        <v>965</v>
      </c>
      <c r="AZ71" s="30">
        <f t="shared" si="5"/>
        <v>13.97911917</v>
      </c>
    </row>
    <row r="72" ht="15.75" customHeight="1">
      <c r="A72" s="44" t="s">
        <v>46</v>
      </c>
      <c r="B72" s="45">
        <f t="shared" si="6"/>
        <v>44632</v>
      </c>
      <c r="C72" s="46">
        <v>3.0</v>
      </c>
      <c r="D72" s="46" t="s">
        <v>47</v>
      </c>
      <c r="E72" s="47"/>
      <c r="F72" s="49">
        <v>150.0</v>
      </c>
      <c r="G72" s="51"/>
      <c r="H72" s="52">
        <v>150.0</v>
      </c>
      <c r="I72" s="51"/>
      <c r="J72" s="52">
        <v>0.0</v>
      </c>
      <c r="K72" s="51"/>
      <c r="L72" s="52">
        <v>0.0</v>
      </c>
      <c r="M72" s="51"/>
      <c r="N72" s="52">
        <v>0.0</v>
      </c>
      <c r="O72" s="51"/>
      <c r="P72" s="52">
        <v>0.0</v>
      </c>
      <c r="Q72" s="53"/>
      <c r="R72" s="49">
        <v>300.0</v>
      </c>
      <c r="S72" s="51"/>
      <c r="T72" s="52">
        <v>300.0</v>
      </c>
      <c r="U72" s="51"/>
      <c r="V72" s="52">
        <v>0.0</v>
      </c>
      <c r="W72" s="51"/>
      <c r="X72" s="52">
        <v>0.0</v>
      </c>
      <c r="Y72" s="51"/>
      <c r="Z72" s="52">
        <v>0.0</v>
      </c>
      <c r="AA72" s="51"/>
      <c r="AB72" s="52">
        <v>0.0</v>
      </c>
      <c r="AC72" s="53"/>
      <c r="AD72" s="52">
        <v>0.0</v>
      </c>
      <c r="AE72" s="51"/>
      <c r="AF72" s="52">
        <v>0.0</v>
      </c>
      <c r="AG72" s="51"/>
      <c r="AH72" s="52">
        <v>0.0</v>
      </c>
      <c r="AI72" s="51"/>
      <c r="AJ72" s="54">
        <v>0.0</v>
      </c>
      <c r="AK72" s="53"/>
      <c r="AL72" s="49">
        <v>0.0</v>
      </c>
      <c r="AM72" s="53"/>
      <c r="AN72" s="49">
        <v>0.0</v>
      </c>
      <c r="AO72" s="53"/>
      <c r="AP72" s="49">
        <v>0.0</v>
      </c>
      <c r="AQ72" s="53"/>
      <c r="AR72" s="52">
        <v>0.0</v>
      </c>
      <c r="AS72" s="51"/>
      <c r="AT72" s="52">
        <v>0.0</v>
      </c>
      <c r="AU72" s="53"/>
      <c r="AV72" s="55">
        <f t="shared" si="1"/>
        <v>12171</v>
      </c>
      <c r="AW72" s="46">
        <f t="shared" si="2"/>
        <v>900</v>
      </c>
      <c r="AX72" s="46">
        <f t="shared" si="3"/>
        <v>0</v>
      </c>
      <c r="AY72" s="46">
        <f t="shared" si="4"/>
        <v>900</v>
      </c>
      <c r="AZ72" s="56">
        <f t="shared" si="5"/>
        <v>13.52333333</v>
      </c>
    </row>
    <row r="73" ht="15.75" customHeight="1">
      <c r="A73" s="19" t="s">
        <v>30</v>
      </c>
      <c r="B73" s="57">
        <f t="shared" si="6"/>
        <v>44633</v>
      </c>
      <c r="C73" s="21">
        <v>3.0</v>
      </c>
      <c r="D73" s="21" t="s">
        <v>48</v>
      </c>
      <c r="E73" s="23"/>
      <c r="F73" s="24">
        <v>150.0</v>
      </c>
      <c r="H73" s="25">
        <v>150.0</v>
      </c>
      <c r="J73" s="25">
        <v>0.0</v>
      </c>
      <c r="L73" s="25">
        <v>0.0</v>
      </c>
      <c r="N73" s="25">
        <v>65.0</v>
      </c>
      <c r="P73" s="25">
        <v>0.0</v>
      </c>
      <c r="Q73" s="26"/>
      <c r="R73" s="24">
        <v>50.0</v>
      </c>
      <c r="T73" s="25">
        <v>50.0</v>
      </c>
      <c r="V73" s="25">
        <v>0.0</v>
      </c>
      <c r="X73" s="25">
        <v>0.0</v>
      </c>
      <c r="Z73" s="25">
        <v>0.0</v>
      </c>
      <c r="AB73" s="25">
        <v>0.0</v>
      </c>
      <c r="AC73" s="26"/>
      <c r="AD73" s="25">
        <v>0.0</v>
      </c>
      <c r="AF73" s="25">
        <v>0.0</v>
      </c>
      <c r="AH73" s="25">
        <v>0.0</v>
      </c>
      <c r="AJ73" s="27">
        <v>0.0</v>
      </c>
      <c r="AK73" s="26"/>
      <c r="AL73" s="24">
        <v>0.0</v>
      </c>
      <c r="AM73" s="26"/>
      <c r="AN73" s="24">
        <v>50.0</v>
      </c>
      <c r="AO73" s="26"/>
      <c r="AP73" s="24">
        <v>0.0</v>
      </c>
      <c r="AQ73" s="26"/>
      <c r="AR73" s="25">
        <v>0.0</v>
      </c>
      <c r="AT73" s="25">
        <v>0.0</v>
      </c>
      <c r="AU73" s="26"/>
      <c r="AV73" s="29">
        <f t="shared" si="1"/>
        <v>8494.85</v>
      </c>
      <c r="AW73" s="21">
        <f t="shared" si="2"/>
        <v>450</v>
      </c>
      <c r="AX73" s="21">
        <f t="shared" si="3"/>
        <v>65</v>
      </c>
      <c r="AY73" s="21">
        <f t="shared" si="4"/>
        <v>515</v>
      </c>
      <c r="AZ73" s="58">
        <f t="shared" si="5"/>
        <v>16.49485437</v>
      </c>
    </row>
    <row r="74" ht="15.75" customHeight="1">
      <c r="A74" s="31" t="s">
        <v>33</v>
      </c>
      <c r="B74" s="32">
        <f t="shared" si="6"/>
        <v>44634</v>
      </c>
      <c r="C74" s="33">
        <v>3.0</v>
      </c>
      <c r="D74" s="33" t="s">
        <v>48</v>
      </c>
      <c r="E74" s="34"/>
      <c r="F74" s="24">
        <v>0.0</v>
      </c>
      <c r="H74" s="25">
        <v>150.0</v>
      </c>
      <c r="J74" s="25">
        <v>0.0</v>
      </c>
      <c r="L74" s="25">
        <v>0.0</v>
      </c>
      <c r="N74" s="25">
        <v>65.0</v>
      </c>
      <c r="P74" s="25">
        <v>0.0</v>
      </c>
      <c r="Q74" s="26"/>
      <c r="R74" s="24">
        <v>300.0</v>
      </c>
      <c r="T74" s="25">
        <v>300.0</v>
      </c>
      <c r="V74" s="25">
        <v>0.0</v>
      </c>
      <c r="X74" s="25">
        <v>0.0</v>
      </c>
      <c r="Z74" s="25">
        <v>0.0</v>
      </c>
      <c r="AB74" s="25">
        <v>0.0</v>
      </c>
      <c r="AC74" s="26"/>
      <c r="AD74" s="25">
        <v>0.0</v>
      </c>
      <c r="AF74" s="25">
        <v>0.0</v>
      </c>
      <c r="AH74" s="25">
        <v>0.0</v>
      </c>
      <c r="AJ74" s="27">
        <v>0.0</v>
      </c>
      <c r="AK74" s="26"/>
      <c r="AL74" s="24">
        <v>0.0</v>
      </c>
      <c r="AM74" s="26"/>
      <c r="AN74" s="24">
        <v>38.0</v>
      </c>
      <c r="AO74" s="26"/>
      <c r="AP74" s="24">
        <v>0.0</v>
      </c>
      <c r="AQ74" s="26"/>
      <c r="AR74" s="25">
        <v>0.0</v>
      </c>
      <c r="AT74" s="25">
        <v>0.0</v>
      </c>
      <c r="AU74" s="26"/>
      <c r="AV74" s="35">
        <f t="shared" si="1"/>
        <v>10503.35</v>
      </c>
      <c r="AW74" s="33">
        <f t="shared" si="2"/>
        <v>788</v>
      </c>
      <c r="AX74" s="33">
        <f t="shared" si="3"/>
        <v>65</v>
      </c>
      <c r="AY74" s="33">
        <f t="shared" si="4"/>
        <v>853</v>
      </c>
      <c r="AZ74" s="30">
        <f t="shared" si="5"/>
        <v>12.31342321</v>
      </c>
    </row>
    <row r="75" ht="15.75" customHeight="1">
      <c r="A75" s="31" t="s">
        <v>34</v>
      </c>
      <c r="B75" s="32">
        <f t="shared" si="6"/>
        <v>44635</v>
      </c>
      <c r="C75" s="33">
        <v>3.0</v>
      </c>
      <c r="D75" s="33" t="s">
        <v>48</v>
      </c>
      <c r="E75" s="34"/>
      <c r="F75" s="24">
        <v>150.0</v>
      </c>
      <c r="H75" s="25">
        <v>150.0</v>
      </c>
      <c r="J75" s="25">
        <v>0.0</v>
      </c>
      <c r="L75" s="25">
        <v>0.0</v>
      </c>
      <c r="N75" s="25">
        <v>65.0</v>
      </c>
      <c r="P75" s="25">
        <v>0.0</v>
      </c>
      <c r="Q75" s="26"/>
      <c r="R75" s="24">
        <v>300.0</v>
      </c>
      <c r="T75" s="25">
        <v>300.0</v>
      </c>
      <c r="V75" s="25">
        <v>0.0</v>
      </c>
      <c r="X75" s="25">
        <v>0.0</v>
      </c>
      <c r="Z75" s="25">
        <v>0.0</v>
      </c>
      <c r="AB75" s="25">
        <v>0.0</v>
      </c>
      <c r="AC75" s="26"/>
      <c r="AD75" s="25">
        <v>0.0</v>
      </c>
      <c r="AF75" s="25">
        <v>0.0</v>
      </c>
      <c r="AH75" s="25">
        <v>0.0</v>
      </c>
      <c r="AJ75" s="27">
        <v>0.0</v>
      </c>
      <c r="AK75" s="26"/>
      <c r="AL75" s="24">
        <v>0.0</v>
      </c>
      <c r="AM75" s="26"/>
      <c r="AN75" s="24">
        <v>0.0</v>
      </c>
      <c r="AO75" s="26"/>
      <c r="AP75" s="24">
        <v>0.0</v>
      </c>
      <c r="AQ75" s="26"/>
      <c r="AR75" s="25">
        <v>0.0</v>
      </c>
      <c r="AT75" s="25">
        <v>0.0</v>
      </c>
      <c r="AU75" s="26"/>
      <c r="AV75" s="35">
        <f t="shared" si="1"/>
        <v>13489.85</v>
      </c>
      <c r="AW75" s="33">
        <f t="shared" si="2"/>
        <v>900</v>
      </c>
      <c r="AX75" s="33">
        <f t="shared" si="3"/>
        <v>65</v>
      </c>
      <c r="AY75" s="33">
        <f t="shared" si="4"/>
        <v>965</v>
      </c>
      <c r="AZ75" s="30">
        <f t="shared" si="5"/>
        <v>13.97911917</v>
      </c>
    </row>
    <row r="76" ht="15.75" customHeight="1">
      <c r="A76" s="31" t="s">
        <v>35</v>
      </c>
      <c r="B76" s="32">
        <f t="shared" si="6"/>
        <v>44636</v>
      </c>
      <c r="C76" s="33">
        <v>3.0</v>
      </c>
      <c r="D76" s="33" t="s">
        <v>48</v>
      </c>
      <c r="E76" s="34"/>
      <c r="F76" s="24">
        <v>0.0</v>
      </c>
      <c r="H76" s="25">
        <v>140.0</v>
      </c>
      <c r="J76" s="25">
        <v>0.0</v>
      </c>
      <c r="L76" s="25">
        <v>0.0</v>
      </c>
      <c r="N76" s="25">
        <v>65.0</v>
      </c>
      <c r="P76" s="25">
        <v>0.0</v>
      </c>
      <c r="Q76" s="26"/>
      <c r="R76" s="24">
        <v>310.0</v>
      </c>
      <c r="T76" s="25">
        <v>310.0</v>
      </c>
      <c r="V76" s="25">
        <v>0.0</v>
      </c>
      <c r="X76" s="25">
        <v>0.0</v>
      </c>
      <c r="Z76" s="25">
        <v>0.0</v>
      </c>
      <c r="AB76" s="25">
        <v>0.0</v>
      </c>
      <c r="AC76" s="26"/>
      <c r="AD76" s="25">
        <v>0.0</v>
      </c>
      <c r="AF76" s="25">
        <v>0.0</v>
      </c>
      <c r="AH76" s="25">
        <v>0.0</v>
      </c>
      <c r="AJ76" s="27">
        <v>0.0</v>
      </c>
      <c r="AK76" s="26"/>
      <c r="AL76" s="24">
        <v>0.0</v>
      </c>
      <c r="AM76" s="26"/>
      <c r="AN76" s="24">
        <v>0.0</v>
      </c>
      <c r="AO76" s="26"/>
      <c r="AP76" s="24">
        <v>0.0</v>
      </c>
      <c r="AQ76" s="26"/>
      <c r="AR76" s="25">
        <v>0.0</v>
      </c>
      <c r="AT76" s="25">
        <v>0.0</v>
      </c>
      <c r="AU76" s="26"/>
      <c r="AV76" s="35">
        <f t="shared" si="1"/>
        <v>10446.25</v>
      </c>
      <c r="AW76" s="33">
        <f t="shared" si="2"/>
        <v>760</v>
      </c>
      <c r="AX76" s="33">
        <f t="shared" si="3"/>
        <v>65</v>
      </c>
      <c r="AY76" s="33">
        <f t="shared" si="4"/>
        <v>825</v>
      </c>
      <c r="AZ76" s="30">
        <f t="shared" si="5"/>
        <v>12.66212121</v>
      </c>
    </row>
    <row r="77" ht="15.75" customHeight="1">
      <c r="A77" s="31" t="s">
        <v>38</v>
      </c>
      <c r="B77" s="32">
        <f t="shared" si="6"/>
        <v>44637</v>
      </c>
      <c r="C77" s="33">
        <v>3.0</v>
      </c>
      <c r="D77" s="33" t="s">
        <v>48</v>
      </c>
      <c r="E77" s="34"/>
      <c r="F77" s="24">
        <v>140.0</v>
      </c>
      <c r="H77" s="25">
        <v>140.0</v>
      </c>
      <c r="J77" s="25">
        <v>0.0</v>
      </c>
      <c r="L77" s="25">
        <v>0.0</v>
      </c>
      <c r="N77" s="25">
        <v>65.0</v>
      </c>
      <c r="P77" s="25">
        <v>0.0</v>
      </c>
      <c r="Q77" s="26"/>
      <c r="R77" s="24">
        <v>310.0</v>
      </c>
      <c r="T77" s="25">
        <v>310.0</v>
      </c>
      <c r="V77" s="25">
        <v>0.0</v>
      </c>
      <c r="X77" s="25">
        <v>0.0</v>
      </c>
      <c r="Z77" s="25">
        <v>0.0</v>
      </c>
      <c r="AB77" s="25">
        <v>0.0</v>
      </c>
      <c r="AC77" s="26"/>
      <c r="AD77" s="25">
        <v>0.0</v>
      </c>
      <c r="AF77" s="25">
        <v>0.0</v>
      </c>
      <c r="AH77" s="25">
        <v>0.0</v>
      </c>
      <c r="AJ77" s="27">
        <v>0.0</v>
      </c>
      <c r="AK77" s="26"/>
      <c r="AL77" s="24">
        <v>0.0</v>
      </c>
      <c r="AM77" s="26"/>
      <c r="AN77" s="24">
        <v>0.0</v>
      </c>
      <c r="AO77" s="26"/>
      <c r="AP77" s="24">
        <v>0.0</v>
      </c>
      <c r="AQ77" s="26"/>
      <c r="AR77" s="25">
        <v>0.0</v>
      </c>
      <c r="AT77" s="25">
        <v>0.0</v>
      </c>
      <c r="AU77" s="26"/>
      <c r="AV77" s="35">
        <f t="shared" si="1"/>
        <v>13286.85</v>
      </c>
      <c r="AW77" s="33">
        <f t="shared" si="2"/>
        <v>900</v>
      </c>
      <c r="AX77" s="33">
        <f t="shared" si="3"/>
        <v>65</v>
      </c>
      <c r="AY77" s="33">
        <f t="shared" si="4"/>
        <v>965</v>
      </c>
      <c r="AZ77" s="30">
        <f t="shared" si="5"/>
        <v>13.76875648</v>
      </c>
    </row>
    <row r="78" ht="15.75" customHeight="1">
      <c r="A78" s="31" t="s">
        <v>45</v>
      </c>
      <c r="B78" s="32">
        <f t="shared" si="6"/>
        <v>44638</v>
      </c>
      <c r="C78" s="33">
        <v>3.0</v>
      </c>
      <c r="D78" s="33" t="s">
        <v>48</v>
      </c>
      <c r="E78" s="34"/>
      <c r="F78" s="24">
        <v>140.0</v>
      </c>
      <c r="H78" s="25">
        <v>140.0</v>
      </c>
      <c r="J78" s="25">
        <v>0.0</v>
      </c>
      <c r="L78" s="25">
        <v>0.0</v>
      </c>
      <c r="N78" s="25">
        <v>65.0</v>
      </c>
      <c r="P78" s="25">
        <v>0.0</v>
      </c>
      <c r="Q78" s="26"/>
      <c r="R78" s="24">
        <v>310.0</v>
      </c>
      <c r="T78" s="25">
        <v>310.0</v>
      </c>
      <c r="V78" s="25">
        <v>0.0</v>
      </c>
      <c r="X78" s="25">
        <v>0.0</v>
      </c>
      <c r="Z78" s="25">
        <v>0.0</v>
      </c>
      <c r="AB78" s="25">
        <v>0.0</v>
      </c>
      <c r="AC78" s="26"/>
      <c r="AD78" s="25">
        <v>0.0</v>
      </c>
      <c r="AF78" s="25">
        <v>0.0</v>
      </c>
      <c r="AH78" s="25">
        <v>0.0</v>
      </c>
      <c r="AJ78" s="27">
        <v>0.0</v>
      </c>
      <c r="AK78" s="26"/>
      <c r="AL78" s="24">
        <v>0.0</v>
      </c>
      <c r="AM78" s="26"/>
      <c r="AN78" s="24">
        <v>0.0</v>
      </c>
      <c r="AO78" s="26"/>
      <c r="AP78" s="24">
        <v>0.0</v>
      </c>
      <c r="AQ78" s="26"/>
      <c r="AR78" s="25">
        <v>0.0</v>
      </c>
      <c r="AT78" s="25">
        <v>0.0</v>
      </c>
      <c r="AU78" s="26"/>
      <c r="AV78" s="35">
        <f t="shared" si="1"/>
        <v>13286.85</v>
      </c>
      <c r="AW78" s="33">
        <f t="shared" si="2"/>
        <v>900</v>
      </c>
      <c r="AX78" s="33">
        <f t="shared" si="3"/>
        <v>65</v>
      </c>
      <c r="AY78" s="33">
        <f t="shared" si="4"/>
        <v>965</v>
      </c>
      <c r="AZ78" s="30">
        <f t="shared" si="5"/>
        <v>13.76875648</v>
      </c>
    </row>
    <row r="79" ht="15.75" customHeight="1">
      <c r="A79" s="44" t="s">
        <v>46</v>
      </c>
      <c r="B79" s="45">
        <f t="shared" si="6"/>
        <v>44639</v>
      </c>
      <c r="C79" s="46">
        <v>3.0</v>
      </c>
      <c r="D79" s="46" t="s">
        <v>48</v>
      </c>
      <c r="E79" s="47"/>
      <c r="F79" s="49">
        <v>140.0</v>
      </c>
      <c r="G79" s="51"/>
      <c r="H79" s="52">
        <v>65.0</v>
      </c>
      <c r="I79" s="51"/>
      <c r="J79" s="52">
        <v>0.0</v>
      </c>
      <c r="K79" s="51"/>
      <c r="L79" s="52">
        <v>0.0</v>
      </c>
      <c r="M79" s="51"/>
      <c r="N79" s="52">
        <v>0.0</v>
      </c>
      <c r="O79" s="51"/>
      <c r="P79" s="52">
        <v>0.0</v>
      </c>
      <c r="Q79" s="53"/>
      <c r="R79" s="49">
        <v>310.0</v>
      </c>
      <c r="S79" s="51"/>
      <c r="T79" s="52">
        <v>310.0</v>
      </c>
      <c r="U79" s="51"/>
      <c r="V79" s="52">
        <v>0.0</v>
      </c>
      <c r="W79" s="51"/>
      <c r="X79" s="52">
        <v>0.0</v>
      </c>
      <c r="Y79" s="51"/>
      <c r="Z79" s="52">
        <v>0.0</v>
      </c>
      <c r="AA79" s="51"/>
      <c r="AB79" s="52">
        <v>0.0</v>
      </c>
      <c r="AC79" s="53"/>
      <c r="AD79" s="52">
        <v>0.0</v>
      </c>
      <c r="AE79" s="51"/>
      <c r="AF79" s="52">
        <v>0.0</v>
      </c>
      <c r="AG79" s="51"/>
      <c r="AH79" s="52">
        <v>0.0</v>
      </c>
      <c r="AI79" s="51"/>
      <c r="AJ79" s="54">
        <v>0.0</v>
      </c>
      <c r="AK79" s="53"/>
      <c r="AL79" s="49">
        <v>0.0</v>
      </c>
      <c r="AM79" s="53"/>
      <c r="AN79" s="49">
        <v>0.0</v>
      </c>
      <c r="AO79" s="53"/>
      <c r="AP79" s="49">
        <v>0.0</v>
      </c>
      <c r="AQ79" s="53"/>
      <c r="AR79" s="52">
        <v>0.0</v>
      </c>
      <c r="AS79" s="51"/>
      <c r="AT79" s="52">
        <v>0.0</v>
      </c>
      <c r="AU79" s="53"/>
      <c r="AV79" s="55">
        <f t="shared" si="1"/>
        <v>10446.25</v>
      </c>
      <c r="AW79" s="46">
        <f t="shared" si="2"/>
        <v>825</v>
      </c>
      <c r="AX79" s="46">
        <f t="shared" si="3"/>
        <v>0</v>
      </c>
      <c r="AY79" s="46">
        <f t="shared" si="4"/>
        <v>825</v>
      </c>
      <c r="AZ79" s="56">
        <f t="shared" si="5"/>
        <v>12.66212121</v>
      </c>
    </row>
    <row r="80" ht="15.75" customHeight="1">
      <c r="A80" s="19" t="s">
        <v>30</v>
      </c>
      <c r="B80" s="57">
        <f t="shared" si="6"/>
        <v>44640</v>
      </c>
      <c r="C80" s="21">
        <v>3.0</v>
      </c>
      <c r="D80" s="21" t="s">
        <v>49</v>
      </c>
      <c r="E80" s="23"/>
      <c r="F80" s="24">
        <v>140.0</v>
      </c>
      <c r="H80" s="25">
        <v>65.0</v>
      </c>
      <c r="J80" s="25">
        <v>0.0</v>
      </c>
      <c r="L80" s="25">
        <v>0.0</v>
      </c>
      <c r="N80" s="25">
        <v>0.0</v>
      </c>
      <c r="P80" s="25">
        <v>0.0</v>
      </c>
      <c r="Q80" s="26"/>
      <c r="R80" s="24">
        <v>310.0</v>
      </c>
      <c r="T80" s="25">
        <v>310.0</v>
      </c>
      <c r="V80" s="25">
        <v>0.0</v>
      </c>
      <c r="X80" s="25">
        <v>0.0</v>
      </c>
      <c r="Z80" s="25">
        <v>0.0</v>
      </c>
      <c r="AB80" s="25">
        <v>0.0</v>
      </c>
      <c r="AC80" s="26"/>
      <c r="AD80" s="25">
        <v>0.0</v>
      </c>
      <c r="AF80" s="25">
        <v>0.0</v>
      </c>
      <c r="AH80" s="25">
        <v>0.0</v>
      </c>
      <c r="AJ80" s="27">
        <v>0.0</v>
      </c>
      <c r="AK80" s="26"/>
      <c r="AL80" s="24">
        <v>0.0</v>
      </c>
      <c r="AM80" s="26"/>
      <c r="AN80" s="24">
        <v>0.0</v>
      </c>
      <c r="AO80" s="26"/>
      <c r="AP80" s="24">
        <v>0.0</v>
      </c>
      <c r="AQ80" s="26"/>
      <c r="AR80" s="25">
        <v>0.0</v>
      </c>
      <c r="AT80" s="25">
        <v>0.0</v>
      </c>
      <c r="AU80" s="26"/>
      <c r="AV80" s="29">
        <f t="shared" si="1"/>
        <v>10446.25</v>
      </c>
      <c r="AW80" s="21">
        <f t="shared" si="2"/>
        <v>825</v>
      </c>
      <c r="AX80" s="21">
        <f t="shared" si="3"/>
        <v>0</v>
      </c>
      <c r="AY80" s="21">
        <f t="shared" si="4"/>
        <v>825</v>
      </c>
      <c r="AZ80" s="58">
        <f t="shared" si="5"/>
        <v>12.66212121</v>
      </c>
    </row>
    <row r="81" ht="15.75" customHeight="1">
      <c r="A81" s="31" t="s">
        <v>33</v>
      </c>
      <c r="B81" s="32">
        <f t="shared" si="6"/>
        <v>44641</v>
      </c>
      <c r="C81" s="33">
        <v>3.0</v>
      </c>
      <c r="D81" s="33" t="s">
        <v>49</v>
      </c>
      <c r="E81" s="34"/>
      <c r="F81" s="24">
        <v>0.0</v>
      </c>
      <c r="H81" s="25">
        <v>0.0</v>
      </c>
      <c r="J81" s="25">
        <v>0.0</v>
      </c>
      <c r="L81" s="25">
        <v>0.0</v>
      </c>
      <c r="N81" s="25">
        <v>0.0</v>
      </c>
      <c r="P81" s="25">
        <v>0.0</v>
      </c>
      <c r="Q81" s="26"/>
      <c r="R81" s="24">
        <v>0.0</v>
      </c>
      <c r="T81" s="25">
        <v>0.0</v>
      </c>
      <c r="V81" s="25">
        <v>0.0</v>
      </c>
      <c r="X81" s="25">
        <v>0.0</v>
      </c>
      <c r="Z81" s="25">
        <v>0.0</v>
      </c>
      <c r="AB81" s="25">
        <v>0.0</v>
      </c>
      <c r="AC81" s="26"/>
      <c r="AD81" s="25">
        <v>0.0</v>
      </c>
      <c r="AF81" s="25">
        <v>0.0</v>
      </c>
      <c r="AH81" s="25">
        <v>0.0</v>
      </c>
      <c r="AJ81" s="27">
        <v>0.0</v>
      </c>
      <c r="AK81" s="26"/>
      <c r="AL81" s="24">
        <v>0.0</v>
      </c>
      <c r="AM81" s="26"/>
      <c r="AN81" s="24">
        <v>0.0</v>
      </c>
      <c r="AO81" s="26"/>
      <c r="AP81" s="24">
        <v>0.0</v>
      </c>
      <c r="AQ81" s="26"/>
      <c r="AR81" s="25">
        <v>0.0</v>
      </c>
      <c r="AT81" s="25">
        <v>0.0</v>
      </c>
      <c r="AU81" s="26"/>
      <c r="AV81" s="35">
        <f t="shared" si="1"/>
        <v>0</v>
      </c>
      <c r="AW81" s="33">
        <f t="shared" si="2"/>
        <v>0</v>
      </c>
      <c r="AX81" s="33">
        <f t="shared" si="3"/>
        <v>0</v>
      </c>
      <c r="AY81" s="33">
        <f t="shared" si="4"/>
        <v>0</v>
      </c>
      <c r="AZ81" s="30" t="str">
        <f t="shared" si="5"/>
        <v/>
      </c>
    </row>
    <row r="82" ht="15.75" customHeight="1">
      <c r="A82" s="31" t="s">
        <v>34</v>
      </c>
      <c r="B82" s="32">
        <f t="shared" si="6"/>
        <v>44642</v>
      </c>
      <c r="C82" s="33">
        <v>3.0</v>
      </c>
      <c r="D82" s="33" t="s">
        <v>49</v>
      </c>
      <c r="E82" s="34"/>
      <c r="F82" s="24">
        <v>140.0</v>
      </c>
      <c r="H82" s="25">
        <v>140.0</v>
      </c>
      <c r="J82" s="25">
        <v>0.0</v>
      </c>
      <c r="L82" s="25">
        <v>0.0</v>
      </c>
      <c r="N82" s="25">
        <v>65.0</v>
      </c>
      <c r="P82" s="25">
        <v>0.0</v>
      </c>
      <c r="Q82" s="26"/>
      <c r="R82" s="24">
        <v>310.0</v>
      </c>
      <c r="T82" s="25">
        <v>310.0</v>
      </c>
      <c r="V82" s="25">
        <v>0.0</v>
      </c>
      <c r="X82" s="25">
        <v>0.0</v>
      </c>
      <c r="Z82" s="25">
        <v>0.0</v>
      </c>
      <c r="AB82" s="25">
        <v>0.0</v>
      </c>
      <c r="AC82" s="26"/>
      <c r="AD82" s="25">
        <v>0.0</v>
      </c>
      <c r="AF82" s="25">
        <v>0.0</v>
      </c>
      <c r="AH82" s="25">
        <v>0.0</v>
      </c>
      <c r="AJ82" s="27">
        <v>0.0</v>
      </c>
      <c r="AK82" s="26"/>
      <c r="AL82" s="24">
        <v>0.0</v>
      </c>
      <c r="AM82" s="26"/>
      <c r="AN82" s="24">
        <v>60.0</v>
      </c>
      <c r="AO82" s="26"/>
      <c r="AP82" s="24">
        <v>0.0</v>
      </c>
      <c r="AQ82" s="26"/>
      <c r="AR82" s="25">
        <v>0.0</v>
      </c>
      <c r="AT82" s="25">
        <v>0.0</v>
      </c>
      <c r="AU82" s="26"/>
      <c r="AV82" s="35">
        <f t="shared" si="1"/>
        <v>13376.85</v>
      </c>
      <c r="AW82" s="33">
        <f t="shared" si="2"/>
        <v>960</v>
      </c>
      <c r="AX82" s="33">
        <f t="shared" si="3"/>
        <v>65</v>
      </c>
      <c r="AY82" s="33">
        <f t="shared" si="4"/>
        <v>1025</v>
      </c>
      <c r="AZ82" s="30">
        <f t="shared" si="5"/>
        <v>13.05058537</v>
      </c>
    </row>
    <row r="83" ht="15.75" customHeight="1">
      <c r="A83" s="31" t="s">
        <v>35</v>
      </c>
      <c r="B83" s="32">
        <f t="shared" si="6"/>
        <v>44643</v>
      </c>
      <c r="C83" s="33">
        <v>3.0</v>
      </c>
      <c r="D83" s="33" t="s">
        <v>49</v>
      </c>
      <c r="E83" s="34"/>
      <c r="F83" s="24">
        <v>140.0</v>
      </c>
      <c r="H83" s="25">
        <v>65.0</v>
      </c>
      <c r="J83" s="25">
        <v>0.0</v>
      </c>
      <c r="L83" s="25">
        <v>0.0</v>
      </c>
      <c r="N83" s="25">
        <v>0.0</v>
      </c>
      <c r="P83" s="25">
        <v>0.0</v>
      </c>
      <c r="Q83" s="26"/>
      <c r="R83" s="24">
        <v>310.0</v>
      </c>
      <c r="T83" s="25">
        <v>310.0</v>
      </c>
      <c r="V83" s="25">
        <v>0.0</v>
      </c>
      <c r="X83" s="25">
        <v>0.0</v>
      </c>
      <c r="Z83" s="25">
        <v>0.0</v>
      </c>
      <c r="AB83" s="25">
        <v>0.0</v>
      </c>
      <c r="AC83" s="26"/>
      <c r="AD83" s="25">
        <v>0.0</v>
      </c>
      <c r="AF83" s="25">
        <v>0.0</v>
      </c>
      <c r="AH83" s="25">
        <v>0.0</v>
      </c>
      <c r="AJ83" s="27">
        <v>0.0</v>
      </c>
      <c r="AK83" s="26"/>
      <c r="AL83" s="24">
        <v>0.0</v>
      </c>
      <c r="AM83" s="26"/>
      <c r="AN83" s="24">
        <v>0.0</v>
      </c>
      <c r="AO83" s="26"/>
      <c r="AP83" s="24">
        <v>0.0</v>
      </c>
      <c r="AQ83" s="26"/>
      <c r="AR83" s="25">
        <v>0.0</v>
      </c>
      <c r="AT83" s="25">
        <v>0.0</v>
      </c>
      <c r="AU83" s="26"/>
      <c r="AV83" s="35">
        <f t="shared" si="1"/>
        <v>10446.25</v>
      </c>
      <c r="AW83" s="33">
        <f t="shared" si="2"/>
        <v>825</v>
      </c>
      <c r="AX83" s="33">
        <f t="shared" si="3"/>
        <v>0</v>
      </c>
      <c r="AY83" s="33">
        <f t="shared" si="4"/>
        <v>825</v>
      </c>
      <c r="AZ83" s="30">
        <f t="shared" si="5"/>
        <v>12.66212121</v>
      </c>
    </row>
    <row r="84" ht="15.75" customHeight="1">
      <c r="A84" s="31" t="s">
        <v>38</v>
      </c>
      <c r="B84" s="32">
        <f t="shared" si="6"/>
        <v>44644</v>
      </c>
      <c r="C84" s="33">
        <v>3.0</v>
      </c>
      <c r="D84" s="33" t="s">
        <v>49</v>
      </c>
      <c r="E84" s="34"/>
      <c r="F84" s="24">
        <v>0.0</v>
      </c>
      <c r="H84" s="25">
        <v>140.0</v>
      </c>
      <c r="J84" s="25">
        <v>140.0</v>
      </c>
      <c r="L84" s="25">
        <v>0.0</v>
      </c>
      <c r="N84" s="25">
        <v>65.0</v>
      </c>
      <c r="P84" s="25">
        <v>0.0</v>
      </c>
      <c r="Q84" s="26"/>
      <c r="R84" s="24">
        <v>310.0</v>
      </c>
      <c r="T84" s="25">
        <v>310.0</v>
      </c>
      <c r="V84" s="25">
        <v>0.0</v>
      </c>
      <c r="X84" s="25">
        <v>0.0</v>
      </c>
      <c r="Z84" s="25">
        <v>0.0</v>
      </c>
      <c r="AB84" s="25">
        <v>0.0</v>
      </c>
      <c r="AC84" s="26"/>
      <c r="AD84" s="25">
        <v>0.0</v>
      </c>
      <c r="AF84" s="25">
        <v>0.0</v>
      </c>
      <c r="AH84" s="25">
        <v>0.0</v>
      </c>
      <c r="AJ84" s="27">
        <v>0.0</v>
      </c>
      <c r="AK84" s="26"/>
      <c r="AL84" s="24">
        <v>0.0</v>
      </c>
      <c r="AM84" s="26"/>
      <c r="AN84" s="24">
        <v>45.0</v>
      </c>
      <c r="AO84" s="26"/>
      <c r="AP84" s="24">
        <v>0.0</v>
      </c>
      <c r="AQ84" s="26"/>
      <c r="AR84" s="25">
        <v>0.0</v>
      </c>
      <c r="AT84" s="25">
        <v>0.0</v>
      </c>
      <c r="AU84" s="26"/>
      <c r="AV84" s="35">
        <f t="shared" si="1"/>
        <v>13354.35</v>
      </c>
      <c r="AW84" s="33">
        <f t="shared" si="2"/>
        <v>945</v>
      </c>
      <c r="AX84" s="33">
        <f t="shared" si="3"/>
        <v>65</v>
      </c>
      <c r="AY84" s="33">
        <f t="shared" si="4"/>
        <v>1010</v>
      </c>
      <c r="AZ84" s="30">
        <f t="shared" si="5"/>
        <v>13.22212871</v>
      </c>
    </row>
    <row r="85" ht="15.75" customHeight="1">
      <c r="A85" s="31" t="s">
        <v>45</v>
      </c>
      <c r="B85" s="32">
        <f t="shared" si="6"/>
        <v>44645</v>
      </c>
      <c r="C85" s="33">
        <v>3.0</v>
      </c>
      <c r="D85" s="33" t="s">
        <v>49</v>
      </c>
      <c r="E85" s="34"/>
      <c r="F85" s="24">
        <v>0.0</v>
      </c>
      <c r="H85" s="25">
        <v>140.0</v>
      </c>
      <c r="J85" s="25">
        <v>140.0</v>
      </c>
      <c r="L85" s="25">
        <v>0.0</v>
      </c>
      <c r="N85" s="25">
        <v>65.0</v>
      </c>
      <c r="P85" s="25">
        <v>0.0</v>
      </c>
      <c r="Q85" s="26"/>
      <c r="R85" s="24">
        <v>310.0</v>
      </c>
      <c r="T85" s="25">
        <v>310.0</v>
      </c>
      <c r="V85" s="25">
        <v>0.0</v>
      </c>
      <c r="X85" s="25">
        <v>0.0</v>
      </c>
      <c r="Z85" s="25">
        <v>0.0</v>
      </c>
      <c r="AB85" s="25">
        <v>0.0</v>
      </c>
      <c r="AC85" s="26"/>
      <c r="AD85" s="25">
        <v>0.0</v>
      </c>
      <c r="AF85" s="25">
        <v>0.0</v>
      </c>
      <c r="AH85" s="25">
        <v>0.0</v>
      </c>
      <c r="AJ85" s="27">
        <v>0.0</v>
      </c>
      <c r="AK85" s="26"/>
      <c r="AL85" s="24">
        <v>0.0</v>
      </c>
      <c r="AM85" s="26"/>
      <c r="AN85" s="24">
        <v>0.0</v>
      </c>
      <c r="AO85" s="26"/>
      <c r="AP85" s="24">
        <v>0.0</v>
      </c>
      <c r="AQ85" s="26"/>
      <c r="AR85" s="25">
        <v>0.0</v>
      </c>
      <c r="AT85" s="25">
        <v>0.0</v>
      </c>
      <c r="AU85" s="26"/>
      <c r="AV85" s="35">
        <f t="shared" si="1"/>
        <v>13286.85</v>
      </c>
      <c r="AW85" s="33">
        <f t="shared" si="2"/>
        <v>900</v>
      </c>
      <c r="AX85" s="33">
        <f t="shared" si="3"/>
        <v>65</v>
      </c>
      <c r="AY85" s="33">
        <f t="shared" si="4"/>
        <v>965</v>
      </c>
      <c r="AZ85" s="30">
        <f t="shared" si="5"/>
        <v>13.76875648</v>
      </c>
    </row>
    <row r="86" ht="15.75" customHeight="1">
      <c r="A86" s="44" t="s">
        <v>46</v>
      </c>
      <c r="B86" s="45">
        <f t="shared" si="6"/>
        <v>44646</v>
      </c>
      <c r="C86" s="46">
        <v>3.0</v>
      </c>
      <c r="D86" s="46" t="s">
        <v>49</v>
      </c>
      <c r="E86" s="47"/>
      <c r="F86" s="49">
        <v>140.0</v>
      </c>
      <c r="G86" s="51"/>
      <c r="H86" s="52">
        <v>65.0</v>
      </c>
      <c r="I86" s="51"/>
      <c r="J86" s="52">
        <v>0.0</v>
      </c>
      <c r="K86" s="51"/>
      <c r="L86" s="52">
        <v>0.0</v>
      </c>
      <c r="M86" s="51"/>
      <c r="N86" s="52">
        <v>0.0</v>
      </c>
      <c r="O86" s="51"/>
      <c r="P86" s="52">
        <v>0.0</v>
      </c>
      <c r="Q86" s="53"/>
      <c r="R86" s="49">
        <v>240.0</v>
      </c>
      <c r="S86" s="51"/>
      <c r="T86" s="52">
        <v>240.0</v>
      </c>
      <c r="U86" s="51"/>
      <c r="V86" s="52">
        <v>0.0</v>
      </c>
      <c r="W86" s="51"/>
      <c r="X86" s="52">
        <v>0.0</v>
      </c>
      <c r="Y86" s="51"/>
      <c r="Z86" s="52">
        <v>0.0</v>
      </c>
      <c r="AA86" s="51"/>
      <c r="AB86" s="52">
        <v>0.0</v>
      </c>
      <c r="AC86" s="53"/>
      <c r="AD86" s="52">
        <v>0.0</v>
      </c>
      <c r="AE86" s="51"/>
      <c r="AF86" s="52">
        <v>0.0</v>
      </c>
      <c r="AG86" s="51"/>
      <c r="AH86" s="52">
        <v>0.0</v>
      </c>
      <c r="AI86" s="51"/>
      <c r="AJ86" s="54">
        <v>0.0</v>
      </c>
      <c r="AK86" s="53"/>
      <c r="AL86" s="49">
        <v>0.0</v>
      </c>
      <c r="AM86" s="53"/>
      <c r="AN86" s="49">
        <v>0.0</v>
      </c>
      <c r="AO86" s="53"/>
      <c r="AP86" s="49">
        <v>0.0</v>
      </c>
      <c r="AQ86" s="53"/>
      <c r="AR86" s="52">
        <v>0.0</v>
      </c>
      <c r="AS86" s="51"/>
      <c r="AT86" s="52">
        <v>0.0</v>
      </c>
      <c r="AU86" s="53"/>
      <c r="AV86" s="55">
        <f t="shared" si="1"/>
        <v>9026.65</v>
      </c>
      <c r="AW86" s="46">
        <f t="shared" si="2"/>
        <v>685</v>
      </c>
      <c r="AX86" s="46">
        <f t="shared" si="3"/>
        <v>0</v>
      </c>
      <c r="AY86" s="46">
        <f t="shared" si="4"/>
        <v>685</v>
      </c>
      <c r="AZ86" s="56">
        <f t="shared" si="5"/>
        <v>13.17759124</v>
      </c>
    </row>
    <row r="87" ht="15.75" customHeight="1">
      <c r="A87" s="19" t="s">
        <v>30</v>
      </c>
      <c r="B87" s="57">
        <f t="shared" si="6"/>
        <v>44647</v>
      </c>
      <c r="C87" s="21">
        <v>4.0</v>
      </c>
      <c r="D87" s="21" t="s">
        <v>31</v>
      </c>
      <c r="E87" s="23"/>
      <c r="F87" s="24">
        <v>80.0</v>
      </c>
      <c r="H87" s="25">
        <v>80.0</v>
      </c>
      <c r="J87" s="25">
        <v>0.0</v>
      </c>
      <c r="L87" s="25">
        <v>0.0</v>
      </c>
      <c r="N87" s="25">
        <v>65.0</v>
      </c>
      <c r="P87" s="25">
        <v>0.0</v>
      </c>
      <c r="Q87" s="26"/>
      <c r="R87" s="24">
        <v>60.0</v>
      </c>
      <c r="T87" s="25">
        <v>60.0</v>
      </c>
      <c r="V87" s="25">
        <v>0.0</v>
      </c>
      <c r="X87" s="25">
        <v>0.0</v>
      </c>
      <c r="Z87" s="25">
        <v>0.0</v>
      </c>
      <c r="AB87" s="25">
        <v>0.0</v>
      </c>
      <c r="AC87" s="26"/>
      <c r="AD87" s="25">
        <v>0.0</v>
      </c>
      <c r="AF87" s="25">
        <v>0.0</v>
      </c>
      <c r="AH87" s="25">
        <v>0.0</v>
      </c>
      <c r="AJ87" s="27">
        <v>0.0</v>
      </c>
      <c r="AK87" s="26"/>
      <c r="AL87" s="24">
        <v>0.0</v>
      </c>
      <c r="AM87" s="26"/>
      <c r="AN87" s="24">
        <v>0.0</v>
      </c>
      <c r="AO87" s="26"/>
      <c r="AP87" s="24">
        <v>0.0</v>
      </c>
      <c r="AQ87" s="26"/>
      <c r="AR87" s="25">
        <v>0.0</v>
      </c>
      <c r="AT87" s="25">
        <v>0.0</v>
      </c>
      <c r="AU87" s="26"/>
      <c r="AV87" s="29">
        <f t="shared" si="1"/>
        <v>5782.05</v>
      </c>
      <c r="AW87" s="21">
        <f t="shared" si="2"/>
        <v>280</v>
      </c>
      <c r="AX87" s="21">
        <f t="shared" si="3"/>
        <v>65</v>
      </c>
      <c r="AY87" s="21">
        <f t="shared" si="4"/>
        <v>345</v>
      </c>
      <c r="AZ87" s="58">
        <f t="shared" si="5"/>
        <v>16.75956522</v>
      </c>
    </row>
    <row r="88" ht="15.75" customHeight="1">
      <c r="A88" s="31" t="s">
        <v>33</v>
      </c>
      <c r="B88" s="32">
        <f t="shared" si="6"/>
        <v>44648</v>
      </c>
      <c r="C88" s="33">
        <v>4.0</v>
      </c>
      <c r="D88" s="33" t="s">
        <v>31</v>
      </c>
      <c r="E88" s="34"/>
      <c r="F88" s="24">
        <v>80.0</v>
      </c>
      <c r="H88" s="25">
        <v>40.0</v>
      </c>
      <c r="J88" s="25">
        <v>0.0</v>
      </c>
      <c r="L88" s="25">
        <v>0.0</v>
      </c>
      <c r="N88" s="25">
        <v>65.0</v>
      </c>
      <c r="P88" s="25">
        <v>0.0</v>
      </c>
      <c r="Q88" s="26"/>
      <c r="R88" s="24">
        <v>240.0</v>
      </c>
      <c r="T88" s="25">
        <v>240.0</v>
      </c>
      <c r="V88" s="25">
        <v>0.0</v>
      </c>
      <c r="X88" s="25">
        <v>0.0</v>
      </c>
      <c r="Z88" s="25">
        <v>0.0</v>
      </c>
      <c r="AB88" s="25">
        <v>0.0</v>
      </c>
      <c r="AC88" s="26"/>
      <c r="AD88" s="25">
        <v>0.0</v>
      </c>
      <c r="AF88" s="25">
        <v>0.0</v>
      </c>
      <c r="AH88" s="25">
        <v>0.0</v>
      </c>
      <c r="AJ88" s="27">
        <v>0.0</v>
      </c>
      <c r="AK88" s="26"/>
      <c r="AL88" s="24">
        <v>0.0</v>
      </c>
      <c r="AM88" s="26"/>
      <c r="AN88" s="24">
        <v>0.0</v>
      </c>
      <c r="AO88" s="26"/>
      <c r="AP88" s="24">
        <v>0.0</v>
      </c>
      <c r="AQ88" s="26"/>
      <c r="AR88" s="25">
        <v>0.0</v>
      </c>
      <c r="AT88" s="25">
        <v>0.0</v>
      </c>
      <c r="AU88" s="26"/>
      <c r="AV88" s="35">
        <f t="shared" si="1"/>
        <v>8620.85</v>
      </c>
      <c r="AW88" s="33">
        <f t="shared" si="2"/>
        <v>600</v>
      </c>
      <c r="AX88" s="33">
        <f t="shared" si="3"/>
        <v>65</v>
      </c>
      <c r="AY88" s="33">
        <f t="shared" si="4"/>
        <v>665</v>
      </c>
      <c r="AZ88" s="30">
        <f t="shared" si="5"/>
        <v>12.96368421</v>
      </c>
    </row>
    <row r="89" ht="15.75" customHeight="1">
      <c r="A89" s="31" t="s">
        <v>34</v>
      </c>
      <c r="B89" s="32">
        <f t="shared" si="6"/>
        <v>44649</v>
      </c>
      <c r="C89" s="33">
        <v>4.0</v>
      </c>
      <c r="D89" s="33" t="s">
        <v>31</v>
      </c>
      <c r="E89" s="34"/>
      <c r="F89" s="24">
        <v>0.0</v>
      </c>
      <c r="H89" s="25">
        <v>0.0</v>
      </c>
      <c r="J89" s="25">
        <v>0.0</v>
      </c>
      <c r="L89" s="25">
        <v>0.0</v>
      </c>
      <c r="N89" s="25">
        <v>0.0</v>
      </c>
      <c r="P89" s="25">
        <v>0.0</v>
      </c>
      <c r="Q89" s="26"/>
      <c r="R89" s="24">
        <v>240.0</v>
      </c>
      <c r="T89" s="25">
        <v>240.0</v>
      </c>
      <c r="V89" s="25">
        <v>0.0</v>
      </c>
      <c r="X89" s="25">
        <v>0.0</v>
      </c>
      <c r="Z89" s="25">
        <v>0.0</v>
      </c>
      <c r="AB89" s="25">
        <v>0.0</v>
      </c>
      <c r="AC89" s="26"/>
      <c r="AD89" s="25">
        <v>0.0</v>
      </c>
      <c r="AF89" s="25">
        <v>0.0</v>
      </c>
      <c r="AH89" s="25">
        <v>0.0</v>
      </c>
      <c r="AJ89" s="27">
        <v>0.0</v>
      </c>
      <c r="AK89" s="26"/>
      <c r="AL89" s="24">
        <v>0.0</v>
      </c>
      <c r="AM89" s="26"/>
      <c r="AN89" s="24">
        <v>0.0</v>
      </c>
      <c r="AO89" s="26"/>
      <c r="AP89" s="24">
        <v>0.0</v>
      </c>
      <c r="AQ89" s="26"/>
      <c r="AR89" s="25">
        <v>0.0</v>
      </c>
      <c r="AT89" s="25">
        <v>0.0</v>
      </c>
      <c r="AU89" s="26"/>
      <c r="AV89" s="35">
        <f t="shared" si="1"/>
        <v>4867.2</v>
      </c>
      <c r="AW89" s="33">
        <f t="shared" si="2"/>
        <v>480</v>
      </c>
      <c r="AX89" s="33">
        <f t="shared" si="3"/>
        <v>0</v>
      </c>
      <c r="AY89" s="33">
        <f t="shared" si="4"/>
        <v>480</v>
      </c>
      <c r="AZ89" s="30">
        <f t="shared" si="5"/>
        <v>10.14</v>
      </c>
    </row>
    <row r="90" ht="15.75" customHeight="1">
      <c r="A90" s="31" t="s">
        <v>35</v>
      </c>
      <c r="B90" s="32">
        <f t="shared" si="6"/>
        <v>44650</v>
      </c>
      <c r="C90" s="33">
        <v>4.0</v>
      </c>
      <c r="D90" s="33" t="s">
        <v>31</v>
      </c>
      <c r="E90" s="34"/>
      <c r="F90" s="24">
        <v>0.0</v>
      </c>
      <c r="H90" s="25">
        <v>0.0</v>
      </c>
      <c r="J90" s="25">
        <v>0.0</v>
      </c>
      <c r="L90" s="25">
        <v>0.0</v>
      </c>
      <c r="N90" s="25">
        <v>0.0</v>
      </c>
      <c r="P90" s="25">
        <v>0.0</v>
      </c>
      <c r="Q90" s="26"/>
      <c r="R90" s="24">
        <v>240.0</v>
      </c>
      <c r="T90" s="25">
        <v>240.0</v>
      </c>
      <c r="V90" s="25">
        <v>0.0</v>
      </c>
      <c r="X90" s="25">
        <v>0.0</v>
      </c>
      <c r="Z90" s="25">
        <v>0.0</v>
      </c>
      <c r="AB90" s="25">
        <v>0.0</v>
      </c>
      <c r="AC90" s="26"/>
      <c r="AD90" s="25">
        <v>0.0</v>
      </c>
      <c r="AF90" s="25">
        <v>0.0</v>
      </c>
      <c r="AH90" s="25">
        <v>0.0</v>
      </c>
      <c r="AJ90" s="27">
        <v>0.0</v>
      </c>
      <c r="AK90" s="26"/>
      <c r="AL90" s="24">
        <v>0.0</v>
      </c>
      <c r="AM90" s="26"/>
      <c r="AN90" s="24">
        <v>0.0</v>
      </c>
      <c r="AO90" s="26"/>
      <c r="AP90" s="24">
        <v>0.0</v>
      </c>
      <c r="AQ90" s="26"/>
      <c r="AR90" s="25">
        <v>0.0</v>
      </c>
      <c r="AT90" s="25">
        <v>0.0</v>
      </c>
      <c r="AU90" s="26"/>
      <c r="AV90" s="35">
        <f t="shared" si="1"/>
        <v>4867.2</v>
      </c>
      <c r="AW90" s="33">
        <f t="shared" si="2"/>
        <v>480</v>
      </c>
      <c r="AX90" s="33">
        <f t="shared" si="3"/>
        <v>0</v>
      </c>
      <c r="AY90" s="33">
        <f t="shared" si="4"/>
        <v>480</v>
      </c>
      <c r="AZ90" s="30">
        <f t="shared" si="5"/>
        <v>10.14</v>
      </c>
    </row>
    <row r="91" ht="15.75" customHeight="1">
      <c r="A91" s="31" t="s">
        <v>38</v>
      </c>
      <c r="B91" s="32">
        <f t="shared" si="6"/>
        <v>44651</v>
      </c>
      <c r="C91" s="33">
        <v>4.0</v>
      </c>
      <c r="D91" s="33" t="s">
        <v>31</v>
      </c>
      <c r="E91" s="34"/>
      <c r="F91" s="24">
        <v>0.0</v>
      </c>
      <c r="H91" s="25">
        <v>0.0</v>
      </c>
      <c r="J91" s="25">
        <v>0.0</v>
      </c>
      <c r="L91" s="25">
        <v>0.0</v>
      </c>
      <c r="N91" s="25">
        <v>0.0</v>
      </c>
      <c r="P91" s="25">
        <v>0.0</v>
      </c>
      <c r="Q91" s="26"/>
      <c r="R91" s="24">
        <v>240.0</v>
      </c>
      <c r="T91" s="25">
        <v>240.0</v>
      </c>
      <c r="V91" s="25">
        <v>0.0</v>
      </c>
      <c r="X91" s="25">
        <v>0.0</v>
      </c>
      <c r="Z91" s="25">
        <v>0.0</v>
      </c>
      <c r="AB91" s="25">
        <v>0.0</v>
      </c>
      <c r="AC91" s="26"/>
      <c r="AD91" s="25">
        <v>0.0</v>
      </c>
      <c r="AF91" s="25">
        <v>0.0</v>
      </c>
      <c r="AH91" s="25">
        <v>0.0</v>
      </c>
      <c r="AJ91" s="27">
        <v>0.0</v>
      </c>
      <c r="AK91" s="26"/>
      <c r="AL91" s="24">
        <v>0.0</v>
      </c>
      <c r="AM91" s="26"/>
      <c r="AN91" s="24">
        <v>0.0</v>
      </c>
      <c r="AO91" s="26"/>
      <c r="AP91" s="24">
        <v>0.0</v>
      </c>
      <c r="AQ91" s="26"/>
      <c r="AR91" s="25">
        <v>0.0</v>
      </c>
      <c r="AT91" s="25">
        <v>0.0</v>
      </c>
      <c r="AU91" s="26"/>
      <c r="AV91" s="35">
        <f t="shared" si="1"/>
        <v>4867.2</v>
      </c>
      <c r="AW91" s="33">
        <f t="shared" si="2"/>
        <v>480</v>
      </c>
      <c r="AX91" s="33">
        <f t="shared" si="3"/>
        <v>0</v>
      </c>
      <c r="AY91" s="33">
        <f t="shared" si="4"/>
        <v>480</v>
      </c>
      <c r="AZ91" s="30">
        <f t="shared" si="5"/>
        <v>10.14</v>
      </c>
    </row>
    <row r="92" ht="15.75" customHeight="1">
      <c r="A92" s="31" t="s">
        <v>45</v>
      </c>
      <c r="B92" s="32">
        <f t="shared" si="6"/>
        <v>44652</v>
      </c>
      <c r="C92" s="33">
        <v>4.0</v>
      </c>
      <c r="D92" s="33" t="s">
        <v>31</v>
      </c>
      <c r="E92" s="34"/>
      <c r="F92" s="24">
        <v>0.0</v>
      </c>
      <c r="H92" s="25">
        <v>0.0</v>
      </c>
      <c r="J92" s="25">
        <v>0.0</v>
      </c>
      <c r="L92" s="25">
        <v>0.0</v>
      </c>
      <c r="N92" s="25">
        <v>0.0</v>
      </c>
      <c r="P92" s="25">
        <v>0.0</v>
      </c>
      <c r="Q92" s="26"/>
      <c r="R92" s="24">
        <v>150.0</v>
      </c>
      <c r="T92" s="25">
        <v>150.0</v>
      </c>
      <c r="V92" s="25">
        <v>0.0</v>
      </c>
      <c r="X92" s="25">
        <v>0.0</v>
      </c>
      <c r="Z92" s="25">
        <v>0.0</v>
      </c>
      <c r="AB92" s="25">
        <v>0.0</v>
      </c>
      <c r="AC92" s="26"/>
      <c r="AD92" s="25">
        <v>0.0</v>
      </c>
      <c r="AF92" s="25">
        <v>0.0</v>
      </c>
      <c r="AH92" s="25">
        <v>0.0</v>
      </c>
      <c r="AJ92" s="27">
        <v>0.0</v>
      </c>
      <c r="AK92" s="26"/>
      <c r="AL92" s="24">
        <v>0.0</v>
      </c>
      <c r="AM92" s="26"/>
      <c r="AN92" s="24">
        <v>0.0</v>
      </c>
      <c r="AO92" s="26"/>
      <c r="AP92" s="24">
        <v>0.0</v>
      </c>
      <c r="AQ92" s="26"/>
      <c r="AR92" s="25">
        <v>0.0</v>
      </c>
      <c r="AT92" s="25">
        <v>0.0</v>
      </c>
      <c r="AU92" s="26"/>
      <c r="AV92" s="35">
        <f t="shared" si="1"/>
        <v>3042</v>
      </c>
      <c r="AW92" s="33">
        <f t="shared" si="2"/>
        <v>300</v>
      </c>
      <c r="AX92" s="33">
        <f t="shared" si="3"/>
        <v>0</v>
      </c>
      <c r="AY92" s="33">
        <f t="shared" si="4"/>
        <v>300</v>
      </c>
      <c r="AZ92" s="30">
        <f t="shared" si="5"/>
        <v>10.14</v>
      </c>
    </row>
    <row r="93" ht="15.75" customHeight="1">
      <c r="A93" s="44" t="s">
        <v>46</v>
      </c>
      <c r="B93" s="45">
        <f t="shared" si="6"/>
        <v>44653</v>
      </c>
      <c r="C93" s="46">
        <v>4.0</v>
      </c>
      <c r="D93" s="46" t="s">
        <v>31</v>
      </c>
      <c r="E93" s="47"/>
      <c r="F93" s="49">
        <v>0.0</v>
      </c>
      <c r="G93" s="51"/>
      <c r="H93" s="52">
        <v>0.0</v>
      </c>
      <c r="I93" s="51"/>
      <c r="J93" s="52">
        <v>0.0</v>
      </c>
      <c r="K93" s="51"/>
      <c r="L93" s="52">
        <v>0.0</v>
      </c>
      <c r="M93" s="51"/>
      <c r="N93" s="52">
        <v>0.0</v>
      </c>
      <c r="O93" s="51"/>
      <c r="P93" s="52">
        <v>0.0</v>
      </c>
      <c r="Q93" s="53"/>
      <c r="R93" s="49">
        <v>110.0</v>
      </c>
      <c r="S93" s="51"/>
      <c r="T93" s="52">
        <v>110.0</v>
      </c>
      <c r="U93" s="51"/>
      <c r="V93" s="52">
        <v>0.0</v>
      </c>
      <c r="W93" s="51"/>
      <c r="X93" s="52">
        <v>0.0</v>
      </c>
      <c r="Y93" s="51"/>
      <c r="Z93" s="52">
        <v>0.0</v>
      </c>
      <c r="AA93" s="51"/>
      <c r="AB93" s="52">
        <v>0.0</v>
      </c>
      <c r="AC93" s="53"/>
      <c r="AD93" s="52">
        <v>0.0</v>
      </c>
      <c r="AE93" s="51"/>
      <c r="AF93" s="52">
        <v>0.0</v>
      </c>
      <c r="AG93" s="51"/>
      <c r="AH93" s="52">
        <v>0.0</v>
      </c>
      <c r="AI93" s="51"/>
      <c r="AJ93" s="54">
        <v>0.0</v>
      </c>
      <c r="AK93" s="53"/>
      <c r="AL93" s="49">
        <v>0.0</v>
      </c>
      <c r="AM93" s="53"/>
      <c r="AN93" s="49">
        <v>0.0</v>
      </c>
      <c r="AO93" s="53"/>
      <c r="AP93" s="49">
        <v>0.0</v>
      </c>
      <c r="AQ93" s="53"/>
      <c r="AR93" s="52">
        <v>0.0</v>
      </c>
      <c r="AS93" s="51"/>
      <c r="AT93" s="52">
        <v>0.0</v>
      </c>
      <c r="AU93" s="53"/>
      <c r="AV93" s="55">
        <f t="shared" si="1"/>
        <v>2230.8</v>
      </c>
      <c r="AW93" s="46">
        <f t="shared" si="2"/>
        <v>220</v>
      </c>
      <c r="AX93" s="46">
        <f t="shared" si="3"/>
        <v>0</v>
      </c>
      <c r="AY93" s="46">
        <f t="shared" si="4"/>
        <v>220</v>
      </c>
      <c r="AZ93" s="56">
        <f t="shared" si="5"/>
        <v>10.14</v>
      </c>
    </row>
    <row r="94" ht="15.75" customHeight="1">
      <c r="A94" s="19" t="s">
        <v>30</v>
      </c>
      <c r="B94" s="57">
        <f t="shared" si="6"/>
        <v>44654</v>
      </c>
      <c r="C94" s="21">
        <v>4.0</v>
      </c>
      <c r="D94" s="21" t="s">
        <v>47</v>
      </c>
      <c r="E94" s="23"/>
      <c r="F94" s="24">
        <v>0.0</v>
      </c>
      <c r="H94" s="25">
        <v>0.0</v>
      </c>
      <c r="J94" s="25">
        <v>0.0</v>
      </c>
      <c r="L94" s="25">
        <v>0.0</v>
      </c>
      <c r="N94" s="25">
        <v>0.0</v>
      </c>
      <c r="P94" s="25">
        <v>0.0</v>
      </c>
      <c r="Q94" s="26"/>
      <c r="R94" s="24">
        <v>80.0</v>
      </c>
      <c r="T94" s="25">
        <v>70.0</v>
      </c>
      <c r="V94" s="25">
        <v>0.0</v>
      </c>
      <c r="X94" s="25">
        <v>0.0</v>
      </c>
      <c r="Z94" s="25">
        <v>0.0</v>
      </c>
      <c r="AB94" s="25">
        <v>0.0</v>
      </c>
      <c r="AC94" s="26"/>
      <c r="AD94" s="25">
        <v>0.0</v>
      </c>
      <c r="AF94" s="25">
        <v>0.0</v>
      </c>
      <c r="AH94" s="25">
        <v>0.0</v>
      </c>
      <c r="AJ94" s="27">
        <v>0.0</v>
      </c>
      <c r="AK94" s="26"/>
      <c r="AL94" s="24">
        <v>0.0</v>
      </c>
      <c r="AM94" s="26"/>
      <c r="AN94" s="24">
        <v>0.0</v>
      </c>
      <c r="AO94" s="26"/>
      <c r="AP94" s="24">
        <v>0.0</v>
      </c>
      <c r="AQ94" s="26"/>
      <c r="AR94" s="25">
        <v>0.0</v>
      </c>
      <c r="AT94" s="25">
        <v>0.0</v>
      </c>
      <c r="AU94" s="26"/>
      <c r="AV94" s="29">
        <f t="shared" si="1"/>
        <v>1521</v>
      </c>
      <c r="AW94" s="21">
        <f t="shared" si="2"/>
        <v>150</v>
      </c>
      <c r="AX94" s="21">
        <f t="shared" si="3"/>
        <v>0</v>
      </c>
      <c r="AY94" s="21">
        <f t="shared" si="4"/>
        <v>150</v>
      </c>
      <c r="AZ94" s="58">
        <f t="shared" si="5"/>
        <v>10.14</v>
      </c>
    </row>
    <row r="95" ht="15.75" customHeight="1">
      <c r="A95" s="31" t="s">
        <v>33</v>
      </c>
      <c r="B95" s="32">
        <f t="shared" si="6"/>
        <v>44655</v>
      </c>
      <c r="C95" s="33">
        <v>4.0</v>
      </c>
      <c r="D95" s="33" t="s">
        <v>47</v>
      </c>
      <c r="E95" s="34"/>
      <c r="F95" s="24">
        <v>0.0</v>
      </c>
      <c r="H95" s="25">
        <v>0.0</v>
      </c>
      <c r="J95" s="25">
        <v>0.0</v>
      </c>
      <c r="L95" s="25">
        <v>0.0</v>
      </c>
      <c r="N95" s="25">
        <v>0.0</v>
      </c>
      <c r="P95" s="25">
        <v>0.0</v>
      </c>
      <c r="Q95" s="26"/>
      <c r="R95" s="24">
        <v>120.0</v>
      </c>
      <c r="T95" s="25">
        <v>120.0</v>
      </c>
      <c r="V95" s="25">
        <v>0.0</v>
      </c>
      <c r="X95" s="25">
        <v>0.0</v>
      </c>
      <c r="Z95" s="25">
        <v>0.0</v>
      </c>
      <c r="AB95" s="25">
        <v>0.0</v>
      </c>
      <c r="AC95" s="26"/>
      <c r="AD95" s="25">
        <v>0.0</v>
      </c>
      <c r="AF95" s="25">
        <v>0.0</v>
      </c>
      <c r="AH95" s="25">
        <v>0.0</v>
      </c>
      <c r="AJ95" s="27">
        <v>0.0</v>
      </c>
      <c r="AK95" s="26"/>
      <c r="AL95" s="24">
        <v>0.0</v>
      </c>
      <c r="AM95" s="26"/>
      <c r="AN95" s="24">
        <v>0.0</v>
      </c>
      <c r="AO95" s="26"/>
      <c r="AP95" s="24">
        <v>0.0</v>
      </c>
      <c r="AQ95" s="26"/>
      <c r="AR95" s="25">
        <v>0.0</v>
      </c>
      <c r="AT95" s="25">
        <v>0.0</v>
      </c>
      <c r="AU95" s="26"/>
      <c r="AV95" s="35">
        <f t="shared" si="1"/>
        <v>2433.6</v>
      </c>
      <c r="AW95" s="33">
        <f t="shared" si="2"/>
        <v>240</v>
      </c>
      <c r="AX95" s="33">
        <f t="shared" si="3"/>
        <v>0</v>
      </c>
      <c r="AY95" s="33">
        <f t="shared" si="4"/>
        <v>240</v>
      </c>
      <c r="AZ95" s="30">
        <f t="shared" si="5"/>
        <v>10.14</v>
      </c>
    </row>
    <row r="96" ht="15.75" customHeight="1">
      <c r="A96" s="31" t="s">
        <v>34</v>
      </c>
      <c r="B96" s="32">
        <f t="shared" si="6"/>
        <v>44656</v>
      </c>
      <c r="C96" s="33">
        <v>4.0</v>
      </c>
      <c r="D96" s="33" t="s">
        <v>47</v>
      </c>
      <c r="E96" s="34"/>
      <c r="F96" s="24">
        <v>0.0</v>
      </c>
      <c r="H96" s="25">
        <v>0.0</v>
      </c>
      <c r="J96" s="25">
        <v>0.0</v>
      </c>
      <c r="L96" s="25">
        <v>0.0</v>
      </c>
      <c r="N96" s="25">
        <v>0.0</v>
      </c>
      <c r="P96" s="25">
        <v>0.0</v>
      </c>
      <c r="Q96" s="26"/>
      <c r="R96" s="24">
        <v>133.0</v>
      </c>
      <c r="T96" s="25">
        <v>133.0</v>
      </c>
      <c r="V96" s="25">
        <v>0.0</v>
      </c>
      <c r="X96" s="25">
        <v>0.0</v>
      </c>
      <c r="Z96" s="25">
        <v>0.0</v>
      </c>
      <c r="AB96" s="25">
        <v>0.0</v>
      </c>
      <c r="AC96" s="26"/>
      <c r="AD96" s="25">
        <v>0.0</v>
      </c>
      <c r="AF96" s="25">
        <v>0.0</v>
      </c>
      <c r="AH96" s="25">
        <v>0.0</v>
      </c>
      <c r="AJ96" s="27">
        <v>0.0</v>
      </c>
      <c r="AK96" s="26"/>
      <c r="AL96" s="24">
        <v>0.0</v>
      </c>
      <c r="AM96" s="26"/>
      <c r="AN96" s="24">
        <v>0.0</v>
      </c>
      <c r="AO96" s="26"/>
      <c r="AP96" s="24">
        <v>0.0</v>
      </c>
      <c r="AQ96" s="26"/>
      <c r="AR96" s="25">
        <v>0.0</v>
      </c>
      <c r="AT96" s="25">
        <v>0.0</v>
      </c>
      <c r="AU96" s="26"/>
      <c r="AV96" s="35">
        <f t="shared" si="1"/>
        <v>2697.24</v>
      </c>
      <c r="AW96" s="33">
        <f t="shared" si="2"/>
        <v>266</v>
      </c>
      <c r="AX96" s="33">
        <f t="shared" si="3"/>
        <v>0</v>
      </c>
      <c r="AY96" s="33">
        <f t="shared" si="4"/>
        <v>266</v>
      </c>
      <c r="AZ96" s="30">
        <f t="shared" si="5"/>
        <v>10.14</v>
      </c>
    </row>
    <row r="97" ht="15.75" customHeight="1">
      <c r="A97" s="31" t="s">
        <v>35</v>
      </c>
      <c r="B97" s="32">
        <f t="shared" si="6"/>
        <v>44657</v>
      </c>
      <c r="C97" s="33">
        <v>4.0</v>
      </c>
      <c r="D97" s="33" t="s">
        <v>47</v>
      </c>
      <c r="E97" s="34"/>
      <c r="F97" s="24">
        <v>0.0</v>
      </c>
      <c r="H97" s="25">
        <v>0.0</v>
      </c>
      <c r="J97" s="25">
        <v>0.0</v>
      </c>
      <c r="L97" s="25">
        <v>0.0</v>
      </c>
      <c r="N97" s="25">
        <v>0.0</v>
      </c>
      <c r="P97" s="25">
        <v>0.0</v>
      </c>
      <c r="Q97" s="26"/>
      <c r="R97" s="24">
        <v>145.0</v>
      </c>
      <c r="T97" s="25">
        <v>145.0</v>
      </c>
      <c r="V97" s="25">
        <v>60.0</v>
      </c>
      <c r="X97" s="25">
        <v>0.0</v>
      </c>
      <c r="Z97" s="25">
        <v>0.0</v>
      </c>
      <c r="AB97" s="25">
        <v>0.0</v>
      </c>
      <c r="AC97" s="26"/>
      <c r="AD97" s="25">
        <v>0.0</v>
      </c>
      <c r="AF97" s="25">
        <v>0.0</v>
      </c>
      <c r="AH97" s="25">
        <v>0.0</v>
      </c>
      <c r="AJ97" s="27">
        <v>0.0</v>
      </c>
      <c r="AK97" s="26"/>
      <c r="AL97" s="24">
        <v>0.0</v>
      </c>
      <c r="AM97" s="26"/>
      <c r="AN97" s="24">
        <v>0.0</v>
      </c>
      <c r="AO97" s="26"/>
      <c r="AP97" s="24">
        <v>0.0</v>
      </c>
      <c r="AQ97" s="26"/>
      <c r="AR97" s="25">
        <v>0.0</v>
      </c>
      <c r="AT97" s="25">
        <v>0.0</v>
      </c>
      <c r="AU97" s="26"/>
      <c r="AV97" s="35">
        <f t="shared" si="1"/>
        <v>3549</v>
      </c>
      <c r="AW97" s="33">
        <f t="shared" si="2"/>
        <v>350</v>
      </c>
      <c r="AX97" s="33">
        <f t="shared" si="3"/>
        <v>0</v>
      </c>
      <c r="AY97" s="33">
        <f t="shared" si="4"/>
        <v>350</v>
      </c>
      <c r="AZ97" s="30">
        <f t="shared" si="5"/>
        <v>10.14</v>
      </c>
    </row>
    <row r="98" ht="15.75" customHeight="1">
      <c r="A98" s="31" t="s">
        <v>38</v>
      </c>
      <c r="B98" s="32">
        <f t="shared" si="6"/>
        <v>44658</v>
      </c>
      <c r="C98" s="33">
        <v>4.0</v>
      </c>
      <c r="D98" s="33" t="s">
        <v>47</v>
      </c>
      <c r="E98" s="34"/>
      <c r="F98" s="24">
        <v>0.0</v>
      </c>
      <c r="H98" s="25">
        <v>0.0</v>
      </c>
      <c r="J98" s="25">
        <v>0.0</v>
      </c>
      <c r="L98" s="25">
        <v>0.0</v>
      </c>
      <c r="N98" s="25">
        <v>0.0</v>
      </c>
      <c r="P98" s="25">
        <v>0.0</v>
      </c>
      <c r="Q98" s="26"/>
      <c r="R98" s="24">
        <v>160.0</v>
      </c>
      <c r="T98" s="25">
        <v>160.0</v>
      </c>
      <c r="V98" s="25">
        <v>0.0</v>
      </c>
      <c r="X98" s="25">
        <v>0.0</v>
      </c>
      <c r="Z98" s="25">
        <v>0.0</v>
      </c>
      <c r="AB98" s="25">
        <v>0.0</v>
      </c>
      <c r="AC98" s="26"/>
      <c r="AD98" s="25">
        <v>0.0</v>
      </c>
      <c r="AF98" s="25">
        <v>0.0</v>
      </c>
      <c r="AH98" s="25">
        <v>0.0</v>
      </c>
      <c r="AJ98" s="27">
        <v>0.0</v>
      </c>
      <c r="AK98" s="26"/>
      <c r="AL98" s="24">
        <v>0.0</v>
      </c>
      <c r="AM98" s="26"/>
      <c r="AN98" s="24">
        <v>0.0</v>
      </c>
      <c r="AO98" s="26"/>
      <c r="AP98" s="24">
        <v>0.0</v>
      </c>
      <c r="AQ98" s="26"/>
      <c r="AR98" s="25">
        <v>0.0</v>
      </c>
      <c r="AT98" s="25">
        <v>0.0</v>
      </c>
      <c r="AU98" s="26"/>
      <c r="AV98" s="35">
        <f t="shared" si="1"/>
        <v>3244.8</v>
      </c>
      <c r="AW98" s="33">
        <f t="shared" si="2"/>
        <v>320</v>
      </c>
      <c r="AX98" s="33">
        <f t="shared" si="3"/>
        <v>0</v>
      </c>
      <c r="AY98" s="33">
        <f t="shared" si="4"/>
        <v>320</v>
      </c>
      <c r="AZ98" s="30">
        <f t="shared" si="5"/>
        <v>10.14</v>
      </c>
    </row>
    <row r="99" ht="15.75" customHeight="1">
      <c r="A99" s="31" t="s">
        <v>45</v>
      </c>
      <c r="B99" s="32">
        <f t="shared" si="6"/>
        <v>44659</v>
      </c>
      <c r="C99" s="33">
        <v>4.0</v>
      </c>
      <c r="D99" s="33" t="s">
        <v>47</v>
      </c>
      <c r="E99" s="34"/>
      <c r="F99" s="24">
        <v>0.0</v>
      </c>
      <c r="H99" s="25">
        <v>0.0</v>
      </c>
      <c r="J99" s="25">
        <v>0.0</v>
      </c>
      <c r="L99" s="25">
        <v>0.0</v>
      </c>
      <c r="N99" s="25">
        <v>0.0</v>
      </c>
      <c r="P99" s="25">
        <v>0.0</v>
      </c>
      <c r="Q99" s="26"/>
      <c r="R99" s="24">
        <v>160.0</v>
      </c>
      <c r="T99" s="25">
        <v>160.0</v>
      </c>
      <c r="V99" s="25">
        <v>0.0</v>
      </c>
      <c r="X99" s="25">
        <v>0.0</v>
      </c>
      <c r="Z99" s="25">
        <v>0.0</v>
      </c>
      <c r="AB99" s="25">
        <v>0.0</v>
      </c>
      <c r="AC99" s="26"/>
      <c r="AD99" s="25">
        <v>0.0</v>
      </c>
      <c r="AF99" s="25">
        <v>0.0</v>
      </c>
      <c r="AH99" s="25">
        <v>0.0</v>
      </c>
      <c r="AJ99" s="27">
        <v>0.0</v>
      </c>
      <c r="AK99" s="26"/>
      <c r="AL99" s="24">
        <v>0.0</v>
      </c>
      <c r="AM99" s="26"/>
      <c r="AN99" s="24">
        <v>0.0</v>
      </c>
      <c r="AO99" s="26"/>
      <c r="AP99" s="24">
        <v>0.0</v>
      </c>
      <c r="AQ99" s="26"/>
      <c r="AR99" s="25">
        <v>0.0</v>
      </c>
      <c r="AT99" s="25">
        <v>0.0</v>
      </c>
      <c r="AU99" s="26"/>
      <c r="AV99" s="35">
        <f t="shared" si="1"/>
        <v>3244.8</v>
      </c>
      <c r="AW99" s="33">
        <f t="shared" si="2"/>
        <v>320</v>
      </c>
      <c r="AX99" s="33">
        <f t="shared" si="3"/>
        <v>0</v>
      </c>
      <c r="AY99" s="33">
        <f t="shared" si="4"/>
        <v>320</v>
      </c>
      <c r="AZ99" s="30">
        <f t="shared" si="5"/>
        <v>10.14</v>
      </c>
    </row>
    <row r="100" ht="15.75" customHeight="1">
      <c r="A100" s="44" t="s">
        <v>46</v>
      </c>
      <c r="B100" s="45">
        <f t="shared" si="6"/>
        <v>44660</v>
      </c>
      <c r="C100" s="46">
        <v>4.0</v>
      </c>
      <c r="D100" s="46" t="s">
        <v>47</v>
      </c>
      <c r="E100" s="47"/>
      <c r="F100" s="49">
        <v>0.0</v>
      </c>
      <c r="G100" s="51"/>
      <c r="H100" s="52">
        <v>0.0</v>
      </c>
      <c r="I100" s="51"/>
      <c r="J100" s="52">
        <v>0.0</v>
      </c>
      <c r="K100" s="51"/>
      <c r="L100" s="52">
        <v>0.0</v>
      </c>
      <c r="M100" s="51"/>
      <c r="N100" s="52">
        <v>0.0</v>
      </c>
      <c r="O100" s="51"/>
      <c r="P100" s="52">
        <v>0.0</v>
      </c>
      <c r="Q100" s="53"/>
      <c r="R100" s="49">
        <v>0.0</v>
      </c>
      <c r="S100" s="51"/>
      <c r="T100" s="52">
        <v>0.0</v>
      </c>
      <c r="U100" s="51"/>
      <c r="V100" s="52">
        <v>0.0</v>
      </c>
      <c r="W100" s="51"/>
      <c r="X100" s="52">
        <v>0.0</v>
      </c>
      <c r="Y100" s="51"/>
      <c r="Z100" s="52">
        <v>0.0</v>
      </c>
      <c r="AA100" s="51"/>
      <c r="AB100" s="52">
        <v>0.0</v>
      </c>
      <c r="AC100" s="53"/>
      <c r="AD100" s="52">
        <v>0.0</v>
      </c>
      <c r="AE100" s="51"/>
      <c r="AF100" s="52">
        <v>0.0</v>
      </c>
      <c r="AG100" s="51"/>
      <c r="AH100" s="52">
        <v>0.0</v>
      </c>
      <c r="AI100" s="51"/>
      <c r="AJ100" s="54">
        <v>0.0</v>
      </c>
      <c r="AK100" s="53"/>
      <c r="AL100" s="49">
        <v>0.0</v>
      </c>
      <c r="AM100" s="53"/>
      <c r="AN100" s="49">
        <v>0.0</v>
      </c>
      <c r="AO100" s="53"/>
      <c r="AP100" s="49">
        <v>0.0</v>
      </c>
      <c r="AQ100" s="53"/>
      <c r="AR100" s="52">
        <v>0.0</v>
      </c>
      <c r="AS100" s="51"/>
      <c r="AT100" s="52">
        <v>0.0</v>
      </c>
      <c r="AU100" s="53"/>
      <c r="AV100" s="55">
        <f t="shared" si="1"/>
        <v>0</v>
      </c>
      <c r="AW100" s="46">
        <f t="shared" si="2"/>
        <v>0</v>
      </c>
      <c r="AX100" s="46">
        <f t="shared" si="3"/>
        <v>0</v>
      </c>
      <c r="AY100" s="46">
        <f t="shared" si="4"/>
        <v>0</v>
      </c>
      <c r="AZ100" s="56" t="str">
        <f t="shared" si="5"/>
        <v/>
      </c>
    </row>
    <row r="101" ht="15.75" customHeight="1">
      <c r="A101" s="19" t="s">
        <v>30</v>
      </c>
      <c r="B101" s="57">
        <f t="shared" si="6"/>
        <v>44661</v>
      </c>
      <c r="C101" s="21">
        <v>4.0</v>
      </c>
      <c r="D101" s="21" t="s">
        <v>48</v>
      </c>
      <c r="E101" s="23"/>
      <c r="F101" s="24">
        <v>0.0</v>
      </c>
      <c r="H101" s="25">
        <v>0.0</v>
      </c>
      <c r="J101" s="25">
        <v>0.0</v>
      </c>
      <c r="L101" s="25">
        <v>0.0</v>
      </c>
      <c r="N101" s="25">
        <v>0.0</v>
      </c>
      <c r="P101" s="25">
        <v>0.0</v>
      </c>
      <c r="Q101" s="26"/>
      <c r="R101" s="24">
        <v>160.0</v>
      </c>
      <c r="T101" s="25">
        <v>160.0</v>
      </c>
      <c r="V101" s="25">
        <v>0.0</v>
      </c>
      <c r="X101" s="25">
        <v>0.0</v>
      </c>
      <c r="Z101" s="25">
        <v>0.0</v>
      </c>
      <c r="AB101" s="25">
        <v>0.0</v>
      </c>
      <c r="AC101" s="26"/>
      <c r="AD101" s="25">
        <v>0.0</v>
      </c>
      <c r="AF101" s="25">
        <v>0.0</v>
      </c>
      <c r="AH101" s="25">
        <v>0.0</v>
      </c>
      <c r="AJ101" s="27">
        <v>0.0</v>
      </c>
      <c r="AK101" s="26"/>
      <c r="AL101" s="24">
        <v>0.0</v>
      </c>
      <c r="AM101" s="26"/>
      <c r="AN101" s="24">
        <v>0.0</v>
      </c>
      <c r="AO101" s="26"/>
      <c r="AP101" s="24">
        <v>0.0</v>
      </c>
      <c r="AQ101" s="26"/>
      <c r="AR101" s="25">
        <v>0.0</v>
      </c>
      <c r="AT101" s="25">
        <v>0.0</v>
      </c>
      <c r="AU101" s="26"/>
      <c r="AV101" s="29">
        <f t="shared" si="1"/>
        <v>3244.8</v>
      </c>
      <c r="AW101" s="21">
        <f t="shared" si="2"/>
        <v>320</v>
      </c>
      <c r="AX101" s="21">
        <f t="shared" si="3"/>
        <v>0</v>
      </c>
      <c r="AY101" s="21">
        <f t="shared" si="4"/>
        <v>320</v>
      </c>
      <c r="AZ101" s="58">
        <f t="shared" si="5"/>
        <v>10.14</v>
      </c>
    </row>
    <row r="102" ht="15.75" customHeight="1">
      <c r="A102" s="31" t="s">
        <v>33</v>
      </c>
      <c r="B102" s="32">
        <f t="shared" si="6"/>
        <v>44662</v>
      </c>
      <c r="C102" s="33">
        <v>4.0</v>
      </c>
      <c r="D102" s="33" t="s">
        <v>48</v>
      </c>
      <c r="E102" s="34"/>
      <c r="F102" s="24">
        <v>0.0</v>
      </c>
      <c r="H102" s="25">
        <v>0.0</v>
      </c>
      <c r="J102" s="25">
        <v>0.0</v>
      </c>
      <c r="L102" s="25">
        <v>0.0</v>
      </c>
      <c r="N102" s="25">
        <v>0.0</v>
      </c>
      <c r="P102" s="25">
        <v>0.0</v>
      </c>
      <c r="Q102" s="26"/>
      <c r="R102" s="24">
        <v>160.0</v>
      </c>
      <c r="T102" s="25">
        <v>160.0</v>
      </c>
      <c r="V102" s="25">
        <v>0.0</v>
      </c>
      <c r="X102" s="25">
        <v>0.0</v>
      </c>
      <c r="Z102" s="25">
        <v>0.0</v>
      </c>
      <c r="AB102" s="25">
        <v>0.0</v>
      </c>
      <c r="AC102" s="26"/>
      <c r="AD102" s="25">
        <v>0.0</v>
      </c>
      <c r="AF102" s="25">
        <v>50.0</v>
      </c>
      <c r="AH102" s="25">
        <v>50.0</v>
      </c>
      <c r="AJ102" s="27">
        <v>0.0</v>
      </c>
      <c r="AK102" s="26"/>
      <c r="AL102" s="24">
        <v>0.0</v>
      </c>
      <c r="AM102" s="26"/>
      <c r="AN102" s="24">
        <v>0.0</v>
      </c>
      <c r="AO102" s="26"/>
      <c r="AP102" s="24">
        <v>0.0</v>
      </c>
      <c r="AQ102" s="26"/>
      <c r="AR102" s="25">
        <v>0.0</v>
      </c>
      <c r="AT102" s="25">
        <v>0.0</v>
      </c>
      <c r="AU102" s="26"/>
      <c r="AV102" s="35">
        <f t="shared" si="1"/>
        <v>4694.8</v>
      </c>
      <c r="AW102" s="33">
        <f t="shared" si="2"/>
        <v>420</v>
      </c>
      <c r="AX102" s="33">
        <f t="shared" si="3"/>
        <v>0</v>
      </c>
      <c r="AY102" s="33">
        <f t="shared" si="4"/>
        <v>420</v>
      </c>
      <c r="AZ102" s="30">
        <f t="shared" si="5"/>
        <v>11.17809524</v>
      </c>
    </row>
    <row r="103" ht="15.75" customHeight="1">
      <c r="A103" s="31" t="s">
        <v>34</v>
      </c>
      <c r="B103" s="32">
        <f t="shared" si="6"/>
        <v>44663</v>
      </c>
      <c r="C103" s="33">
        <v>4.0</v>
      </c>
      <c r="D103" s="33" t="s">
        <v>48</v>
      </c>
      <c r="E103" s="34"/>
      <c r="F103" s="24">
        <v>0.0</v>
      </c>
      <c r="H103" s="25">
        <v>0.0</v>
      </c>
      <c r="J103" s="25">
        <v>0.0</v>
      </c>
      <c r="L103" s="25">
        <v>0.0</v>
      </c>
      <c r="N103" s="25">
        <v>0.0</v>
      </c>
      <c r="P103" s="25">
        <v>0.0</v>
      </c>
      <c r="Q103" s="26"/>
      <c r="R103" s="24">
        <v>160.0</v>
      </c>
      <c r="T103" s="25">
        <v>160.0</v>
      </c>
      <c r="V103" s="25">
        <v>0.0</v>
      </c>
      <c r="X103" s="25">
        <v>0.0</v>
      </c>
      <c r="Z103" s="25">
        <v>0.0</v>
      </c>
      <c r="AB103" s="25">
        <v>0.0</v>
      </c>
      <c r="AC103" s="26"/>
      <c r="AD103" s="25">
        <v>0.0</v>
      </c>
      <c r="AF103" s="25">
        <v>50.0</v>
      </c>
      <c r="AH103" s="25">
        <v>50.0</v>
      </c>
      <c r="AJ103" s="27">
        <v>0.0</v>
      </c>
      <c r="AK103" s="26"/>
      <c r="AL103" s="24">
        <v>0.0</v>
      </c>
      <c r="AM103" s="26"/>
      <c r="AN103" s="24">
        <v>0.0</v>
      </c>
      <c r="AO103" s="26"/>
      <c r="AP103" s="24">
        <v>0.0</v>
      </c>
      <c r="AQ103" s="26"/>
      <c r="AR103" s="25">
        <v>0.0</v>
      </c>
      <c r="AT103" s="25">
        <v>0.0</v>
      </c>
      <c r="AU103" s="26"/>
      <c r="AV103" s="35">
        <f t="shared" si="1"/>
        <v>4694.8</v>
      </c>
      <c r="AW103" s="33">
        <f t="shared" si="2"/>
        <v>420</v>
      </c>
      <c r="AX103" s="33">
        <f t="shared" si="3"/>
        <v>0</v>
      </c>
      <c r="AY103" s="33">
        <f t="shared" si="4"/>
        <v>420</v>
      </c>
      <c r="AZ103" s="30">
        <f t="shared" si="5"/>
        <v>11.17809524</v>
      </c>
    </row>
    <row r="104" ht="15.75" customHeight="1">
      <c r="A104" s="31" t="s">
        <v>35</v>
      </c>
      <c r="B104" s="32">
        <f t="shared" si="6"/>
        <v>44664</v>
      </c>
      <c r="C104" s="33">
        <v>4.0</v>
      </c>
      <c r="D104" s="33" t="s">
        <v>48</v>
      </c>
      <c r="E104" s="34"/>
      <c r="F104" s="24">
        <v>0.0</v>
      </c>
      <c r="H104" s="25">
        <v>0.0</v>
      </c>
      <c r="J104" s="25">
        <v>0.0</v>
      </c>
      <c r="L104" s="25">
        <v>0.0</v>
      </c>
      <c r="N104" s="25">
        <v>0.0</v>
      </c>
      <c r="P104" s="25">
        <v>0.0</v>
      </c>
      <c r="Q104" s="26"/>
      <c r="R104" s="24">
        <v>160.0</v>
      </c>
      <c r="T104" s="25">
        <v>160.0</v>
      </c>
      <c r="V104" s="25">
        <v>0.0</v>
      </c>
      <c r="X104" s="25">
        <v>0.0</v>
      </c>
      <c r="Z104" s="25">
        <v>0.0</v>
      </c>
      <c r="AB104" s="25">
        <v>0.0</v>
      </c>
      <c r="AC104" s="26"/>
      <c r="AD104" s="25">
        <v>0.0</v>
      </c>
      <c r="AF104" s="25">
        <v>0.0</v>
      </c>
      <c r="AH104" s="25">
        <v>50.0</v>
      </c>
      <c r="AJ104" s="27">
        <v>0.0</v>
      </c>
      <c r="AK104" s="26"/>
      <c r="AL104" s="24">
        <v>0.0</v>
      </c>
      <c r="AM104" s="26"/>
      <c r="AN104" s="24">
        <v>0.0</v>
      </c>
      <c r="AO104" s="26"/>
      <c r="AP104" s="24">
        <v>0.0</v>
      </c>
      <c r="AQ104" s="26"/>
      <c r="AR104" s="25">
        <v>0.0</v>
      </c>
      <c r="AT104" s="25">
        <v>0.0</v>
      </c>
      <c r="AU104" s="26"/>
      <c r="AV104" s="35">
        <f t="shared" si="1"/>
        <v>3969.8</v>
      </c>
      <c r="AW104" s="33">
        <f t="shared" si="2"/>
        <v>370</v>
      </c>
      <c r="AX104" s="33">
        <f t="shared" si="3"/>
        <v>0</v>
      </c>
      <c r="AY104" s="33">
        <f t="shared" si="4"/>
        <v>370</v>
      </c>
      <c r="AZ104" s="30">
        <f t="shared" si="5"/>
        <v>10.72918919</v>
      </c>
    </row>
    <row r="105" ht="15.75" customHeight="1">
      <c r="A105" s="31" t="s">
        <v>38</v>
      </c>
      <c r="B105" s="32">
        <f t="shared" si="6"/>
        <v>44665</v>
      </c>
      <c r="C105" s="33">
        <v>4.0</v>
      </c>
      <c r="D105" s="33" t="s">
        <v>48</v>
      </c>
      <c r="E105" s="34"/>
      <c r="F105" s="24">
        <v>0.0</v>
      </c>
      <c r="H105" s="25">
        <v>0.0</v>
      </c>
      <c r="J105" s="25">
        <v>0.0</v>
      </c>
      <c r="L105" s="25">
        <v>0.0</v>
      </c>
      <c r="N105" s="25">
        <v>0.0</v>
      </c>
      <c r="P105" s="25">
        <v>0.0</v>
      </c>
      <c r="Q105" s="26"/>
      <c r="R105" s="24">
        <v>160.0</v>
      </c>
      <c r="T105" s="25">
        <v>160.0</v>
      </c>
      <c r="V105" s="25">
        <v>0.0</v>
      </c>
      <c r="X105" s="25">
        <v>0.0</v>
      </c>
      <c r="Z105" s="25">
        <v>0.0</v>
      </c>
      <c r="AB105" s="25">
        <v>0.0</v>
      </c>
      <c r="AC105" s="26"/>
      <c r="AD105" s="25">
        <v>0.0</v>
      </c>
      <c r="AF105" s="25">
        <v>50.0</v>
      </c>
      <c r="AH105" s="25">
        <v>50.0</v>
      </c>
      <c r="AJ105" s="27">
        <v>0.0</v>
      </c>
      <c r="AK105" s="26"/>
      <c r="AL105" s="24">
        <v>0.0</v>
      </c>
      <c r="AM105" s="26"/>
      <c r="AN105" s="24">
        <v>0.0</v>
      </c>
      <c r="AO105" s="26"/>
      <c r="AP105" s="24">
        <v>0.0</v>
      </c>
      <c r="AQ105" s="26"/>
      <c r="AR105" s="25">
        <v>0.0</v>
      </c>
      <c r="AT105" s="25">
        <v>0.0</v>
      </c>
      <c r="AU105" s="26"/>
      <c r="AV105" s="35">
        <f t="shared" si="1"/>
        <v>4694.8</v>
      </c>
      <c r="AW105" s="33">
        <f t="shared" si="2"/>
        <v>420</v>
      </c>
      <c r="AX105" s="33">
        <f t="shared" si="3"/>
        <v>0</v>
      </c>
      <c r="AY105" s="33">
        <f t="shared" si="4"/>
        <v>420</v>
      </c>
      <c r="AZ105" s="30">
        <f t="shared" si="5"/>
        <v>11.17809524</v>
      </c>
    </row>
    <row r="106" ht="15.75" customHeight="1">
      <c r="A106" s="31" t="s">
        <v>45</v>
      </c>
      <c r="B106" s="32">
        <f t="shared" si="6"/>
        <v>44666</v>
      </c>
      <c r="C106" s="33">
        <v>4.0</v>
      </c>
      <c r="D106" s="33" t="s">
        <v>48</v>
      </c>
      <c r="E106" s="34"/>
      <c r="F106" s="24">
        <v>0.0</v>
      </c>
      <c r="H106" s="25">
        <v>0.0</v>
      </c>
      <c r="J106" s="25">
        <v>0.0</v>
      </c>
      <c r="L106" s="25">
        <v>0.0</v>
      </c>
      <c r="N106" s="25">
        <v>0.0</v>
      </c>
      <c r="P106" s="25">
        <v>0.0</v>
      </c>
      <c r="Q106" s="26"/>
      <c r="R106" s="24">
        <v>160.0</v>
      </c>
      <c r="T106" s="25">
        <v>160.0</v>
      </c>
      <c r="V106" s="25">
        <v>0.0</v>
      </c>
      <c r="X106" s="25">
        <v>0.0</v>
      </c>
      <c r="Z106" s="25">
        <v>0.0</v>
      </c>
      <c r="AB106" s="25">
        <v>0.0</v>
      </c>
      <c r="AC106" s="26"/>
      <c r="AD106" s="25">
        <v>0.0</v>
      </c>
      <c r="AF106" s="25">
        <v>50.0</v>
      </c>
      <c r="AH106" s="25">
        <v>0.0</v>
      </c>
      <c r="AJ106" s="27">
        <v>0.0</v>
      </c>
      <c r="AK106" s="26"/>
      <c r="AL106" s="24">
        <v>0.0</v>
      </c>
      <c r="AM106" s="26"/>
      <c r="AN106" s="24">
        <v>0.0</v>
      </c>
      <c r="AO106" s="26"/>
      <c r="AP106" s="24">
        <v>0.0</v>
      </c>
      <c r="AQ106" s="26"/>
      <c r="AR106" s="25">
        <v>0.0</v>
      </c>
      <c r="AT106" s="25">
        <v>0.0</v>
      </c>
      <c r="AU106" s="26"/>
      <c r="AV106" s="35">
        <f t="shared" si="1"/>
        <v>3969.8</v>
      </c>
      <c r="AW106" s="33">
        <f t="shared" si="2"/>
        <v>370</v>
      </c>
      <c r="AX106" s="33">
        <f t="shared" si="3"/>
        <v>0</v>
      </c>
      <c r="AY106" s="33">
        <f t="shared" si="4"/>
        <v>370</v>
      </c>
      <c r="AZ106" s="30">
        <f t="shared" si="5"/>
        <v>10.72918919</v>
      </c>
    </row>
    <row r="107" ht="15.75" customHeight="1">
      <c r="A107" s="44" t="s">
        <v>46</v>
      </c>
      <c r="B107" s="45">
        <f t="shared" si="6"/>
        <v>44667</v>
      </c>
      <c r="C107" s="46">
        <v>4.0</v>
      </c>
      <c r="D107" s="46" t="s">
        <v>48</v>
      </c>
      <c r="E107" s="47"/>
      <c r="F107" s="49">
        <v>0.0</v>
      </c>
      <c r="G107" s="51"/>
      <c r="H107" s="52">
        <v>0.0</v>
      </c>
      <c r="I107" s="51"/>
      <c r="J107" s="52">
        <v>0.0</v>
      </c>
      <c r="K107" s="51"/>
      <c r="L107" s="52">
        <v>0.0</v>
      </c>
      <c r="M107" s="51"/>
      <c r="N107" s="52">
        <v>0.0</v>
      </c>
      <c r="O107" s="51"/>
      <c r="P107" s="52">
        <v>0.0</v>
      </c>
      <c r="Q107" s="53"/>
      <c r="R107" s="49">
        <v>0.0</v>
      </c>
      <c r="S107" s="51"/>
      <c r="T107" s="52">
        <v>0.0</v>
      </c>
      <c r="U107" s="51"/>
      <c r="V107" s="52">
        <v>0.0</v>
      </c>
      <c r="W107" s="51"/>
      <c r="X107" s="52">
        <v>0.0</v>
      </c>
      <c r="Y107" s="51"/>
      <c r="Z107" s="52">
        <v>0.0</v>
      </c>
      <c r="AA107" s="51"/>
      <c r="AB107" s="52">
        <v>0.0</v>
      </c>
      <c r="AC107" s="53"/>
      <c r="AD107" s="52">
        <v>0.0</v>
      </c>
      <c r="AE107" s="51"/>
      <c r="AF107" s="52">
        <v>0.0</v>
      </c>
      <c r="AG107" s="51"/>
      <c r="AH107" s="52">
        <v>0.0</v>
      </c>
      <c r="AI107" s="51"/>
      <c r="AJ107" s="54">
        <v>0.0</v>
      </c>
      <c r="AK107" s="53"/>
      <c r="AL107" s="49">
        <v>0.0</v>
      </c>
      <c r="AM107" s="53"/>
      <c r="AN107" s="49">
        <v>0.0</v>
      </c>
      <c r="AO107" s="53"/>
      <c r="AP107" s="49">
        <v>0.0</v>
      </c>
      <c r="AQ107" s="53"/>
      <c r="AR107" s="52">
        <v>0.0</v>
      </c>
      <c r="AS107" s="51"/>
      <c r="AT107" s="52">
        <v>0.0</v>
      </c>
      <c r="AU107" s="53"/>
      <c r="AV107" s="55">
        <f t="shared" si="1"/>
        <v>0</v>
      </c>
      <c r="AW107" s="46">
        <f t="shared" si="2"/>
        <v>0</v>
      </c>
      <c r="AX107" s="46">
        <f t="shared" si="3"/>
        <v>0</v>
      </c>
      <c r="AY107" s="46">
        <f t="shared" si="4"/>
        <v>0</v>
      </c>
      <c r="AZ107" s="56" t="str">
        <f t="shared" si="5"/>
        <v/>
      </c>
    </row>
    <row r="108" ht="15.75" customHeight="1">
      <c r="A108" s="19" t="s">
        <v>30</v>
      </c>
      <c r="B108" s="57">
        <f t="shared" si="6"/>
        <v>44668</v>
      </c>
      <c r="C108" s="21">
        <v>4.0</v>
      </c>
      <c r="D108" s="21" t="s">
        <v>49</v>
      </c>
      <c r="E108" s="23"/>
      <c r="F108" s="24">
        <v>0.0</v>
      </c>
      <c r="H108" s="25">
        <v>0.0</v>
      </c>
      <c r="J108" s="25">
        <v>0.0</v>
      </c>
      <c r="L108" s="25">
        <v>0.0</v>
      </c>
      <c r="N108" s="25">
        <v>0.0</v>
      </c>
      <c r="P108" s="25">
        <v>0.0</v>
      </c>
      <c r="Q108" s="26"/>
      <c r="R108" s="24">
        <v>160.0</v>
      </c>
      <c r="T108" s="25">
        <v>160.0</v>
      </c>
      <c r="V108" s="25">
        <v>0.0</v>
      </c>
      <c r="X108" s="25">
        <v>0.0</v>
      </c>
      <c r="Z108" s="25">
        <v>0.0</v>
      </c>
      <c r="AB108" s="25">
        <v>0.0</v>
      </c>
      <c r="AC108" s="26"/>
      <c r="AD108" s="25">
        <v>0.0</v>
      </c>
      <c r="AF108" s="25">
        <v>0.0</v>
      </c>
      <c r="AH108" s="25">
        <v>0.0</v>
      </c>
      <c r="AJ108" s="27">
        <v>0.0</v>
      </c>
      <c r="AK108" s="26"/>
      <c r="AL108" s="24">
        <v>0.0</v>
      </c>
      <c r="AM108" s="26"/>
      <c r="AN108" s="24">
        <v>0.0</v>
      </c>
      <c r="AO108" s="26"/>
      <c r="AP108" s="24">
        <v>0.0</v>
      </c>
      <c r="AQ108" s="26"/>
      <c r="AR108" s="25">
        <v>0.0</v>
      </c>
      <c r="AT108" s="25">
        <v>0.0</v>
      </c>
      <c r="AU108" s="26"/>
      <c r="AV108" s="29">
        <f t="shared" si="1"/>
        <v>3244.8</v>
      </c>
      <c r="AW108" s="21">
        <f t="shared" si="2"/>
        <v>320</v>
      </c>
      <c r="AX108" s="21">
        <f t="shared" si="3"/>
        <v>0</v>
      </c>
      <c r="AY108" s="21">
        <f t="shared" si="4"/>
        <v>320</v>
      </c>
      <c r="AZ108" s="58">
        <f t="shared" si="5"/>
        <v>10.14</v>
      </c>
    </row>
    <row r="109" ht="15.75" customHeight="1">
      <c r="A109" s="31" t="s">
        <v>33</v>
      </c>
      <c r="B109" s="32">
        <f t="shared" si="6"/>
        <v>44669</v>
      </c>
      <c r="C109" s="33">
        <v>4.0</v>
      </c>
      <c r="D109" s="33" t="s">
        <v>49</v>
      </c>
      <c r="E109" s="34"/>
      <c r="F109" s="24">
        <v>0.0</v>
      </c>
      <c r="H109" s="25">
        <v>0.0</v>
      </c>
      <c r="J109" s="25">
        <v>0.0</v>
      </c>
      <c r="L109" s="25">
        <v>0.0</v>
      </c>
      <c r="N109" s="25">
        <v>0.0</v>
      </c>
      <c r="P109" s="25">
        <v>0.0</v>
      </c>
      <c r="Q109" s="26"/>
      <c r="R109" s="24">
        <v>160.0</v>
      </c>
      <c r="T109" s="25">
        <v>160.0</v>
      </c>
      <c r="V109" s="25">
        <v>0.0</v>
      </c>
      <c r="X109" s="25">
        <v>0.0</v>
      </c>
      <c r="Z109" s="25">
        <v>0.0</v>
      </c>
      <c r="AB109" s="25">
        <v>0.0</v>
      </c>
      <c r="AC109" s="26"/>
      <c r="AD109" s="25">
        <v>0.0</v>
      </c>
      <c r="AF109" s="25">
        <v>0.0</v>
      </c>
      <c r="AH109" s="25">
        <v>0.0</v>
      </c>
      <c r="AJ109" s="27">
        <v>0.0</v>
      </c>
      <c r="AK109" s="26"/>
      <c r="AL109" s="24">
        <v>0.0</v>
      </c>
      <c r="AM109" s="26"/>
      <c r="AN109" s="24">
        <v>0.0</v>
      </c>
      <c r="AO109" s="26"/>
      <c r="AP109" s="24">
        <v>0.0</v>
      </c>
      <c r="AQ109" s="26"/>
      <c r="AR109" s="25">
        <v>0.0</v>
      </c>
      <c r="AT109" s="25">
        <v>0.0</v>
      </c>
      <c r="AU109" s="26"/>
      <c r="AV109" s="35">
        <f t="shared" si="1"/>
        <v>3244.8</v>
      </c>
      <c r="AW109" s="33">
        <f t="shared" si="2"/>
        <v>320</v>
      </c>
      <c r="AX109" s="33">
        <f t="shared" si="3"/>
        <v>0</v>
      </c>
      <c r="AY109" s="33">
        <f t="shared" si="4"/>
        <v>320</v>
      </c>
      <c r="AZ109" s="30">
        <f t="shared" si="5"/>
        <v>10.14</v>
      </c>
    </row>
    <row r="110" ht="15.75" customHeight="1">
      <c r="A110" s="31" t="s">
        <v>34</v>
      </c>
      <c r="B110" s="32">
        <f t="shared" si="6"/>
        <v>44670</v>
      </c>
      <c r="C110" s="33">
        <v>4.0</v>
      </c>
      <c r="D110" s="33" t="s">
        <v>49</v>
      </c>
      <c r="E110" s="34"/>
      <c r="F110" s="24">
        <v>0.0</v>
      </c>
      <c r="H110" s="25">
        <v>0.0</v>
      </c>
      <c r="J110" s="25">
        <v>0.0</v>
      </c>
      <c r="L110" s="25">
        <v>0.0</v>
      </c>
      <c r="N110" s="25">
        <v>0.0</v>
      </c>
      <c r="P110" s="25">
        <v>0.0</v>
      </c>
      <c r="Q110" s="26"/>
      <c r="R110" s="24">
        <v>160.0</v>
      </c>
      <c r="T110" s="25">
        <v>160.0</v>
      </c>
      <c r="V110" s="25">
        <v>0.0</v>
      </c>
      <c r="X110" s="25">
        <v>0.0</v>
      </c>
      <c r="Z110" s="25">
        <v>0.0</v>
      </c>
      <c r="AB110" s="25">
        <v>0.0</v>
      </c>
      <c r="AC110" s="26"/>
      <c r="AD110" s="25">
        <v>0.0</v>
      </c>
      <c r="AF110" s="25">
        <v>0.0</v>
      </c>
      <c r="AH110" s="25">
        <v>0.0</v>
      </c>
      <c r="AJ110" s="27">
        <v>0.0</v>
      </c>
      <c r="AK110" s="26"/>
      <c r="AL110" s="24">
        <v>0.0</v>
      </c>
      <c r="AM110" s="26"/>
      <c r="AN110" s="24">
        <v>0.0</v>
      </c>
      <c r="AO110" s="26"/>
      <c r="AP110" s="24">
        <v>0.0</v>
      </c>
      <c r="AQ110" s="26"/>
      <c r="AR110" s="25">
        <v>0.0</v>
      </c>
      <c r="AT110" s="25">
        <v>0.0</v>
      </c>
      <c r="AU110" s="26"/>
      <c r="AV110" s="35">
        <f t="shared" si="1"/>
        <v>3244.8</v>
      </c>
      <c r="AW110" s="33">
        <f t="shared" si="2"/>
        <v>320</v>
      </c>
      <c r="AX110" s="33">
        <f t="shared" si="3"/>
        <v>0</v>
      </c>
      <c r="AY110" s="33">
        <f t="shared" si="4"/>
        <v>320</v>
      </c>
      <c r="AZ110" s="30">
        <f t="shared" si="5"/>
        <v>10.14</v>
      </c>
    </row>
    <row r="111" ht="15.75" customHeight="1">
      <c r="A111" s="31" t="s">
        <v>35</v>
      </c>
      <c r="B111" s="32">
        <f t="shared" si="6"/>
        <v>44671</v>
      </c>
      <c r="C111" s="33">
        <v>4.0</v>
      </c>
      <c r="D111" s="33" t="s">
        <v>49</v>
      </c>
      <c r="E111" s="34"/>
      <c r="F111" s="24">
        <v>0.0</v>
      </c>
      <c r="H111" s="25">
        <v>0.0</v>
      </c>
      <c r="J111" s="25">
        <v>0.0</v>
      </c>
      <c r="L111" s="25">
        <v>0.0</v>
      </c>
      <c r="N111" s="25">
        <v>0.0</v>
      </c>
      <c r="P111" s="25">
        <v>0.0</v>
      </c>
      <c r="Q111" s="26"/>
      <c r="R111" s="24">
        <v>160.0</v>
      </c>
      <c r="T111" s="25">
        <v>160.0</v>
      </c>
      <c r="V111" s="25">
        <v>0.0</v>
      </c>
      <c r="X111" s="25">
        <v>0.0</v>
      </c>
      <c r="Z111" s="25">
        <v>0.0</v>
      </c>
      <c r="AB111" s="25">
        <v>0.0</v>
      </c>
      <c r="AC111" s="26"/>
      <c r="AD111" s="25">
        <v>0.0</v>
      </c>
      <c r="AF111" s="25">
        <v>0.0</v>
      </c>
      <c r="AH111" s="25">
        <v>0.0</v>
      </c>
      <c r="AJ111" s="27">
        <v>0.0</v>
      </c>
      <c r="AK111" s="26"/>
      <c r="AL111" s="24">
        <v>0.0</v>
      </c>
      <c r="AM111" s="26"/>
      <c r="AN111" s="24">
        <v>0.0</v>
      </c>
      <c r="AO111" s="26"/>
      <c r="AP111" s="24">
        <v>0.0</v>
      </c>
      <c r="AQ111" s="26"/>
      <c r="AR111" s="25">
        <v>0.0</v>
      </c>
      <c r="AT111" s="25">
        <v>0.0</v>
      </c>
      <c r="AU111" s="26"/>
      <c r="AV111" s="35">
        <f t="shared" si="1"/>
        <v>3244.8</v>
      </c>
      <c r="AW111" s="33">
        <f t="shared" si="2"/>
        <v>320</v>
      </c>
      <c r="AX111" s="33">
        <f t="shared" si="3"/>
        <v>0</v>
      </c>
      <c r="AY111" s="33">
        <f t="shared" si="4"/>
        <v>320</v>
      </c>
      <c r="AZ111" s="30">
        <f t="shared" si="5"/>
        <v>10.14</v>
      </c>
    </row>
    <row r="112" ht="15.75" customHeight="1">
      <c r="A112" s="31" t="s">
        <v>38</v>
      </c>
      <c r="B112" s="32">
        <f t="shared" si="6"/>
        <v>44672</v>
      </c>
      <c r="C112" s="33">
        <v>4.0</v>
      </c>
      <c r="D112" s="33" t="s">
        <v>49</v>
      </c>
      <c r="E112" s="34"/>
      <c r="F112" s="24">
        <v>0.0</v>
      </c>
      <c r="H112" s="25">
        <v>0.0</v>
      </c>
      <c r="J112" s="25">
        <v>0.0</v>
      </c>
      <c r="L112" s="25">
        <v>0.0</v>
      </c>
      <c r="N112" s="25">
        <v>0.0</v>
      </c>
      <c r="P112" s="25">
        <v>0.0</v>
      </c>
      <c r="Q112" s="26"/>
      <c r="R112" s="24">
        <v>155.0</v>
      </c>
      <c r="T112" s="25">
        <v>155.0</v>
      </c>
      <c r="V112" s="25">
        <v>0.0</v>
      </c>
      <c r="X112" s="25">
        <v>0.0</v>
      </c>
      <c r="Z112" s="25">
        <v>0.0</v>
      </c>
      <c r="AB112" s="25">
        <v>0.0</v>
      </c>
      <c r="AC112" s="26"/>
      <c r="AD112" s="25">
        <v>0.0</v>
      </c>
      <c r="AF112" s="25">
        <v>0.0</v>
      </c>
      <c r="AH112" s="25">
        <v>0.0</v>
      </c>
      <c r="AJ112" s="27">
        <v>0.0</v>
      </c>
      <c r="AK112" s="26"/>
      <c r="AL112" s="24">
        <v>0.0</v>
      </c>
      <c r="AM112" s="26"/>
      <c r="AN112" s="24">
        <v>0.0</v>
      </c>
      <c r="AO112" s="26"/>
      <c r="AP112" s="24">
        <v>0.0</v>
      </c>
      <c r="AQ112" s="26"/>
      <c r="AR112" s="25">
        <v>0.0</v>
      </c>
      <c r="AT112" s="25">
        <v>0.0</v>
      </c>
      <c r="AU112" s="26"/>
      <c r="AV112" s="35">
        <f t="shared" si="1"/>
        <v>3143.4</v>
      </c>
      <c r="AW112" s="33">
        <f t="shared" si="2"/>
        <v>310</v>
      </c>
      <c r="AX112" s="33">
        <f t="shared" si="3"/>
        <v>0</v>
      </c>
      <c r="AY112" s="33">
        <f t="shared" si="4"/>
        <v>310</v>
      </c>
      <c r="AZ112" s="30">
        <f t="shared" si="5"/>
        <v>10.14</v>
      </c>
    </row>
    <row r="113" ht="15.75" customHeight="1">
      <c r="A113" s="31" t="s">
        <v>45</v>
      </c>
      <c r="B113" s="32">
        <f t="shared" si="6"/>
        <v>44673</v>
      </c>
      <c r="C113" s="33">
        <v>4.0</v>
      </c>
      <c r="D113" s="33" t="s">
        <v>49</v>
      </c>
      <c r="E113" s="34"/>
      <c r="F113" s="24">
        <v>0.0</v>
      </c>
      <c r="H113" s="25">
        <v>0.0</v>
      </c>
      <c r="J113" s="25">
        <v>0.0</v>
      </c>
      <c r="L113" s="25">
        <v>0.0</v>
      </c>
      <c r="N113" s="25">
        <v>0.0</v>
      </c>
      <c r="P113" s="25">
        <v>0.0</v>
      </c>
      <c r="Q113" s="26"/>
      <c r="R113" s="24">
        <v>155.0</v>
      </c>
      <c r="T113" s="25">
        <v>155.0</v>
      </c>
      <c r="V113" s="25">
        <v>0.0</v>
      </c>
      <c r="X113" s="25">
        <v>0.0</v>
      </c>
      <c r="Z113" s="25">
        <v>0.0</v>
      </c>
      <c r="AB113" s="25">
        <v>0.0</v>
      </c>
      <c r="AC113" s="26"/>
      <c r="AD113" s="25">
        <v>0.0</v>
      </c>
      <c r="AF113" s="25">
        <v>0.0</v>
      </c>
      <c r="AH113" s="25">
        <v>0.0</v>
      </c>
      <c r="AJ113" s="27">
        <v>0.0</v>
      </c>
      <c r="AK113" s="26"/>
      <c r="AL113" s="24">
        <v>0.0</v>
      </c>
      <c r="AM113" s="26"/>
      <c r="AN113" s="24">
        <v>0.0</v>
      </c>
      <c r="AO113" s="26"/>
      <c r="AP113" s="24">
        <v>0.0</v>
      </c>
      <c r="AQ113" s="26"/>
      <c r="AR113" s="25">
        <v>0.0</v>
      </c>
      <c r="AT113" s="25">
        <v>0.0</v>
      </c>
      <c r="AU113" s="26"/>
      <c r="AV113" s="35">
        <f t="shared" si="1"/>
        <v>3143.4</v>
      </c>
      <c r="AW113" s="33">
        <f t="shared" si="2"/>
        <v>310</v>
      </c>
      <c r="AX113" s="33">
        <f t="shared" si="3"/>
        <v>0</v>
      </c>
      <c r="AY113" s="33">
        <f t="shared" si="4"/>
        <v>310</v>
      </c>
      <c r="AZ113" s="30">
        <f t="shared" si="5"/>
        <v>10.14</v>
      </c>
    </row>
    <row r="114" ht="15.75" customHeight="1">
      <c r="A114" s="44" t="s">
        <v>46</v>
      </c>
      <c r="B114" s="45">
        <f t="shared" si="6"/>
        <v>44674</v>
      </c>
      <c r="C114" s="46">
        <v>4.0</v>
      </c>
      <c r="D114" s="46" t="s">
        <v>49</v>
      </c>
      <c r="E114" s="47"/>
      <c r="F114" s="49">
        <v>0.0</v>
      </c>
      <c r="G114" s="51"/>
      <c r="H114" s="52">
        <v>0.0</v>
      </c>
      <c r="I114" s="51"/>
      <c r="J114" s="52">
        <v>0.0</v>
      </c>
      <c r="K114" s="51"/>
      <c r="L114" s="52">
        <v>0.0</v>
      </c>
      <c r="M114" s="51"/>
      <c r="N114" s="52">
        <v>0.0</v>
      </c>
      <c r="O114" s="51"/>
      <c r="P114" s="52">
        <v>0.0</v>
      </c>
      <c r="Q114" s="53"/>
      <c r="R114" s="49">
        <v>0.0</v>
      </c>
      <c r="S114" s="51"/>
      <c r="T114" s="52">
        <v>0.0</v>
      </c>
      <c r="U114" s="51"/>
      <c r="V114" s="52">
        <v>0.0</v>
      </c>
      <c r="W114" s="51"/>
      <c r="X114" s="52">
        <v>0.0</v>
      </c>
      <c r="Y114" s="51"/>
      <c r="Z114" s="52">
        <v>0.0</v>
      </c>
      <c r="AA114" s="51"/>
      <c r="AB114" s="52">
        <v>0.0</v>
      </c>
      <c r="AC114" s="53"/>
      <c r="AD114" s="52">
        <v>0.0</v>
      </c>
      <c r="AE114" s="51"/>
      <c r="AF114" s="52">
        <v>0.0</v>
      </c>
      <c r="AG114" s="51"/>
      <c r="AH114" s="52">
        <v>0.0</v>
      </c>
      <c r="AI114" s="51"/>
      <c r="AJ114" s="54">
        <v>0.0</v>
      </c>
      <c r="AK114" s="53"/>
      <c r="AL114" s="49">
        <v>0.0</v>
      </c>
      <c r="AM114" s="53"/>
      <c r="AN114" s="49">
        <v>0.0</v>
      </c>
      <c r="AO114" s="53"/>
      <c r="AP114" s="49">
        <v>0.0</v>
      </c>
      <c r="AQ114" s="53"/>
      <c r="AR114" s="52">
        <v>0.0</v>
      </c>
      <c r="AS114" s="51"/>
      <c r="AT114" s="52">
        <v>0.0</v>
      </c>
      <c r="AU114" s="53"/>
      <c r="AV114" s="55">
        <f t="shared" si="1"/>
        <v>0</v>
      </c>
      <c r="AW114" s="46">
        <f t="shared" si="2"/>
        <v>0</v>
      </c>
      <c r="AX114" s="46">
        <f t="shared" si="3"/>
        <v>0</v>
      </c>
      <c r="AY114" s="46">
        <f t="shared" si="4"/>
        <v>0</v>
      </c>
      <c r="AZ114" s="56" t="str">
        <f t="shared" si="5"/>
        <v/>
      </c>
    </row>
    <row r="115" ht="15.75" customHeight="1">
      <c r="A115" s="19" t="s">
        <v>30</v>
      </c>
      <c r="B115" s="57">
        <f t="shared" si="6"/>
        <v>44675</v>
      </c>
      <c r="C115" s="21">
        <v>5.0</v>
      </c>
      <c r="D115" s="21" t="s">
        <v>31</v>
      </c>
      <c r="E115" s="23"/>
      <c r="F115" s="24">
        <v>0.0</v>
      </c>
      <c r="H115" s="25">
        <v>0.0</v>
      </c>
      <c r="J115" s="25">
        <v>0.0</v>
      </c>
      <c r="L115" s="25">
        <v>0.0</v>
      </c>
      <c r="N115" s="25">
        <v>0.0</v>
      </c>
      <c r="P115" s="25">
        <v>0.0</v>
      </c>
      <c r="Q115" s="26"/>
      <c r="R115" s="24">
        <v>155.0</v>
      </c>
      <c r="T115" s="25">
        <v>155.0</v>
      </c>
      <c r="V115" s="25">
        <v>0.0</v>
      </c>
      <c r="X115" s="25">
        <v>0.0</v>
      </c>
      <c r="Z115" s="25">
        <v>0.0</v>
      </c>
      <c r="AB115" s="25">
        <v>0.0</v>
      </c>
      <c r="AC115" s="26"/>
      <c r="AD115" s="25">
        <v>0.0</v>
      </c>
      <c r="AF115" s="25">
        <v>0.0</v>
      </c>
      <c r="AH115" s="25">
        <v>0.0</v>
      </c>
      <c r="AJ115" s="27">
        <v>0.0</v>
      </c>
      <c r="AK115" s="26"/>
      <c r="AL115" s="24">
        <v>0.0</v>
      </c>
      <c r="AM115" s="26"/>
      <c r="AN115" s="24">
        <v>0.0</v>
      </c>
      <c r="AO115" s="26"/>
      <c r="AP115" s="24">
        <v>0.0</v>
      </c>
      <c r="AQ115" s="26"/>
      <c r="AR115" s="25">
        <v>0.0</v>
      </c>
      <c r="AT115" s="25">
        <v>0.0</v>
      </c>
      <c r="AU115" s="26"/>
      <c r="AV115" s="29">
        <f t="shared" si="1"/>
        <v>3143.4</v>
      </c>
      <c r="AW115" s="21">
        <f t="shared" si="2"/>
        <v>310</v>
      </c>
      <c r="AX115" s="21">
        <f t="shared" si="3"/>
        <v>0</v>
      </c>
      <c r="AY115" s="21">
        <f t="shared" si="4"/>
        <v>310</v>
      </c>
      <c r="AZ115" s="58">
        <f t="shared" si="5"/>
        <v>10.14</v>
      </c>
    </row>
    <row r="116" ht="15.75" customHeight="1">
      <c r="A116" s="31" t="s">
        <v>33</v>
      </c>
      <c r="B116" s="32">
        <f t="shared" si="6"/>
        <v>44676</v>
      </c>
      <c r="C116" s="33">
        <v>5.0</v>
      </c>
      <c r="D116" s="33" t="s">
        <v>31</v>
      </c>
      <c r="E116" s="34"/>
      <c r="F116" s="24">
        <v>0.0</v>
      </c>
      <c r="H116" s="25">
        <v>0.0</v>
      </c>
      <c r="J116" s="25">
        <v>0.0</v>
      </c>
      <c r="L116" s="25">
        <v>0.0</v>
      </c>
      <c r="N116" s="25">
        <v>0.0</v>
      </c>
      <c r="P116" s="25">
        <v>0.0</v>
      </c>
      <c r="Q116" s="26"/>
      <c r="R116" s="24">
        <v>155.0</v>
      </c>
      <c r="T116" s="25">
        <v>155.0</v>
      </c>
      <c r="V116" s="25">
        <v>0.0</v>
      </c>
      <c r="X116" s="25">
        <v>0.0</v>
      </c>
      <c r="Z116" s="25">
        <v>0.0</v>
      </c>
      <c r="AB116" s="25">
        <v>0.0</v>
      </c>
      <c r="AC116" s="26"/>
      <c r="AD116" s="25">
        <v>0.0</v>
      </c>
      <c r="AF116" s="25">
        <v>50.0</v>
      </c>
      <c r="AH116" s="25">
        <v>50.0</v>
      </c>
      <c r="AJ116" s="27">
        <v>0.0</v>
      </c>
      <c r="AK116" s="26"/>
      <c r="AL116" s="24">
        <v>0.0</v>
      </c>
      <c r="AM116" s="26"/>
      <c r="AN116" s="24">
        <v>0.0</v>
      </c>
      <c r="AO116" s="26"/>
      <c r="AP116" s="24">
        <v>0.0</v>
      </c>
      <c r="AQ116" s="26"/>
      <c r="AR116" s="25">
        <v>0.0</v>
      </c>
      <c r="AT116" s="25">
        <v>0.0</v>
      </c>
      <c r="AU116" s="26"/>
      <c r="AV116" s="35">
        <f t="shared" si="1"/>
        <v>4593.4</v>
      </c>
      <c r="AW116" s="33">
        <f t="shared" si="2"/>
        <v>410</v>
      </c>
      <c r="AX116" s="33">
        <f t="shared" si="3"/>
        <v>0</v>
      </c>
      <c r="AY116" s="33">
        <f t="shared" si="4"/>
        <v>410</v>
      </c>
      <c r="AZ116" s="30">
        <f t="shared" si="5"/>
        <v>11.20341463</v>
      </c>
    </row>
    <row r="117" ht="15.75" customHeight="1">
      <c r="A117" s="31" t="s">
        <v>34</v>
      </c>
      <c r="B117" s="32">
        <f t="shared" si="6"/>
        <v>44677</v>
      </c>
      <c r="C117" s="33">
        <v>5.0</v>
      </c>
      <c r="D117" s="33" t="s">
        <v>31</v>
      </c>
      <c r="E117" s="34"/>
      <c r="F117" s="24">
        <v>0.0</v>
      </c>
      <c r="H117" s="25">
        <v>0.0</v>
      </c>
      <c r="J117" s="25">
        <v>0.0</v>
      </c>
      <c r="L117" s="25">
        <v>0.0</v>
      </c>
      <c r="N117" s="25">
        <v>0.0</v>
      </c>
      <c r="P117" s="25">
        <v>0.0</v>
      </c>
      <c r="Q117" s="26"/>
      <c r="R117" s="24">
        <v>155.0</v>
      </c>
      <c r="T117" s="25">
        <v>155.0</v>
      </c>
      <c r="V117" s="25">
        <v>0.0</v>
      </c>
      <c r="X117" s="25">
        <v>0.0</v>
      </c>
      <c r="Z117" s="25">
        <v>0.0</v>
      </c>
      <c r="AB117" s="25">
        <v>0.0</v>
      </c>
      <c r="AC117" s="26"/>
      <c r="AD117" s="25">
        <v>0.0</v>
      </c>
      <c r="AF117" s="25">
        <v>50.0</v>
      </c>
      <c r="AH117" s="25">
        <v>50.0</v>
      </c>
      <c r="AJ117" s="27">
        <v>0.0</v>
      </c>
      <c r="AK117" s="26"/>
      <c r="AL117" s="24">
        <v>0.0</v>
      </c>
      <c r="AM117" s="26"/>
      <c r="AN117" s="24">
        <v>0.0</v>
      </c>
      <c r="AO117" s="26"/>
      <c r="AP117" s="24">
        <v>0.0</v>
      </c>
      <c r="AQ117" s="26"/>
      <c r="AR117" s="25">
        <v>0.0</v>
      </c>
      <c r="AT117" s="25">
        <v>0.0</v>
      </c>
      <c r="AU117" s="26"/>
      <c r="AV117" s="35">
        <f t="shared" si="1"/>
        <v>4593.4</v>
      </c>
      <c r="AW117" s="33">
        <f t="shared" si="2"/>
        <v>410</v>
      </c>
      <c r="AX117" s="33">
        <f t="shared" si="3"/>
        <v>0</v>
      </c>
      <c r="AY117" s="33">
        <f t="shared" si="4"/>
        <v>410</v>
      </c>
      <c r="AZ117" s="30">
        <f t="shared" si="5"/>
        <v>11.20341463</v>
      </c>
    </row>
    <row r="118" ht="15.75" customHeight="1">
      <c r="A118" s="31" t="s">
        <v>35</v>
      </c>
      <c r="B118" s="32">
        <f t="shared" si="6"/>
        <v>44678</v>
      </c>
      <c r="C118" s="33">
        <v>5.0</v>
      </c>
      <c r="D118" s="33" t="s">
        <v>31</v>
      </c>
      <c r="E118" s="34"/>
      <c r="F118" s="24">
        <v>0.0</v>
      </c>
      <c r="H118" s="25">
        <v>0.0</v>
      </c>
      <c r="J118" s="25">
        <v>0.0</v>
      </c>
      <c r="L118" s="25">
        <v>0.0</v>
      </c>
      <c r="N118" s="25">
        <v>0.0</v>
      </c>
      <c r="P118" s="25">
        <v>0.0</v>
      </c>
      <c r="Q118" s="26"/>
      <c r="R118" s="24">
        <v>155.0</v>
      </c>
      <c r="T118" s="25">
        <v>155.0</v>
      </c>
      <c r="V118" s="25">
        <v>0.0</v>
      </c>
      <c r="X118" s="25">
        <v>0.0</v>
      </c>
      <c r="Z118" s="25">
        <v>0.0</v>
      </c>
      <c r="AB118" s="25">
        <v>0.0</v>
      </c>
      <c r="AC118" s="26"/>
      <c r="AD118" s="25">
        <v>0.0</v>
      </c>
      <c r="AF118" s="25">
        <v>0.0</v>
      </c>
      <c r="AH118" s="25">
        <v>50.0</v>
      </c>
      <c r="AJ118" s="27">
        <v>0.0</v>
      </c>
      <c r="AK118" s="26"/>
      <c r="AL118" s="24">
        <v>0.0</v>
      </c>
      <c r="AM118" s="26"/>
      <c r="AN118" s="24">
        <v>0.0</v>
      </c>
      <c r="AO118" s="26"/>
      <c r="AP118" s="24">
        <v>0.0</v>
      </c>
      <c r="AQ118" s="26"/>
      <c r="AR118" s="25">
        <v>0.0</v>
      </c>
      <c r="AT118" s="25">
        <v>0.0</v>
      </c>
      <c r="AU118" s="26"/>
      <c r="AV118" s="35">
        <f t="shared" si="1"/>
        <v>3868.4</v>
      </c>
      <c r="AW118" s="33">
        <f t="shared" si="2"/>
        <v>360</v>
      </c>
      <c r="AX118" s="33">
        <f t="shared" si="3"/>
        <v>0</v>
      </c>
      <c r="AY118" s="33">
        <f t="shared" si="4"/>
        <v>360</v>
      </c>
      <c r="AZ118" s="30">
        <f t="shared" si="5"/>
        <v>10.74555556</v>
      </c>
    </row>
    <row r="119" ht="15.75" customHeight="1">
      <c r="A119" s="31" t="s">
        <v>38</v>
      </c>
      <c r="B119" s="32">
        <f t="shared" si="6"/>
        <v>44679</v>
      </c>
      <c r="C119" s="33">
        <v>5.0</v>
      </c>
      <c r="D119" s="33" t="s">
        <v>31</v>
      </c>
      <c r="E119" s="34"/>
      <c r="F119" s="24">
        <v>0.0</v>
      </c>
      <c r="H119" s="25">
        <v>0.0</v>
      </c>
      <c r="J119" s="25">
        <v>0.0</v>
      </c>
      <c r="L119" s="25">
        <v>0.0</v>
      </c>
      <c r="N119" s="25">
        <v>0.0</v>
      </c>
      <c r="P119" s="25">
        <v>0.0</v>
      </c>
      <c r="Q119" s="26"/>
      <c r="R119" s="24">
        <v>155.0</v>
      </c>
      <c r="T119" s="25">
        <v>155.0</v>
      </c>
      <c r="V119" s="25">
        <v>0.0</v>
      </c>
      <c r="X119" s="25">
        <v>0.0</v>
      </c>
      <c r="Z119" s="25">
        <v>0.0</v>
      </c>
      <c r="AB119" s="25">
        <v>0.0</v>
      </c>
      <c r="AC119" s="26"/>
      <c r="AD119" s="25">
        <v>0.0</v>
      </c>
      <c r="AF119" s="25">
        <v>50.0</v>
      </c>
      <c r="AH119" s="25">
        <v>50.0</v>
      </c>
      <c r="AJ119" s="27">
        <v>0.0</v>
      </c>
      <c r="AK119" s="26"/>
      <c r="AL119" s="24">
        <v>0.0</v>
      </c>
      <c r="AM119" s="26"/>
      <c r="AN119" s="24">
        <v>0.0</v>
      </c>
      <c r="AO119" s="26"/>
      <c r="AP119" s="24">
        <v>0.0</v>
      </c>
      <c r="AQ119" s="26"/>
      <c r="AR119" s="25">
        <v>0.0</v>
      </c>
      <c r="AT119" s="25">
        <v>0.0</v>
      </c>
      <c r="AU119" s="26"/>
      <c r="AV119" s="35">
        <f t="shared" si="1"/>
        <v>4593.4</v>
      </c>
      <c r="AW119" s="33">
        <f t="shared" si="2"/>
        <v>410</v>
      </c>
      <c r="AX119" s="33">
        <f t="shared" si="3"/>
        <v>0</v>
      </c>
      <c r="AY119" s="33">
        <f t="shared" si="4"/>
        <v>410</v>
      </c>
      <c r="AZ119" s="30">
        <f t="shared" si="5"/>
        <v>11.20341463</v>
      </c>
    </row>
    <row r="120" ht="15.75" customHeight="1">
      <c r="A120" s="31" t="s">
        <v>45</v>
      </c>
      <c r="B120" s="32">
        <f t="shared" si="6"/>
        <v>44680</v>
      </c>
      <c r="C120" s="33">
        <v>5.0</v>
      </c>
      <c r="D120" s="33" t="s">
        <v>31</v>
      </c>
      <c r="E120" s="34"/>
      <c r="F120" s="24">
        <v>0.0</v>
      </c>
      <c r="H120" s="25">
        <v>0.0</v>
      </c>
      <c r="J120" s="25">
        <v>0.0</v>
      </c>
      <c r="L120" s="25">
        <v>0.0</v>
      </c>
      <c r="N120" s="25">
        <v>0.0</v>
      </c>
      <c r="P120" s="25">
        <v>0.0</v>
      </c>
      <c r="Q120" s="26"/>
      <c r="R120" s="24">
        <v>155.0</v>
      </c>
      <c r="T120" s="25">
        <v>155.0</v>
      </c>
      <c r="V120" s="25">
        <v>0.0</v>
      </c>
      <c r="X120" s="25">
        <v>0.0</v>
      </c>
      <c r="Z120" s="25">
        <v>0.0</v>
      </c>
      <c r="AB120" s="25">
        <v>0.0</v>
      </c>
      <c r="AC120" s="26"/>
      <c r="AD120" s="25">
        <v>0.0</v>
      </c>
      <c r="AF120" s="25">
        <v>50.0</v>
      </c>
      <c r="AH120" s="25">
        <v>0.0</v>
      </c>
      <c r="AJ120" s="27">
        <v>0.0</v>
      </c>
      <c r="AK120" s="26"/>
      <c r="AL120" s="24">
        <v>0.0</v>
      </c>
      <c r="AM120" s="26"/>
      <c r="AN120" s="24">
        <v>0.0</v>
      </c>
      <c r="AO120" s="26"/>
      <c r="AP120" s="24">
        <v>0.0</v>
      </c>
      <c r="AQ120" s="26"/>
      <c r="AR120" s="25">
        <v>0.0</v>
      </c>
      <c r="AT120" s="25">
        <v>0.0</v>
      </c>
      <c r="AU120" s="26"/>
      <c r="AV120" s="35">
        <f t="shared" si="1"/>
        <v>3868.4</v>
      </c>
      <c r="AW120" s="33">
        <f t="shared" si="2"/>
        <v>360</v>
      </c>
      <c r="AX120" s="33">
        <f t="shared" si="3"/>
        <v>0</v>
      </c>
      <c r="AY120" s="33">
        <f t="shared" si="4"/>
        <v>360</v>
      </c>
      <c r="AZ120" s="30">
        <f t="shared" si="5"/>
        <v>10.74555556</v>
      </c>
    </row>
    <row r="121" ht="15.75" customHeight="1">
      <c r="A121" s="44" t="s">
        <v>46</v>
      </c>
      <c r="B121" s="45">
        <f t="shared" si="6"/>
        <v>44681</v>
      </c>
      <c r="C121" s="46">
        <v>5.0</v>
      </c>
      <c r="D121" s="46" t="s">
        <v>31</v>
      </c>
      <c r="E121" s="47"/>
      <c r="F121" s="49">
        <v>0.0</v>
      </c>
      <c r="G121" s="51"/>
      <c r="H121" s="52">
        <v>0.0</v>
      </c>
      <c r="I121" s="51"/>
      <c r="J121" s="52">
        <v>0.0</v>
      </c>
      <c r="K121" s="51"/>
      <c r="L121" s="52">
        <v>0.0</v>
      </c>
      <c r="M121" s="51"/>
      <c r="N121" s="52">
        <v>0.0</v>
      </c>
      <c r="O121" s="51"/>
      <c r="P121" s="52">
        <v>0.0</v>
      </c>
      <c r="Q121" s="53"/>
      <c r="R121" s="49">
        <v>0.0</v>
      </c>
      <c r="S121" s="51"/>
      <c r="T121" s="52">
        <v>0.0</v>
      </c>
      <c r="U121" s="51"/>
      <c r="V121" s="52">
        <v>0.0</v>
      </c>
      <c r="W121" s="51"/>
      <c r="X121" s="52">
        <v>0.0</v>
      </c>
      <c r="Y121" s="51"/>
      <c r="Z121" s="52">
        <v>0.0</v>
      </c>
      <c r="AA121" s="51"/>
      <c r="AB121" s="52">
        <v>0.0</v>
      </c>
      <c r="AC121" s="53"/>
      <c r="AD121" s="52">
        <v>0.0</v>
      </c>
      <c r="AE121" s="51"/>
      <c r="AF121" s="52">
        <v>0.0</v>
      </c>
      <c r="AG121" s="51"/>
      <c r="AH121" s="52">
        <v>0.0</v>
      </c>
      <c r="AI121" s="51"/>
      <c r="AJ121" s="54">
        <v>0.0</v>
      </c>
      <c r="AK121" s="53"/>
      <c r="AL121" s="49">
        <v>0.0</v>
      </c>
      <c r="AM121" s="53"/>
      <c r="AN121" s="49">
        <v>0.0</v>
      </c>
      <c r="AO121" s="53"/>
      <c r="AP121" s="49">
        <v>0.0</v>
      </c>
      <c r="AQ121" s="53"/>
      <c r="AR121" s="52">
        <v>0.0</v>
      </c>
      <c r="AS121" s="51"/>
      <c r="AT121" s="52">
        <v>0.0</v>
      </c>
      <c r="AU121" s="53"/>
      <c r="AV121" s="55">
        <f t="shared" si="1"/>
        <v>0</v>
      </c>
      <c r="AW121" s="46">
        <f t="shared" si="2"/>
        <v>0</v>
      </c>
      <c r="AX121" s="46">
        <f t="shared" si="3"/>
        <v>0</v>
      </c>
      <c r="AY121" s="46">
        <f t="shared" si="4"/>
        <v>0</v>
      </c>
      <c r="AZ121" s="56" t="str">
        <f t="shared" si="5"/>
        <v/>
      </c>
    </row>
    <row r="122" ht="15.75" customHeight="1">
      <c r="A122" s="19" t="s">
        <v>30</v>
      </c>
      <c r="B122" s="57">
        <f t="shared" si="6"/>
        <v>44682</v>
      </c>
      <c r="C122" s="21">
        <v>5.0</v>
      </c>
      <c r="D122" s="21" t="s">
        <v>47</v>
      </c>
      <c r="E122" s="23"/>
      <c r="F122" s="24">
        <v>0.0</v>
      </c>
      <c r="H122" s="25">
        <v>0.0</v>
      </c>
      <c r="J122" s="25">
        <v>0.0</v>
      </c>
      <c r="L122" s="25">
        <v>0.0</v>
      </c>
      <c r="N122" s="25">
        <v>0.0</v>
      </c>
      <c r="P122" s="25">
        <v>0.0</v>
      </c>
      <c r="Q122" s="26"/>
      <c r="R122" s="24">
        <v>155.0</v>
      </c>
      <c r="T122" s="25">
        <v>155.0</v>
      </c>
      <c r="V122" s="25">
        <v>0.0</v>
      </c>
      <c r="X122" s="25">
        <v>0.0</v>
      </c>
      <c r="Z122" s="25">
        <v>0.0</v>
      </c>
      <c r="AB122" s="25">
        <v>0.0</v>
      </c>
      <c r="AC122" s="26"/>
      <c r="AD122" s="25">
        <v>0.0</v>
      </c>
      <c r="AF122" s="25">
        <v>0.0</v>
      </c>
      <c r="AH122" s="25">
        <v>0.0</v>
      </c>
      <c r="AJ122" s="27">
        <v>0.0</v>
      </c>
      <c r="AK122" s="26"/>
      <c r="AL122" s="24">
        <v>0.0</v>
      </c>
      <c r="AM122" s="26"/>
      <c r="AN122" s="24">
        <v>0.0</v>
      </c>
      <c r="AO122" s="26"/>
      <c r="AP122" s="24">
        <v>0.0</v>
      </c>
      <c r="AQ122" s="26"/>
      <c r="AR122" s="25">
        <v>0.0</v>
      </c>
      <c r="AT122" s="25">
        <v>0.0</v>
      </c>
      <c r="AU122" s="26"/>
      <c r="AV122" s="29">
        <f t="shared" si="1"/>
        <v>3143.4</v>
      </c>
      <c r="AW122" s="21">
        <f t="shared" si="2"/>
        <v>310</v>
      </c>
      <c r="AX122" s="21">
        <f t="shared" si="3"/>
        <v>0</v>
      </c>
      <c r="AY122" s="21">
        <f t="shared" si="4"/>
        <v>310</v>
      </c>
      <c r="AZ122" s="58">
        <f t="shared" si="5"/>
        <v>10.14</v>
      </c>
    </row>
    <row r="123" ht="15.75" customHeight="1">
      <c r="A123" s="31" t="s">
        <v>33</v>
      </c>
      <c r="B123" s="32">
        <f t="shared" si="6"/>
        <v>44683</v>
      </c>
      <c r="C123" s="33">
        <v>5.0</v>
      </c>
      <c r="D123" s="33" t="s">
        <v>47</v>
      </c>
      <c r="E123" s="34"/>
      <c r="F123" s="24">
        <v>0.0</v>
      </c>
      <c r="H123" s="25">
        <v>0.0</v>
      </c>
      <c r="J123" s="25">
        <v>0.0</v>
      </c>
      <c r="L123" s="25">
        <v>0.0</v>
      </c>
      <c r="N123" s="25">
        <v>0.0</v>
      </c>
      <c r="P123" s="25">
        <v>0.0</v>
      </c>
      <c r="Q123" s="26"/>
      <c r="R123" s="24">
        <v>155.0</v>
      </c>
      <c r="T123" s="25">
        <v>155.0</v>
      </c>
      <c r="V123" s="25">
        <v>0.0</v>
      </c>
      <c r="X123" s="25">
        <v>0.0</v>
      </c>
      <c r="Z123" s="25">
        <v>0.0</v>
      </c>
      <c r="AB123" s="25">
        <v>0.0</v>
      </c>
      <c r="AC123" s="26"/>
      <c r="AD123" s="25">
        <v>0.0</v>
      </c>
      <c r="AF123" s="25">
        <v>0.0</v>
      </c>
      <c r="AH123" s="25">
        <v>0.0</v>
      </c>
      <c r="AJ123" s="27">
        <v>0.0</v>
      </c>
      <c r="AK123" s="26"/>
      <c r="AL123" s="24">
        <v>0.0</v>
      </c>
      <c r="AM123" s="26"/>
      <c r="AN123" s="24">
        <v>0.0</v>
      </c>
      <c r="AO123" s="26"/>
      <c r="AP123" s="24">
        <v>0.0</v>
      </c>
      <c r="AQ123" s="26"/>
      <c r="AR123" s="25">
        <v>0.0</v>
      </c>
      <c r="AT123" s="25">
        <v>0.0</v>
      </c>
      <c r="AU123" s="26"/>
      <c r="AV123" s="35">
        <f t="shared" si="1"/>
        <v>3143.4</v>
      </c>
      <c r="AW123" s="33">
        <f t="shared" si="2"/>
        <v>310</v>
      </c>
      <c r="AX123" s="33">
        <f t="shared" si="3"/>
        <v>0</v>
      </c>
      <c r="AY123" s="33">
        <f t="shared" si="4"/>
        <v>310</v>
      </c>
      <c r="AZ123" s="30">
        <f t="shared" si="5"/>
        <v>10.14</v>
      </c>
    </row>
    <row r="124" ht="15.75" customHeight="1">
      <c r="A124" s="31" t="s">
        <v>34</v>
      </c>
      <c r="B124" s="32">
        <f t="shared" si="6"/>
        <v>44684</v>
      </c>
      <c r="C124" s="33">
        <v>5.0</v>
      </c>
      <c r="D124" s="33" t="s">
        <v>47</v>
      </c>
      <c r="E124" s="34"/>
      <c r="F124" s="24">
        <v>0.0</v>
      </c>
      <c r="H124" s="25">
        <v>0.0</v>
      </c>
      <c r="J124" s="25">
        <v>0.0</v>
      </c>
      <c r="L124" s="25">
        <v>0.0</v>
      </c>
      <c r="N124" s="25">
        <v>0.0</v>
      </c>
      <c r="P124" s="25">
        <v>0.0</v>
      </c>
      <c r="Q124" s="26"/>
      <c r="R124" s="24">
        <v>155.0</v>
      </c>
      <c r="T124" s="25">
        <v>155.0</v>
      </c>
      <c r="V124" s="25">
        <v>0.0</v>
      </c>
      <c r="X124" s="25">
        <v>0.0</v>
      </c>
      <c r="Z124" s="25">
        <v>0.0</v>
      </c>
      <c r="AB124" s="25">
        <v>0.0</v>
      </c>
      <c r="AC124" s="26"/>
      <c r="AD124" s="25">
        <v>0.0</v>
      </c>
      <c r="AF124" s="25">
        <v>0.0</v>
      </c>
      <c r="AH124" s="25">
        <v>0.0</v>
      </c>
      <c r="AJ124" s="27">
        <v>0.0</v>
      </c>
      <c r="AK124" s="26"/>
      <c r="AL124" s="24">
        <v>0.0</v>
      </c>
      <c r="AM124" s="26"/>
      <c r="AN124" s="24">
        <v>0.0</v>
      </c>
      <c r="AO124" s="26"/>
      <c r="AP124" s="24">
        <v>0.0</v>
      </c>
      <c r="AQ124" s="26"/>
      <c r="AR124" s="25">
        <v>0.0</v>
      </c>
      <c r="AT124" s="25">
        <v>0.0</v>
      </c>
      <c r="AU124" s="26"/>
      <c r="AV124" s="35">
        <f t="shared" si="1"/>
        <v>3143.4</v>
      </c>
      <c r="AW124" s="33">
        <f t="shared" si="2"/>
        <v>310</v>
      </c>
      <c r="AX124" s="33">
        <f t="shared" si="3"/>
        <v>0</v>
      </c>
      <c r="AY124" s="33">
        <f t="shared" si="4"/>
        <v>310</v>
      </c>
      <c r="AZ124" s="30">
        <f t="shared" si="5"/>
        <v>10.14</v>
      </c>
    </row>
    <row r="125" ht="15.75" customHeight="1">
      <c r="A125" s="31" t="s">
        <v>35</v>
      </c>
      <c r="B125" s="32">
        <f t="shared" si="6"/>
        <v>44685</v>
      </c>
      <c r="C125" s="33">
        <v>5.0</v>
      </c>
      <c r="D125" s="33" t="s">
        <v>47</v>
      </c>
      <c r="E125" s="34"/>
      <c r="F125" s="24">
        <v>0.0</v>
      </c>
      <c r="H125" s="25">
        <v>0.0</v>
      </c>
      <c r="J125" s="25">
        <v>0.0</v>
      </c>
      <c r="L125" s="25">
        <v>0.0</v>
      </c>
      <c r="N125" s="25">
        <v>0.0</v>
      </c>
      <c r="P125" s="25">
        <v>0.0</v>
      </c>
      <c r="Q125" s="26"/>
      <c r="R125" s="24">
        <v>155.0</v>
      </c>
      <c r="T125" s="25">
        <v>155.0</v>
      </c>
      <c r="V125" s="25">
        <v>0.0</v>
      </c>
      <c r="X125" s="25">
        <v>0.0</v>
      </c>
      <c r="Z125" s="25">
        <v>0.0</v>
      </c>
      <c r="AB125" s="25">
        <v>0.0</v>
      </c>
      <c r="AC125" s="26"/>
      <c r="AD125" s="25">
        <v>0.0</v>
      </c>
      <c r="AF125" s="25">
        <v>0.0</v>
      </c>
      <c r="AH125" s="25">
        <v>0.0</v>
      </c>
      <c r="AJ125" s="27">
        <v>0.0</v>
      </c>
      <c r="AK125" s="26"/>
      <c r="AL125" s="24">
        <v>0.0</v>
      </c>
      <c r="AM125" s="26"/>
      <c r="AN125" s="24">
        <v>0.0</v>
      </c>
      <c r="AO125" s="26"/>
      <c r="AP125" s="24">
        <v>0.0</v>
      </c>
      <c r="AQ125" s="26"/>
      <c r="AR125" s="25">
        <v>0.0</v>
      </c>
      <c r="AT125" s="25">
        <v>0.0</v>
      </c>
      <c r="AU125" s="26"/>
      <c r="AV125" s="35">
        <f t="shared" si="1"/>
        <v>3143.4</v>
      </c>
      <c r="AW125" s="33">
        <f t="shared" si="2"/>
        <v>310</v>
      </c>
      <c r="AX125" s="33">
        <f t="shared" si="3"/>
        <v>0</v>
      </c>
      <c r="AY125" s="33">
        <f t="shared" si="4"/>
        <v>310</v>
      </c>
      <c r="AZ125" s="30">
        <f t="shared" si="5"/>
        <v>10.14</v>
      </c>
    </row>
    <row r="126" ht="15.75" customHeight="1">
      <c r="A126" s="31" t="s">
        <v>38</v>
      </c>
      <c r="B126" s="32">
        <f t="shared" si="6"/>
        <v>44686</v>
      </c>
      <c r="C126" s="33">
        <v>5.0</v>
      </c>
      <c r="D126" s="33" t="s">
        <v>47</v>
      </c>
      <c r="E126" s="34"/>
      <c r="F126" s="24">
        <v>0.0</v>
      </c>
      <c r="H126" s="25">
        <v>0.0</v>
      </c>
      <c r="J126" s="25">
        <v>0.0</v>
      </c>
      <c r="L126" s="25">
        <v>0.0</v>
      </c>
      <c r="N126" s="25">
        <v>0.0</v>
      </c>
      <c r="P126" s="25">
        <v>0.0</v>
      </c>
      <c r="Q126" s="26"/>
      <c r="R126" s="24">
        <v>155.0</v>
      </c>
      <c r="T126" s="25">
        <v>155.0</v>
      </c>
      <c r="V126" s="25">
        <v>0.0</v>
      </c>
      <c r="X126" s="25">
        <v>0.0</v>
      </c>
      <c r="Z126" s="25">
        <v>0.0</v>
      </c>
      <c r="AB126" s="25">
        <v>0.0</v>
      </c>
      <c r="AC126" s="26"/>
      <c r="AD126" s="25">
        <v>0.0</v>
      </c>
      <c r="AF126" s="25">
        <v>0.0</v>
      </c>
      <c r="AH126" s="25">
        <v>0.0</v>
      </c>
      <c r="AJ126" s="27">
        <v>0.0</v>
      </c>
      <c r="AK126" s="26"/>
      <c r="AL126" s="24">
        <v>0.0</v>
      </c>
      <c r="AM126" s="26"/>
      <c r="AN126" s="24">
        <v>0.0</v>
      </c>
      <c r="AO126" s="26"/>
      <c r="AP126" s="24">
        <v>0.0</v>
      </c>
      <c r="AQ126" s="26"/>
      <c r="AR126" s="25">
        <v>0.0</v>
      </c>
      <c r="AT126" s="25">
        <v>0.0</v>
      </c>
      <c r="AU126" s="26"/>
      <c r="AV126" s="35">
        <f t="shared" si="1"/>
        <v>3143.4</v>
      </c>
      <c r="AW126" s="33">
        <f t="shared" si="2"/>
        <v>310</v>
      </c>
      <c r="AX126" s="33">
        <f t="shared" si="3"/>
        <v>0</v>
      </c>
      <c r="AY126" s="33">
        <f t="shared" si="4"/>
        <v>310</v>
      </c>
      <c r="AZ126" s="30">
        <f t="shared" si="5"/>
        <v>10.14</v>
      </c>
    </row>
    <row r="127" ht="15.75" customHeight="1">
      <c r="A127" s="31" t="s">
        <v>45</v>
      </c>
      <c r="B127" s="32">
        <f t="shared" si="6"/>
        <v>44687</v>
      </c>
      <c r="C127" s="33">
        <v>5.0</v>
      </c>
      <c r="D127" s="33" t="s">
        <v>47</v>
      </c>
      <c r="E127" s="34"/>
      <c r="F127" s="24">
        <v>0.0</v>
      </c>
      <c r="H127" s="25">
        <v>0.0</v>
      </c>
      <c r="J127" s="25">
        <v>0.0</v>
      </c>
      <c r="L127" s="25">
        <v>0.0</v>
      </c>
      <c r="N127" s="25">
        <v>0.0</v>
      </c>
      <c r="P127" s="25">
        <v>0.0</v>
      </c>
      <c r="Q127" s="26"/>
      <c r="R127" s="24">
        <v>155.0</v>
      </c>
      <c r="T127" s="25">
        <v>155.0</v>
      </c>
      <c r="V127" s="25">
        <v>0.0</v>
      </c>
      <c r="X127" s="25">
        <v>0.0</v>
      </c>
      <c r="Z127" s="25">
        <v>0.0</v>
      </c>
      <c r="AB127" s="25">
        <v>0.0</v>
      </c>
      <c r="AC127" s="26"/>
      <c r="AD127" s="25">
        <v>0.0</v>
      </c>
      <c r="AF127" s="25">
        <v>0.0</v>
      </c>
      <c r="AH127" s="25">
        <v>0.0</v>
      </c>
      <c r="AJ127" s="27">
        <v>0.0</v>
      </c>
      <c r="AK127" s="26"/>
      <c r="AL127" s="24">
        <v>0.0</v>
      </c>
      <c r="AM127" s="26"/>
      <c r="AN127" s="24">
        <v>0.0</v>
      </c>
      <c r="AO127" s="26"/>
      <c r="AP127" s="24">
        <v>0.0</v>
      </c>
      <c r="AQ127" s="26"/>
      <c r="AR127" s="25">
        <v>0.0</v>
      </c>
      <c r="AT127" s="25">
        <v>0.0</v>
      </c>
      <c r="AU127" s="26"/>
      <c r="AV127" s="35">
        <f t="shared" si="1"/>
        <v>3143.4</v>
      </c>
      <c r="AW127" s="33">
        <f t="shared" si="2"/>
        <v>310</v>
      </c>
      <c r="AX127" s="33">
        <f t="shared" si="3"/>
        <v>0</v>
      </c>
      <c r="AY127" s="33">
        <f t="shared" si="4"/>
        <v>310</v>
      </c>
      <c r="AZ127" s="30">
        <f t="shared" si="5"/>
        <v>10.14</v>
      </c>
    </row>
    <row r="128" ht="15.75" customHeight="1">
      <c r="A128" s="44" t="s">
        <v>46</v>
      </c>
      <c r="B128" s="45">
        <f t="shared" si="6"/>
        <v>44688</v>
      </c>
      <c r="C128" s="46">
        <v>5.0</v>
      </c>
      <c r="D128" s="46" t="s">
        <v>47</v>
      </c>
      <c r="E128" s="47"/>
      <c r="F128" s="49">
        <v>0.0</v>
      </c>
      <c r="G128" s="51"/>
      <c r="H128" s="52">
        <v>0.0</v>
      </c>
      <c r="I128" s="51"/>
      <c r="J128" s="52">
        <v>0.0</v>
      </c>
      <c r="K128" s="51"/>
      <c r="L128" s="52">
        <v>0.0</v>
      </c>
      <c r="M128" s="51"/>
      <c r="N128" s="52">
        <v>0.0</v>
      </c>
      <c r="O128" s="51"/>
      <c r="P128" s="52">
        <v>0.0</v>
      </c>
      <c r="Q128" s="53"/>
      <c r="R128" s="49">
        <v>0.0</v>
      </c>
      <c r="S128" s="51"/>
      <c r="T128" s="52">
        <v>0.0</v>
      </c>
      <c r="U128" s="51"/>
      <c r="V128" s="52">
        <v>0.0</v>
      </c>
      <c r="W128" s="51"/>
      <c r="X128" s="52">
        <v>0.0</v>
      </c>
      <c r="Y128" s="51"/>
      <c r="Z128" s="52">
        <v>0.0</v>
      </c>
      <c r="AA128" s="51"/>
      <c r="AB128" s="52">
        <v>0.0</v>
      </c>
      <c r="AC128" s="53"/>
      <c r="AD128" s="52">
        <v>0.0</v>
      </c>
      <c r="AE128" s="51"/>
      <c r="AF128" s="52">
        <v>0.0</v>
      </c>
      <c r="AG128" s="51"/>
      <c r="AH128" s="52">
        <v>0.0</v>
      </c>
      <c r="AI128" s="51"/>
      <c r="AJ128" s="54">
        <v>0.0</v>
      </c>
      <c r="AK128" s="53"/>
      <c r="AL128" s="49">
        <v>0.0</v>
      </c>
      <c r="AM128" s="53"/>
      <c r="AN128" s="49">
        <v>0.0</v>
      </c>
      <c r="AO128" s="53"/>
      <c r="AP128" s="49">
        <v>0.0</v>
      </c>
      <c r="AQ128" s="53"/>
      <c r="AR128" s="52">
        <v>0.0</v>
      </c>
      <c r="AS128" s="51"/>
      <c r="AT128" s="52">
        <v>0.0</v>
      </c>
      <c r="AU128" s="53"/>
      <c r="AV128" s="55">
        <f t="shared" si="1"/>
        <v>0</v>
      </c>
      <c r="AW128" s="46">
        <f t="shared" si="2"/>
        <v>0</v>
      </c>
      <c r="AX128" s="46">
        <f t="shared" si="3"/>
        <v>0</v>
      </c>
      <c r="AY128" s="46">
        <f t="shared" si="4"/>
        <v>0</v>
      </c>
      <c r="AZ128" s="56" t="str">
        <f t="shared" si="5"/>
        <v/>
      </c>
    </row>
    <row r="129" ht="15.75" customHeight="1">
      <c r="A129" s="19" t="s">
        <v>30</v>
      </c>
      <c r="B129" s="57">
        <f t="shared" si="6"/>
        <v>44689</v>
      </c>
      <c r="C129" s="21">
        <v>5.0</v>
      </c>
      <c r="D129" s="21" t="s">
        <v>48</v>
      </c>
      <c r="E129" s="23"/>
      <c r="F129" s="24">
        <v>0.0</v>
      </c>
      <c r="H129" s="25">
        <v>0.0</v>
      </c>
      <c r="J129" s="25">
        <v>0.0</v>
      </c>
      <c r="L129" s="25">
        <v>0.0</v>
      </c>
      <c r="N129" s="25">
        <v>0.0</v>
      </c>
      <c r="P129" s="25">
        <v>0.0</v>
      </c>
      <c r="Q129" s="26"/>
      <c r="R129" s="24">
        <v>155.0</v>
      </c>
      <c r="T129" s="25">
        <v>155.0</v>
      </c>
      <c r="V129" s="25">
        <v>0.0</v>
      </c>
      <c r="X129" s="25">
        <v>0.0</v>
      </c>
      <c r="Z129" s="25">
        <v>0.0</v>
      </c>
      <c r="AB129" s="25">
        <v>0.0</v>
      </c>
      <c r="AC129" s="26"/>
      <c r="AD129" s="25">
        <v>0.0</v>
      </c>
      <c r="AF129" s="25">
        <v>0.0</v>
      </c>
      <c r="AH129" s="25">
        <v>0.0</v>
      </c>
      <c r="AJ129" s="27">
        <v>0.0</v>
      </c>
      <c r="AK129" s="26"/>
      <c r="AL129" s="24">
        <v>0.0</v>
      </c>
      <c r="AM129" s="26"/>
      <c r="AN129" s="24">
        <v>0.0</v>
      </c>
      <c r="AO129" s="26"/>
      <c r="AP129" s="24">
        <v>0.0</v>
      </c>
      <c r="AQ129" s="26"/>
      <c r="AR129" s="25">
        <v>0.0</v>
      </c>
      <c r="AT129" s="25">
        <v>0.0</v>
      </c>
      <c r="AU129" s="26"/>
      <c r="AV129" s="29">
        <f t="shared" si="1"/>
        <v>3143.4</v>
      </c>
      <c r="AW129" s="21">
        <f t="shared" si="2"/>
        <v>310</v>
      </c>
      <c r="AX129" s="21">
        <f t="shared" si="3"/>
        <v>0</v>
      </c>
      <c r="AY129" s="21">
        <f t="shared" si="4"/>
        <v>310</v>
      </c>
      <c r="AZ129" s="58">
        <f t="shared" si="5"/>
        <v>10.14</v>
      </c>
    </row>
    <row r="130" ht="15.75" customHeight="1">
      <c r="A130" s="31" t="s">
        <v>33</v>
      </c>
      <c r="B130" s="32">
        <f t="shared" si="6"/>
        <v>44690</v>
      </c>
      <c r="C130" s="33">
        <v>5.0</v>
      </c>
      <c r="D130" s="33" t="s">
        <v>48</v>
      </c>
      <c r="E130" s="34"/>
      <c r="F130" s="24">
        <v>0.0</v>
      </c>
      <c r="H130" s="25">
        <v>0.0</v>
      </c>
      <c r="J130" s="25">
        <v>0.0</v>
      </c>
      <c r="L130" s="25">
        <v>0.0</v>
      </c>
      <c r="N130" s="25">
        <v>0.0</v>
      </c>
      <c r="P130" s="25">
        <v>0.0</v>
      </c>
      <c r="Q130" s="26"/>
      <c r="R130" s="24">
        <v>155.0</v>
      </c>
      <c r="T130" s="25">
        <v>155.0</v>
      </c>
      <c r="V130" s="25">
        <v>0.0</v>
      </c>
      <c r="X130" s="25">
        <v>0.0</v>
      </c>
      <c r="Z130" s="25">
        <v>0.0</v>
      </c>
      <c r="AB130" s="25">
        <v>0.0</v>
      </c>
      <c r="AC130" s="26"/>
      <c r="AD130" s="25">
        <v>0.0</v>
      </c>
      <c r="AF130" s="25">
        <v>50.0</v>
      </c>
      <c r="AH130" s="25">
        <v>50.0</v>
      </c>
      <c r="AJ130" s="27">
        <v>0.0</v>
      </c>
      <c r="AK130" s="26"/>
      <c r="AL130" s="24">
        <v>0.0</v>
      </c>
      <c r="AM130" s="26"/>
      <c r="AN130" s="24">
        <v>0.0</v>
      </c>
      <c r="AO130" s="26"/>
      <c r="AP130" s="24">
        <v>0.0</v>
      </c>
      <c r="AQ130" s="26"/>
      <c r="AR130" s="25">
        <v>0.0</v>
      </c>
      <c r="AT130" s="25">
        <v>0.0</v>
      </c>
      <c r="AU130" s="26"/>
      <c r="AV130" s="35">
        <f t="shared" si="1"/>
        <v>4593.4</v>
      </c>
      <c r="AW130" s="33">
        <f t="shared" si="2"/>
        <v>410</v>
      </c>
      <c r="AX130" s="33">
        <f t="shared" si="3"/>
        <v>0</v>
      </c>
      <c r="AY130" s="33">
        <f t="shared" si="4"/>
        <v>410</v>
      </c>
      <c r="AZ130" s="30">
        <f t="shared" si="5"/>
        <v>11.20341463</v>
      </c>
    </row>
    <row r="131" ht="15.75" customHeight="1">
      <c r="A131" s="31" t="s">
        <v>34</v>
      </c>
      <c r="B131" s="32">
        <f t="shared" si="6"/>
        <v>44691</v>
      </c>
      <c r="C131" s="33">
        <v>5.0</v>
      </c>
      <c r="D131" s="33" t="s">
        <v>48</v>
      </c>
      <c r="E131" s="34"/>
      <c r="F131" s="24">
        <v>0.0</v>
      </c>
      <c r="H131" s="25">
        <v>0.0</v>
      </c>
      <c r="J131" s="25">
        <v>0.0</v>
      </c>
      <c r="L131" s="25">
        <v>0.0</v>
      </c>
      <c r="N131" s="25">
        <v>0.0</v>
      </c>
      <c r="P131" s="25">
        <v>0.0</v>
      </c>
      <c r="Q131" s="26"/>
      <c r="R131" s="24">
        <v>155.0</v>
      </c>
      <c r="T131" s="25">
        <v>155.0</v>
      </c>
      <c r="V131" s="25">
        <v>0.0</v>
      </c>
      <c r="X131" s="25">
        <v>0.0</v>
      </c>
      <c r="Z131" s="25">
        <v>0.0</v>
      </c>
      <c r="AB131" s="25">
        <v>0.0</v>
      </c>
      <c r="AC131" s="26"/>
      <c r="AD131" s="25">
        <v>0.0</v>
      </c>
      <c r="AF131" s="25">
        <v>50.0</v>
      </c>
      <c r="AH131" s="25">
        <v>50.0</v>
      </c>
      <c r="AJ131" s="27">
        <v>0.0</v>
      </c>
      <c r="AK131" s="26"/>
      <c r="AL131" s="24">
        <v>0.0</v>
      </c>
      <c r="AM131" s="26"/>
      <c r="AN131" s="24">
        <v>0.0</v>
      </c>
      <c r="AO131" s="26"/>
      <c r="AP131" s="24">
        <v>0.0</v>
      </c>
      <c r="AQ131" s="26"/>
      <c r="AR131" s="25">
        <v>0.0</v>
      </c>
      <c r="AT131" s="25">
        <v>0.0</v>
      </c>
      <c r="AU131" s="26"/>
      <c r="AV131" s="35">
        <f t="shared" si="1"/>
        <v>4593.4</v>
      </c>
      <c r="AW131" s="33">
        <f t="shared" si="2"/>
        <v>410</v>
      </c>
      <c r="AX131" s="33">
        <f t="shared" si="3"/>
        <v>0</v>
      </c>
      <c r="AY131" s="33">
        <f t="shared" si="4"/>
        <v>410</v>
      </c>
      <c r="AZ131" s="30">
        <f t="shared" si="5"/>
        <v>11.20341463</v>
      </c>
    </row>
    <row r="132" ht="15.75" customHeight="1">
      <c r="A132" s="31" t="s">
        <v>35</v>
      </c>
      <c r="B132" s="32">
        <f t="shared" si="6"/>
        <v>44692</v>
      </c>
      <c r="C132" s="33">
        <v>5.0</v>
      </c>
      <c r="D132" s="33" t="s">
        <v>48</v>
      </c>
      <c r="E132" s="34"/>
      <c r="F132" s="24">
        <v>0.0</v>
      </c>
      <c r="H132" s="25">
        <v>0.0</v>
      </c>
      <c r="J132" s="25">
        <v>0.0</v>
      </c>
      <c r="L132" s="25">
        <v>0.0</v>
      </c>
      <c r="N132" s="25">
        <v>0.0</v>
      </c>
      <c r="P132" s="25">
        <v>0.0</v>
      </c>
      <c r="Q132" s="26"/>
      <c r="R132" s="24">
        <v>155.0</v>
      </c>
      <c r="T132" s="25">
        <v>155.0</v>
      </c>
      <c r="V132" s="25">
        <v>0.0</v>
      </c>
      <c r="X132" s="25">
        <v>0.0</v>
      </c>
      <c r="Z132" s="25">
        <v>0.0</v>
      </c>
      <c r="AB132" s="25">
        <v>0.0</v>
      </c>
      <c r="AC132" s="26"/>
      <c r="AD132" s="25">
        <v>0.0</v>
      </c>
      <c r="AF132" s="25">
        <v>0.0</v>
      </c>
      <c r="AH132" s="25">
        <v>50.0</v>
      </c>
      <c r="AJ132" s="27">
        <v>0.0</v>
      </c>
      <c r="AK132" s="26"/>
      <c r="AL132" s="24">
        <v>0.0</v>
      </c>
      <c r="AM132" s="26"/>
      <c r="AN132" s="24">
        <v>0.0</v>
      </c>
      <c r="AO132" s="26"/>
      <c r="AP132" s="24">
        <v>0.0</v>
      </c>
      <c r="AQ132" s="26"/>
      <c r="AR132" s="25">
        <v>0.0</v>
      </c>
      <c r="AT132" s="25">
        <v>0.0</v>
      </c>
      <c r="AU132" s="26"/>
      <c r="AV132" s="35">
        <f t="shared" si="1"/>
        <v>3868.4</v>
      </c>
      <c r="AW132" s="33">
        <f t="shared" si="2"/>
        <v>360</v>
      </c>
      <c r="AX132" s="33">
        <f t="shared" si="3"/>
        <v>0</v>
      </c>
      <c r="AY132" s="33">
        <f t="shared" si="4"/>
        <v>360</v>
      </c>
      <c r="AZ132" s="30">
        <f t="shared" si="5"/>
        <v>10.74555556</v>
      </c>
    </row>
    <row r="133" ht="15.75" customHeight="1">
      <c r="A133" s="31" t="s">
        <v>38</v>
      </c>
      <c r="B133" s="32">
        <f t="shared" si="6"/>
        <v>44693</v>
      </c>
      <c r="C133" s="33">
        <v>5.0</v>
      </c>
      <c r="D133" s="33" t="s">
        <v>48</v>
      </c>
      <c r="E133" s="34"/>
      <c r="F133" s="24">
        <v>0.0</v>
      </c>
      <c r="H133" s="25">
        <v>0.0</v>
      </c>
      <c r="J133" s="25">
        <v>0.0</v>
      </c>
      <c r="L133" s="25">
        <v>0.0</v>
      </c>
      <c r="N133" s="25">
        <v>0.0</v>
      </c>
      <c r="P133" s="25">
        <v>0.0</v>
      </c>
      <c r="Q133" s="26"/>
      <c r="R133" s="24">
        <v>155.0</v>
      </c>
      <c r="T133" s="25">
        <v>155.0</v>
      </c>
      <c r="V133" s="25">
        <v>0.0</v>
      </c>
      <c r="X133" s="25">
        <v>0.0</v>
      </c>
      <c r="Z133" s="25">
        <v>0.0</v>
      </c>
      <c r="AB133" s="25">
        <v>0.0</v>
      </c>
      <c r="AC133" s="26"/>
      <c r="AD133" s="25">
        <v>0.0</v>
      </c>
      <c r="AF133" s="25">
        <v>0.0</v>
      </c>
      <c r="AH133" s="25">
        <v>50.0</v>
      </c>
      <c r="AJ133" s="27">
        <v>0.0</v>
      </c>
      <c r="AK133" s="26"/>
      <c r="AL133" s="24">
        <v>0.0</v>
      </c>
      <c r="AM133" s="26"/>
      <c r="AN133" s="24">
        <v>0.0</v>
      </c>
      <c r="AO133" s="26"/>
      <c r="AP133" s="24">
        <v>0.0</v>
      </c>
      <c r="AQ133" s="26"/>
      <c r="AR133" s="25">
        <v>0.0</v>
      </c>
      <c r="AT133" s="25">
        <v>0.0</v>
      </c>
      <c r="AU133" s="26"/>
      <c r="AV133" s="35">
        <f t="shared" si="1"/>
        <v>3868.4</v>
      </c>
      <c r="AW133" s="33">
        <f t="shared" si="2"/>
        <v>360</v>
      </c>
      <c r="AX133" s="33">
        <f t="shared" si="3"/>
        <v>0</v>
      </c>
      <c r="AY133" s="33">
        <f t="shared" si="4"/>
        <v>360</v>
      </c>
      <c r="AZ133" s="30">
        <f t="shared" si="5"/>
        <v>10.74555556</v>
      </c>
    </row>
    <row r="134" ht="15.75" customHeight="1">
      <c r="A134" s="31" t="s">
        <v>45</v>
      </c>
      <c r="B134" s="32">
        <f t="shared" si="6"/>
        <v>44694</v>
      </c>
      <c r="C134" s="33">
        <v>5.0</v>
      </c>
      <c r="D134" s="33" t="s">
        <v>48</v>
      </c>
      <c r="E134" s="34"/>
      <c r="F134" s="24">
        <v>0.0</v>
      </c>
      <c r="H134" s="25">
        <v>0.0</v>
      </c>
      <c r="J134" s="25">
        <v>0.0</v>
      </c>
      <c r="L134" s="25">
        <v>0.0</v>
      </c>
      <c r="N134" s="25">
        <v>0.0</v>
      </c>
      <c r="P134" s="25">
        <v>0.0</v>
      </c>
      <c r="Q134" s="26"/>
      <c r="R134" s="24">
        <v>155.0</v>
      </c>
      <c r="T134" s="25">
        <v>155.0</v>
      </c>
      <c r="V134" s="25">
        <v>0.0</v>
      </c>
      <c r="X134" s="25">
        <v>0.0</v>
      </c>
      <c r="Z134" s="25">
        <v>0.0</v>
      </c>
      <c r="AB134" s="25">
        <v>0.0</v>
      </c>
      <c r="AC134" s="26"/>
      <c r="AD134" s="25">
        <v>0.0</v>
      </c>
      <c r="AF134" s="25">
        <v>50.0</v>
      </c>
      <c r="AH134" s="25">
        <v>0.0</v>
      </c>
      <c r="AJ134" s="27">
        <v>0.0</v>
      </c>
      <c r="AK134" s="26"/>
      <c r="AL134" s="24">
        <v>0.0</v>
      </c>
      <c r="AM134" s="26"/>
      <c r="AN134" s="24">
        <v>0.0</v>
      </c>
      <c r="AO134" s="26"/>
      <c r="AP134" s="24">
        <v>0.0</v>
      </c>
      <c r="AQ134" s="26"/>
      <c r="AR134" s="25">
        <v>0.0</v>
      </c>
      <c r="AT134" s="25">
        <v>0.0</v>
      </c>
      <c r="AU134" s="26"/>
      <c r="AV134" s="35">
        <f t="shared" si="1"/>
        <v>3868.4</v>
      </c>
      <c r="AW134" s="33">
        <f t="shared" si="2"/>
        <v>360</v>
      </c>
      <c r="AX134" s="33">
        <f t="shared" si="3"/>
        <v>0</v>
      </c>
      <c r="AY134" s="33">
        <f t="shared" si="4"/>
        <v>360</v>
      </c>
      <c r="AZ134" s="30">
        <f t="shared" si="5"/>
        <v>10.74555556</v>
      </c>
    </row>
    <row r="135" ht="15.75" customHeight="1">
      <c r="A135" s="44" t="s">
        <v>46</v>
      </c>
      <c r="B135" s="45">
        <f t="shared" si="6"/>
        <v>44695</v>
      </c>
      <c r="C135" s="46">
        <v>5.0</v>
      </c>
      <c r="D135" s="46" t="s">
        <v>48</v>
      </c>
      <c r="E135" s="47"/>
      <c r="F135" s="49">
        <v>0.0</v>
      </c>
      <c r="G135" s="51"/>
      <c r="H135" s="52">
        <v>0.0</v>
      </c>
      <c r="I135" s="51"/>
      <c r="J135" s="52">
        <v>0.0</v>
      </c>
      <c r="K135" s="51"/>
      <c r="L135" s="52">
        <v>0.0</v>
      </c>
      <c r="M135" s="51"/>
      <c r="N135" s="52">
        <v>0.0</v>
      </c>
      <c r="O135" s="51"/>
      <c r="P135" s="52">
        <v>0.0</v>
      </c>
      <c r="Q135" s="53"/>
      <c r="R135" s="49">
        <v>0.0</v>
      </c>
      <c r="S135" s="51"/>
      <c r="T135" s="52">
        <v>0.0</v>
      </c>
      <c r="U135" s="51"/>
      <c r="V135" s="52">
        <v>0.0</v>
      </c>
      <c r="W135" s="51"/>
      <c r="X135" s="52">
        <v>0.0</v>
      </c>
      <c r="Y135" s="51"/>
      <c r="Z135" s="52">
        <v>0.0</v>
      </c>
      <c r="AA135" s="51"/>
      <c r="AB135" s="52">
        <v>0.0</v>
      </c>
      <c r="AC135" s="53"/>
      <c r="AD135" s="52">
        <v>0.0</v>
      </c>
      <c r="AE135" s="51"/>
      <c r="AF135" s="52">
        <v>0.0</v>
      </c>
      <c r="AG135" s="51"/>
      <c r="AH135" s="52">
        <v>0.0</v>
      </c>
      <c r="AI135" s="51"/>
      <c r="AJ135" s="54">
        <v>0.0</v>
      </c>
      <c r="AK135" s="53"/>
      <c r="AL135" s="49">
        <v>0.0</v>
      </c>
      <c r="AM135" s="53"/>
      <c r="AN135" s="49">
        <v>0.0</v>
      </c>
      <c r="AO135" s="53"/>
      <c r="AP135" s="49">
        <v>0.0</v>
      </c>
      <c r="AQ135" s="53"/>
      <c r="AR135" s="52">
        <v>0.0</v>
      </c>
      <c r="AS135" s="51"/>
      <c r="AT135" s="52">
        <v>0.0</v>
      </c>
      <c r="AU135" s="53"/>
      <c r="AV135" s="55">
        <f t="shared" si="1"/>
        <v>0</v>
      </c>
      <c r="AW135" s="46">
        <f t="shared" si="2"/>
        <v>0</v>
      </c>
      <c r="AX135" s="46">
        <f t="shared" si="3"/>
        <v>0</v>
      </c>
      <c r="AY135" s="46">
        <f t="shared" si="4"/>
        <v>0</v>
      </c>
      <c r="AZ135" s="56" t="str">
        <f t="shared" si="5"/>
        <v/>
      </c>
    </row>
    <row r="136" ht="15.75" customHeight="1">
      <c r="A136" s="19" t="s">
        <v>30</v>
      </c>
      <c r="B136" s="57">
        <f t="shared" si="6"/>
        <v>44696</v>
      </c>
      <c r="C136" s="21">
        <v>5.0</v>
      </c>
      <c r="D136" s="21" t="s">
        <v>49</v>
      </c>
      <c r="E136" s="23"/>
      <c r="F136" s="24">
        <v>0.0</v>
      </c>
      <c r="H136" s="25">
        <v>0.0</v>
      </c>
      <c r="J136" s="25">
        <v>0.0</v>
      </c>
      <c r="L136" s="25">
        <v>0.0</v>
      </c>
      <c r="N136" s="25">
        <v>0.0</v>
      </c>
      <c r="P136" s="25">
        <v>0.0</v>
      </c>
      <c r="Q136" s="26"/>
      <c r="R136" s="24">
        <v>155.0</v>
      </c>
      <c r="T136" s="25">
        <v>155.0</v>
      </c>
      <c r="V136" s="25">
        <v>0.0</v>
      </c>
      <c r="X136" s="25">
        <v>0.0</v>
      </c>
      <c r="Z136" s="25">
        <v>0.0</v>
      </c>
      <c r="AB136" s="25">
        <v>0.0</v>
      </c>
      <c r="AC136" s="26"/>
      <c r="AD136" s="25">
        <v>0.0</v>
      </c>
      <c r="AF136" s="25">
        <v>0.0</v>
      </c>
      <c r="AH136" s="25">
        <v>0.0</v>
      </c>
      <c r="AJ136" s="27">
        <v>0.0</v>
      </c>
      <c r="AK136" s="26"/>
      <c r="AL136" s="24">
        <v>0.0</v>
      </c>
      <c r="AM136" s="26"/>
      <c r="AN136" s="24">
        <v>0.0</v>
      </c>
      <c r="AO136" s="26"/>
      <c r="AP136" s="24">
        <v>0.0</v>
      </c>
      <c r="AQ136" s="26"/>
      <c r="AR136" s="25">
        <v>0.0</v>
      </c>
      <c r="AT136" s="25">
        <v>0.0</v>
      </c>
      <c r="AU136" s="26"/>
      <c r="AV136" s="29">
        <f t="shared" si="1"/>
        <v>3143.4</v>
      </c>
      <c r="AW136" s="21">
        <f t="shared" si="2"/>
        <v>310</v>
      </c>
      <c r="AX136" s="21">
        <f t="shared" si="3"/>
        <v>0</v>
      </c>
      <c r="AY136" s="21">
        <f t="shared" si="4"/>
        <v>310</v>
      </c>
      <c r="AZ136" s="58">
        <f t="shared" si="5"/>
        <v>10.14</v>
      </c>
    </row>
    <row r="137" ht="15.75" customHeight="1">
      <c r="A137" s="31" t="s">
        <v>33</v>
      </c>
      <c r="B137" s="32">
        <f t="shared" si="6"/>
        <v>44697</v>
      </c>
      <c r="C137" s="33">
        <v>5.0</v>
      </c>
      <c r="D137" s="33" t="s">
        <v>49</v>
      </c>
      <c r="E137" s="34"/>
      <c r="F137" s="24">
        <v>0.0</v>
      </c>
      <c r="H137" s="25">
        <v>0.0</v>
      </c>
      <c r="J137" s="25">
        <v>0.0</v>
      </c>
      <c r="L137" s="25">
        <v>0.0</v>
      </c>
      <c r="N137" s="25">
        <v>0.0</v>
      </c>
      <c r="P137" s="25">
        <v>0.0</v>
      </c>
      <c r="Q137" s="26"/>
      <c r="R137" s="24">
        <v>155.0</v>
      </c>
      <c r="T137" s="25">
        <v>155.0</v>
      </c>
      <c r="V137" s="25">
        <v>0.0</v>
      </c>
      <c r="X137" s="25">
        <v>0.0</v>
      </c>
      <c r="Z137" s="25">
        <v>0.0</v>
      </c>
      <c r="AB137" s="25">
        <v>0.0</v>
      </c>
      <c r="AC137" s="26"/>
      <c r="AD137" s="25">
        <v>0.0</v>
      </c>
      <c r="AF137" s="25">
        <v>0.0</v>
      </c>
      <c r="AH137" s="25">
        <v>0.0</v>
      </c>
      <c r="AJ137" s="27">
        <v>0.0</v>
      </c>
      <c r="AK137" s="26"/>
      <c r="AL137" s="24">
        <v>0.0</v>
      </c>
      <c r="AM137" s="26"/>
      <c r="AN137" s="24">
        <v>0.0</v>
      </c>
      <c r="AO137" s="26"/>
      <c r="AP137" s="24">
        <v>0.0</v>
      </c>
      <c r="AQ137" s="26"/>
      <c r="AR137" s="25">
        <v>0.0</v>
      </c>
      <c r="AT137" s="25">
        <v>0.0</v>
      </c>
      <c r="AU137" s="26"/>
      <c r="AV137" s="35">
        <f t="shared" si="1"/>
        <v>3143.4</v>
      </c>
      <c r="AW137" s="33">
        <f t="shared" si="2"/>
        <v>310</v>
      </c>
      <c r="AX137" s="33">
        <f t="shared" si="3"/>
        <v>0</v>
      </c>
      <c r="AY137" s="33">
        <f t="shared" si="4"/>
        <v>310</v>
      </c>
      <c r="AZ137" s="30">
        <f t="shared" si="5"/>
        <v>10.14</v>
      </c>
    </row>
    <row r="138" ht="15.75" customHeight="1">
      <c r="A138" s="31" t="s">
        <v>34</v>
      </c>
      <c r="B138" s="32">
        <f t="shared" si="6"/>
        <v>44698</v>
      </c>
      <c r="C138" s="33">
        <v>5.0</v>
      </c>
      <c r="D138" s="33" t="s">
        <v>49</v>
      </c>
      <c r="E138" s="34"/>
      <c r="F138" s="24">
        <v>0.0</v>
      </c>
      <c r="H138" s="25">
        <v>0.0</v>
      </c>
      <c r="J138" s="25">
        <v>0.0</v>
      </c>
      <c r="L138" s="25">
        <v>0.0</v>
      </c>
      <c r="N138" s="25">
        <v>0.0</v>
      </c>
      <c r="P138" s="25">
        <v>0.0</v>
      </c>
      <c r="Q138" s="26"/>
      <c r="R138" s="24">
        <v>155.0</v>
      </c>
      <c r="T138" s="25">
        <v>155.0</v>
      </c>
      <c r="V138" s="25">
        <v>0.0</v>
      </c>
      <c r="X138" s="25">
        <v>0.0</v>
      </c>
      <c r="Z138" s="25">
        <v>0.0</v>
      </c>
      <c r="AB138" s="25">
        <v>0.0</v>
      </c>
      <c r="AC138" s="26"/>
      <c r="AD138" s="25">
        <v>0.0</v>
      </c>
      <c r="AF138" s="25">
        <v>0.0</v>
      </c>
      <c r="AH138" s="25">
        <v>0.0</v>
      </c>
      <c r="AJ138" s="27">
        <v>0.0</v>
      </c>
      <c r="AK138" s="26"/>
      <c r="AL138" s="24">
        <v>0.0</v>
      </c>
      <c r="AM138" s="26"/>
      <c r="AN138" s="24">
        <v>0.0</v>
      </c>
      <c r="AO138" s="26"/>
      <c r="AP138" s="24">
        <v>0.0</v>
      </c>
      <c r="AQ138" s="26"/>
      <c r="AR138" s="25">
        <v>0.0</v>
      </c>
      <c r="AT138" s="25">
        <v>0.0</v>
      </c>
      <c r="AU138" s="26"/>
      <c r="AV138" s="35">
        <f t="shared" si="1"/>
        <v>3143.4</v>
      </c>
      <c r="AW138" s="33">
        <f t="shared" si="2"/>
        <v>310</v>
      </c>
      <c r="AX138" s="33">
        <f t="shared" si="3"/>
        <v>0</v>
      </c>
      <c r="AY138" s="33">
        <f t="shared" si="4"/>
        <v>310</v>
      </c>
      <c r="AZ138" s="30">
        <f t="shared" si="5"/>
        <v>10.14</v>
      </c>
    </row>
    <row r="139" ht="15.75" customHeight="1">
      <c r="A139" s="31" t="s">
        <v>35</v>
      </c>
      <c r="B139" s="32">
        <f t="shared" si="6"/>
        <v>44699</v>
      </c>
      <c r="C139" s="33">
        <v>5.0</v>
      </c>
      <c r="D139" s="33" t="s">
        <v>49</v>
      </c>
      <c r="E139" s="34"/>
      <c r="F139" s="24">
        <v>0.0</v>
      </c>
      <c r="H139" s="25">
        <v>0.0</v>
      </c>
      <c r="J139" s="25">
        <v>0.0</v>
      </c>
      <c r="L139" s="25">
        <v>0.0</v>
      </c>
      <c r="N139" s="25">
        <v>0.0</v>
      </c>
      <c r="P139" s="25">
        <v>0.0</v>
      </c>
      <c r="Q139" s="26"/>
      <c r="R139" s="24">
        <v>155.0</v>
      </c>
      <c r="T139" s="25">
        <v>155.0</v>
      </c>
      <c r="V139" s="25">
        <v>0.0</v>
      </c>
      <c r="X139" s="25">
        <v>0.0</v>
      </c>
      <c r="Z139" s="25">
        <v>0.0</v>
      </c>
      <c r="AB139" s="25">
        <v>0.0</v>
      </c>
      <c r="AC139" s="26"/>
      <c r="AD139" s="25">
        <v>0.0</v>
      </c>
      <c r="AF139" s="25">
        <v>0.0</v>
      </c>
      <c r="AH139" s="25">
        <v>0.0</v>
      </c>
      <c r="AJ139" s="27">
        <v>0.0</v>
      </c>
      <c r="AK139" s="26"/>
      <c r="AL139" s="24">
        <v>0.0</v>
      </c>
      <c r="AM139" s="26"/>
      <c r="AN139" s="24">
        <v>0.0</v>
      </c>
      <c r="AO139" s="26"/>
      <c r="AP139" s="24">
        <v>0.0</v>
      </c>
      <c r="AQ139" s="26"/>
      <c r="AR139" s="25">
        <v>0.0</v>
      </c>
      <c r="AT139" s="25">
        <v>0.0</v>
      </c>
      <c r="AU139" s="26"/>
      <c r="AV139" s="35">
        <f t="shared" si="1"/>
        <v>3143.4</v>
      </c>
      <c r="AW139" s="33">
        <f t="shared" si="2"/>
        <v>310</v>
      </c>
      <c r="AX139" s="33">
        <f t="shared" si="3"/>
        <v>0</v>
      </c>
      <c r="AY139" s="33">
        <f t="shared" si="4"/>
        <v>310</v>
      </c>
      <c r="AZ139" s="30">
        <f t="shared" si="5"/>
        <v>10.14</v>
      </c>
    </row>
    <row r="140" ht="15.75" customHeight="1">
      <c r="A140" s="31" t="s">
        <v>38</v>
      </c>
      <c r="B140" s="32">
        <f t="shared" si="6"/>
        <v>44700</v>
      </c>
      <c r="C140" s="33">
        <v>5.0</v>
      </c>
      <c r="D140" s="33" t="s">
        <v>49</v>
      </c>
      <c r="E140" s="34"/>
      <c r="F140" s="24">
        <v>0.0</v>
      </c>
      <c r="H140" s="25">
        <v>0.0</v>
      </c>
      <c r="J140" s="25">
        <v>0.0</v>
      </c>
      <c r="L140" s="25">
        <v>0.0</v>
      </c>
      <c r="N140" s="25">
        <v>0.0</v>
      </c>
      <c r="P140" s="25">
        <v>0.0</v>
      </c>
      <c r="Q140" s="26"/>
      <c r="R140" s="24">
        <v>155.0</v>
      </c>
      <c r="T140" s="25">
        <v>155.0</v>
      </c>
      <c r="V140" s="25">
        <v>0.0</v>
      </c>
      <c r="X140" s="25">
        <v>0.0</v>
      </c>
      <c r="Z140" s="25">
        <v>0.0</v>
      </c>
      <c r="AB140" s="25">
        <v>0.0</v>
      </c>
      <c r="AC140" s="26"/>
      <c r="AD140" s="25">
        <v>0.0</v>
      </c>
      <c r="AF140" s="25">
        <v>0.0</v>
      </c>
      <c r="AH140" s="25">
        <v>0.0</v>
      </c>
      <c r="AJ140" s="27">
        <v>0.0</v>
      </c>
      <c r="AK140" s="26"/>
      <c r="AL140" s="24">
        <v>0.0</v>
      </c>
      <c r="AM140" s="26"/>
      <c r="AN140" s="24">
        <v>0.0</v>
      </c>
      <c r="AO140" s="26"/>
      <c r="AP140" s="24">
        <v>0.0</v>
      </c>
      <c r="AQ140" s="26"/>
      <c r="AR140" s="25">
        <v>0.0</v>
      </c>
      <c r="AT140" s="25">
        <v>0.0</v>
      </c>
      <c r="AU140" s="26"/>
      <c r="AV140" s="35">
        <f t="shared" si="1"/>
        <v>3143.4</v>
      </c>
      <c r="AW140" s="33">
        <f t="shared" si="2"/>
        <v>310</v>
      </c>
      <c r="AX140" s="33">
        <f t="shared" si="3"/>
        <v>0</v>
      </c>
      <c r="AY140" s="33">
        <f t="shared" si="4"/>
        <v>310</v>
      </c>
      <c r="AZ140" s="30">
        <f t="shared" si="5"/>
        <v>10.14</v>
      </c>
    </row>
    <row r="141" ht="15.75" customHeight="1">
      <c r="A141" s="31" t="s">
        <v>45</v>
      </c>
      <c r="B141" s="32">
        <f t="shared" si="6"/>
        <v>44701</v>
      </c>
      <c r="C141" s="33">
        <v>5.0</v>
      </c>
      <c r="D141" s="33" t="s">
        <v>49</v>
      </c>
      <c r="E141" s="34"/>
      <c r="F141" s="24">
        <v>0.0</v>
      </c>
      <c r="H141" s="25">
        <v>0.0</v>
      </c>
      <c r="J141" s="25">
        <v>0.0</v>
      </c>
      <c r="L141" s="25">
        <v>0.0</v>
      </c>
      <c r="N141" s="25">
        <v>0.0</v>
      </c>
      <c r="P141" s="25">
        <v>0.0</v>
      </c>
      <c r="Q141" s="26"/>
      <c r="R141" s="24">
        <v>155.0</v>
      </c>
      <c r="T141" s="25">
        <v>155.0</v>
      </c>
      <c r="V141" s="25">
        <v>0.0</v>
      </c>
      <c r="X141" s="25">
        <v>0.0</v>
      </c>
      <c r="Z141" s="25">
        <v>0.0</v>
      </c>
      <c r="AB141" s="25">
        <v>0.0</v>
      </c>
      <c r="AC141" s="26"/>
      <c r="AD141" s="25">
        <v>0.0</v>
      </c>
      <c r="AF141" s="25">
        <v>0.0</v>
      </c>
      <c r="AH141" s="25">
        <v>0.0</v>
      </c>
      <c r="AJ141" s="27">
        <v>0.0</v>
      </c>
      <c r="AK141" s="26"/>
      <c r="AL141" s="24">
        <v>0.0</v>
      </c>
      <c r="AM141" s="26"/>
      <c r="AN141" s="24">
        <v>0.0</v>
      </c>
      <c r="AO141" s="26"/>
      <c r="AP141" s="24">
        <v>0.0</v>
      </c>
      <c r="AQ141" s="26"/>
      <c r="AR141" s="25">
        <v>0.0</v>
      </c>
      <c r="AT141" s="25">
        <v>0.0</v>
      </c>
      <c r="AU141" s="26"/>
      <c r="AV141" s="35">
        <f t="shared" si="1"/>
        <v>3143.4</v>
      </c>
      <c r="AW141" s="33">
        <f t="shared" si="2"/>
        <v>310</v>
      </c>
      <c r="AX141" s="33">
        <f t="shared" si="3"/>
        <v>0</v>
      </c>
      <c r="AY141" s="33">
        <f t="shared" si="4"/>
        <v>310</v>
      </c>
      <c r="AZ141" s="30">
        <f t="shared" si="5"/>
        <v>10.14</v>
      </c>
    </row>
    <row r="142" ht="15.75" customHeight="1">
      <c r="A142" s="44" t="s">
        <v>46</v>
      </c>
      <c r="B142" s="45">
        <f t="shared" si="6"/>
        <v>44702</v>
      </c>
      <c r="C142" s="46">
        <v>5.0</v>
      </c>
      <c r="D142" s="46" t="s">
        <v>49</v>
      </c>
      <c r="E142" s="47"/>
      <c r="F142" s="49">
        <v>0.0</v>
      </c>
      <c r="G142" s="51"/>
      <c r="H142" s="52">
        <v>0.0</v>
      </c>
      <c r="I142" s="51"/>
      <c r="J142" s="52">
        <v>0.0</v>
      </c>
      <c r="K142" s="51"/>
      <c r="L142" s="52">
        <v>0.0</v>
      </c>
      <c r="M142" s="51"/>
      <c r="N142" s="52">
        <v>0.0</v>
      </c>
      <c r="O142" s="51"/>
      <c r="P142" s="52">
        <v>0.0</v>
      </c>
      <c r="Q142" s="53"/>
      <c r="R142" s="49">
        <v>0.0</v>
      </c>
      <c r="S142" s="51"/>
      <c r="T142" s="52">
        <v>0.0</v>
      </c>
      <c r="U142" s="51"/>
      <c r="V142" s="52">
        <v>0.0</v>
      </c>
      <c r="W142" s="51"/>
      <c r="X142" s="52">
        <v>0.0</v>
      </c>
      <c r="Y142" s="51"/>
      <c r="Z142" s="52">
        <v>0.0</v>
      </c>
      <c r="AA142" s="51"/>
      <c r="AB142" s="52">
        <v>0.0</v>
      </c>
      <c r="AC142" s="53"/>
      <c r="AD142" s="52">
        <v>0.0</v>
      </c>
      <c r="AE142" s="51"/>
      <c r="AF142" s="52">
        <v>0.0</v>
      </c>
      <c r="AG142" s="51"/>
      <c r="AH142" s="52">
        <v>0.0</v>
      </c>
      <c r="AI142" s="51"/>
      <c r="AJ142" s="54">
        <v>0.0</v>
      </c>
      <c r="AK142" s="53"/>
      <c r="AL142" s="49">
        <v>0.0</v>
      </c>
      <c r="AM142" s="53"/>
      <c r="AN142" s="49">
        <v>0.0</v>
      </c>
      <c r="AO142" s="53"/>
      <c r="AP142" s="49">
        <v>0.0</v>
      </c>
      <c r="AQ142" s="53"/>
      <c r="AR142" s="52">
        <v>0.0</v>
      </c>
      <c r="AS142" s="51"/>
      <c r="AT142" s="52">
        <v>0.0</v>
      </c>
      <c r="AU142" s="53"/>
      <c r="AV142" s="55">
        <f t="shared" si="1"/>
        <v>0</v>
      </c>
      <c r="AW142" s="46">
        <f t="shared" si="2"/>
        <v>0</v>
      </c>
      <c r="AX142" s="46">
        <f t="shared" si="3"/>
        <v>0</v>
      </c>
      <c r="AY142" s="46">
        <f t="shared" si="4"/>
        <v>0</v>
      </c>
      <c r="AZ142" s="56" t="str">
        <f t="shared" si="5"/>
        <v/>
      </c>
    </row>
    <row r="143" ht="15.75" customHeight="1">
      <c r="A143" s="19" t="s">
        <v>30</v>
      </c>
      <c r="B143" s="57">
        <f t="shared" si="6"/>
        <v>44703</v>
      </c>
      <c r="C143" s="21">
        <v>6.0</v>
      </c>
      <c r="D143" s="21" t="s">
        <v>31</v>
      </c>
      <c r="E143" s="23"/>
      <c r="F143" s="24">
        <v>0.0</v>
      </c>
      <c r="H143" s="25">
        <v>0.0</v>
      </c>
      <c r="J143" s="25">
        <v>0.0</v>
      </c>
      <c r="L143" s="25">
        <v>0.0</v>
      </c>
      <c r="N143" s="25">
        <v>0.0</v>
      </c>
      <c r="P143" s="25">
        <v>0.0</v>
      </c>
      <c r="Q143" s="26"/>
      <c r="R143" s="24">
        <v>155.0</v>
      </c>
      <c r="T143" s="25">
        <v>155.0</v>
      </c>
      <c r="V143" s="25">
        <v>0.0</v>
      </c>
      <c r="X143" s="25">
        <v>0.0</v>
      </c>
      <c r="Z143" s="25">
        <v>0.0</v>
      </c>
      <c r="AB143" s="25">
        <v>0.0</v>
      </c>
      <c r="AC143" s="26"/>
      <c r="AD143" s="25">
        <v>0.0</v>
      </c>
      <c r="AF143" s="25">
        <v>0.0</v>
      </c>
      <c r="AH143" s="25">
        <v>0.0</v>
      </c>
      <c r="AJ143" s="27">
        <v>0.0</v>
      </c>
      <c r="AK143" s="26"/>
      <c r="AL143" s="24">
        <v>0.0</v>
      </c>
      <c r="AM143" s="26"/>
      <c r="AN143" s="24">
        <v>0.0</v>
      </c>
      <c r="AO143" s="26"/>
      <c r="AP143" s="24">
        <v>0.0</v>
      </c>
      <c r="AQ143" s="26"/>
      <c r="AR143" s="25">
        <v>0.0</v>
      </c>
      <c r="AT143" s="25">
        <v>0.0</v>
      </c>
      <c r="AU143" s="26"/>
      <c r="AV143" s="29">
        <f t="shared" si="1"/>
        <v>3143.4</v>
      </c>
      <c r="AW143" s="21">
        <f t="shared" si="2"/>
        <v>310</v>
      </c>
      <c r="AX143" s="21">
        <f t="shared" si="3"/>
        <v>0</v>
      </c>
      <c r="AY143" s="21">
        <f t="shared" si="4"/>
        <v>310</v>
      </c>
      <c r="AZ143" s="58">
        <f t="shared" si="5"/>
        <v>10.14</v>
      </c>
    </row>
    <row r="144" ht="15.75" customHeight="1">
      <c r="A144" s="31" t="s">
        <v>33</v>
      </c>
      <c r="B144" s="32">
        <f t="shared" si="6"/>
        <v>44704</v>
      </c>
      <c r="C144" s="33">
        <v>6.0</v>
      </c>
      <c r="D144" s="33" t="s">
        <v>31</v>
      </c>
      <c r="E144" s="34"/>
      <c r="F144" s="24">
        <v>0.0</v>
      </c>
      <c r="H144" s="25">
        <v>0.0</v>
      </c>
      <c r="J144" s="25">
        <v>0.0</v>
      </c>
      <c r="L144" s="25">
        <v>0.0</v>
      </c>
      <c r="N144" s="25">
        <v>0.0</v>
      </c>
      <c r="P144" s="25">
        <v>0.0</v>
      </c>
      <c r="Q144" s="26"/>
      <c r="R144" s="24">
        <v>155.0</v>
      </c>
      <c r="T144" s="25">
        <v>155.0</v>
      </c>
      <c r="V144" s="25">
        <v>0.0</v>
      </c>
      <c r="X144" s="25">
        <v>0.0</v>
      </c>
      <c r="Z144" s="25">
        <v>0.0</v>
      </c>
      <c r="AB144" s="25">
        <v>0.0</v>
      </c>
      <c r="AC144" s="26"/>
      <c r="AD144" s="25">
        <v>0.0</v>
      </c>
      <c r="AF144" s="25">
        <v>50.0</v>
      </c>
      <c r="AH144" s="25">
        <v>50.0</v>
      </c>
      <c r="AJ144" s="27">
        <v>0.0</v>
      </c>
      <c r="AK144" s="26"/>
      <c r="AL144" s="24">
        <v>0.0</v>
      </c>
      <c r="AM144" s="26"/>
      <c r="AN144" s="24">
        <v>0.0</v>
      </c>
      <c r="AO144" s="26"/>
      <c r="AP144" s="24">
        <v>0.0</v>
      </c>
      <c r="AQ144" s="26"/>
      <c r="AR144" s="25">
        <v>0.0</v>
      </c>
      <c r="AT144" s="25">
        <v>0.0</v>
      </c>
      <c r="AU144" s="26"/>
      <c r="AV144" s="35">
        <f t="shared" si="1"/>
        <v>4593.4</v>
      </c>
      <c r="AW144" s="33">
        <f t="shared" si="2"/>
        <v>410</v>
      </c>
      <c r="AX144" s="33">
        <f t="shared" si="3"/>
        <v>0</v>
      </c>
      <c r="AY144" s="33">
        <f t="shared" si="4"/>
        <v>410</v>
      </c>
      <c r="AZ144" s="30">
        <f t="shared" si="5"/>
        <v>11.20341463</v>
      </c>
    </row>
    <row r="145" ht="15.75" customHeight="1">
      <c r="A145" s="31" t="s">
        <v>34</v>
      </c>
      <c r="B145" s="32">
        <f t="shared" si="6"/>
        <v>44705</v>
      </c>
      <c r="C145" s="33">
        <v>6.0</v>
      </c>
      <c r="D145" s="33" t="s">
        <v>31</v>
      </c>
      <c r="E145" s="34"/>
      <c r="F145" s="24">
        <v>0.0</v>
      </c>
      <c r="H145" s="25">
        <v>0.0</v>
      </c>
      <c r="J145" s="25">
        <v>0.0</v>
      </c>
      <c r="L145" s="25">
        <v>0.0</v>
      </c>
      <c r="N145" s="25">
        <v>0.0</v>
      </c>
      <c r="P145" s="25">
        <v>0.0</v>
      </c>
      <c r="Q145" s="26"/>
      <c r="R145" s="24">
        <v>155.0</v>
      </c>
      <c r="T145" s="25">
        <v>155.0</v>
      </c>
      <c r="V145" s="25">
        <v>0.0</v>
      </c>
      <c r="X145" s="25">
        <v>0.0</v>
      </c>
      <c r="Z145" s="25">
        <v>0.0</v>
      </c>
      <c r="AB145" s="25">
        <v>0.0</v>
      </c>
      <c r="AC145" s="26"/>
      <c r="AD145" s="25">
        <v>0.0</v>
      </c>
      <c r="AF145" s="25">
        <v>50.0</v>
      </c>
      <c r="AH145" s="25">
        <v>50.0</v>
      </c>
      <c r="AJ145" s="27">
        <v>0.0</v>
      </c>
      <c r="AK145" s="26"/>
      <c r="AL145" s="24">
        <v>0.0</v>
      </c>
      <c r="AM145" s="26"/>
      <c r="AN145" s="24">
        <v>0.0</v>
      </c>
      <c r="AO145" s="26"/>
      <c r="AP145" s="24">
        <v>0.0</v>
      </c>
      <c r="AQ145" s="26"/>
      <c r="AR145" s="25">
        <v>0.0</v>
      </c>
      <c r="AT145" s="25">
        <v>0.0</v>
      </c>
      <c r="AU145" s="26"/>
      <c r="AV145" s="35">
        <f t="shared" si="1"/>
        <v>4593.4</v>
      </c>
      <c r="AW145" s="33">
        <f t="shared" si="2"/>
        <v>410</v>
      </c>
      <c r="AX145" s="33">
        <f t="shared" si="3"/>
        <v>0</v>
      </c>
      <c r="AY145" s="33">
        <f t="shared" si="4"/>
        <v>410</v>
      </c>
      <c r="AZ145" s="30">
        <f t="shared" si="5"/>
        <v>11.20341463</v>
      </c>
    </row>
    <row r="146" ht="15.75" customHeight="1">
      <c r="A146" s="31" t="s">
        <v>35</v>
      </c>
      <c r="B146" s="32">
        <f t="shared" si="6"/>
        <v>44706</v>
      </c>
      <c r="C146" s="33">
        <v>6.0</v>
      </c>
      <c r="D146" s="33" t="s">
        <v>31</v>
      </c>
      <c r="E146" s="34"/>
      <c r="F146" s="24">
        <v>0.0</v>
      </c>
      <c r="H146" s="25">
        <v>0.0</v>
      </c>
      <c r="J146" s="25">
        <v>0.0</v>
      </c>
      <c r="L146" s="25">
        <v>0.0</v>
      </c>
      <c r="N146" s="25">
        <v>0.0</v>
      </c>
      <c r="P146" s="25">
        <v>0.0</v>
      </c>
      <c r="Q146" s="26"/>
      <c r="R146" s="24">
        <v>155.0</v>
      </c>
      <c r="T146" s="25">
        <v>155.0</v>
      </c>
      <c r="V146" s="25">
        <v>0.0</v>
      </c>
      <c r="X146" s="25">
        <v>0.0</v>
      </c>
      <c r="Z146" s="25">
        <v>0.0</v>
      </c>
      <c r="AB146" s="25">
        <v>0.0</v>
      </c>
      <c r="AC146" s="26"/>
      <c r="AD146" s="25">
        <v>0.0</v>
      </c>
      <c r="AF146" s="25">
        <v>0.0</v>
      </c>
      <c r="AH146" s="25">
        <v>50.0</v>
      </c>
      <c r="AJ146" s="27">
        <v>0.0</v>
      </c>
      <c r="AK146" s="26"/>
      <c r="AL146" s="24">
        <v>0.0</v>
      </c>
      <c r="AM146" s="26"/>
      <c r="AN146" s="24">
        <v>0.0</v>
      </c>
      <c r="AO146" s="26"/>
      <c r="AP146" s="24">
        <v>0.0</v>
      </c>
      <c r="AQ146" s="26"/>
      <c r="AR146" s="25">
        <v>0.0</v>
      </c>
      <c r="AT146" s="25">
        <v>0.0</v>
      </c>
      <c r="AU146" s="26"/>
      <c r="AV146" s="35">
        <f t="shared" si="1"/>
        <v>3868.4</v>
      </c>
      <c r="AW146" s="33">
        <f t="shared" si="2"/>
        <v>360</v>
      </c>
      <c r="AX146" s="33">
        <f t="shared" si="3"/>
        <v>0</v>
      </c>
      <c r="AY146" s="33">
        <f t="shared" si="4"/>
        <v>360</v>
      </c>
      <c r="AZ146" s="30">
        <f t="shared" si="5"/>
        <v>10.74555556</v>
      </c>
    </row>
    <row r="147" ht="15.75" customHeight="1">
      <c r="A147" s="31" t="s">
        <v>38</v>
      </c>
      <c r="B147" s="32">
        <f t="shared" si="6"/>
        <v>44707</v>
      </c>
      <c r="C147" s="33">
        <v>6.0</v>
      </c>
      <c r="D147" s="33" t="s">
        <v>31</v>
      </c>
      <c r="E147" s="34"/>
      <c r="F147" s="24">
        <v>0.0</v>
      </c>
      <c r="H147" s="25">
        <v>0.0</v>
      </c>
      <c r="J147" s="25">
        <v>0.0</v>
      </c>
      <c r="L147" s="25">
        <v>0.0</v>
      </c>
      <c r="N147" s="25">
        <v>0.0</v>
      </c>
      <c r="P147" s="25">
        <v>0.0</v>
      </c>
      <c r="Q147" s="26"/>
      <c r="R147" s="24">
        <v>155.0</v>
      </c>
      <c r="T147" s="25">
        <v>155.0</v>
      </c>
      <c r="V147" s="25">
        <v>0.0</v>
      </c>
      <c r="X147" s="25">
        <v>0.0</v>
      </c>
      <c r="Z147" s="25">
        <v>0.0</v>
      </c>
      <c r="AB147" s="25">
        <v>0.0</v>
      </c>
      <c r="AC147" s="26"/>
      <c r="AD147" s="25">
        <v>0.0</v>
      </c>
      <c r="AF147" s="25">
        <v>50.0</v>
      </c>
      <c r="AH147" s="25">
        <v>50.0</v>
      </c>
      <c r="AJ147" s="27">
        <v>0.0</v>
      </c>
      <c r="AK147" s="26"/>
      <c r="AL147" s="24">
        <v>0.0</v>
      </c>
      <c r="AM147" s="26"/>
      <c r="AN147" s="24">
        <v>0.0</v>
      </c>
      <c r="AO147" s="26"/>
      <c r="AP147" s="24">
        <v>0.0</v>
      </c>
      <c r="AQ147" s="26"/>
      <c r="AR147" s="25">
        <v>0.0</v>
      </c>
      <c r="AT147" s="25">
        <v>0.0</v>
      </c>
      <c r="AU147" s="26"/>
      <c r="AV147" s="35">
        <f t="shared" si="1"/>
        <v>4593.4</v>
      </c>
      <c r="AW147" s="33">
        <f t="shared" si="2"/>
        <v>410</v>
      </c>
      <c r="AX147" s="33">
        <f t="shared" si="3"/>
        <v>0</v>
      </c>
      <c r="AY147" s="33">
        <f t="shared" si="4"/>
        <v>410</v>
      </c>
      <c r="AZ147" s="30">
        <f t="shared" si="5"/>
        <v>11.20341463</v>
      </c>
    </row>
    <row r="148" ht="15.75" customHeight="1">
      <c r="A148" s="31" t="s">
        <v>45</v>
      </c>
      <c r="B148" s="32">
        <f t="shared" si="6"/>
        <v>44708</v>
      </c>
      <c r="C148" s="33">
        <v>6.0</v>
      </c>
      <c r="D148" s="33" t="s">
        <v>31</v>
      </c>
      <c r="E148" s="34"/>
      <c r="F148" s="24">
        <v>0.0</v>
      </c>
      <c r="H148" s="25">
        <v>0.0</v>
      </c>
      <c r="J148" s="25">
        <v>0.0</v>
      </c>
      <c r="L148" s="25">
        <v>0.0</v>
      </c>
      <c r="N148" s="25">
        <v>0.0</v>
      </c>
      <c r="P148" s="25">
        <v>0.0</v>
      </c>
      <c r="Q148" s="26"/>
      <c r="R148" s="24">
        <v>155.0</v>
      </c>
      <c r="T148" s="25">
        <v>155.0</v>
      </c>
      <c r="V148" s="25">
        <v>0.0</v>
      </c>
      <c r="X148" s="25">
        <v>0.0</v>
      </c>
      <c r="Z148" s="25">
        <v>0.0</v>
      </c>
      <c r="AB148" s="25">
        <v>0.0</v>
      </c>
      <c r="AC148" s="26"/>
      <c r="AD148" s="25">
        <v>0.0</v>
      </c>
      <c r="AF148" s="25">
        <v>50.0</v>
      </c>
      <c r="AH148" s="25">
        <v>0.0</v>
      </c>
      <c r="AJ148" s="27">
        <v>0.0</v>
      </c>
      <c r="AK148" s="26"/>
      <c r="AL148" s="24">
        <v>0.0</v>
      </c>
      <c r="AM148" s="26"/>
      <c r="AN148" s="24">
        <v>0.0</v>
      </c>
      <c r="AO148" s="26"/>
      <c r="AP148" s="24">
        <v>0.0</v>
      </c>
      <c r="AQ148" s="26"/>
      <c r="AR148" s="25">
        <v>0.0</v>
      </c>
      <c r="AT148" s="25">
        <v>0.0</v>
      </c>
      <c r="AU148" s="26"/>
      <c r="AV148" s="35">
        <f t="shared" si="1"/>
        <v>3868.4</v>
      </c>
      <c r="AW148" s="33">
        <f t="shared" si="2"/>
        <v>360</v>
      </c>
      <c r="AX148" s="33">
        <f t="shared" si="3"/>
        <v>0</v>
      </c>
      <c r="AY148" s="33">
        <f t="shared" si="4"/>
        <v>360</v>
      </c>
      <c r="AZ148" s="30">
        <f t="shared" si="5"/>
        <v>10.74555556</v>
      </c>
    </row>
    <row r="149" ht="15.75" customHeight="1">
      <c r="A149" s="44" t="s">
        <v>46</v>
      </c>
      <c r="B149" s="45">
        <f t="shared" si="6"/>
        <v>44709</v>
      </c>
      <c r="C149" s="46">
        <v>6.0</v>
      </c>
      <c r="D149" s="46" t="s">
        <v>31</v>
      </c>
      <c r="E149" s="47"/>
      <c r="F149" s="49">
        <v>0.0</v>
      </c>
      <c r="G149" s="51"/>
      <c r="H149" s="52">
        <v>0.0</v>
      </c>
      <c r="I149" s="51"/>
      <c r="J149" s="52">
        <v>0.0</v>
      </c>
      <c r="K149" s="51"/>
      <c r="L149" s="52">
        <v>0.0</v>
      </c>
      <c r="M149" s="51"/>
      <c r="N149" s="52">
        <v>0.0</v>
      </c>
      <c r="O149" s="51"/>
      <c r="P149" s="52">
        <v>0.0</v>
      </c>
      <c r="Q149" s="53"/>
      <c r="R149" s="49">
        <v>0.0</v>
      </c>
      <c r="S149" s="51"/>
      <c r="T149" s="52">
        <v>0.0</v>
      </c>
      <c r="U149" s="51"/>
      <c r="V149" s="52">
        <v>0.0</v>
      </c>
      <c r="W149" s="51"/>
      <c r="X149" s="52">
        <v>0.0</v>
      </c>
      <c r="Y149" s="51"/>
      <c r="Z149" s="52">
        <v>0.0</v>
      </c>
      <c r="AA149" s="51"/>
      <c r="AB149" s="52">
        <v>0.0</v>
      </c>
      <c r="AC149" s="53"/>
      <c r="AD149" s="52">
        <v>0.0</v>
      </c>
      <c r="AE149" s="51"/>
      <c r="AF149" s="52">
        <v>0.0</v>
      </c>
      <c r="AG149" s="51"/>
      <c r="AH149" s="52">
        <v>0.0</v>
      </c>
      <c r="AI149" s="51"/>
      <c r="AJ149" s="54">
        <v>0.0</v>
      </c>
      <c r="AK149" s="53"/>
      <c r="AL149" s="49">
        <v>0.0</v>
      </c>
      <c r="AM149" s="53"/>
      <c r="AN149" s="49">
        <v>0.0</v>
      </c>
      <c r="AO149" s="53"/>
      <c r="AP149" s="49">
        <v>0.0</v>
      </c>
      <c r="AQ149" s="53"/>
      <c r="AR149" s="52">
        <v>0.0</v>
      </c>
      <c r="AS149" s="51"/>
      <c r="AT149" s="52">
        <v>0.0</v>
      </c>
      <c r="AU149" s="53"/>
      <c r="AV149" s="55">
        <f t="shared" si="1"/>
        <v>0</v>
      </c>
      <c r="AW149" s="46">
        <f t="shared" si="2"/>
        <v>0</v>
      </c>
      <c r="AX149" s="46">
        <f t="shared" si="3"/>
        <v>0</v>
      </c>
      <c r="AY149" s="46">
        <f t="shared" si="4"/>
        <v>0</v>
      </c>
      <c r="AZ149" s="56" t="str">
        <f t="shared" si="5"/>
        <v/>
      </c>
    </row>
    <row r="150" ht="15.75" customHeight="1">
      <c r="A150" s="19" t="s">
        <v>30</v>
      </c>
      <c r="B150" s="57">
        <f t="shared" si="6"/>
        <v>44710</v>
      </c>
      <c r="C150" s="21">
        <v>6.0</v>
      </c>
      <c r="D150" s="21" t="s">
        <v>47</v>
      </c>
      <c r="E150" s="23"/>
      <c r="F150" s="24">
        <v>0.0</v>
      </c>
      <c r="H150" s="25">
        <v>0.0</v>
      </c>
      <c r="J150" s="25">
        <v>0.0</v>
      </c>
      <c r="L150" s="25">
        <v>0.0</v>
      </c>
      <c r="N150" s="25">
        <v>0.0</v>
      </c>
      <c r="P150" s="25">
        <v>0.0</v>
      </c>
      <c r="Q150" s="26"/>
      <c r="R150" s="24">
        <v>155.0</v>
      </c>
      <c r="T150" s="25">
        <v>155.0</v>
      </c>
      <c r="V150" s="25">
        <v>0.0</v>
      </c>
      <c r="X150" s="25">
        <v>0.0</v>
      </c>
      <c r="Z150" s="25">
        <v>0.0</v>
      </c>
      <c r="AB150" s="25">
        <v>0.0</v>
      </c>
      <c r="AC150" s="26"/>
      <c r="AD150" s="25">
        <v>0.0</v>
      </c>
      <c r="AF150" s="25">
        <v>0.0</v>
      </c>
      <c r="AH150" s="25">
        <v>0.0</v>
      </c>
      <c r="AJ150" s="27">
        <v>0.0</v>
      </c>
      <c r="AK150" s="26"/>
      <c r="AL150" s="24">
        <v>0.0</v>
      </c>
      <c r="AM150" s="26"/>
      <c r="AN150" s="24">
        <v>0.0</v>
      </c>
      <c r="AO150" s="26"/>
      <c r="AP150" s="24">
        <v>0.0</v>
      </c>
      <c r="AQ150" s="26"/>
      <c r="AR150" s="25">
        <v>0.0</v>
      </c>
      <c r="AT150" s="25">
        <v>0.0</v>
      </c>
      <c r="AU150" s="26"/>
      <c r="AV150" s="29">
        <f t="shared" si="1"/>
        <v>3143.4</v>
      </c>
      <c r="AW150" s="21">
        <f t="shared" si="2"/>
        <v>310</v>
      </c>
      <c r="AX150" s="21">
        <f t="shared" si="3"/>
        <v>0</v>
      </c>
      <c r="AY150" s="21">
        <f t="shared" si="4"/>
        <v>310</v>
      </c>
      <c r="AZ150" s="58">
        <f t="shared" si="5"/>
        <v>10.14</v>
      </c>
    </row>
    <row r="151" ht="15.75" customHeight="1">
      <c r="A151" s="31" t="s">
        <v>33</v>
      </c>
      <c r="B151" s="32">
        <f t="shared" si="6"/>
        <v>44711</v>
      </c>
      <c r="C151" s="33">
        <v>6.0</v>
      </c>
      <c r="D151" s="33" t="s">
        <v>47</v>
      </c>
      <c r="E151" s="34"/>
      <c r="F151" s="24">
        <v>0.0</v>
      </c>
      <c r="H151" s="25">
        <v>0.0</v>
      </c>
      <c r="J151" s="25">
        <v>0.0</v>
      </c>
      <c r="L151" s="25">
        <v>0.0</v>
      </c>
      <c r="N151" s="25">
        <v>0.0</v>
      </c>
      <c r="P151" s="25">
        <v>0.0</v>
      </c>
      <c r="Q151" s="26"/>
      <c r="R151" s="24">
        <v>155.0</v>
      </c>
      <c r="T151" s="25">
        <v>167.0</v>
      </c>
      <c r="V151" s="25">
        <v>0.0</v>
      </c>
      <c r="X151" s="25">
        <v>0.0</v>
      </c>
      <c r="Z151" s="25">
        <v>0.0</v>
      </c>
      <c r="AB151" s="25">
        <v>0.0</v>
      </c>
      <c r="AC151" s="26"/>
      <c r="AD151" s="25">
        <v>0.0</v>
      </c>
      <c r="AF151" s="25">
        <v>0.0</v>
      </c>
      <c r="AH151" s="25">
        <v>58.0</v>
      </c>
      <c r="AJ151" s="27">
        <v>0.0</v>
      </c>
      <c r="AK151" s="26"/>
      <c r="AL151" s="24">
        <v>0.0</v>
      </c>
      <c r="AM151" s="26"/>
      <c r="AN151" s="24">
        <v>0.0</v>
      </c>
      <c r="AO151" s="26"/>
      <c r="AP151" s="24">
        <v>0.0</v>
      </c>
      <c r="AQ151" s="26"/>
      <c r="AR151" s="25">
        <v>0.0</v>
      </c>
      <c r="AT151" s="25">
        <v>0.0</v>
      </c>
      <c r="AU151" s="26"/>
      <c r="AV151" s="35">
        <f t="shared" si="1"/>
        <v>4106.08</v>
      </c>
      <c r="AW151" s="33">
        <f t="shared" si="2"/>
        <v>380</v>
      </c>
      <c r="AX151" s="33">
        <f t="shared" si="3"/>
        <v>0</v>
      </c>
      <c r="AY151" s="33">
        <f t="shared" si="4"/>
        <v>380</v>
      </c>
      <c r="AZ151" s="30">
        <f t="shared" si="5"/>
        <v>10.80547368</v>
      </c>
    </row>
    <row r="152" ht="15.75" customHeight="1">
      <c r="A152" s="31" t="s">
        <v>34</v>
      </c>
      <c r="B152" s="32">
        <f t="shared" si="6"/>
        <v>44712</v>
      </c>
      <c r="C152" s="33">
        <v>6.0</v>
      </c>
      <c r="D152" s="33" t="s">
        <v>47</v>
      </c>
      <c r="E152" s="34"/>
      <c r="F152" s="24">
        <v>0.0</v>
      </c>
      <c r="H152" s="25">
        <v>0.0</v>
      </c>
      <c r="J152" s="25">
        <v>0.0</v>
      </c>
      <c r="L152" s="25">
        <v>0.0</v>
      </c>
      <c r="N152" s="25">
        <v>0.0</v>
      </c>
      <c r="P152" s="25">
        <v>0.0</v>
      </c>
      <c r="Q152" s="26"/>
      <c r="R152" s="25">
        <v>155.0</v>
      </c>
      <c r="T152" s="25">
        <v>155.0</v>
      </c>
      <c r="V152" s="25">
        <v>0.0</v>
      </c>
      <c r="X152" s="25">
        <v>0.0</v>
      </c>
      <c r="Z152" s="25">
        <v>0.0</v>
      </c>
      <c r="AB152" s="25">
        <v>0.0</v>
      </c>
      <c r="AC152" s="26"/>
      <c r="AD152" s="25">
        <v>0.0</v>
      </c>
      <c r="AF152" s="25">
        <v>0.0</v>
      </c>
      <c r="AH152" s="25">
        <v>0.0</v>
      </c>
      <c r="AJ152" s="27">
        <v>0.0</v>
      </c>
      <c r="AK152" s="26"/>
      <c r="AL152" s="24">
        <v>0.0</v>
      </c>
      <c r="AM152" s="26"/>
      <c r="AN152" s="24">
        <v>0.0</v>
      </c>
      <c r="AO152" s="26"/>
      <c r="AP152" s="24">
        <v>0.0</v>
      </c>
      <c r="AQ152" s="26"/>
      <c r="AR152" s="25">
        <v>0.0</v>
      </c>
      <c r="AT152" s="25">
        <v>0.0</v>
      </c>
      <c r="AU152" s="26"/>
      <c r="AV152" s="35">
        <f t="shared" si="1"/>
        <v>3143.4</v>
      </c>
      <c r="AW152" s="33">
        <f t="shared" si="2"/>
        <v>310</v>
      </c>
      <c r="AX152" s="33">
        <f t="shared" si="3"/>
        <v>0</v>
      </c>
      <c r="AY152" s="33">
        <f t="shared" si="4"/>
        <v>310</v>
      </c>
      <c r="AZ152" s="30">
        <f t="shared" si="5"/>
        <v>10.14</v>
      </c>
    </row>
    <row r="153" ht="15.75" customHeight="1">
      <c r="A153" s="31" t="s">
        <v>35</v>
      </c>
      <c r="B153" s="32">
        <f t="shared" si="6"/>
        <v>44713</v>
      </c>
      <c r="C153" s="33">
        <v>6.0</v>
      </c>
      <c r="D153" s="33" t="s">
        <v>47</v>
      </c>
      <c r="E153" s="34"/>
      <c r="F153" s="24">
        <v>0.0</v>
      </c>
      <c r="H153" s="25">
        <v>0.0</v>
      </c>
      <c r="J153" s="25">
        <v>0.0</v>
      </c>
      <c r="L153" s="25">
        <v>0.0</v>
      </c>
      <c r="N153" s="25">
        <v>0.0</v>
      </c>
      <c r="P153" s="25">
        <v>0.0</v>
      </c>
      <c r="Q153" s="26"/>
      <c r="R153" s="25">
        <v>155.0</v>
      </c>
      <c r="T153" s="25">
        <v>155.0</v>
      </c>
      <c r="V153" s="25">
        <v>0.0</v>
      </c>
      <c r="X153" s="25">
        <v>0.0</v>
      </c>
      <c r="Z153" s="25">
        <v>0.0</v>
      </c>
      <c r="AB153" s="25">
        <v>0.0</v>
      </c>
      <c r="AC153" s="26"/>
      <c r="AD153" s="25">
        <v>0.0</v>
      </c>
      <c r="AF153" s="25">
        <v>0.0</v>
      </c>
      <c r="AH153" s="25">
        <v>58.0</v>
      </c>
      <c r="AJ153" s="27">
        <v>0.0</v>
      </c>
      <c r="AK153" s="26"/>
      <c r="AL153" s="24">
        <v>0.0</v>
      </c>
      <c r="AM153" s="26"/>
      <c r="AN153" s="24">
        <v>0.0</v>
      </c>
      <c r="AO153" s="26"/>
      <c r="AP153" s="24">
        <v>0.0</v>
      </c>
      <c r="AQ153" s="26"/>
      <c r="AR153" s="25">
        <v>0.0</v>
      </c>
      <c r="AT153" s="25">
        <v>0.0</v>
      </c>
      <c r="AU153" s="26"/>
      <c r="AV153" s="35">
        <f t="shared" si="1"/>
        <v>3984.4</v>
      </c>
      <c r="AW153" s="33">
        <f t="shared" si="2"/>
        <v>368</v>
      </c>
      <c r="AX153" s="33">
        <f t="shared" si="3"/>
        <v>0</v>
      </c>
      <c r="AY153" s="33">
        <f t="shared" si="4"/>
        <v>368</v>
      </c>
      <c r="AZ153" s="30">
        <f t="shared" si="5"/>
        <v>10.82717391</v>
      </c>
    </row>
    <row r="154" ht="15.75" customHeight="1">
      <c r="A154" s="31" t="s">
        <v>38</v>
      </c>
      <c r="B154" s="32">
        <f t="shared" si="6"/>
        <v>44714</v>
      </c>
      <c r="C154" s="33">
        <v>6.0</v>
      </c>
      <c r="D154" s="33" t="s">
        <v>47</v>
      </c>
      <c r="E154" s="34"/>
      <c r="F154" s="24">
        <v>0.0</v>
      </c>
      <c r="H154" s="25">
        <v>0.0</v>
      </c>
      <c r="J154" s="25">
        <v>0.0</v>
      </c>
      <c r="L154" s="25">
        <v>0.0</v>
      </c>
      <c r="N154" s="25">
        <v>0.0</v>
      </c>
      <c r="P154" s="25">
        <v>0.0</v>
      </c>
      <c r="Q154" s="26"/>
      <c r="R154" s="25">
        <v>155.0</v>
      </c>
      <c r="T154" s="25">
        <v>155.0</v>
      </c>
      <c r="V154" s="25">
        <v>0.0</v>
      </c>
      <c r="X154" s="25">
        <v>0.0</v>
      </c>
      <c r="Z154" s="25">
        <v>0.0</v>
      </c>
      <c r="AB154" s="25">
        <v>0.0</v>
      </c>
      <c r="AC154" s="26"/>
      <c r="AD154" s="25">
        <v>0.0</v>
      </c>
      <c r="AF154" s="25">
        <v>0.0</v>
      </c>
      <c r="AH154" s="25">
        <v>0.0</v>
      </c>
      <c r="AJ154" s="27">
        <v>0.0</v>
      </c>
      <c r="AK154" s="26"/>
      <c r="AL154" s="24">
        <v>0.0</v>
      </c>
      <c r="AM154" s="26"/>
      <c r="AN154" s="24">
        <v>0.0</v>
      </c>
      <c r="AO154" s="26"/>
      <c r="AP154" s="24">
        <v>0.0</v>
      </c>
      <c r="AQ154" s="26"/>
      <c r="AR154" s="25">
        <v>0.0</v>
      </c>
      <c r="AT154" s="25">
        <v>0.0</v>
      </c>
      <c r="AU154" s="26"/>
      <c r="AV154" s="35">
        <f t="shared" si="1"/>
        <v>3143.4</v>
      </c>
      <c r="AW154" s="33">
        <f t="shared" si="2"/>
        <v>310</v>
      </c>
      <c r="AX154" s="33">
        <f t="shared" si="3"/>
        <v>0</v>
      </c>
      <c r="AY154" s="33">
        <f t="shared" si="4"/>
        <v>310</v>
      </c>
      <c r="AZ154" s="30">
        <f t="shared" si="5"/>
        <v>10.14</v>
      </c>
    </row>
    <row r="155" ht="15.75" customHeight="1">
      <c r="A155" s="31" t="s">
        <v>45</v>
      </c>
      <c r="B155" s="32">
        <f t="shared" si="6"/>
        <v>44715</v>
      </c>
      <c r="C155" s="33">
        <v>6.0</v>
      </c>
      <c r="D155" s="33" t="s">
        <v>47</v>
      </c>
      <c r="E155" s="34"/>
      <c r="F155" s="24">
        <v>0.0</v>
      </c>
      <c r="H155" s="25">
        <v>0.0</v>
      </c>
      <c r="J155" s="25">
        <v>0.0</v>
      </c>
      <c r="L155" s="25">
        <v>0.0</v>
      </c>
      <c r="N155" s="25">
        <v>0.0</v>
      </c>
      <c r="P155" s="25">
        <v>0.0</v>
      </c>
      <c r="Q155" s="26"/>
      <c r="R155" s="25">
        <v>155.0</v>
      </c>
      <c r="T155" s="25">
        <v>155.0</v>
      </c>
      <c r="V155" s="25">
        <v>0.0</v>
      </c>
      <c r="X155" s="25">
        <v>0.0</v>
      </c>
      <c r="Z155" s="25">
        <v>0.0</v>
      </c>
      <c r="AB155" s="25">
        <v>0.0</v>
      </c>
      <c r="AC155" s="26"/>
      <c r="AD155" s="25">
        <v>0.0</v>
      </c>
      <c r="AF155" s="25">
        <v>0.0</v>
      </c>
      <c r="AH155" s="25">
        <v>58.0</v>
      </c>
      <c r="AJ155" s="27">
        <v>0.0</v>
      </c>
      <c r="AK155" s="26"/>
      <c r="AL155" s="24">
        <v>0.0</v>
      </c>
      <c r="AM155" s="26"/>
      <c r="AN155" s="24">
        <v>0.0</v>
      </c>
      <c r="AO155" s="26"/>
      <c r="AP155" s="24">
        <v>0.0</v>
      </c>
      <c r="AQ155" s="26"/>
      <c r="AR155" s="25">
        <v>0.0</v>
      </c>
      <c r="AT155" s="25">
        <v>0.0</v>
      </c>
      <c r="AU155" s="26"/>
      <c r="AV155" s="35">
        <f t="shared" si="1"/>
        <v>3984.4</v>
      </c>
      <c r="AW155" s="33">
        <f t="shared" si="2"/>
        <v>368</v>
      </c>
      <c r="AX155" s="33">
        <f t="shared" si="3"/>
        <v>0</v>
      </c>
      <c r="AY155" s="33">
        <f t="shared" si="4"/>
        <v>368</v>
      </c>
      <c r="AZ155" s="30">
        <f t="shared" si="5"/>
        <v>10.82717391</v>
      </c>
    </row>
    <row r="156" ht="15.75" customHeight="1">
      <c r="A156" s="44" t="s">
        <v>46</v>
      </c>
      <c r="B156" s="45">
        <f t="shared" si="6"/>
        <v>44716</v>
      </c>
      <c r="C156" s="46">
        <v>6.0</v>
      </c>
      <c r="D156" s="46" t="s">
        <v>47</v>
      </c>
      <c r="E156" s="47"/>
      <c r="F156" s="49">
        <v>0.0</v>
      </c>
      <c r="G156" s="51"/>
      <c r="H156" s="52">
        <v>0.0</v>
      </c>
      <c r="I156" s="51"/>
      <c r="J156" s="52">
        <v>0.0</v>
      </c>
      <c r="K156" s="51"/>
      <c r="L156" s="52">
        <v>0.0</v>
      </c>
      <c r="M156" s="51"/>
      <c r="N156" s="52">
        <v>0.0</v>
      </c>
      <c r="O156" s="51"/>
      <c r="P156" s="52">
        <v>0.0</v>
      </c>
      <c r="Q156" s="53"/>
      <c r="R156" s="49">
        <v>0.0</v>
      </c>
      <c r="S156" s="51"/>
      <c r="T156" s="52">
        <v>0.0</v>
      </c>
      <c r="U156" s="51"/>
      <c r="V156" s="52">
        <v>0.0</v>
      </c>
      <c r="W156" s="51"/>
      <c r="X156" s="52">
        <v>0.0</v>
      </c>
      <c r="Y156" s="51"/>
      <c r="Z156" s="52">
        <v>0.0</v>
      </c>
      <c r="AA156" s="51"/>
      <c r="AB156" s="52">
        <v>0.0</v>
      </c>
      <c r="AC156" s="53"/>
      <c r="AD156" s="52">
        <v>0.0</v>
      </c>
      <c r="AE156" s="51"/>
      <c r="AF156" s="52">
        <v>0.0</v>
      </c>
      <c r="AG156" s="51"/>
      <c r="AH156" s="52">
        <v>0.0</v>
      </c>
      <c r="AI156" s="51"/>
      <c r="AJ156" s="54">
        <v>0.0</v>
      </c>
      <c r="AK156" s="53"/>
      <c r="AL156" s="49">
        <v>0.0</v>
      </c>
      <c r="AM156" s="53"/>
      <c r="AN156" s="49">
        <v>0.0</v>
      </c>
      <c r="AO156" s="53"/>
      <c r="AP156" s="49">
        <v>0.0</v>
      </c>
      <c r="AQ156" s="53"/>
      <c r="AR156" s="52">
        <v>0.0</v>
      </c>
      <c r="AS156" s="51"/>
      <c r="AT156" s="52">
        <v>0.0</v>
      </c>
      <c r="AU156" s="53"/>
      <c r="AV156" s="55">
        <f t="shared" si="1"/>
        <v>0</v>
      </c>
      <c r="AW156" s="46">
        <f t="shared" si="2"/>
        <v>0</v>
      </c>
      <c r="AX156" s="46">
        <f t="shared" si="3"/>
        <v>0</v>
      </c>
      <c r="AY156" s="46">
        <f t="shared" si="4"/>
        <v>0</v>
      </c>
      <c r="AZ156" s="56" t="str">
        <f t="shared" si="5"/>
        <v/>
      </c>
    </row>
    <row r="157" ht="15.75" customHeight="1">
      <c r="A157" s="19" t="s">
        <v>30</v>
      </c>
      <c r="B157" s="57">
        <f t="shared" si="6"/>
        <v>44717</v>
      </c>
      <c r="C157" s="21">
        <v>6.0</v>
      </c>
      <c r="D157" s="21" t="s">
        <v>48</v>
      </c>
      <c r="E157" s="23"/>
      <c r="F157" s="24">
        <v>0.0</v>
      </c>
      <c r="H157" s="25">
        <v>0.0</v>
      </c>
      <c r="J157" s="25">
        <v>0.0</v>
      </c>
      <c r="L157" s="25">
        <v>0.0</v>
      </c>
      <c r="N157" s="25">
        <v>0.0</v>
      </c>
      <c r="P157" s="25">
        <v>0.0</v>
      </c>
      <c r="Q157" s="26"/>
      <c r="R157" s="24">
        <v>155.0</v>
      </c>
      <c r="T157" s="25">
        <v>155.0</v>
      </c>
      <c r="V157" s="25">
        <v>0.0</v>
      </c>
      <c r="X157" s="25">
        <v>0.0</v>
      </c>
      <c r="Z157" s="25">
        <v>0.0</v>
      </c>
      <c r="AB157" s="25">
        <v>0.0</v>
      </c>
      <c r="AC157" s="26"/>
      <c r="AD157" s="25">
        <v>0.0</v>
      </c>
      <c r="AF157" s="25">
        <v>0.0</v>
      </c>
      <c r="AH157" s="25">
        <v>0.0</v>
      </c>
      <c r="AJ157" s="27">
        <v>0.0</v>
      </c>
      <c r="AK157" s="26"/>
      <c r="AL157" s="24">
        <v>0.0</v>
      </c>
      <c r="AM157" s="26"/>
      <c r="AN157" s="24">
        <v>0.0</v>
      </c>
      <c r="AO157" s="26"/>
      <c r="AP157" s="24">
        <v>0.0</v>
      </c>
      <c r="AQ157" s="26"/>
      <c r="AR157" s="25">
        <v>0.0</v>
      </c>
      <c r="AT157" s="25">
        <v>0.0</v>
      </c>
      <c r="AU157" s="26"/>
      <c r="AV157" s="29">
        <f t="shared" si="1"/>
        <v>3143.4</v>
      </c>
      <c r="AW157" s="21">
        <f t="shared" si="2"/>
        <v>310</v>
      </c>
      <c r="AX157" s="21">
        <f t="shared" si="3"/>
        <v>0</v>
      </c>
      <c r="AY157" s="21">
        <f t="shared" si="4"/>
        <v>310</v>
      </c>
      <c r="AZ157" s="58">
        <f t="shared" si="5"/>
        <v>10.14</v>
      </c>
    </row>
    <row r="158" ht="15.75" customHeight="1">
      <c r="A158" s="31" t="s">
        <v>33</v>
      </c>
      <c r="B158" s="32">
        <f t="shared" si="6"/>
        <v>44718</v>
      </c>
      <c r="C158" s="33">
        <v>6.0</v>
      </c>
      <c r="D158" s="33" t="s">
        <v>48</v>
      </c>
      <c r="E158" s="74" t="s">
        <v>53</v>
      </c>
      <c r="F158" s="24">
        <v>0.0</v>
      </c>
      <c r="H158" s="25">
        <v>0.0</v>
      </c>
      <c r="J158" s="25">
        <v>0.0</v>
      </c>
      <c r="L158" s="25">
        <v>0.0</v>
      </c>
      <c r="N158" s="25">
        <v>0.0</v>
      </c>
      <c r="P158" s="25">
        <v>0.0</v>
      </c>
      <c r="Q158" s="26"/>
      <c r="R158" s="24">
        <v>155.0</v>
      </c>
      <c r="T158" s="25">
        <v>155.0</v>
      </c>
      <c r="V158" s="25">
        <v>0.0</v>
      </c>
      <c r="X158" s="25">
        <v>0.0</v>
      </c>
      <c r="Z158" s="25">
        <v>0.0</v>
      </c>
      <c r="AB158" s="25">
        <v>0.0</v>
      </c>
      <c r="AC158" s="26"/>
      <c r="AD158" s="25">
        <v>0.0</v>
      </c>
      <c r="AF158" s="25">
        <v>0.0</v>
      </c>
      <c r="AH158" s="25">
        <v>0.0</v>
      </c>
      <c r="AJ158" s="27">
        <v>0.0</v>
      </c>
      <c r="AK158" s="26"/>
      <c r="AL158" s="24">
        <v>0.0</v>
      </c>
      <c r="AM158" s="26"/>
      <c r="AN158" s="24">
        <v>0.0</v>
      </c>
      <c r="AO158" s="26"/>
      <c r="AP158" s="24">
        <v>0.0</v>
      </c>
      <c r="AQ158" s="26"/>
      <c r="AR158" s="25">
        <v>0.0</v>
      </c>
      <c r="AT158" s="25">
        <v>0.0</v>
      </c>
      <c r="AU158" s="26"/>
      <c r="AV158" s="35">
        <f t="shared" si="1"/>
        <v>3143.4</v>
      </c>
      <c r="AW158" s="33">
        <f t="shared" si="2"/>
        <v>310</v>
      </c>
      <c r="AX158" s="33">
        <f t="shared" si="3"/>
        <v>0</v>
      </c>
      <c r="AY158" s="33">
        <f t="shared" si="4"/>
        <v>310</v>
      </c>
      <c r="AZ158" s="30">
        <f t="shared" si="5"/>
        <v>10.14</v>
      </c>
    </row>
    <row r="159" ht="15.75" customHeight="1">
      <c r="A159" s="31" t="s">
        <v>34</v>
      </c>
      <c r="B159" s="32">
        <f t="shared" si="6"/>
        <v>44719</v>
      </c>
      <c r="C159" s="33">
        <v>6.0</v>
      </c>
      <c r="D159" s="33" t="s">
        <v>48</v>
      </c>
      <c r="E159" s="34"/>
      <c r="F159" s="24">
        <v>0.0</v>
      </c>
      <c r="H159" s="25">
        <v>0.0</v>
      </c>
      <c r="J159" s="25">
        <v>0.0</v>
      </c>
      <c r="L159" s="25">
        <v>0.0</v>
      </c>
      <c r="N159" s="25">
        <v>0.0</v>
      </c>
      <c r="P159" s="25">
        <v>0.0</v>
      </c>
      <c r="Q159" s="26"/>
      <c r="R159" s="24">
        <v>155.0</v>
      </c>
      <c r="T159" s="25">
        <v>155.0</v>
      </c>
      <c r="V159" s="25">
        <v>0.0</v>
      </c>
      <c r="X159" s="25">
        <v>0.0</v>
      </c>
      <c r="Z159" s="25">
        <v>0.0</v>
      </c>
      <c r="AB159" s="25">
        <v>0.0</v>
      </c>
      <c r="AC159" s="26"/>
      <c r="AD159" s="25">
        <v>0.0</v>
      </c>
      <c r="AF159" s="25">
        <v>0.0</v>
      </c>
      <c r="AH159" s="25">
        <v>0.0</v>
      </c>
      <c r="AJ159" s="27">
        <v>0.0</v>
      </c>
      <c r="AK159" s="26"/>
      <c r="AL159" s="24">
        <v>0.0</v>
      </c>
      <c r="AM159" s="26"/>
      <c r="AN159" s="24">
        <v>0.0</v>
      </c>
      <c r="AO159" s="26"/>
      <c r="AP159" s="24">
        <v>0.0</v>
      </c>
      <c r="AQ159" s="26"/>
      <c r="AR159" s="25">
        <v>0.0</v>
      </c>
      <c r="AT159" s="25">
        <v>0.0</v>
      </c>
      <c r="AU159" s="26"/>
      <c r="AV159" s="35">
        <f t="shared" si="1"/>
        <v>3143.4</v>
      </c>
      <c r="AW159" s="33">
        <f t="shared" si="2"/>
        <v>310</v>
      </c>
      <c r="AX159" s="33">
        <f t="shared" si="3"/>
        <v>0</v>
      </c>
      <c r="AY159" s="33">
        <f t="shared" si="4"/>
        <v>310</v>
      </c>
      <c r="AZ159" s="30">
        <f t="shared" si="5"/>
        <v>10.14</v>
      </c>
    </row>
    <row r="160" ht="15.75" customHeight="1">
      <c r="A160" s="31" t="s">
        <v>35</v>
      </c>
      <c r="B160" s="32">
        <f t="shared" si="6"/>
        <v>44720</v>
      </c>
      <c r="C160" s="33">
        <v>6.0</v>
      </c>
      <c r="D160" s="33" t="s">
        <v>48</v>
      </c>
      <c r="E160" s="34"/>
      <c r="F160" s="24">
        <v>0.0</v>
      </c>
      <c r="H160" s="25">
        <v>0.0</v>
      </c>
      <c r="J160" s="25">
        <v>0.0</v>
      </c>
      <c r="L160" s="25">
        <v>0.0</v>
      </c>
      <c r="N160" s="25">
        <v>0.0</v>
      </c>
      <c r="P160" s="25">
        <v>0.0</v>
      </c>
      <c r="Q160" s="26"/>
      <c r="R160" s="24">
        <v>155.0</v>
      </c>
      <c r="T160" s="25">
        <v>155.0</v>
      </c>
      <c r="V160" s="25">
        <v>0.0</v>
      </c>
      <c r="X160" s="25">
        <v>0.0</v>
      </c>
      <c r="Z160" s="25">
        <v>0.0</v>
      </c>
      <c r="AB160" s="25">
        <v>0.0</v>
      </c>
      <c r="AC160" s="26"/>
      <c r="AD160" s="25">
        <v>0.0</v>
      </c>
      <c r="AF160" s="25">
        <v>0.0</v>
      </c>
      <c r="AH160" s="25">
        <v>0.0</v>
      </c>
      <c r="AJ160" s="27">
        <v>0.0</v>
      </c>
      <c r="AK160" s="26"/>
      <c r="AL160" s="24">
        <v>0.0</v>
      </c>
      <c r="AM160" s="26"/>
      <c r="AN160" s="24">
        <v>0.0</v>
      </c>
      <c r="AO160" s="26"/>
      <c r="AP160" s="24">
        <v>0.0</v>
      </c>
      <c r="AQ160" s="26"/>
      <c r="AR160" s="25">
        <v>0.0</v>
      </c>
      <c r="AT160" s="25">
        <v>0.0</v>
      </c>
      <c r="AU160" s="26"/>
      <c r="AV160" s="35">
        <f t="shared" si="1"/>
        <v>3143.4</v>
      </c>
      <c r="AW160" s="33">
        <f t="shared" si="2"/>
        <v>310</v>
      </c>
      <c r="AX160" s="33">
        <f t="shared" si="3"/>
        <v>0</v>
      </c>
      <c r="AY160" s="33">
        <f t="shared" si="4"/>
        <v>310</v>
      </c>
      <c r="AZ160" s="30">
        <f t="shared" si="5"/>
        <v>10.14</v>
      </c>
    </row>
    <row r="161" ht="15.75" customHeight="1">
      <c r="A161" s="31" t="s">
        <v>38</v>
      </c>
      <c r="B161" s="32">
        <f t="shared" si="6"/>
        <v>44721</v>
      </c>
      <c r="C161" s="33">
        <v>6.0</v>
      </c>
      <c r="D161" s="33" t="s">
        <v>48</v>
      </c>
      <c r="E161" s="34"/>
      <c r="F161" s="24">
        <v>0.0</v>
      </c>
      <c r="H161" s="25">
        <v>0.0</v>
      </c>
      <c r="J161" s="25">
        <v>0.0</v>
      </c>
      <c r="L161" s="25">
        <v>0.0</v>
      </c>
      <c r="N161" s="25">
        <v>0.0</v>
      </c>
      <c r="P161" s="25">
        <v>0.0</v>
      </c>
      <c r="Q161" s="26"/>
      <c r="R161" s="24">
        <v>155.0</v>
      </c>
      <c r="T161" s="25">
        <v>155.0</v>
      </c>
      <c r="V161" s="25">
        <v>0.0</v>
      </c>
      <c r="X161" s="25">
        <v>0.0</v>
      </c>
      <c r="Z161" s="25">
        <v>0.0</v>
      </c>
      <c r="AB161" s="25">
        <v>0.0</v>
      </c>
      <c r="AC161" s="26"/>
      <c r="AD161" s="25">
        <v>0.0</v>
      </c>
      <c r="AF161" s="25">
        <v>0.0</v>
      </c>
      <c r="AH161" s="25">
        <v>0.0</v>
      </c>
      <c r="AJ161" s="27">
        <v>0.0</v>
      </c>
      <c r="AK161" s="26"/>
      <c r="AL161" s="24">
        <v>0.0</v>
      </c>
      <c r="AM161" s="26"/>
      <c r="AN161" s="24">
        <v>0.0</v>
      </c>
      <c r="AO161" s="26"/>
      <c r="AP161" s="24">
        <v>0.0</v>
      </c>
      <c r="AQ161" s="26"/>
      <c r="AR161" s="25">
        <v>0.0</v>
      </c>
      <c r="AT161" s="25">
        <v>0.0</v>
      </c>
      <c r="AU161" s="26"/>
      <c r="AV161" s="35">
        <f t="shared" si="1"/>
        <v>3143.4</v>
      </c>
      <c r="AW161" s="33">
        <f t="shared" si="2"/>
        <v>310</v>
      </c>
      <c r="AX161" s="33">
        <f t="shared" si="3"/>
        <v>0</v>
      </c>
      <c r="AY161" s="33">
        <f t="shared" si="4"/>
        <v>310</v>
      </c>
      <c r="AZ161" s="30">
        <f t="shared" si="5"/>
        <v>10.14</v>
      </c>
    </row>
    <row r="162" ht="15.75" customHeight="1">
      <c r="A162" s="31" t="s">
        <v>45</v>
      </c>
      <c r="B162" s="32">
        <f t="shared" si="6"/>
        <v>44722</v>
      </c>
      <c r="C162" s="33">
        <v>6.0</v>
      </c>
      <c r="D162" s="33" t="s">
        <v>48</v>
      </c>
      <c r="E162" s="74" t="s">
        <v>54</v>
      </c>
      <c r="F162" s="24">
        <v>0.0</v>
      </c>
      <c r="H162" s="25">
        <v>0.0</v>
      </c>
      <c r="J162" s="25">
        <v>0.0</v>
      </c>
      <c r="L162" s="25">
        <v>0.0</v>
      </c>
      <c r="N162" s="25">
        <v>0.0</v>
      </c>
      <c r="P162" s="25">
        <v>0.0</v>
      </c>
      <c r="Q162" s="26"/>
      <c r="R162" s="24">
        <v>155.0</v>
      </c>
      <c r="T162" s="25">
        <v>155.0</v>
      </c>
      <c r="V162" s="25">
        <v>0.0</v>
      </c>
      <c r="X162" s="25">
        <v>0.0</v>
      </c>
      <c r="Z162" s="25">
        <v>0.0</v>
      </c>
      <c r="AB162" s="25">
        <v>0.0</v>
      </c>
      <c r="AC162" s="26"/>
      <c r="AD162" s="25">
        <v>0.0</v>
      </c>
      <c r="AF162" s="25">
        <v>0.0</v>
      </c>
      <c r="AH162" s="25">
        <v>0.0</v>
      </c>
      <c r="AJ162" s="27">
        <v>0.0</v>
      </c>
      <c r="AK162" s="26"/>
      <c r="AL162" s="24">
        <v>0.0</v>
      </c>
      <c r="AM162" s="26"/>
      <c r="AN162" s="24">
        <v>0.0</v>
      </c>
      <c r="AO162" s="26"/>
      <c r="AP162" s="24">
        <v>0.0</v>
      </c>
      <c r="AQ162" s="26"/>
      <c r="AR162" s="25">
        <v>0.0</v>
      </c>
      <c r="AT162" s="25">
        <v>0.0</v>
      </c>
      <c r="AU162" s="26"/>
      <c r="AV162" s="35">
        <f t="shared" si="1"/>
        <v>3143.4</v>
      </c>
      <c r="AW162" s="33">
        <f t="shared" si="2"/>
        <v>310</v>
      </c>
      <c r="AX162" s="33">
        <f t="shared" si="3"/>
        <v>0</v>
      </c>
      <c r="AY162" s="33">
        <f t="shared" si="4"/>
        <v>310</v>
      </c>
      <c r="AZ162" s="30">
        <f t="shared" si="5"/>
        <v>10.14</v>
      </c>
    </row>
    <row r="163" ht="15.75" customHeight="1">
      <c r="A163" s="44" t="s">
        <v>46</v>
      </c>
      <c r="B163" s="45">
        <f t="shared" si="6"/>
        <v>44723</v>
      </c>
      <c r="C163" s="46">
        <v>6.0</v>
      </c>
      <c r="D163" s="46" t="s">
        <v>48</v>
      </c>
      <c r="E163" s="77" t="s">
        <v>55</v>
      </c>
      <c r="F163" s="49">
        <v>0.0</v>
      </c>
      <c r="G163" s="51"/>
      <c r="H163" s="52">
        <v>0.0</v>
      </c>
      <c r="I163" s="51"/>
      <c r="J163" s="52">
        <v>0.0</v>
      </c>
      <c r="K163" s="51"/>
      <c r="L163" s="52">
        <v>0.0</v>
      </c>
      <c r="M163" s="51"/>
      <c r="N163" s="52">
        <v>0.0</v>
      </c>
      <c r="O163" s="51"/>
      <c r="P163" s="52">
        <v>0.0</v>
      </c>
      <c r="Q163" s="53"/>
      <c r="R163" s="49"/>
      <c r="S163" s="51"/>
      <c r="T163" s="52"/>
      <c r="U163" s="51"/>
      <c r="V163" s="52">
        <v>0.0</v>
      </c>
      <c r="W163" s="51"/>
      <c r="X163" s="52">
        <v>0.0</v>
      </c>
      <c r="Y163" s="51"/>
      <c r="Z163" s="52">
        <v>0.0</v>
      </c>
      <c r="AA163" s="51"/>
      <c r="AB163" s="52">
        <v>0.0</v>
      </c>
      <c r="AC163" s="53"/>
      <c r="AD163" s="52">
        <v>0.0</v>
      </c>
      <c r="AE163" s="51"/>
      <c r="AF163" s="52">
        <v>0.0</v>
      </c>
      <c r="AG163" s="51"/>
      <c r="AH163" s="52">
        <v>0.0</v>
      </c>
      <c r="AI163" s="51"/>
      <c r="AJ163" s="54">
        <v>0.0</v>
      </c>
      <c r="AK163" s="53"/>
      <c r="AL163" s="49">
        <v>0.0</v>
      </c>
      <c r="AM163" s="53"/>
      <c r="AN163" s="49">
        <v>0.0</v>
      </c>
      <c r="AO163" s="53"/>
      <c r="AP163" s="49">
        <v>0.0</v>
      </c>
      <c r="AQ163" s="53"/>
      <c r="AR163" s="52">
        <v>0.0</v>
      </c>
      <c r="AS163" s="51"/>
      <c r="AT163" s="52">
        <v>0.0</v>
      </c>
      <c r="AU163" s="53"/>
      <c r="AV163" s="55">
        <f t="shared" si="1"/>
        <v>0</v>
      </c>
      <c r="AW163" s="46">
        <f t="shared" si="2"/>
        <v>0</v>
      </c>
      <c r="AX163" s="46">
        <f t="shared" si="3"/>
        <v>0</v>
      </c>
      <c r="AY163" s="46">
        <f t="shared" si="4"/>
        <v>0</v>
      </c>
      <c r="AZ163" s="56" t="str">
        <f t="shared" si="5"/>
        <v/>
      </c>
    </row>
    <row r="164" ht="15.75" customHeight="1">
      <c r="A164" s="19" t="s">
        <v>30</v>
      </c>
      <c r="B164" s="57">
        <f t="shared" si="6"/>
        <v>44724</v>
      </c>
      <c r="C164" s="21">
        <v>6.0</v>
      </c>
      <c r="D164" s="21" t="s">
        <v>49</v>
      </c>
      <c r="E164" s="23"/>
      <c r="F164" s="24">
        <v>0.0</v>
      </c>
      <c r="H164" s="25">
        <v>0.0</v>
      </c>
      <c r="J164" s="25">
        <v>0.0</v>
      </c>
      <c r="L164" s="25">
        <v>0.0</v>
      </c>
      <c r="N164" s="25">
        <v>0.0</v>
      </c>
      <c r="P164" s="25">
        <v>0.0</v>
      </c>
      <c r="Q164" s="26"/>
      <c r="R164" s="24">
        <v>155.0</v>
      </c>
      <c r="T164" s="25">
        <v>155.0</v>
      </c>
      <c r="V164" s="25">
        <v>0.0</v>
      </c>
      <c r="X164" s="25">
        <v>0.0</v>
      </c>
      <c r="Z164" s="25">
        <v>0.0</v>
      </c>
      <c r="AB164" s="25">
        <v>0.0</v>
      </c>
      <c r="AC164" s="26"/>
      <c r="AD164" s="25">
        <v>0.0</v>
      </c>
      <c r="AF164" s="25">
        <v>0.0</v>
      </c>
      <c r="AH164" s="25">
        <v>0.0</v>
      </c>
      <c r="AJ164" s="27">
        <v>0.0</v>
      </c>
      <c r="AK164" s="26"/>
      <c r="AL164" s="24">
        <v>0.0</v>
      </c>
      <c r="AM164" s="26"/>
      <c r="AN164" s="24">
        <v>0.0</v>
      </c>
      <c r="AO164" s="26"/>
      <c r="AP164" s="24">
        <v>0.0</v>
      </c>
      <c r="AQ164" s="26"/>
      <c r="AR164" s="25">
        <v>0.0</v>
      </c>
      <c r="AT164" s="25">
        <v>0.0</v>
      </c>
      <c r="AU164" s="26"/>
      <c r="AV164" s="29">
        <f t="shared" si="1"/>
        <v>3143.4</v>
      </c>
      <c r="AW164" s="21">
        <f t="shared" si="2"/>
        <v>310</v>
      </c>
      <c r="AX164" s="21">
        <f t="shared" si="3"/>
        <v>0</v>
      </c>
      <c r="AY164" s="21">
        <f t="shared" si="4"/>
        <v>310</v>
      </c>
      <c r="AZ164" s="58">
        <f t="shared" si="5"/>
        <v>10.14</v>
      </c>
    </row>
    <row r="165" ht="15.75" customHeight="1">
      <c r="A165" s="31" t="s">
        <v>33</v>
      </c>
      <c r="B165" s="32">
        <f t="shared" si="6"/>
        <v>44725</v>
      </c>
      <c r="C165" s="33">
        <v>6.0</v>
      </c>
      <c r="D165" s="33" t="s">
        <v>49</v>
      </c>
      <c r="E165" s="34"/>
      <c r="F165" s="24">
        <v>0.0</v>
      </c>
      <c r="H165" s="25">
        <v>0.0</v>
      </c>
      <c r="J165" s="25">
        <v>0.0</v>
      </c>
      <c r="L165" s="25">
        <v>0.0</v>
      </c>
      <c r="N165" s="25">
        <v>0.0</v>
      </c>
      <c r="P165" s="25">
        <v>0.0</v>
      </c>
      <c r="Q165" s="26"/>
      <c r="R165" s="24">
        <v>155.0</v>
      </c>
      <c r="T165" s="25">
        <v>155.0</v>
      </c>
      <c r="V165" s="25">
        <v>0.0</v>
      </c>
      <c r="X165" s="25">
        <v>0.0</v>
      </c>
      <c r="Z165" s="25">
        <v>0.0</v>
      </c>
      <c r="AB165" s="25">
        <v>0.0</v>
      </c>
      <c r="AC165" s="26"/>
      <c r="AD165" s="25">
        <v>0.0</v>
      </c>
      <c r="AF165" s="25">
        <v>55.0</v>
      </c>
      <c r="AH165" s="25">
        <v>55.0</v>
      </c>
      <c r="AJ165" s="27">
        <v>0.0</v>
      </c>
      <c r="AK165" s="26"/>
      <c r="AL165" s="24">
        <v>0.0</v>
      </c>
      <c r="AM165" s="26"/>
      <c r="AN165" s="24">
        <v>0.0</v>
      </c>
      <c r="AO165" s="26"/>
      <c r="AP165" s="24">
        <v>0.0</v>
      </c>
      <c r="AQ165" s="26"/>
      <c r="AR165" s="25">
        <v>0.0</v>
      </c>
      <c r="AT165" s="25">
        <v>0.0</v>
      </c>
      <c r="AU165" s="26"/>
      <c r="AV165" s="35">
        <f t="shared" si="1"/>
        <v>4738.4</v>
      </c>
      <c r="AW165" s="33">
        <f t="shared" si="2"/>
        <v>420</v>
      </c>
      <c r="AX165" s="33">
        <f t="shared" si="3"/>
        <v>0</v>
      </c>
      <c r="AY165" s="33">
        <f t="shared" si="4"/>
        <v>420</v>
      </c>
      <c r="AZ165" s="30">
        <f t="shared" si="5"/>
        <v>11.28190476</v>
      </c>
    </row>
    <row r="166" ht="15.75" customHeight="1">
      <c r="A166" s="31" t="s">
        <v>34</v>
      </c>
      <c r="B166" s="32">
        <f t="shared" si="6"/>
        <v>44726</v>
      </c>
      <c r="C166" s="33">
        <v>6.0</v>
      </c>
      <c r="D166" s="33" t="s">
        <v>49</v>
      </c>
      <c r="E166" s="34"/>
      <c r="F166" s="24">
        <v>0.0</v>
      </c>
      <c r="H166" s="25">
        <v>0.0</v>
      </c>
      <c r="J166" s="25">
        <v>0.0</v>
      </c>
      <c r="L166" s="25">
        <v>0.0</v>
      </c>
      <c r="N166" s="25">
        <v>0.0</v>
      </c>
      <c r="P166" s="25">
        <v>0.0</v>
      </c>
      <c r="Q166" s="26"/>
      <c r="R166" s="24">
        <v>155.0</v>
      </c>
      <c r="T166" s="25">
        <v>155.0</v>
      </c>
      <c r="V166" s="25">
        <v>0.0</v>
      </c>
      <c r="X166" s="25">
        <v>0.0</v>
      </c>
      <c r="Z166" s="25">
        <v>0.0</v>
      </c>
      <c r="AB166" s="25">
        <v>0.0</v>
      </c>
      <c r="AC166" s="26"/>
      <c r="AD166" s="25">
        <v>0.0</v>
      </c>
      <c r="AF166" s="25">
        <v>55.0</v>
      </c>
      <c r="AH166" s="25">
        <v>55.0</v>
      </c>
      <c r="AJ166" s="27">
        <v>0.0</v>
      </c>
      <c r="AK166" s="26"/>
      <c r="AL166" s="24">
        <v>0.0</v>
      </c>
      <c r="AM166" s="26"/>
      <c r="AN166" s="24">
        <v>0.0</v>
      </c>
      <c r="AO166" s="26"/>
      <c r="AP166" s="24">
        <v>0.0</v>
      </c>
      <c r="AQ166" s="26"/>
      <c r="AR166" s="25">
        <v>0.0</v>
      </c>
      <c r="AT166" s="25">
        <v>0.0</v>
      </c>
      <c r="AU166" s="26"/>
      <c r="AV166" s="35">
        <f t="shared" si="1"/>
        <v>4738.4</v>
      </c>
      <c r="AW166" s="33">
        <f t="shared" si="2"/>
        <v>420</v>
      </c>
      <c r="AX166" s="33">
        <f t="shared" si="3"/>
        <v>0</v>
      </c>
      <c r="AY166" s="33">
        <f t="shared" si="4"/>
        <v>420</v>
      </c>
      <c r="AZ166" s="30">
        <f t="shared" si="5"/>
        <v>11.28190476</v>
      </c>
    </row>
    <row r="167" ht="15.75" customHeight="1">
      <c r="A167" s="31" t="s">
        <v>35</v>
      </c>
      <c r="B167" s="32">
        <f t="shared" si="6"/>
        <v>44727</v>
      </c>
      <c r="C167" s="33">
        <v>6.0</v>
      </c>
      <c r="D167" s="33" t="s">
        <v>49</v>
      </c>
      <c r="E167" s="34"/>
      <c r="F167" s="24">
        <v>0.0</v>
      </c>
      <c r="H167" s="25">
        <v>0.0</v>
      </c>
      <c r="J167" s="25">
        <v>0.0</v>
      </c>
      <c r="L167" s="25">
        <v>0.0</v>
      </c>
      <c r="N167" s="25">
        <v>0.0</v>
      </c>
      <c r="P167" s="25">
        <v>0.0</v>
      </c>
      <c r="Q167" s="26"/>
      <c r="R167" s="24">
        <v>155.0</v>
      </c>
      <c r="T167" s="25">
        <v>155.0</v>
      </c>
      <c r="V167" s="25">
        <v>0.0</v>
      </c>
      <c r="X167" s="25">
        <v>0.0</v>
      </c>
      <c r="Z167" s="25">
        <v>0.0</v>
      </c>
      <c r="AB167" s="25">
        <v>0.0</v>
      </c>
      <c r="AC167" s="26"/>
      <c r="AD167" s="25">
        <v>0.0</v>
      </c>
      <c r="AF167" s="25">
        <v>0.0</v>
      </c>
      <c r="AH167" s="25">
        <v>55.0</v>
      </c>
      <c r="AJ167" s="27">
        <v>0.0</v>
      </c>
      <c r="AK167" s="26"/>
      <c r="AL167" s="24">
        <v>0.0</v>
      </c>
      <c r="AM167" s="26"/>
      <c r="AN167" s="24">
        <v>0.0</v>
      </c>
      <c r="AO167" s="26"/>
      <c r="AP167" s="24">
        <v>0.0</v>
      </c>
      <c r="AQ167" s="26"/>
      <c r="AR167" s="25">
        <v>0.0</v>
      </c>
      <c r="AT167" s="25">
        <v>0.0</v>
      </c>
      <c r="AU167" s="26"/>
      <c r="AV167" s="35">
        <f t="shared" si="1"/>
        <v>3940.9</v>
      </c>
      <c r="AW167" s="33">
        <f t="shared" si="2"/>
        <v>365</v>
      </c>
      <c r="AX167" s="33">
        <f t="shared" si="3"/>
        <v>0</v>
      </c>
      <c r="AY167" s="33">
        <f t="shared" si="4"/>
        <v>365</v>
      </c>
      <c r="AZ167" s="30">
        <f t="shared" si="5"/>
        <v>10.7969863</v>
      </c>
    </row>
    <row r="168" ht="15.75" customHeight="1">
      <c r="A168" s="31" t="s">
        <v>38</v>
      </c>
      <c r="B168" s="32">
        <f t="shared" si="6"/>
        <v>44728</v>
      </c>
      <c r="C168" s="33">
        <v>6.0</v>
      </c>
      <c r="D168" s="33" t="s">
        <v>49</v>
      </c>
      <c r="E168" s="34"/>
      <c r="F168" s="24">
        <v>0.0</v>
      </c>
      <c r="H168" s="25">
        <v>0.0</v>
      </c>
      <c r="J168" s="25">
        <v>0.0</v>
      </c>
      <c r="L168" s="25">
        <v>0.0</v>
      </c>
      <c r="N168" s="25">
        <v>0.0</v>
      </c>
      <c r="P168" s="25">
        <v>0.0</v>
      </c>
      <c r="Q168" s="26"/>
      <c r="R168" s="24">
        <v>155.0</v>
      </c>
      <c r="T168" s="25">
        <v>155.0</v>
      </c>
      <c r="V168" s="25">
        <v>0.0</v>
      </c>
      <c r="X168" s="25">
        <v>0.0</v>
      </c>
      <c r="Z168" s="25">
        <v>0.0</v>
      </c>
      <c r="AB168" s="25">
        <v>0.0</v>
      </c>
      <c r="AC168" s="26"/>
      <c r="AD168" s="25">
        <v>0.0</v>
      </c>
      <c r="AF168" s="25">
        <v>55.0</v>
      </c>
      <c r="AH168" s="25">
        <v>55.0</v>
      </c>
      <c r="AJ168" s="27">
        <v>0.0</v>
      </c>
      <c r="AK168" s="26"/>
      <c r="AL168" s="24">
        <v>0.0</v>
      </c>
      <c r="AM168" s="26"/>
      <c r="AN168" s="24">
        <v>0.0</v>
      </c>
      <c r="AO168" s="26"/>
      <c r="AP168" s="24">
        <v>0.0</v>
      </c>
      <c r="AQ168" s="26"/>
      <c r="AR168" s="25">
        <v>0.0</v>
      </c>
      <c r="AT168" s="25">
        <v>0.0</v>
      </c>
      <c r="AU168" s="26"/>
      <c r="AV168" s="35">
        <f t="shared" si="1"/>
        <v>4738.4</v>
      </c>
      <c r="AW168" s="33">
        <f t="shared" si="2"/>
        <v>420</v>
      </c>
      <c r="AX168" s="33">
        <f t="shared" si="3"/>
        <v>0</v>
      </c>
      <c r="AY168" s="33">
        <f t="shared" si="4"/>
        <v>420</v>
      </c>
      <c r="AZ168" s="30">
        <f t="shared" si="5"/>
        <v>11.28190476</v>
      </c>
    </row>
    <row r="169" ht="15.75" customHeight="1">
      <c r="A169" s="31" t="s">
        <v>45</v>
      </c>
      <c r="B169" s="32">
        <f t="shared" si="6"/>
        <v>44729</v>
      </c>
      <c r="C169" s="33">
        <v>6.0</v>
      </c>
      <c r="D169" s="33" t="s">
        <v>49</v>
      </c>
      <c r="E169" s="34"/>
      <c r="F169" s="24">
        <v>0.0</v>
      </c>
      <c r="H169" s="25">
        <v>0.0</v>
      </c>
      <c r="J169" s="25">
        <v>0.0</v>
      </c>
      <c r="L169" s="25">
        <v>0.0</v>
      </c>
      <c r="N169" s="25">
        <v>0.0</v>
      </c>
      <c r="P169" s="25">
        <v>0.0</v>
      </c>
      <c r="Q169" s="26"/>
      <c r="R169" s="24">
        <v>155.0</v>
      </c>
      <c r="T169" s="25">
        <v>155.0</v>
      </c>
      <c r="V169" s="25">
        <v>0.0</v>
      </c>
      <c r="X169" s="25">
        <v>0.0</v>
      </c>
      <c r="Z169" s="25">
        <v>0.0</v>
      </c>
      <c r="AB169" s="25">
        <v>0.0</v>
      </c>
      <c r="AC169" s="26"/>
      <c r="AD169" s="25">
        <v>0.0</v>
      </c>
      <c r="AF169" s="25">
        <v>55.0</v>
      </c>
      <c r="AH169" s="25">
        <v>0.0</v>
      </c>
      <c r="AJ169" s="27">
        <v>0.0</v>
      </c>
      <c r="AK169" s="26"/>
      <c r="AL169" s="24">
        <v>0.0</v>
      </c>
      <c r="AM169" s="26"/>
      <c r="AN169" s="24">
        <v>0.0</v>
      </c>
      <c r="AO169" s="26"/>
      <c r="AP169" s="24">
        <v>0.0</v>
      </c>
      <c r="AQ169" s="26"/>
      <c r="AR169" s="25">
        <v>0.0</v>
      </c>
      <c r="AT169" s="25">
        <v>0.0</v>
      </c>
      <c r="AU169" s="26"/>
      <c r="AV169" s="35">
        <f t="shared" si="1"/>
        <v>3940.9</v>
      </c>
      <c r="AW169" s="33">
        <f t="shared" si="2"/>
        <v>365</v>
      </c>
      <c r="AX169" s="33">
        <f t="shared" si="3"/>
        <v>0</v>
      </c>
      <c r="AY169" s="33">
        <f t="shared" si="4"/>
        <v>365</v>
      </c>
      <c r="AZ169" s="30">
        <f t="shared" si="5"/>
        <v>10.7969863</v>
      </c>
    </row>
    <row r="170" ht="15.75" customHeight="1">
      <c r="A170" s="44" t="s">
        <v>46</v>
      </c>
      <c r="B170" s="45">
        <f t="shared" si="6"/>
        <v>44730</v>
      </c>
      <c r="C170" s="46">
        <v>6.0</v>
      </c>
      <c r="D170" s="46" t="s">
        <v>49</v>
      </c>
      <c r="E170" s="47"/>
      <c r="F170" s="49">
        <v>0.0</v>
      </c>
      <c r="G170" s="51"/>
      <c r="H170" s="52">
        <v>0.0</v>
      </c>
      <c r="I170" s="51"/>
      <c r="J170" s="52">
        <v>0.0</v>
      </c>
      <c r="K170" s="51"/>
      <c r="L170" s="52">
        <v>0.0</v>
      </c>
      <c r="M170" s="51"/>
      <c r="N170" s="52">
        <v>0.0</v>
      </c>
      <c r="O170" s="51"/>
      <c r="P170" s="52">
        <v>0.0</v>
      </c>
      <c r="Q170" s="53"/>
      <c r="R170" s="49"/>
      <c r="S170" s="51"/>
      <c r="T170" s="52"/>
      <c r="U170" s="51"/>
      <c r="V170" s="52">
        <v>0.0</v>
      </c>
      <c r="W170" s="51"/>
      <c r="X170" s="52">
        <v>0.0</v>
      </c>
      <c r="Y170" s="51"/>
      <c r="Z170" s="52">
        <v>0.0</v>
      </c>
      <c r="AA170" s="51"/>
      <c r="AB170" s="52">
        <v>0.0</v>
      </c>
      <c r="AC170" s="53"/>
      <c r="AD170" s="52">
        <v>0.0</v>
      </c>
      <c r="AE170" s="51"/>
      <c r="AF170" s="52">
        <v>0.0</v>
      </c>
      <c r="AG170" s="51"/>
      <c r="AH170" s="52">
        <v>0.0</v>
      </c>
      <c r="AI170" s="51"/>
      <c r="AJ170" s="54">
        <v>0.0</v>
      </c>
      <c r="AK170" s="53"/>
      <c r="AL170" s="49">
        <v>0.0</v>
      </c>
      <c r="AM170" s="53"/>
      <c r="AN170" s="49">
        <v>0.0</v>
      </c>
      <c r="AO170" s="53"/>
      <c r="AP170" s="49">
        <v>0.0</v>
      </c>
      <c r="AQ170" s="53"/>
      <c r="AR170" s="52">
        <v>0.0</v>
      </c>
      <c r="AS170" s="51"/>
      <c r="AT170" s="52">
        <v>0.0</v>
      </c>
      <c r="AU170" s="53"/>
      <c r="AV170" s="55">
        <f t="shared" si="1"/>
        <v>0</v>
      </c>
      <c r="AW170" s="46">
        <f t="shared" si="2"/>
        <v>0</v>
      </c>
      <c r="AX170" s="46">
        <f t="shared" si="3"/>
        <v>0</v>
      </c>
      <c r="AY170" s="46">
        <f t="shared" si="4"/>
        <v>0</v>
      </c>
      <c r="AZ170" s="56" t="str">
        <f t="shared" si="5"/>
        <v/>
      </c>
    </row>
    <row r="171" ht="15.75" customHeight="1">
      <c r="A171" s="19" t="s">
        <v>30</v>
      </c>
      <c r="B171" s="57">
        <f t="shared" si="6"/>
        <v>44731</v>
      </c>
      <c r="C171" s="21">
        <v>7.0</v>
      </c>
      <c r="D171" s="21" t="s">
        <v>31</v>
      </c>
      <c r="E171" s="23"/>
      <c r="F171" s="24">
        <v>0.0</v>
      </c>
      <c r="H171" s="25">
        <v>0.0</v>
      </c>
      <c r="J171" s="25">
        <v>0.0</v>
      </c>
      <c r="L171" s="25">
        <v>0.0</v>
      </c>
      <c r="N171" s="25">
        <v>0.0</v>
      </c>
      <c r="P171" s="25">
        <v>0.0</v>
      </c>
      <c r="Q171" s="26"/>
      <c r="R171" s="24">
        <v>155.0</v>
      </c>
      <c r="T171" s="25">
        <v>155.0</v>
      </c>
      <c r="V171" s="25">
        <v>0.0</v>
      </c>
      <c r="X171" s="25">
        <v>0.0</v>
      </c>
      <c r="Z171" s="25">
        <v>0.0</v>
      </c>
      <c r="AB171" s="25">
        <v>0.0</v>
      </c>
      <c r="AC171" s="26"/>
      <c r="AD171" s="25">
        <v>0.0</v>
      </c>
      <c r="AF171" s="25">
        <v>0.0</v>
      </c>
      <c r="AH171" s="25">
        <v>0.0</v>
      </c>
      <c r="AJ171" s="27">
        <v>0.0</v>
      </c>
      <c r="AK171" s="26"/>
      <c r="AL171" s="24">
        <v>0.0</v>
      </c>
      <c r="AM171" s="26"/>
      <c r="AN171" s="24">
        <v>0.0</v>
      </c>
      <c r="AO171" s="26"/>
      <c r="AP171" s="24">
        <v>0.0</v>
      </c>
      <c r="AQ171" s="26"/>
      <c r="AR171" s="25">
        <v>0.0</v>
      </c>
      <c r="AT171" s="25">
        <v>0.0</v>
      </c>
      <c r="AU171" s="26"/>
      <c r="AV171" s="29">
        <f t="shared" si="1"/>
        <v>3143.4</v>
      </c>
      <c r="AW171" s="21">
        <f t="shared" si="2"/>
        <v>310</v>
      </c>
      <c r="AX171" s="21">
        <f t="shared" si="3"/>
        <v>0</v>
      </c>
      <c r="AY171" s="21">
        <f t="shared" si="4"/>
        <v>310</v>
      </c>
      <c r="AZ171" s="58">
        <f t="shared" si="5"/>
        <v>10.14</v>
      </c>
    </row>
    <row r="172" ht="15.75" customHeight="1">
      <c r="A172" s="31" t="s">
        <v>33</v>
      </c>
      <c r="B172" s="32">
        <f t="shared" si="6"/>
        <v>44732</v>
      </c>
      <c r="C172" s="33">
        <v>7.0</v>
      </c>
      <c r="D172" s="33" t="s">
        <v>31</v>
      </c>
      <c r="E172" s="34"/>
      <c r="F172" s="24">
        <v>0.0</v>
      </c>
      <c r="H172" s="25">
        <v>0.0</v>
      </c>
      <c r="J172" s="25">
        <v>0.0</v>
      </c>
      <c r="L172" s="25">
        <v>0.0</v>
      </c>
      <c r="N172" s="25">
        <v>0.0</v>
      </c>
      <c r="P172" s="25">
        <v>0.0</v>
      </c>
      <c r="Q172" s="26"/>
      <c r="R172" s="24">
        <v>155.0</v>
      </c>
      <c r="T172" s="25">
        <v>155.0</v>
      </c>
      <c r="V172" s="25">
        <v>0.0</v>
      </c>
      <c r="X172" s="25">
        <v>0.0</v>
      </c>
      <c r="Z172" s="25">
        <v>0.0</v>
      </c>
      <c r="AB172" s="25">
        <v>0.0</v>
      </c>
      <c r="AC172" s="26"/>
      <c r="AD172" s="25">
        <v>0.0</v>
      </c>
      <c r="AF172" s="25">
        <v>55.0</v>
      </c>
      <c r="AH172" s="25">
        <v>55.0</v>
      </c>
      <c r="AJ172" s="27">
        <v>0.0</v>
      </c>
      <c r="AK172" s="26"/>
      <c r="AL172" s="24">
        <v>0.0</v>
      </c>
      <c r="AM172" s="26"/>
      <c r="AN172" s="24">
        <v>0.0</v>
      </c>
      <c r="AO172" s="26"/>
      <c r="AP172" s="24">
        <v>0.0</v>
      </c>
      <c r="AQ172" s="26"/>
      <c r="AR172" s="25">
        <v>0.0</v>
      </c>
      <c r="AT172" s="25">
        <v>0.0</v>
      </c>
      <c r="AU172" s="26"/>
      <c r="AV172" s="35">
        <f t="shared" si="1"/>
        <v>4738.4</v>
      </c>
      <c r="AW172" s="33">
        <f t="shared" si="2"/>
        <v>420</v>
      </c>
      <c r="AX172" s="33">
        <f t="shared" si="3"/>
        <v>0</v>
      </c>
      <c r="AY172" s="33">
        <f t="shared" si="4"/>
        <v>420</v>
      </c>
      <c r="AZ172" s="30">
        <f t="shared" si="5"/>
        <v>11.28190476</v>
      </c>
    </row>
    <row r="173" ht="15.75" customHeight="1">
      <c r="A173" s="31" t="s">
        <v>34</v>
      </c>
      <c r="B173" s="32">
        <f t="shared" si="6"/>
        <v>44733</v>
      </c>
      <c r="C173" s="33">
        <v>7.0</v>
      </c>
      <c r="D173" s="33" t="s">
        <v>31</v>
      </c>
      <c r="E173" s="34"/>
      <c r="F173" s="24">
        <v>0.0</v>
      </c>
      <c r="H173" s="25">
        <v>0.0</v>
      </c>
      <c r="J173" s="25">
        <v>0.0</v>
      </c>
      <c r="L173" s="25">
        <v>0.0</v>
      </c>
      <c r="N173" s="25">
        <v>0.0</v>
      </c>
      <c r="P173" s="25">
        <v>0.0</v>
      </c>
      <c r="Q173" s="26"/>
      <c r="R173" s="24">
        <v>155.0</v>
      </c>
      <c r="T173" s="25">
        <v>155.0</v>
      </c>
      <c r="V173" s="25">
        <v>0.0</v>
      </c>
      <c r="X173" s="25">
        <v>0.0</v>
      </c>
      <c r="Z173" s="25">
        <v>0.0</v>
      </c>
      <c r="AB173" s="25">
        <v>0.0</v>
      </c>
      <c r="AC173" s="26"/>
      <c r="AD173" s="25">
        <v>0.0</v>
      </c>
      <c r="AF173" s="25">
        <v>55.0</v>
      </c>
      <c r="AH173" s="25">
        <v>55.0</v>
      </c>
      <c r="AJ173" s="27">
        <v>0.0</v>
      </c>
      <c r="AK173" s="26"/>
      <c r="AL173" s="24">
        <v>0.0</v>
      </c>
      <c r="AM173" s="26"/>
      <c r="AN173" s="24">
        <v>0.0</v>
      </c>
      <c r="AO173" s="26"/>
      <c r="AP173" s="24">
        <v>0.0</v>
      </c>
      <c r="AQ173" s="26"/>
      <c r="AR173" s="25">
        <v>0.0</v>
      </c>
      <c r="AT173" s="25">
        <v>0.0</v>
      </c>
      <c r="AU173" s="26"/>
      <c r="AV173" s="35">
        <f t="shared" si="1"/>
        <v>4738.4</v>
      </c>
      <c r="AW173" s="33">
        <f t="shared" si="2"/>
        <v>420</v>
      </c>
      <c r="AX173" s="33">
        <f t="shared" si="3"/>
        <v>0</v>
      </c>
      <c r="AY173" s="33">
        <f t="shared" si="4"/>
        <v>420</v>
      </c>
      <c r="AZ173" s="30">
        <f t="shared" si="5"/>
        <v>11.28190476</v>
      </c>
    </row>
    <row r="174" ht="15.75" customHeight="1">
      <c r="A174" s="31" t="s">
        <v>35</v>
      </c>
      <c r="B174" s="32">
        <f t="shared" si="6"/>
        <v>44734</v>
      </c>
      <c r="C174" s="33">
        <v>7.0</v>
      </c>
      <c r="D174" s="33" t="s">
        <v>31</v>
      </c>
      <c r="E174" s="34"/>
      <c r="F174" s="24">
        <v>0.0</v>
      </c>
      <c r="H174" s="25">
        <v>0.0</v>
      </c>
      <c r="J174" s="25">
        <v>0.0</v>
      </c>
      <c r="L174" s="25">
        <v>0.0</v>
      </c>
      <c r="N174" s="25">
        <v>0.0</v>
      </c>
      <c r="P174" s="25">
        <v>0.0</v>
      </c>
      <c r="Q174" s="26"/>
      <c r="R174" s="24">
        <v>155.0</v>
      </c>
      <c r="T174" s="25">
        <v>155.0</v>
      </c>
      <c r="V174" s="25">
        <v>0.0</v>
      </c>
      <c r="X174" s="25">
        <v>0.0</v>
      </c>
      <c r="Z174" s="25">
        <v>0.0</v>
      </c>
      <c r="AB174" s="25">
        <v>0.0</v>
      </c>
      <c r="AC174" s="26"/>
      <c r="AD174" s="25">
        <v>0.0</v>
      </c>
      <c r="AF174" s="25">
        <v>0.0</v>
      </c>
      <c r="AH174" s="25">
        <v>55.0</v>
      </c>
      <c r="AJ174" s="27">
        <v>0.0</v>
      </c>
      <c r="AK174" s="26"/>
      <c r="AL174" s="24">
        <v>0.0</v>
      </c>
      <c r="AM174" s="26"/>
      <c r="AN174" s="24">
        <v>0.0</v>
      </c>
      <c r="AO174" s="26"/>
      <c r="AP174" s="24">
        <v>0.0</v>
      </c>
      <c r="AQ174" s="26"/>
      <c r="AR174" s="25">
        <v>0.0</v>
      </c>
      <c r="AT174" s="25">
        <v>0.0</v>
      </c>
      <c r="AU174" s="26"/>
      <c r="AV174" s="35">
        <f t="shared" si="1"/>
        <v>3940.9</v>
      </c>
      <c r="AW174" s="33">
        <f t="shared" si="2"/>
        <v>365</v>
      </c>
      <c r="AX174" s="33">
        <f t="shared" si="3"/>
        <v>0</v>
      </c>
      <c r="AY174" s="33">
        <f t="shared" si="4"/>
        <v>365</v>
      </c>
      <c r="AZ174" s="30">
        <f t="shared" si="5"/>
        <v>10.7969863</v>
      </c>
    </row>
    <row r="175" ht="15.75" customHeight="1">
      <c r="A175" s="31" t="s">
        <v>38</v>
      </c>
      <c r="B175" s="32">
        <f t="shared" si="6"/>
        <v>44735</v>
      </c>
      <c r="C175" s="33">
        <v>7.0</v>
      </c>
      <c r="D175" s="33" t="s">
        <v>31</v>
      </c>
      <c r="E175" s="34"/>
      <c r="F175" s="24">
        <v>0.0</v>
      </c>
      <c r="H175" s="25">
        <v>0.0</v>
      </c>
      <c r="J175" s="25">
        <v>0.0</v>
      </c>
      <c r="L175" s="25">
        <v>0.0</v>
      </c>
      <c r="N175" s="25">
        <v>0.0</v>
      </c>
      <c r="P175" s="25">
        <v>0.0</v>
      </c>
      <c r="Q175" s="26"/>
      <c r="R175" s="24">
        <v>155.0</v>
      </c>
      <c r="T175" s="25">
        <v>155.0</v>
      </c>
      <c r="V175" s="25">
        <v>0.0</v>
      </c>
      <c r="X175" s="25">
        <v>0.0</v>
      </c>
      <c r="Z175" s="25">
        <v>0.0</v>
      </c>
      <c r="AB175" s="25">
        <v>0.0</v>
      </c>
      <c r="AC175" s="26"/>
      <c r="AD175" s="25">
        <v>0.0</v>
      </c>
      <c r="AF175" s="25">
        <v>55.0</v>
      </c>
      <c r="AH175" s="25">
        <v>55.0</v>
      </c>
      <c r="AJ175" s="27">
        <v>0.0</v>
      </c>
      <c r="AK175" s="26"/>
      <c r="AL175" s="24">
        <v>0.0</v>
      </c>
      <c r="AM175" s="26"/>
      <c r="AN175" s="24">
        <v>0.0</v>
      </c>
      <c r="AO175" s="26"/>
      <c r="AP175" s="24">
        <v>0.0</v>
      </c>
      <c r="AQ175" s="26"/>
      <c r="AR175" s="25">
        <v>0.0</v>
      </c>
      <c r="AT175" s="25">
        <v>0.0</v>
      </c>
      <c r="AU175" s="26"/>
      <c r="AV175" s="35">
        <f t="shared" si="1"/>
        <v>4738.4</v>
      </c>
      <c r="AW175" s="33">
        <f t="shared" si="2"/>
        <v>420</v>
      </c>
      <c r="AX175" s="33">
        <f t="shared" si="3"/>
        <v>0</v>
      </c>
      <c r="AY175" s="33">
        <f t="shared" si="4"/>
        <v>420</v>
      </c>
      <c r="AZ175" s="30">
        <f t="shared" si="5"/>
        <v>11.28190476</v>
      </c>
    </row>
    <row r="176" ht="15.75" customHeight="1">
      <c r="A176" s="31" t="s">
        <v>45</v>
      </c>
      <c r="B176" s="32">
        <f t="shared" si="6"/>
        <v>44736</v>
      </c>
      <c r="C176" s="33">
        <v>7.0</v>
      </c>
      <c r="D176" s="33" t="s">
        <v>31</v>
      </c>
      <c r="E176" s="34"/>
      <c r="F176" s="24">
        <v>0.0</v>
      </c>
      <c r="H176" s="25">
        <v>0.0</v>
      </c>
      <c r="J176" s="25">
        <v>0.0</v>
      </c>
      <c r="L176" s="25">
        <v>0.0</v>
      </c>
      <c r="N176" s="25">
        <v>0.0</v>
      </c>
      <c r="P176" s="25">
        <v>0.0</v>
      </c>
      <c r="Q176" s="26"/>
      <c r="R176" s="24">
        <v>155.0</v>
      </c>
      <c r="T176" s="25">
        <v>155.0</v>
      </c>
      <c r="V176" s="25">
        <v>0.0</v>
      </c>
      <c r="X176" s="25">
        <v>0.0</v>
      </c>
      <c r="Z176" s="25">
        <v>0.0</v>
      </c>
      <c r="AB176" s="25">
        <v>0.0</v>
      </c>
      <c r="AC176" s="26"/>
      <c r="AD176" s="25">
        <v>0.0</v>
      </c>
      <c r="AF176" s="25">
        <v>55.0</v>
      </c>
      <c r="AH176" s="25">
        <v>0.0</v>
      </c>
      <c r="AJ176" s="27">
        <v>0.0</v>
      </c>
      <c r="AK176" s="26"/>
      <c r="AL176" s="24">
        <v>0.0</v>
      </c>
      <c r="AM176" s="26"/>
      <c r="AN176" s="24">
        <v>0.0</v>
      </c>
      <c r="AO176" s="26"/>
      <c r="AP176" s="24">
        <v>0.0</v>
      </c>
      <c r="AQ176" s="26"/>
      <c r="AR176" s="25">
        <v>0.0</v>
      </c>
      <c r="AT176" s="25">
        <v>0.0</v>
      </c>
      <c r="AU176" s="26"/>
      <c r="AV176" s="35">
        <f t="shared" si="1"/>
        <v>3940.9</v>
      </c>
      <c r="AW176" s="33">
        <f t="shared" si="2"/>
        <v>365</v>
      </c>
      <c r="AX176" s="33">
        <f t="shared" si="3"/>
        <v>0</v>
      </c>
      <c r="AY176" s="33">
        <f t="shared" si="4"/>
        <v>365</v>
      </c>
      <c r="AZ176" s="30">
        <f t="shared" si="5"/>
        <v>10.7969863</v>
      </c>
    </row>
    <row r="177" ht="15.75" customHeight="1">
      <c r="A177" s="44" t="s">
        <v>46</v>
      </c>
      <c r="B177" s="45">
        <f t="shared" si="6"/>
        <v>44737</v>
      </c>
      <c r="C177" s="46">
        <v>7.0</v>
      </c>
      <c r="D177" s="46" t="s">
        <v>31</v>
      </c>
      <c r="E177" s="47"/>
      <c r="F177" s="49">
        <v>0.0</v>
      </c>
      <c r="G177" s="51"/>
      <c r="H177" s="52">
        <v>0.0</v>
      </c>
      <c r="I177" s="51"/>
      <c r="J177" s="52">
        <v>0.0</v>
      </c>
      <c r="K177" s="51"/>
      <c r="L177" s="52">
        <v>0.0</v>
      </c>
      <c r="M177" s="51"/>
      <c r="N177" s="52">
        <v>0.0</v>
      </c>
      <c r="O177" s="51"/>
      <c r="P177" s="52">
        <v>0.0</v>
      </c>
      <c r="Q177" s="53"/>
      <c r="R177" s="49"/>
      <c r="S177" s="51"/>
      <c r="T177" s="52"/>
      <c r="U177" s="51"/>
      <c r="V177" s="52">
        <v>0.0</v>
      </c>
      <c r="W177" s="51"/>
      <c r="X177" s="52">
        <v>0.0</v>
      </c>
      <c r="Y177" s="51"/>
      <c r="Z177" s="52">
        <v>0.0</v>
      </c>
      <c r="AA177" s="51"/>
      <c r="AB177" s="52">
        <v>0.0</v>
      </c>
      <c r="AC177" s="53"/>
      <c r="AD177" s="52">
        <v>0.0</v>
      </c>
      <c r="AE177" s="51"/>
      <c r="AF177" s="52">
        <v>0.0</v>
      </c>
      <c r="AG177" s="51"/>
      <c r="AH177" s="52">
        <v>0.0</v>
      </c>
      <c r="AI177" s="51"/>
      <c r="AJ177" s="54">
        <v>0.0</v>
      </c>
      <c r="AK177" s="53"/>
      <c r="AL177" s="49">
        <v>0.0</v>
      </c>
      <c r="AM177" s="53"/>
      <c r="AN177" s="49">
        <v>0.0</v>
      </c>
      <c r="AO177" s="53"/>
      <c r="AP177" s="49">
        <v>0.0</v>
      </c>
      <c r="AQ177" s="53"/>
      <c r="AR177" s="52">
        <v>0.0</v>
      </c>
      <c r="AS177" s="51"/>
      <c r="AT177" s="52">
        <v>0.0</v>
      </c>
      <c r="AU177" s="53"/>
      <c r="AV177" s="55">
        <f t="shared" si="1"/>
        <v>0</v>
      </c>
      <c r="AW177" s="46">
        <f t="shared" si="2"/>
        <v>0</v>
      </c>
      <c r="AX177" s="46">
        <f t="shared" si="3"/>
        <v>0</v>
      </c>
      <c r="AY177" s="46">
        <f t="shared" si="4"/>
        <v>0</v>
      </c>
      <c r="AZ177" s="56" t="str">
        <f t="shared" si="5"/>
        <v/>
      </c>
    </row>
    <row r="178" ht="15.75" customHeight="1">
      <c r="A178" s="19" t="s">
        <v>30</v>
      </c>
      <c r="B178" s="57">
        <f t="shared" si="6"/>
        <v>44738</v>
      </c>
      <c r="C178" s="21">
        <v>7.0</v>
      </c>
      <c r="D178" s="21" t="s">
        <v>47</v>
      </c>
      <c r="E178" s="23"/>
      <c r="F178" s="24">
        <v>0.0</v>
      </c>
      <c r="H178" s="25">
        <v>0.0</v>
      </c>
      <c r="J178" s="25">
        <v>0.0</v>
      </c>
      <c r="L178" s="25">
        <v>0.0</v>
      </c>
      <c r="N178" s="25">
        <v>0.0</v>
      </c>
      <c r="P178" s="25">
        <v>0.0</v>
      </c>
      <c r="Q178" s="26"/>
      <c r="R178" s="24">
        <v>155.0</v>
      </c>
      <c r="T178" s="25">
        <v>155.0</v>
      </c>
      <c r="V178" s="25">
        <v>0.0</v>
      </c>
      <c r="X178" s="25">
        <v>0.0</v>
      </c>
      <c r="Z178" s="25">
        <v>0.0</v>
      </c>
      <c r="AB178" s="25">
        <v>0.0</v>
      </c>
      <c r="AC178" s="26"/>
      <c r="AD178" s="25">
        <v>0.0</v>
      </c>
      <c r="AF178" s="25">
        <v>0.0</v>
      </c>
      <c r="AH178" s="25">
        <v>0.0</v>
      </c>
      <c r="AJ178" s="27">
        <v>0.0</v>
      </c>
      <c r="AK178" s="26"/>
      <c r="AL178" s="24">
        <v>0.0</v>
      </c>
      <c r="AM178" s="26"/>
      <c r="AN178" s="24">
        <v>0.0</v>
      </c>
      <c r="AO178" s="26"/>
      <c r="AP178" s="24">
        <v>0.0</v>
      </c>
      <c r="AQ178" s="26"/>
      <c r="AR178" s="25">
        <v>0.0</v>
      </c>
      <c r="AT178" s="25">
        <v>0.0</v>
      </c>
      <c r="AU178" s="26"/>
      <c r="AV178" s="29">
        <f t="shared" si="1"/>
        <v>3143.4</v>
      </c>
      <c r="AW178" s="21">
        <f t="shared" si="2"/>
        <v>310</v>
      </c>
      <c r="AX178" s="21">
        <f t="shared" si="3"/>
        <v>0</v>
      </c>
      <c r="AY178" s="21">
        <f t="shared" si="4"/>
        <v>310</v>
      </c>
      <c r="AZ178" s="58">
        <f t="shared" si="5"/>
        <v>10.14</v>
      </c>
    </row>
    <row r="179" ht="15.75" customHeight="1">
      <c r="A179" s="31" t="s">
        <v>33</v>
      </c>
      <c r="B179" s="32">
        <f t="shared" si="6"/>
        <v>44739</v>
      </c>
      <c r="C179" s="33">
        <v>7.0</v>
      </c>
      <c r="D179" s="33" t="s">
        <v>47</v>
      </c>
      <c r="E179" s="34"/>
      <c r="F179" s="24">
        <v>0.0</v>
      </c>
      <c r="H179" s="25">
        <v>0.0</v>
      </c>
      <c r="J179" s="25">
        <v>0.0</v>
      </c>
      <c r="L179" s="25">
        <v>0.0</v>
      </c>
      <c r="N179" s="25">
        <v>0.0</v>
      </c>
      <c r="P179" s="25">
        <v>0.0</v>
      </c>
      <c r="Q179" s="26"/>
      <c r="R179" s="24">
        <v>155.0</v>
      </c>
      <c r="T179" s="25">
        <v>155.0</v>
      </c>
      <c r="V179" s="25">
        <v>0.0</v>
      </c>
      <c r="X179" s="25">
        <v>0.0</v>
      </c>
      <c r="Z179" s="25">
        <v>0.0</v>
      </c>
      <c r="AB179" s="25">
        <v>0.0</v>
      </c>
      <c r="AC179" s="26"/>
      <c r="AD179" s="25">
        <v>0.0</v>
      </c>
      <c r="AF179" s="25">
        <v>0.0</v>
      </c>
      <c r="AH179" s="25">
        <v>0.0</v>
      </c>
      <c r="AJ179" s="27">
        <v>0.0</v>
      </c>
      <c r="AK179" s="26"/>
      <c r="AL179" s="24">
        <v>0.0</v>
      </c>
      <c r="AM179" s="26"/>
      <c r="AN179" s="24">
        <v>0.0</v>
      </c>
      <c r="AO179" s="26"/>
      <c r="AP179" s="24">
        <v>0.0</v>
      </c>
      <c r="AQ179" s="26"/>
      <c r="AR179" s="25">
        <v>0.0</v>
      </c>
      <c r="AT179" s="25">
        <v>0.0</v>
      </c>
      <c r="AU179" s="26"/>
      <c r="AV179" s="35">
        <f t="shared" si="1"/>
        <v>3143.4</v>
      </c>
      <c r="AW179" s="33">
        <f t="shared" si="2"/>
        <v>310</v>
      </c>
      <c r="AX179" s="33">
        <f t="shared" si="3"/>
        <v>0</v>
      </c>
      <c r="AY179" s="33">
        <f t="shared" si="4"/>
        <v>310</v>
      </c>
      <c r="AZ179" s="30">
        <f t="shared" si="5"/>
        <v>10.14</v>
      </c>
    </row>
    <row r="180" ht="15.75" customHeight="1">
      <c r="A180" s="31" t="s">
        <v>34</v>
      </c>
      <c r="B180" s="32">
        <f t="shared" si="6"/>
        <v>44740</v>
      </c>
      <c r="C180" s="33">
        <v>7.0</v>
      </c>
      <c r="D180" s="33" t="s">
        <v>47</v>
      </c>
      <c r="E180" s="34"/>
      <c r="F180" s="24">
        <v>0.0</v>
      </c>
      <c r="H180" s="25">
        <v>0.0</v>
      </c>
      <c r="J180" s="25">
        <v>0.0</v>
      </c>
      <c r="L180" s="25">
        <v>0.0</v>
      </c>
      <c r="N180" s="25">
        <v>0.0</v>
      </c>
      <c r="P180" s="25">
        <v>0.0</v>
      </c>
      <c r="Q180" s="26"/>
      <c r="R180" s="24">
        <v>155.0</v>
      </c>
      <c r="T180" s="25">
        <v>155.0</v>
      </c>
      <c r="V180" s="25">
        <v>0.0</v>
      </c>
      <c r="X180" s="25">
        <v>0.0</v>
      </c>
      <c r="Z180" s="25">
        <v>0.0</v>
      </c>
      <c r="AB180" s="25">
        <v>0.0</v>
      </c>
      <c r="AC180" s="26"/>
      <c r="AD180" s="25">
        <v>0.0</v>
      </c>
      <c r="AF180" s="25">
        <v>0.0</v>
      </c>
      <c r="AH180" s="25">
        <v>0.0</v>
      </c>
      <c r="AJ180" s="27">
        <v>0.0</v>
      </c>
      <c r="AK180" s="26"/>
      <c r="AL180" s="24">
        <v>0.0</v>
      </c>
      <c r="AM180" s="26"/>
      <c r="AN180" s="24">
        <v>0.0</v>
      </c>
      <c r="AO180" s="26"/>
      <c r="AP180" s="24">
        <v>0.0</v>
      </c>
      <c r="AQ180" s="26"/>
      <c r="AR180" s="25">
        <v>0.0</v>
      </c>
      <c r="AT180" s="25">
        <v>0.0</v>
      </c>
      <c r="AU180" s="26"/>
      <c r="AV180" s="35">
        <f t="shared" si="1"/>
        <v>3143.4</v>
      </c>
      <c r="AW180" s="33">
        <f t="shared" si="2"/>
        <v>310</v>
      </c>
      <c r="AX180" s="33">
        <f t="shared" si="3"/>
        <v>0</v>
      </c>
      <c r="AY180" s="33">
        <f t="shared" si="4"/>
        <v>310</v>
      </c>
      <c r="AZ180" s="30">
        <f t="shared" si="5"/>
        <v>10.14</v>
      </c>
    </row>
    <row r="181" ht="15.75" customHeight="1">
      <c r="A181" s="31" t="s">
        <v>35</v>
      </c>
      <c r="B181" s="32">
        <f t="shared" si="6"/>
        <v>44741</v>
      </c>
      <c r="C181" s="33">
        <v>7.0</v>
      </c>
      <c r="D181" s="33" t="s">
        <v>47</v>
      </c>
      <c r="E181" s="34"/>
      <c r="F181" s="24">
        <v>0.0</v>
      </c>
      <c r="H181" s="25">
        <v>0.0</v>
      </c>
      <c r="J181" s="25">
        <v>0.0</v>
      </c>
      <c r="L181" s="25">
        <v>0.0</v>
      </c>
      <c r="N181" s="25">
        <v>0.0</v>
      </c>
      <c r="P181" s="25">
        <v>0.0</v>
      </c>
      <c r="Q181" s="26"/>
      <c r="R181" s="24">
        <v>155.0</v>
      </c>
      <c r="T181" s="25">
        <v>155.0</v>
      </c>
      <c r="V181" s="25">
        <v>0.0</v>
      </c>
      <c r="X181" s="25">
        <v>0.0</v>
      </c>
      <c r="Z181" s="25">
        <v>0.0</v>
      </c>
      <c r="AB181" s="25">
        <v>0.0</v>
      </c>
      <c r="AC181" s="26"/>
      <c r="AD181" s="25">
        <v>0.0</v>
      </c>
      <c r="AF181" s="25">
        <v>0.0</v>
      </c>
      <c r="AH181" s="25">
        <v>0.0</v>
      </c>
      <c r="AJ181" s="27">
        <v>0.0</v>
      </c>
      <c r="AK181" s="26"/>
      <c r="AL181" s="24">
        <v>0.0</v>
      </c>
      <c r="AM181" s="26"/>
      <c r="AN181" s="24">
        <v>0.0</v>
      </c>
      <c r="AO181" s="26"/>
      <c r="AP181" s="24">
        <v>0.0</v>
      </c>
      <c r="AQ181" s="26"/>
      <c r="AR181" s="25">
        <v>0.0</v>
      </c>
      <c r="AT181" s="25">
        <v>0.0</v>
      </c>
      <c r="AU181" s="26"/>
      <c r="AV181" s="35">
        <f t="shared" si="1"/>
        <v>3143.4</v>
      </c>
      <c r="AW181" s="33">
        <f t="shared" si="2"/>
        <v>310</v>
      </c>
      <c r="AX181" s="33">
        <f t="shared" si="3"/>
        <v>0</v>
      </c>
      <c r="AY181" s="33">
        <f t="shared" si="4"/>
        <v>310</v>
      </c>
      <c r="AZ181" s="30">
        <f t="shared" si="5"/>
        <v>10.14</v>
      </c>
    </row>
    <row r="182" ht="15.75" customHeight="1">
      <c r="A182" s="31" t="s">
        <v>38</v>
      </c>
      <c r="B182" s="32">
        <f t="shared" si="6"/>
        <v>44742</v>
      </c>
      <c r="C182" s="33">
        <v>7.0</v>
      </c>
      <c r="D182" s="33" t="s">
        <v>47</v>
      </c>
      <c r="E182" s="34"/>
      <c r="F182" s="24">
        <v>0.0</v>
      </c>
      <c r="H182" s="25">
        <v>0.0</v>
      </c>
      <c r="J182" s="25">
        <v>0.0</v>
      </c>
      <c r="L182" s="25">
        <v>0.0</v>
      </c>
      <c r="N182" s="25">
        <v>0.0</v>
      </c>
      <c r="P182" s="25">
        <v>0.0</v>
      </c>
      <c r="Q182" s="26"/>
      <c r="R182" s="24">
        <v>155.0</v>
      </c>
      <c r="T182" s="25">
        <v>155.0</v>
      </c>
      <c r="V182" s="25">
        <v>0.0</v>
      </c>
      <c r="X182" s="25">
        <v>0.0</v>
      </c>
      <c r="Z182" s="25">
        <v>0.0</v>
      </c>
      <c r="AB182" s="25">
        <v>0.0</v>
      </c>
      <c r="AC182" s="26"/>
      <c r="AD182" s="25">
        <v>0.0</v>
      </c>
      <c r="AF182" s="25">
        <v>0.0</v>
      </c>
      <c r="AH182" s="25">
        <v>0.0</v>
      </c>
      <c r="AJ182" s="27">
        <v>0.0</v>
      </c>
      <c r="AK182" s="26"/>
      <c r="AL182" s="24">
        <v>0.0</v>
      </c>
      <c r="AM182" s="26"/>
      <c r="AN182" s="24">
        <v>0.0</v>
      </c>
      <c r="AO182" s="26"/>
      <c r="AP182" s="24">
        <v>0.0</v>
      </c>
      <c r="AQ182" s="26"/>
      <c r="AR182" s="25">
        <v>0.0</v>
      </c>
      <c r="AT182" s="25">
        <v>0.0</v>
      </c>
      <c r="AU182" s="26"/>
      <c r="AV182" s="35">
        <f t="shared" si="1"/>
        <v>3143.4</v>
      </c>
      <c r="AW182" s="33">
        <f t="shared" si="2"/>
        <v>310</v>
      </c>
      <c r="AX182" s="33">
        <f t="shared" si="3"/>
        <v>0</v>
      </c>
      <c r="AY182" s="33">
        <f t="shared" si="4"/>
        <v>310</v>
      </c>
      <c r="AZ182" s="30">
        <f t="shared" si="5"/>
        <v>10.14</v>
      </c>
    </row>
    <row r="183" ht="15.75" customHeight="1">
      <c r="A183" s="31" t="s">
        <v>45</v>
      </c>
      <c r="B183" s="32">
        <f t="shared" si="6"/>
        <v>44743</v>
      </c>
      <c r="C183" s="33">
        <v>7.0</v>
      </c>
      <c r="D183" s="33" t="s">
        <v>47</v>
      </c>
      <c r="E183" s="34"/>
      <c r="F183" s="24">
        <v>0.0</v>
      </c>
      <c r="H183" s="25">
        <v>0.0</v>
      </c>
      <c r="J183" s="25">
        <v>0.0</v>
      </c>
      <c r="L183" s="25">
        <v>0.0</v>
      </c>
      <c r="N183" s="25">
        <v>0.0</v>
      </c>
      <c r="P183" s="25">
        <v>0.0</v>
      </c>
      <c r="Q183" s="26"/>
      <c r="R183" s="24">
        <v>155.0</v>
      </c>
      <c r="T183" s="25">
        <v>155.0</v>
      </c>
      <c r="V183" s="25">
        <v>0.0</v>
      </c>
      <c r="X183" s="25">
        <v>0.0</v>
      </c>
      <c r="Z183" s="25">
        <v>0.0</v>
      </c>
      <c r="AB183" s="25">
        <v>0.0</v>
      </c>
      <c r="AC183" s="26"/>
      <c r="AD183" s="25">
        <v>0.0</v>
      </c>
      <c r="AF183" s="25">
        <v>0.0</v>
      </c>
      <c r="AH183" s="25">
        <v>0.0</v>
      </c>
      <c r="AJ183" s="27">
        <v>0.0</v>
      </c>
      <c r="AK183" s="26"/>
      <c r="AL183" s="24">
        <v>0.0</v>
      </c>
      <c r="AM183" s="26"/>
      <c r="AN183" s="24">
        <v>0.0</v>
      </c>
      <c r="AO183" s="26"/>
      <c r="AP183" s="24">
        <v>0.0</v>
      </c>
      <c r="AQ183" s="26"/>
      <c r="AR183" s="25">
        <v>0.0</v>
      </c>
      <c r="AT183" s="25">
        <v>0.0</v>
      </c>
      <c r="AU183" s="26"/>
      <c r="AV183" s="35">
        <f t="shared" si="1"/>
        <v>3143.4</v>
      </c>
      <c r="AW183" s="33">
        <f t="shared" si="2"/>
        <v>310</v>
      </c>
      <c r="AX183" s="33">
        <f t="shared" si="3"/>
        <v>0</v>
      </c>
      <c r="AY183" s="33">
        <f t="shared" si="4"/>
        <v>310</v>
      </c>
      <c r="AZ183" s="30">
        <f t="shared" si="5"/>
        <v>10.14</v>
      </c>
    </row>
    <row r="184" ht="15.75" customHeight="1">
      <c r="A184" s="44" t="s">
        <v>46</v>
      </c>
      <c r="B184" s="45">
        <f t="shared" si="6"/>
        <v>44744</v>
      </c>
      <c r="C184" s="46">
        <v>7.0</v>
      </c>
      <c r="D184" s="46" t="s">
        <v>47</v>
      </c>
      <c r="E184" s="47"/>
      <c r="F184" s="49">
        <v>0.0</v>
      </c>
      <c r="G184" s="51"/>
      <c r="H184" s="52">
        <v>0.0</v>
      </c>
      <c r="I184" s="51"/>
      <c r="J184" s="52">
        <v>0.0</v>
      </c>
      <c r="K184" s="51"/>
      <c r="L184" s="52">
        <v>0.0</v>
      </c>
      <c r="M184" s="51"/>
      <c r="N184" s="52">
        <v>0.0</v>
      </c>
      <c r="O184" s="51"/>
      <c r="P184" s="52">
        <v>0.0</v>
      </c>
      <c r="Q184" s="53"/>
      <c r="R184" s="49">
        <v>0.0</v>
      </c>
      <c r="S184" s="51"/>
      <c r="T184" s="52">
        <v>0.0</v>
      </c>
      <c r="U184" s="51"/>
      <c r="V184" s="52">
        <v>0.0</v>
      </c>
      <c r="W184" s="51"/>
      <c r="X184" s="52">
        <v>0.0</v>
      </c>
      <c r="Y184" s="51"/>
      <c r="Z184" s="52">
        <v>0.0</v>
      </c>
      <c r="AA184" s="51"/>
      <c r="AB184" s="52">
        <v>0.0</v>
      </c>
      <c r="AC184" s="53"/>
      <c r="AD184" s="52">
        <v>0.0</v>
      </c>
      <c r="AE184" s="51"/>
      <c r="AF184" s="52">
        <v>0.0</v>
      </c>
      <c r="AG184" s="51"/>
      <c r="AH184" s="52">
        <v>0.0</v>
      </c>
      <c r="AI184" s="51"/>
      <c r="AJ184" s="54">
        <v>0.0</v>
      </c>
      <c r="AK184" s="53"/>
      <c r="AL184" s="49">
        <v>0.0</v>
      </c>
      <c r="AM184" s="53"/>
      <c r="AN184" s="49">
        <v>0.0</v>
      </c>
      <c r="AO184" s="53"/>
      <c r="AP184" s="49">
        <v>0.0</v>
      </c>
      <c r="AQ184" s="53"/>
      <c r="AR184" s="52">
        <v>0.0</v>
      </c>
      <c r="AS184" s="51"/>
      <c r="AT184" s="52">
        <v>0.0</v>
      </c>
      <c r="AU184" s="53"/>
      <c r="AV184" s="55">
        <f t="shared" si="1"/>
        <v>0</v>
      </c>
      <c r="AW184" s="46">
        <f t="shared" si="2"/>
        <v>0</v>
      </c>
      <c r="AX184" s="46">
        <f t="shared" si="3"/>
        <v>0</v>
      </c>
      <c r="AY184" s="46">
        <f t="shared" si="4"/>
        <v>0</v>
      </c>
      <c r="AZ184" s="56" t="str">
        <f t="shared" si="5"/>
        <v/>
      </c>
    </row>
    <row r="185" ht="15.75" customHeight="1">
      <c r="A185" s="19" t="s">
        <v>30</v>
      </c>
      <c r="B185" s="57">
        <f t="shared" si="6"/>
        <v>44745</v>
      </c>
      <c r="C185" s="21">
        <v>7.0</v>
      </c>
      <c r="D185" s="21" t="s">
        <v>48</v>
      </c>
      <c r="E185" s="23"/>
      <c r="F185" s="24">
        <v>0.0</v>
      </c>
      <c r="H185" s="25">
        <v>0.0</v>
      </c>
      <c r="J185" s="25">
        <v>0.0</v>
      </c>
      <c r="L185" s="25">
        <v>0.0</v>
      </c>
      <c r="N185" s="25">
        <v>0.0</v>
      </c>
      <c r="P185" s="25">
        <v>0.0</v>
      </c>
      <c r="Q185" s="26"/>
      <c r="R185" s="24">
        <v>155.0</v>
      </c>
      <c r="T185" s="25">
        <v>155.0</v>
      </c>
      <c r="V185" s="25">
        <v>0.0</v>
      </c>
      <c r="X185" s="25">
        <v>0.0</v>
      </c>
      <c r="Z185" s="25">
        <v>0.0</v>
      </c>
      <c r="AB185" s="25">
        <v>0.0</v>
      </c>
      <c r="AC185" s="26"/>
      <c r="AD185" s="25">
        <v>0.0</v>
      </c>
      <c r="AF185" s="25">
        <v>0.0</v>
      </c>
      <c r="AH185" s="25">
        <v>0.0</v>
      </c>
      <c r="AJ185" s="27">
        <v>0.0</v>
      </c>
      <c r="AK185" s="26"/>
      <c r="AL185" s="24">
        <v>0.0</v>
      </c>
      <c r="AM185" s="26"/>
      <c r="AN185" s="24">
        <v>0.0</v>
      </c>
      <c r="AO185" s="26"/>
      <c r="AP185" s="24">
        <v>0.0</v>
      </c>
      <c r="AQ185" s="26"/>
      <c r="AR185" s="25">
        <v>0.0</v>
      </c>
      <c r="AT185" s="25">
        <v>0.0</v>
      </c>
      <c r="AU185" s="26"/>
      <c r="AV185" s="29">
        <f t="shared" si="1"/>
        <v>3143.4</v>
      </c>
      <c r="AW185" s="21">
        <f t="shared" si="2"/>
        <v>310</v>
      </c>
      <c r="AX185" s="21">
        <f t="shared" si="3"/>
        <v>0</v>
      </c>
      <c r="AY185" s="21">
        <f t="shared" si="4"/>
        <v>310</v>
      </c>
      <c r="AZ185" s="58">
        <f t="shared" si="5"/>
        <v>10.14</v>
      </c>
    </row>
    <row r="186" ht="15.75" customHeight="1">
      <c r="A186" s="31" t="s">
        <v>33</v>
      </c>
      <c r="B186" s="32">
        <f t="shared" si="6"/>
        <v>44746</v>
      </c>
      <c r="C186" s="33">
        <v>7.0</v>
      </c>
      <c r="D186" s="33" t="s">
        <v>48</v>
      </c>
      <c r="E186" s="34"/>
      <c r="F186" s="24">
        <v>0.0</v>
      </c>
      <c r="H186" s="25">
        <v>0.0</v>
      </c>
      <c r="J186" s="25">
        <v>0.0</v>
      </c>
      <c r="L186" s="25">
        <v>0.0</v>
      </c>
      <c r="N186" s="25">
        <v>0.0</v>
      </c>
      <c r="P186" s="25">
        <v>0.0</v>
      </c>
      <c r="Q186" s="26"/>
      <c r="R186" s="24">
        <v>155.0</v>
      </c>
      <c r="T186" s="25">
        <v>155.0</v>
      </c>
      <c r="V186" s="25">
        <v>0.0</v>
      </c>
      <c r="X186" s="25">
        <v>0.0</v>
      </c>
      <c r="Z186" s="25">
        <v>0.0</v>
      </c>
      <c r="AB186" s="25">
        <v>0.0</v>
      </c>
      <c r="AC186" s="26"/>
      <c r="AD186" s="25">
        <v>0.0</v>
      </c>
      <c r="AF186" s="25">
        <v>50.0</v>
      </c>
      <c r="AH186" s="25">
        <v>50.0</v>
      </c>
      <c r="AJ186" s="27">
        <v>0.0</v>
      </c>
      <c r="AK186" s="26"/>
      <c r="AL186" s="24">
        <v>0.0</v>
      </c>
      <c r="AM186" s="26"/>
      <c r="AN186" s="24">
        <v>0.0</v>
      </c>
      <c r="AO186" s="26"/>
      <c r="AP186" s="24">
        <v>0.0</v>
      </c>
      <c r="AQ186" s="26"/>
      <c r="AR186" s="25">
        <v>0.0</v>
      </c>
      <c r="AT186" s="25">
        <v>0.0</v>
      </c>
      <c r="AU186" s="26"/>
      <c r="AV186" s="35">
        <f t="shared" si="1"/>
        <v>4593.4</v>
      </c>
      <c r="AW186" s="33">
        <f t="shared" si="2"/>
        <v>410</v>
      </c>
      <c r="AX186" s="33">
        <f t="shared" si="3"/>
        <v>0</v>
      </c>
      <c r="AY186" s="33">
        <f t="shared" si="4"/>
        <v>410</v>
      </c>
      <c r="AZ186" s="30">
        <f t="shared" si="5"/>
        <v>11.20341463</v>
      </c>
    </row>
    <row r="187" ht="15.75" customHeight="1">
      <c r="A187" s="31" t="s">
        <v>34</v>
      </c>
      <c r="B187" s="32">
        <f t="shared" si="6"/>
        <v>44747</v>
      </c>
      <c r="C187" s="33">
        <v>7.0</v>
      </c>
      <c r="D187" s="33" t="s">
        <v>48</v>
      </c>
      <c r="E187" s="34"/>
      <c r="F187" s="24">
        <v>0.0</v>
      </c>
      <c r="H187" s="25">
        <v>0.0</v>
      </c>
      <c r="J187" s="25">
        <v>0.0</v>
      </c>
      <c r="L187" s="25">
        <v>0.0</v>
      </c>
      <c r="N187" s="25">
        <v>0.0</v>
      </c>
      <c r="P187" s="25">
        <v>0.0</v>
      </c>
      <c r="Q187" s="26"/>
      <c r="R187" s="24">
        <v>155.0</v>
      </c>
      <c r="T187" s="25">
        <v>50.0</v>
      </c>
      <c r="V187" s="25">
        <v>0.0</v>
      </c>
      <c r="X187" s="25">
        <v>0.0</v>
      </c>
      <c r="Z187" s="25">
        <v>0.0</v>
      </c>
      <c r="AB187" s="25">
        <v>0.0</v>
      </c>
      <c r="AC187" s="26"/>
      <c r="AD187" s="25">
        <v>0.0</v>
      </c>
      <c r="AF187" s="25">
        <v>50.0</v>
      </c>
      <c r="AH187" s="25">
        <v>50.0</v>
      </c>
      <c r="AJ187" s="27">
        <v>0.0</v>
      </c>
      <c r="AK187" s="26"/>
      <c r="AL187" s="24">
        <v>0.0</v>
      </c>
      <c r="AM187" s="26"/>
      <c r="AN187" s="24">
        <v>0.0</v>
      </c>
      <c r="AO187" s="26"/>
      <c r="AP187" s="24">
        <v>0.0</v>
      </c>
      <c r="AQ187" s="26"/>
      <c r="AR187" s="25">
        <v>0.0</v>
      </c>
      <c r="AT187" s="25">
        <v>0.0</v>
      </c>
      <c r="AU187" s="26"/>
      <c r="AV187" s="35">
        <f t="shared" si="1"/>
        <v>3528.7</v>
      </c>
      <c r="AW187" s="33">
        <f t="shared" si="2"/>
        <v>305</v>
      </c>
      <c r="AX187" s="33">
        <f t="shared" si="3"/>
        <v>0</v>
      </c>
      <c r="AY187" s="33">
        <f t="shared" si="4"/>
        <v>305</v>
      </c>
      <c r="AZ187" s="30">
        <f t="shared" si="5"/>
        <v>11.5695082</v>
      </c>
    </row>
    <row r="188" ht="15.75" customHeight="1">
      <c r="A188" s="31" t="s">
        <v>35</v>
      </c>
      <c r="B188" s="32">
        <f t="shared" si="6"/>
        <v>44748</v>
      </c>
      <c r="C188" s="33">
        <v>7.0</v>
      </c>
      <c r="D188" s="33" t="s">
        <v>48</v>
      </c>
      <c r="E188" s="34"/>
      <c r="F188" s="24">
        <v>0.0</v>
      </c>
      <c r="H188" s="25">
        <v>0.0</v>
      </c>
      <c r="J188" s="25">
        <v>0.0</v>
      </c>
      <c r="L188" s="25">
        <v>0.0</v>
      </c>
      <c r="N188" s="25">
        <v>0.0</v>
      </c>
      <c r="P188" s="25">
        <v>0.0</v>
      </c>
      <c r="Q188" s="26"/>
      <c r="R188" s="24">
        <v>155.0</v>
      </c>
      <c r="T188" s="25">
        <v>155.0</v>
      </c>
      <c r="V188" s="25">
        <v>0.0</v>
      </c>
      <c r="X188" s="25">
        <v>0.0</v>
      </c>
      <c r="Z188" s="25">
        <v>0.0</v>
      </c>
      <c r="AB188" s="25">
        <v>0.0</v>
      </c>
      <c r="AC188" s="26"/>
      <c r="AD188" s="25">
        <v>0.0</v>
      </c>
      <c r="AF188" s="25">
        <v>0.0</v>
      </c>
      <c r="AH188" s="25">
        <v>50.0</v>
      </c>
      <c r="AJ188" s="27">
        <v>0.0</v>
      </c>
      <c r="AK188" s="26"/>
      <c r="AL188" s="24">
        <v>0.0</v>
      </c>
      <c r="AM188" s="26"/>
      <c r="AN188" s="24">
        <v>0.0</v>
      </c>
      <c r="AO188" s="26"/>
      <c r="AP188" s="24">
        <v>0.0</v>
      </c>
      <c r="AQ188" s="26"/>
      <c r="AR188" s="25">
        <v>0.0</v>
      </c>
      <c r="AT188" s="25">
        <v>0.0</v>
      </c>
      <c r="AU188" s="26"/>
      <c r="AV188" s="35">
        <f t="shared" si="1"/>
        <v>3868.4</v>
      </c>
      <c r="AW188" s="33">
        <f t="shared" si="2"/>
        <v>360</v>
      </c>
      <c r="AX188" s="33">
        <f t="shared" si="3"/>
        <v>0</v>
      </c>
      <c r="AY188" s="33">
        <f t="shared" si="4"/>
        <v>360</v>
      </c>
      <c r="AZ188" s="30">
        <f t="shared" si="5"/>
        <v>10.74555556</v>
      </c>
    </row>
    <row r="189" ht="15.75" customHeight="1">
      <c r="A189" s="31" t="s">
        <v>38</v>
      </c>
      <c r="B189" s="32">
        <f t="shared" si="6"/>
        <v>44749</v>
      </c>
      <c r="C189" s="33">
        <v>7.0</v>
      </c>
      <c r="D189" s="33" t="s">
        <v>48</v>
      </c>
      <c r="E189" s="34"/>
      <c r="F189" s="24">
        <v>0.0</v>
      </c>
      <c r="H189" s="25">
        <v>0.0</v>
      </c>
      <c r="J189" s="25">
        <v>0.0</v>
      </c>
      <c r="L189" s="25">
        <v>0.0</v>
      </c>
      <c r="N189" s="25">
        <v>0.0</v>
      </c>
      <c r="P189" s="25">
        <v>0.0</v>
      </c>
      <c r="Q189" s="26"/>
      <c r="R189" s="24">
        <v>155.0</v>
      </c>
      <c r="T189" s="25">
        <v>115.0</v>
      </c>
      <c r="V189" s="25">
        <v>0.0</v>
      </c>
      <c r="X189" s="25">
        <v>0.0</v>
      </c>
      <c r="Z189" s="25">
        <v>0.0</v>
      </c>
      <c r="AB189" s="25">
        <v>0.0</v>
      </c>
      <c r="AC189" s="26"/>
      <c r="AD189" s="25">
        <v>0.0</v>
      </c>
      <c r="AF189" s="25">
        <v>50.0</v>
      </c>
      <c r="AH189" s="25">
        <v>50.0</v>
      </c>
      <c r="AJ189" s="27">
        <v>0.0</v>
      </c>
      <c r="AK189" s="26"/>
      <c r="AL189" s="24">
        <v>0.0</v>
      </c>
      <c r="AM189" s="26"/>
      <c r="AN189" s="24">
        <v>0.0</v>
      </c>
      <c r="AO189" s="26"/>
      <c r="AP189" s="24">
        <v>0.0</v>
      </c>
      <c r="AQ189" s="26"/>
      <c r="AR189" s="25">
        <v>0.0</v>
      </c>
      <c r="AT189" s="25">
        <v>0.0</v>
      </c>
      <c r="AU189" s="26"/>
      <c r="AV189" s="35">
        <f t="shared" si="1"/>
        <v>4187.8</v>
      </c>
      <c r="AW189" s="33">
        <f t="shared" si="2"/>
        <v>370</v>
      </c>
      <c r="AX189" s="33">
        <f t="shared" si="3"/>
        <v>0</v>
      </c>
      <c r="AY189" s="33">
        <f t="shared" si="4"/>
        <v>370</v>
      </c>
      <c r="AZ189" s="30">
        <f t="shared" si="5"/>
        <v>11.31837838</v>
      </c>
    </row>
    <row r="190" ht="15.75" customHeight="1">
      <c r="A190" s="31" t="s">
        <v>45</v>
      </c>
      <c r="B190" s="32">
        <f t="shared" si="6"/>
        <v>44750</v>
      </c>
      <c r="C190" s="33">
        <v>7.0</v>
      </c>
      <c r="D190" s="33" t="s">
        <v>48</v>
      </c>
      <c r="E190" s="34"/>
      <c r="F190" s="24">
        <v>0.0</v>
      </c>
      <c r="H190" s="25">
        <v>0.0</v>
      </c>
      <c r="J190" s="25">
        <v>0.0</v>
      </c>
      <c r="L190" s="25">
        <v>0.0</v>
      </c>
      <c r="N190" s="25">
        <v>0.0</v>
      </c>
      <c r="P190" s="25">
        <v>0.0</v>
      </c>
      <c r="Q190" s="26"/>
      <c r="R190" s="24">
        <v>155.0</v>
      </c>
      <c r="T190" s="25">
        <v>155.0</v>
      </c>
      <c r="V190" s="25">
        <v>0.0</v>
      </c>
      <c r="X190" s="25">
        <v>0.0</v>
      </c>
      <c r="Z190" s="25">
        <v>0.0</v>
      </c>
      <c r="AB190" s="25">
        <v>0.0</v>
      </c>
      <c r="AC190" s="26"/>
      <c r="AD190" s="25">
        <v>0.0</v>
      </c>
      <c r="AF190" s="25">
        <v>50.0</v>
      </c>
      <c r="AH190" s="25">
        <v>0.0</v>
      </c>
      <c r="AJ190" s="27">
        <v>0.0</v>
      </c>
      <c r="AK190" s="26"/>
      <c r="AL190" s="24">
        <v>0.0</v>
      </c>
      <c r="AM190" s="26"/>
      <c r="AN190" s="24">
        <v>0.0</v>
      </c>
      <c r="AO190" s="26"/>
      <c r="AP190" s="24">
        <v>0.0</v>
      </c>
      <c r="AQ190" s="26"/>
      <c r="AR190" s="25">
        <v>0.0</v>
      </c>
      <c r="AT190" s="25">
        <v>0.0</v>
      </c>
      <c r="AU190" s="26"/>
      <c r="AV190" s="35">
        <f t="shared" si="1"/>
        <v>3868.4</v>
      </c>
      <c r="AW190" s="33">
        <f t="shared" si="2"/>
        <v>360</v>
      </c>
      <c r="AX190" s="33">
        <f t="shared" si="3"/>
        <v>0</v>
      </c>
      <c r="AY190" s="33">
        <f t="shared" si="4"/>
        <v>360</v>
      </c>
      <c r="AZ190" s="30">
        <f t="shared" si="5"/>
        <v>10.74555556</v>
      </c>
    </row>
    <row r="191" ht="15.75" customHeight="1">
      <c r="A191" s="44" t="s">
        <v>46</v>
      </c>
      <c r="B191" s="45">
        <f t="shared" si="6"/>
        <v>44751</v>
      </c>
      <c r="C191" s="46">
        <v>7.0</v>
      </c>
      <c r="D191" s="46" t="s">
        <v>48</v>
      </c>
      <c r="E191" s="47"/>
      <c r="F191" s="49">
        <v>0.0</v>
      </c>
      <c r="G191" s="51"/>
      <c r="H191" s="52">
        <v>0.0</v>
      </c>
      <c r="I191" s="51"/>
      <c r="J191" s="52">
        <v>0.0</v>
      </c>
      <c r="K191" s="51"/>
      <c r="L191" s="52">
        <v>0.0</v>
      </c>
      <c r="M191" s="51"/>
      <c r="N191" s="52">
        <v>0.0</v>
      </c>
      <c r="O191" s="51"/>
      <c r="P191" s="52">
        <v>0.0</v>
      </c>
      <c r="Q191" s="53"/>
      <c r="R191" s="49">
        <v>0.0</v>
      </c>
      <c r="S191" s="51"/>
      <c r="T191" s="52">
        <v>0.0</v>
      </c>
      <c r="U191" s="51"/>
      <c r="V191" s="52">
        <v>0.0</v>
      </c>
      <c r="W191" s="51"/>
      <c r="X191" s="52">
        <v>0.0</v>
      </c>
      <c r="Y191" s="51"/>
      <c r="Z191" s="52">
        <v>0.0</v>
      </c>
      <c r="AA191" s="51"/>
      <c r="AB191" s="52">
        <v>0.0</v>
      </c>
      <c r="AC191" s="53"/>
      <c r="AD191" s="52">
        <v>0.0</v>
      </c>
      <c r="AE191" s="51"/>
      <c r="AF191" s="52">
        <v>0.0</v>
      </c>
      <c r="AG191" s="51"/>
      <c r="AH191" s="52">
        <v>0.0</v>
      </c>
      <c r="AI191" s="51"/>
      <c r="AJ191" s="54">
        <v>0.0</v>
      </c>
      <c r="AK191" s="53"/>
      <c r="AL191" s="49">
        <v>0.0</v>
      </c>
      <c r="AM191" s="53"/>
      <c r="AN191" s="49">
        <v>0.0</v>
      </c>
      <c r="AO191" s="53"/>
      <c r="AP191" s="49">
        <v>0.0</v>
      </c>
      <c r="AQ191" s="53"/>
      <c r="AR191" s="52">
        <v>0.0</v>
      </c>
      <c r="AS191" s="51"/>
      <c r="AT191" s="52">
        <v>0.0</v>
      </c>
      <c r="AU191" s="53"/>
      <c r="AV191" s="55">
        <f t="shared" si="1"/>
        <v>0</v>
      </c>
      <c r="AW191" s="46">
        <f t="shared" si="2"/>
        <v>0</v>
      </c>
      <c r="AX191" s="46">
        <f t="shared" si="3"/>
        <v>0</v>
      </c>
      <c r="AY191" s="46">
        <f t="shared" si="4"/>
        <v>0</v>
      </c>
      <c r="AZ191" s="56" t="str">
        <f t="shared" si="5"/>
        <v/>
      </c>
    </row>
    <row r="192" ht="15.75" customHeight="1">
      <c r="A192" s="19" t="s">
        <v>30</v>
      </c>
      <c r="B192" s="57">
        <f t="shared" si="6"/>
        <v>44752</v>
      </c>
      <c r="C192" s="21">
        <v>7.0</v>
      </c>
      <c r="D192" s="21" t="s">
        <v>49</v>
      </c>
      <c r="E192" s="72" t="s">
        <v>56</v>
      </c>
      <c r="F192" s="24">
        <v>0.0</v>
      </c>
      <c r="H192" s="25">
        <v>0.0</v>
      </c>
      <c r="J192" s="25">
        <v>0.0</v>
      </c>
      <c r="L192" s="25">
        <v>0.0</v>
      </c>
      <c r="N192" s="25">
        <v>0.0</v>
      </c>
      <c r="P192" s="25">
        <v>0.0</v>
      </c>
      <c r="Q192" s="26"/>
      <c r="R192" s="24">
        <v>0.0</v>
      </c>
      <c r="T192" s="25">
        <v>0.0</v>
      </c>
      <c r="V192" s="25">
        <v>0.0</v>
      </c>
      <c r="X192" s="25">
        <v>0.0</v>
      </c>
      <c r="Z192" s="25">
        <v>0.0</v>
      </c>
      <c r="AB192" s="25">
        <v>0.0</v>
      </c>
      <c r="AC192" s="26"/>
      <c r="AD192" s="25">
        <v>0.0</v>
      </c>
      <c r="AF192" s="25">
        <v>0.0</v>
      </c>
      <c r="AH192" s="25">
        <v>0.0</v>
      </c>
      <c r="AJ192" s="27">
        <v>0.0</v>
      </c>
      <c r="AK192" s="26"/>
      <c r="AL192" s="24">
        <v>0.0</v>
      </c>
      <c r="AM192" s="26"/>
      <c r="AN192" s="24">
        <v>0.0</v>
      </c>
      <c r="AO192" s="26"/>
      <c r="AP192" s="24">
        <v>0.0</v>
      </c>
      <c r="AQ192" s="26"/>
      <c r="AR192" s="25">
        <v>0.0</v>
      </c>
      <c r="AT192" s="25">
        <v>0.0</v>
      </c>
      <c r="AU192" s="26"/>
      <c r="AV192" s="29">
        <f t="shared" si="1"/>
        <v>0</v>
      </c>
      <c r="AW192" s="21">
        <f t="shared" si="2"/>
        <v>0</v>
      </c>
      <c r="AX192" s="21">
        <f t="shared" si="3"/>
        <v>0</v>
      </c>
      <c r="AY192" s="21">
        <f t="shared" si="4"/>
        <v>0</v>
      </c>
      <c r="AZ192" s="58" t="str">
        <f t="shared" si="5"/>
        <v/>
      </c>
    </row>
    <row r="193" ht="15.75" customHeight="1">
      <c r="A193" s="31" t="s">
        <v>33</v>
      </c>
      <c r="B193" s="32">
        <f t="shared" si="6"/>
        <v>44753</v>
      </c>
      <c r="C193" s="33">
        <v>7.0</v>
      </c>
      <c r="D193" s="33" t="s">
        <v>49</v>
      </c>
      <c r="E193" s="34"/>
      <c r="F193" s="24">
        <v>0.0</v>
      </c>
      <c r="H193" s="25">
        <v>0.0</v>
      </c>
      <c r="J193" s="25">
        <v>0.0</v>
      </c>
      <c r="L193" s="25">
        <v>0.0</v>
      </c>
      <c r="N193" s="25">
        <v>0.0</v>
      </c>
      <c r="P193" s="25">
        <v>0.0</v>
      </c>
      <c r="Q193" s="26"/>
      <c r="R193" s="24">
        <v>50.0</v>
      </c>
      <c r="T193" s="25">
        <v>50.0</v>
      </c>
      <c r="V193" s="25">
        <v>0.0</v>
      </c>
      <c r="X193" s="25">
        <v>0.0</v>
      </c>
      <c r="Z193" s="25">
        <v>0.0</v>
      </c>
      <c r="AB193" s="25">
        <v>0.0</v>
      </c>
      <c r="AC193" s="26"/>
      <c r="AD193" s="25">
        <v>0.0</v>
      </c>
      <c r="AF193" s="25">
        <v>0.0</v>
      </c>
      <c r="AH193" s="25">
        <v>0.0</v>
      </c>
      <c r="AJ193" s="27">
        <v>0.0</v>
      </c>
      <c r="AK193" s="26"/>
      <c r="AL193" s="24">
        <v>0.0</v>
      </c>
      <c r="AM193" s="26"/>
      <c r="AN193" s="24">
        <v>0.0</v>
      </c>
      <c r="AO193" s="26"/>
      <c r="AP193" s="24">
        <v>0.0</v>
      </c>
      <c r="AQ193" s="26"/>
      <c r="AR193" s="25">
        <v>0.0</v>
      </c>
      <c r="AT193" s="25">
        <v>0.0</v>
      </c>
      <c r="AU193" s="26"/>
      <c r="AV193" s="35">
        <f t="shared" si="1"/>
        <v>1014</v>
      </c>
      <c r="AW193" s="33">
        <f t="shared" si="2"/>
        <v>100</v>
      </c>
      <c r="AX193" s="33">
        <f t="shared" si="3"/>
        <v>0</v>
      </c>
      <c r="AY193" s="33">
        <f t="shared" si="4"/>
        <v>100</v>
      </c>
      <c r="AZ193" s="30">
        <f t="shared" si="5"/>
        <v>10.14</v>
      </c>
    </row>
    <row r="194" ht="15.75" customHeight="1">
      <c r="A194" s="31" t="s">
        <v>34</v>
      </c>
      <c r="B194" s="32">
        <f t="shared" si="6"/>
        <v>44754</v>
      </c>
      <c r="C194" s="33">
        <v>7.0</v>
      </c>
      <c r="D194" s="33" t="s">
        <v>49</v>
      </c>
      <c r="E194" s="34"/>
      <c r="F194" s="24">
        <v>0.0</v>
      </c>
      <c r="H194" s="25">
        <v>0.0</v>
      </c>
      <c r="J194" s="25">
        <v>0.0</v>
      </c>
      <c r="L194" s="25">
        <v>0.0</v>
      </c>
      <c r="N194" s="25">
        <v>0.0</v>
      </c>
      <c r="P194" s="25">
        <v>0.0</v>
      </c>
      <c r="Q194" s="26"/>
      <c r="R194" s="24">
        <v>50.0</v>
      </c>
      <c r="T194" s="25">
        <v>155.0</v>
      </c>
      <c r="V194" s="25">
        <v>0.0</v>
      </c>
      <c r="X194" s="25">
        <v>0.0</v>
      </c>
      <c r="Z194" s="25">
        <v>0.0</v>
      </c>
      <c r="AB194" s="25">
        <v>0.0</v>
      </c>
      <c r="AC194" s="26"/>
      <c r="AD194" s="25">
        <v>0.0</v>
      </c>
      <c r="AF194" s="25">
        <v>0.0</v>
      </c>
      <c r="AH194" s="25">
        <v>0.0</v>
      </c>
      <c r="AJ194" s="27">
        <v>0.0</v>
      </c>
      <c r="AK194" s="26"/>
      <c r="AL194" s="24">
        <v>0.0</v>
      </c>
      <c r="AM194" s="26"/>
      <c r="AN194" s="24">
        <v>0.0</v>
      </c>
      <c r="AO194" s="26"/>
      <c r="AP194" s="24">
        <v>0.0</v>
      </c>
      <c r="AQ194" s="26"/>
      <c r="AR194" s="25">
        <v>0.0</v>
      </c>
      <c r="AT194" s="25">
        <v>0.0</v>
      </c>
      <c r="AU194" s="26"/>
      <c r="AV194" s="35">
        <f t="shared" si="1"/>
        <v>2078.7</v>
      </c>
      <c r="AW194" s="33">
        <f t="shared" si="2"/>
        <v>205</v>
      </c>
      <c r="AX194" s="33">
        <f t="shared" si="3"/>
        <v>0</v>
      </c>
      <c r="AY194" s="33">
        <f t="shared" si="4"/>
        <v>205</v>
      </c>
      <c r="AZ194" s="30">
        <f t="shared" si="5"/>
        <v>10.14</v>
      </c>
    </row>
    <row r="195" ht="15.75" customHeight="1">
      <c r="A195" s="31" t="s">
        <v>35</v>
      </c>
      <c r="B195" s="32">
        <f t="shared" si="6"/>
        <v>44755</v>
      </c>
      <c r="C195" s="33">
        <v>7.0</v>
      </c>
      <c r="D195" s="33" t="s">
        <v>49</v>
      </c>
      <c r="E195" s="34"/>
      <c r="F195" s="24">
        <v>0.0</v>
      </c>
      <c r="H195" s="25">
        <v>0.0</v>
      </c>
      <c r="J195" s="25">
        <v>0.0</v>
      </c>
      <c r="L195" s="25">
        <v>0.0</v>
      </c>
      <c r="N195" s="25">
        <v>0.0</v>
      </c>
      <c r="P195" s="25">
        <v>0.0</v>
      </c>
      <c r="Q195" s="26"/>
      <c r="R195" s="24">
        <v>155.0</v>
      </c>
      <c r="T195" s="25">
        <v>155.0</v>
      </c>
      <c r="V195" s="25">
        <v>0.0</v>
      </c>
      <c r="X195" s="25">
        <v>0.0</v>
      </c>
      <c r="Z195" s="25">
        <v>0.0</v>
      </c>
      <c r="AB195" s="25">
        <v>0.0</v>
      </c>
      <c r="AC195" s="26"/>
      <c r="AD195" s="25">
        <v>0.0</v>
      </c>
      <c r="AF195" s="25">
        <v>0.0</v>
      </c>
      <c r="AH195" s="25">
        <v>0.0</v>
      </c>
      <c r="AJ195" s="27">
        <v>0.0</v>
      </c>
      <c r="AK195" s="26"/>
      <c r="AL195" s="24">
        <v>0.0</v>
      </c>
      <c r="AM195" s="26"/>
      <c r="AN195" s="24">
        <v>0.0</v>
      </c>
      <c r="AO195" s="26"/>
      <c r="AP195" s="24">
        <v>0.0</v>
      </c>
      <c r="AQ195" s="26"/>
      <c r="AR195" s="25">
        <v>0.0</v>
      </c>
      <c r="AT195" s="25">
        <v>0.0</v>
      </c>
      <c r="AU195" s="26"/>
      <c r="AV195" s="35">
        <f t="shared" si="1"/>
        <v>3143.4</v>
      </c>
      <c r="AW195" s="33">
        <f t="shared" si="2"/>
        <v>310</v>
      </c>
      <c r="AX195" s="33">
        <f t="shared" si="3"/>
        <v>0</v>
      </c>
      <c r="AY195" s="33">
        <f t="shared" si="4"/>
        <v>310</v>
      </c>
      <c r="AZ195" s="30">
        <f t="shared" si="5"/>
        <v>10.14</v>
      </c>
    </row>
    <row r="196" ht="15.75" customHeight="1">
      <c r="A196" s="31" t="s">
        <v>38</v>
      </c>
      <c r="B196" s="32">
        <f t="shared" si="6"/>
        <v>44756</v>
      </c>
      <c r="C196" s="33">
        <v>7.0</v>
      </c>
      <c r="D196" s="33" t="s">
        <v>49</v>
      </c>
      <c r="E196" s="34"/>
      <c r="F196" s="24">
        <v>0.0</v>
      </c>
      <c r="H196" s="25">
        <v>0.0</v>
      </c>
      <c r="J196" s="25">
        <v>0.0</v>
      </c>
      <c r="L196" s="25">
        <v>0.0</v>
      </c>
      <c r="N196" s="25">
        <v>0.0</v>
      </c>
      <c r="P196" s="25">
        <v>0.0</v>
      </c>
      <c r="Q196" s="26"/>
      <c r="R196" s="24">
        <v>155.0</v>
      </c>
      <c r="T196" s="25">
        <v>115.0</v>
      </c>
      <c r="V196" s="25">
        <v>0.0</v>
      </c>
      <c r="X196" s="25">
        <v>0.0</v>
      </c>
      <c r="Z196" s="25">
        <v>0.0</v>
      </c>
      <c r="AB196" s="25">
        <v>0.0</v>
      </c>
      <c r="AC196" s="26"/>
      <c r="AD196" s="25">
        <v>0.0</v>
      </c>
      <c r="AF196" s="25">
        <v>0.0</v>
      </c>
      <c r="AH196" s="25">
        <v>0.0</v>
      </c>
      <c r="AJ196" s="27">
        <v>0.0</v>
      </c>
      <c r="AK196" s="26"/>
      <c r="AL196" s="24">
        <v>0.0</v>
      </c>
      <c r="AM196" s="26"/>
      <c r="AN196" s="24">
        <v>0.0</v>
      </c>
      <c r="AO196" s="26"/>
      <c r="AP196" s="24">
        <v>0.0</v>
      </c>
      <c r="AQ196" s="26"/>
      <c r="AR196" s="25">
        <v>0.0</v>
      </c>
      <c r="AT196" s="25">
        <v>0.0</v>
      </c>
      <c r="AU196" s="26"/>
      <c r="AV196" s="35">
        <f t="shared" si="1"/>
        <v>2737.8</v>
      </c>
      <c r="AW196" s="33">
        <f t="shared" si="2"/>
        <v>270</v>
      </c>
      <c r="AX196" s="33">
        <f t="shared" si="3"/>
        <v>0</v>
      </c>
      <c r="AY196" s="33">
        <f t="shared" si="4"/>
        <v>270</v>
      </c>
      <c r="AZ196" s="30">
        <f t="shared" si="5"/>
        <v>10.14</v>
      </c>
    </row>
    <row r="197" ht="15.75" customHeight="1">
      <c r="A197" s="31" t="s">
        <v>45</v>
      </c>
      <c r="B197" s="32">
        <f t="shared" si="6"/>
        <v>44757</v>
      </c>
      <c r="C197" s="33">
        <v>7.0</v>
      </c>
      <c r="D197" s="33" t="s">
        <v>49</v>
      </c>
      <c r="E197" s="74" t="s">
        <v>57</v>
      </c>
      <c r="F197" s="24">
        <v>0.0</v>
      </c>
      <c r="H197" s="25">
        <v>0.0</v>
      </c>
      <c r="J197" s="25">
        <v>0.0</v>
      </c>
      <c r="L197" s="25">
        <v>0.0</v>
      </c>
      <c r="N197" s="25">
        <v>0.0</v>
      </c>
      <c r="P197" s="25">
        <v>0.0</v>
      </c>
      <c r="Q197" s="26"/>
      <c r="R197" s="24">
        <v>155.0</v>
      </c>
      <c r="T197" s="25">
        <v>155.0</v>
      </c>
      <c r="V197" s="25">
        <v>65.0</v>
      </c>
      <c r="X197" s="25">
        <v>0.0</v>
      </c>
      <c r="Z197" s="25">
        <v>0.0</v>
      </c>
      <c r="AB197" s="25">
        <v>0.0</v>
      </c>
      <c r="AC197" s="26"/>
      <c r="AD197" s="25">
        <v>0.0</v>
      </c>
      <c r="AF197" s="25">
        <v>0.0</v>
      </c>
      <c r="AH197" s="25">
        <v>0.0</v>
      </c>
      <c r="AJ197" s="27">
        <v>0.0</v>
      </c>
      <c r="AK197" s="26"/>
      <c r="AL197" s="24">
        <v>0.0</v>
      </c>
      <c r="AM197" s="26"/>
      <c r="AN197" s="24">
        <v>0.0</v>
      </c>
      <c r="AO197" s="26"/>
      <c r="AP197" s="24">
        <v>0.0</v>
      </c>
      <c r="AQ197" s="26"/>
      <c r="AR197" s="25">
        <v>0.0</v>
      </c>
      <c r="AT197" s="25">
        <v>0.0</v>
      </c>
      <c r="AU197" s="26"/>
      <c r="AV197" s="35">
        <f t="shared" si="1"/>
        <v>3802.5</v>
      </c>
      <c r="AW197" s="33">
        <f t="shared" si="2"/>
        <v>375</v>
      </c>
      <c r="AX197" s="33">
        <f t="shared" si="3"/>
        <v>0</v>
      </c>
      <c r="AY197" s="33">
        <f t="shared" si="4"/>
        <v>375</v>
      </c>
      <c r="AZ197" s="30">
        <f t="shared" si="5"/>
        <v>10.14</v>
      </c>
    </row>
    <row r="198" ht="15.75" customHeight="1">
      <c r="A198" s="44" t="s">
        <v>46</v>
      </c>
      <c r="B198" s="45">
        <f t="shared" si="6"/>
        <v>44758</v>
      </c>
      <c r="C198" s="46">
        <v>7.0</v>
      </c>
      <c r="D198" s="46" t="s">
        <v>49</v>
      </c>
      <c r="E198" s="47"/>
      <c r="F198" s="49">
        <v>0.0</v>
      </c>
      <c r="G198" s="51"/>
      <c r="H198" s="52">
        <v>0.0</v>
      </c>
      <c r="I198" s="51"/>
      <c r="J198" s="52">
        <v>0.0</v>
      </c>
      <c r="K198" s="51"/>
      <c r="L198" s="52">
        <v>0.0</v>
      </c>
      <c r="M198" s="51"/>
      <c r="N198" s="52">
        <v>0.0</v>
      </c>
      <c r="O198" s="51"/>
      <c r="P198" s="52">
        <v>0.0</v>
      </c>
      <c r="Q198" s="53"/>
      <c r="R198" s="49">
        <v>0.0</v>
      </c>
      <c r="S198" s="51"/>
      <c r="T198" s="52">
        <v>0.0</v>
      </c>
      <c r="U198" s="51"/>
      <c r="V198" s="52">
        <v>0.0</v>
      </c>
      <c r="W198" s="51"/>
      <c r="X198" s="52">
        <v>0.0</v>
      </c>
      <c r="Y198" s="51"/>
      <c r="Z198" s="52">
        <v>0.0</v>
      </c>
      <c r="AA198" s="51"/>
      <c r="AB198" s="52">
        <v>0.0</v>
      </c>
      <c r="AC198" s="53"/>
      <c r="AD198" s="52">
        <v>0.0</v>
      </c>
      <c r="AE198" s="51"/>
      <c r="AF198" s="52">
        <v>0.0</v>
      </c>
      <c r="AG198" s="51"/>
      <c r="AH198" s="52">
        <v>0.0</v>
      </c>
      <c r="AI198" s="51"/>
      <c r="AJ198" s="54">
        <v>0.0</v>
      </c>
      <c r="AK198" s="53"/>
      <c r="AL198" s="49">
        <v>0.0</v>
      </c>
      <c r="AM198" s="53"/>
      <c r="AN198" s="49">
        <v>0.0</v>
      </c>
      <c r="AO198" s="53"/>
      <c r="AP198" s="49">
        <v>0.0</v>
      </c>
      <c r="AQ198" s="53"/>
      <c r="AR198" s="52">
        <v>0.0</v>
      </c>
      <c r="AS198" s="51"/>
      <c r="AT198" s="52">
        <v>0.0</v>
      </c>
      <c r="AU198" s="53"/>
      <c r="AV198" s="55">
        <f t="shared" si="1"/>
        <v>0</v>
      </c>
      <c r="AW198" s="46">
        <f t="shared" si="2"/>
        <v>0</v>
      </c>
      <c r="AX198" s="46">
        <f t="shared" si="3"/>
        <v>0</v>
      </c>
      <c r="AY198" s="46">
        <f t="shared" si="4"/>
        <v>0</v>
      </c>
      <c r="AZ198" s="56" t="str">
        <f t="shared" si="5"/>
        <v/>
      </c>
    </row>
    <row r="199" ht="15.75" customHeight="1">
      <c r="A199" s="19" t="s">
        <v>30</v>
      </c>
      <c r="B199" s="57">
        <f t="shared" si="6"/>
        <v>44759</v>
      </c>
      <c r="C199" s="21">
        <v>8.0</v>
      </c>
      <c r="D199" s="21" t="s">
        <v>31</v>
      </c>
      <c r="E199" s="23"/>
      <c r="F199" s="24">
        <v>0.0</v>
      </c>
      <c r="H199" s="25">
        <v>0.0</v>
      </c>
      <c r="J199" s="25">
        <v>0.0</v>
      </c>
      <c r="L199" s="25">
        <v>0.0</v>
      </c>
      <c r="N199" s="25">
        <v>0.0</v>
      </c>
      <c r="P199" s="25">
        <v>0.0</v>
      </c>
      <c r="Q199" s="26"/>
      <c r="R199" s="24">
        <v>185.0</v>
      </c>
      <c r="T199" s="25">
        <v>185.0</v>
      </c>
      <c r="V199" s="25">
        <v>0.0</v>
      </c>
      <c r="X199" s="25">
        <v>0.0</v>
      </c>
      <c r="Z199" s="25">
        <v>0.0</v>
      </c>
      <c r="AB199" s="25">
        <v>0.0</v>
      </c>
      <c r="AC199" s="26"/>
      <c r="AD199" s="25">
        <v>0.0</v>
      </c>
      <c r="AF199" s="25">
        <v>0.0</v>
      </c>
      <c r="AH199" s="25">
        <v>0.0</v>
      </c>
      <c r="AJ199" s="27">
        <v>0.0</v>
      </c>
      <c r="AK199" s="26"/>
      <c r="AL199" s="24">
        <v>0.0</v>
      </c>
      <c r="AM199" s="26"/>
      <c r="AN199" s="24">
        <v>0.0</v>
      </c>
      <c r="AO199" s="26"/>
      <c r="AP199" s="24">
        <v>0.0</v>
      </c>
      <c r="AQ199" s="26"/>
      <c r="AR199" s="25">
        <v>0.0</v>
      </c>
      <c r="AT199" s="25">
        <v>0.0</v>
      </c>
      <c r="AU199" s="26"/>
      <c r="AV199" s="29">
        <f t="shared" si="1"/>
        <v>3751.8</v>
      </c>
      <c r="AW199" s="21">
        <f t="shared" si="2"/>
        <v>370</v>
      </c>
      <c r="AX199" s="21">
        <f t="shared" si="3"/>
        <v>0</v>
      </c>
      <c r="AY199" s="21">
        <f t="shared" si="4"/>
        <v>370</v>
      </c>
      <c r="AZ199" s="58">
        <f t="shared" si="5"/>
        <v>10.14</v>
      </c>
    </row>
    <row r="200" ht="15.75" customHeight="1">
      <c r="A200" s="31" t="s">
        <v>33</v>
      </c>
      <c r="B200" s="32">
        <f t="shared" si="6"/>
        <v>44760</v>
      </c>
      <c r="C200" s="33">
        <v>8.0</v>
      </c>
      <c r="D200" s="33" t="s">
        <v>31</v>
      </c>
      <c r="E200" s="74" t="s">
        <v>58</v>
      </c>
      <c r="F200" s="24">
        <v>0.0</v>
      </c>
      <c r="H200" s="25">
        <v>0.0</v>
      </c>
      <c r="J200" s="25">
        <v>0.0</v>
      </c>
      <c r="L200" s="25">
        <v>0.0</v>
      </c>
      <c r="N200" s="25">
        <v>0.0</v>
      </c>
      <c r="P200" s="25">
        <v>0.0</v>
      </c>
      <c r="Q200" s="26"/>
      <c r="R200" s="24">
        <v>185.0</v>
      </c>
      <c r="T200" s="25">
        <v>185.0</v>
      </c>
      <c r="V200" s="25">
        <v>0.0</v>
      </c>
      <c r="X200" s="25">
        <v>0.0</v>
      </c>
      <c r="Z200" s="25">
        <v>0.0</v>
      </c>
      <c r="AB200" s="25">
        <v>0.0</v>
      </c>
      <c r="AC200" s="26"/>
      <c r="AD200" s="25">
        <v>50.0</v>
      </c>
      <c r="AF200" s="25">
        <v>50.0</v>
      </c>
      <c r="AH200" s="25">
        <v>0.0</v>
      </c>
      <c r="AJ200" s="27">
        <v>0.0</v>
      </c>
      <c r="AK200" s="26"/>
      <c r="AL200" s="24">
        <v>0.0</v>
      </c>
      <c r="AM200" s="26"/>
      <c r="AN200" s="24">
        <v>0.0</v>
      </c>
      <c r="AO200" s="26"/>
      <c r="AP200" s="24">
        <v>0.0</v>
      </c>
      <c r="AQ200" s="26"/>
      <c r="AR200" s="25">
        <v>0.0</v>
      </c>
      <c r="AT200" s="25">
        <v>0.0</v>
      </c>
      <c r="AU200" s="26"/>
      <c r="AV200" s="35">
        <f t="shared" si="1"/>
        <v>5201.8</v>
      </c>
      <c r="AW200" s="33">
        <f t="shared" si="2"/>
        <v>470</v>
      </c>
      <c r="AX200" s="33">
        <f t="shared" si="3"/>
        <v>0</v>
      </c>
      <c r="AY200" s="33">
        <f t="shared" si="4"/>
        <v>470</v>
      </c>
      <c r="AZ200" s="30">
        <f t="shared" si="5"/>
        <v>11.06765957</v>
      </c>
    </row>
    <row r="201" ht="15.75" customHeight="1">
      <c r="A201" s="31" t="s">
        <v>34</v>
      </c>
      <c r="B201" s="32">
        <f t="shared" si="6"/>
        <v>44761</v>
      </c>
      <c r="C201" s="33">
        <v>8.0</v>
      </c>
      <c r="D201" s="33" t="s">
        <v>31</v>
      </c>
      <c r="E201" s="34"/>
      <c r="F201" s="24">
        <v>0.0</v>
      </c>
      <c r="H201" s="25">
        <v>0.0</v>
      </c>
      <c r="J201" s="25">
        <v>0.0</v>
      </c>
      <c r="L201" s="25">
        <v>0.0</v>
      </c>
      <c r="N201" s="25">
        <v>0.0</v>
      </c>
      <c r="P201" s="25">
        <v>0.0</v>
      </c>
      <c r="Q201" s="26"/>
      <c r="R201" s="24">
        <v>185.0</v>
      </c>
      <c r="T201" s="25">
        <v>185.0</v>
      </c>
      <c r="V201" s="25">
        <v>0.0</v>
      </c>
      <c r="X201" s="25">
        <v>0.0</v>
      </c>
      <c r="Z201" s="25">
        <v>0.0</v>
      </c>
      <c r="AB201" s="25">
        <v>0.0</v>
      </c>
      <c r="AC201" s="26"/>
      <c r="AD201" s="25">
        <v>50.0</v>
      </c>
      <c r="AF201" s="25">
        <v>50.0</v>
      </c>
      <c r="AH201" s="25">
        <v>0.0</v>
      </c>
      <c r="AJ201" s="27">
        <v>0.0</v>
      </c>
      <c r="AK201" s="26"/>
      <c r="AL201" s="24">
        <v>0.0</v>
      </c>
      <c r="AM201" s="26"/>
      <c r="AN201" s="24">
        <v>0.0</v>
      </c>
      <c r="AO201" s="26"/>
      <c r="AP201" s="24">
        <v>0.0</v>
      </c>
      <c r="AQ201" s="26"/>
      <c r="AR201" s="25">
        <v>0.0</v>
      </c>
      <c r="AT201" s="25">
        <v>0.0</v>
      </c>
      <c r="AU201" s="26"/>
      <c r="AV201" s="35">
        <f t="shared" si="1"/>
        <v>5201.8</v>
      </c>
      <c r="AW201" s="33">
        <f t="shared" si="2"/>
        <v>470</v>
      </c>
      <c r="AX201" s="33">
        <f t="shared" si="3"/>
        <v>0</v>
      </c>
      <c r="AY201" s="33">
        <f t="shared" si="4"/>
        <v>470</v>
      </c>
      <c r="AZ201" s="30">
        <f t="shared" si="5"/>
        <v>11.06765957</v>
      </c>
    </row>
    <row r="202" ht="15.75" customHeight="1">
      <c r="A202" s="31" t="s">
        <v>35</v>
      </c>
      <c r="B202" s="32">
        <f t="shared" si="6"/>
        <v>44762</v>
      </c>
      <c r="C202" s="33">
        <v>8.0</v>
      </c>
      <c r="D202" s="33" t="s">
        <v>31</v>
      </c>
      <c r="E202" s="34"/>
      <c r="F202" s="24">
        <v>0.0</v>
      </c>
      <c r="H202" s="25">
        <v>0.0</v>
      </c>
      <c r="J202" s="25">
        <v>0.0</v>
      </c>
      <c r="L202" s="25">
        <v>0.0</v>
      </c>
      <c r="N202" s="25">
        <v>0.0</v>
      </c>
      <c r="P202" s="25">
        <v>0.0</v>
      </c>
      <c r="Q202" s="26"/>
      <c r="R202" s="24">
        <v>185.0</v>
      </c>
      <c r="T202" s="25">
        <v>185.0</v>
      </c>
      <c r="V202" s="25">
        <v>0.0</v>
      </c>
      <c r="X202" s="25">
        <v>0.0</v>
      </c>
      <c r="Z202" s="25">
        <v>0.0</v>
      </c>
      <c r="AB202" s="25">
        <v>0.0</v>
      </c>
      <c r="AC202" s="26"/>
      <c r="AD202" s="25">
        <v>0.0</v>
      </c>
      <c r="AF202" s="25">
        <v>50.0</v>
      </c>
      <c r="AH202" s="25">
        <v>0.0</v>
      </c>
      <c r="AJ202" s="27">
        <v>0.0</v>
      </c>
      <c r="AK202" s="26"/>
      <c r="AL202" s="24">
        <v>0.0</v>
      </c>
      <c r="AM202" s="26"/>
      <c r="AN202" s="24">
        <v>0.0</v>
      </c>
      <c r="AO202" s="26"/>
      <c r="AP202" s="24">
        <v>0.0</v>
      </c>
      <c r="AQ202" s="26"/>
      <c r="AR202" s="25">
        <v>0.0</v>
      </c>
      <c r="AT202" s="25">
        <v>0.0</v>
      </c>
      <c r="AU202" s="26"/>
      <c r="AV202" s="35">
        <f t="shared" si="1"/>
        <v>4476.8</v>
      </c>
      <c r="AW202" s="33">
        <f t="shared" si="2"/>
        <v>420</v>
      </c>
      <c r="AX202" s="33">
        <f t="shared" si="3"/>
        <v>0</v>
      </c>
      <c r="AY202" s="33">
        <f t="shared" si="4"/>
        <v>420</v>
      </c>
      <c r="AZ202" s="30">
        <f t="shared" si="5"/>
        <v>10.65904762</v>
      </c>
    </row>
    <row r="203" ht="15.75" customHeight="1">
      <c r="A203" s="31" t="s">
        <v>38</v>
      </c>
      <c r="B203" s="32">
        <f t="shared" si="6"/>
        <v>44763</v>
      </c>
      <c r="C203" s="33">
        <v>8.0</v>
      </c>
      <c r="D203" s="33" t="s">
        <v>31</v>
      </c>
      <c r="E203" s="34"/>
      <c r="F203" s="24">
        <v>0.0</v>
      </c>
      <c r="H203" s="25">
        <v>0.0</v>
      </c>
      <c r="J203" s="25">
        <v>0.0</v>
      </c>
      <c r="L203" s="25">
        <v>0.0</v>
      </c>
      <c r="N203" s="25">
        <v>0.0</v>
      </c>
      <c r="P203" s="25">
        <v>0.0</v>
      </c>
      <c r="Q203" s="26"/>
      <c r="R203" s="24">
        <v>185.0</v>
      </c>
      <c r="T203" s="25">
        <v>185.0</v>
      </c>
      <c r="V203" s="25">
        <v>0.0</v>
      </c>
      <c r="X203" s="25">
        <v>0.0</v>
      </c>
      <c r="Z203" s="25">
        <v>0.0</v>
      </c>
      <c r="AB203" s="25">
        <v>0.0</v>
      </c>
      <c r="AC203" s="26"/>
      <c r="AD203" s="25">
        <v>50.0</v>
      </c>
      <c r="AF203" s="25">
        <v>50.0</v>
      </c>
      <c r="AH203" s="25">
        <v>0.0</v>
      </c>
      <c r="AJ203" s="27">
        <v>0.0</v>
      </c>
      <c r="AK203" s="26"/>
      <c r="AL203" s="24">
        <v>0.0</v>
      </c>
      <c r="AM203" s="26"/>
      <c r="AN203" s="24">
        <v>0.0</v>
      </c>
      <c r="AO203" s="26"/>
      <c r="AP203" s="24">
        <v>0.0</v>
      </c>
      <c r="AQ203" s="26"/>
      <c r="AR203" s="25">
        <v>0.0</v>
      </c>
      <c r="AT203" s="25">
        <v>0.0</v>
      </c>
      <c r="AU203" s="26"/>
      <c r="AV203" s="35">
        <f t="shared" si="1"/>
        <v>5201.8</v>
      </c>
      <c r="AW203" s="33">
        <f t="shared" si="2"/>
        <v>470</v>
      </c>
      <c r="AX203" s="33">
        <f t="shared" si="3"/>
        <v>0</v>
      </c>
      <c r="AY203" s="33">
        <f t="shared" si="4"/>
        <v>470</v>
      </c>
      <c r="AZ203" s="30">
        <f t="shared" si="5"/>
        <v>11.06765957</v>
      </c>
    </row>
    <row r="204" ht="15.75" customHeight="1">
      <c r="A204" s="31" t="s">
        <v>45</v>
      </c>
      <c r="B204" s="32">
        <f t="shared" si="6"/>
        <v>44764</v>
      </c>
      <c r="C204" s="33">
        <v>8.0</v>
      </c>
      <c r="D204" s="33" t="s">
        <v>31</v>
      </c>
      <c r="E204" s="34"/>
      <c r="F204" s="24">
        <v>0.0</v>
      </c>
      <c r="H204" s="25">
        <v>0.0</v>
      </c>
      <c r="J204" s="25">
        <v>0.0</v>
      </c>
      <c r="L204" s="25">
        <v>0.0</v>
      </c>
      <c r="N204" s="25">
        <v>0.0</v>
      </c>
      <c r="P204" s="25">
        <v>0.0</v>
      </c>
      <c r="Q204" s="26"/>
      <c r="R204" s="24">
        <v>185.0</v>
      </c>
      <c r="T204" s="25">
        <v>185.0</v>
      </c>
      <c r="V204" s="25">
        <v>0.0</v>
      </c>
      <c r="X204" s="25">
        <v>0.0</v>
      </c>
      <c r="Z204" s="25">
        <v>0.0</v>
      </c>
      <c r="AB204" s="25">
        <v>0.0</v>
      </c>
      <c r="AC204" s="26"/>
      <c r="AD204" s="25">
        <v>50.0</v>
      </c>
      <c r="AF204" s="25">
        <v>0.0</v>
      </c>
      <c r="AH204" s="25">
        <v>0.0</v>
      </c>
      <c r="AJ204" s="27">
        <v>0.0</v>
      </c>
      <c r="AK204" s="26"/>
      <c r="AL204" s="24">
        <v>0.0</v>
      </c>
      <c r="AM204" s="26"/>
      <c r="AN204" s="24">
        <v>0.0</v>
      </c>
      <c r="AO204" s="26"/>
      <c r="AP204" s="24">
        <v>0.0</v>
      </c>
      <c r="AQ204" s="26"/>
      <c r="AR204" s="25">
        <v>0.0</v>
      </c>
      <c r="AT204" s="25">
        <v>0.0</v>
      </c>
      <c r="AU204" s="26"/>
      <c r="AV204" s="35">
        <f t="shared" si="1"/>
        <v>4476.8</v>
      </c>
      <c r="AW204" s="33">
        <f t="shared" si="2"/>
        <v>420</v>
      </c>
      <c r="AX204" s="33">
        <f t="shared" si="3"/>
        <v>0</v>
      </c>
      <c r="AY204" s="33">
        <f t="shared" si="4"/>
        <v>420</v>
      </c>
      <c r="AZ204" s="30">
        <f t="shared" si="5"/>
        <v>10.65904762</v>
      </c>
    </row>
    <row r="205" ht="15.75" customHeight="1">
      <c r="A205" s="44" t="s">
        <v>46</v>
      </c>
      <c r="B205" s="45">
        <f t="shared" si="6"/>
        <v>44765</v>
      </c>
      <c r="C205" s="46">
        <v>8.0</v>
      </c>
      <c r="D205" s="46" t="s">
        <v>31</v>
      </c>
      <c r="E205" s="47"/>
      <c r="F205" s="49">
        <v>0.0</v>
      </c>
      <c r="G205" s="51"/>
      <c r="H205" s="52">
        <v>0.0</v>
      </c>
      <c r="I205" s="51"/>
      <c r="J205" s="52">
        <v>0.0</v>
      </c>
      <c r="K205" s="51"/>
      <c r="L205" s="52">
        <v>0.0</v>
      </c>
      <c r="M205" s="51"/>
      <c r="N205" s="52">
        <v>0.0</v>
      </c>
      <c r="O205" s="51"/>
      <c r="P205" s="52">
        <v>0.0</v>
      </c>
      <c r="Q205" s="53"/>
      <c r="R205" s="49">
        <v>0.0</v>
      </c>
      <c r="S205" s="51"/>
      <c r="T205" s="52">
        <v>0.0</v>
      </c>
      <c r="U205" s="51"/>
      <c r="V205" s="52">
        <v>0.0</v>
      </c>
      <c r="W205" s="51"/>
      <c r="X205" s="52">
        <v>0.0</v>
      </c>
      <c r="Y205" s="51"/>
      <c r="Z205" s="52">
        <v>0.0</v>
      </c>
      <c r="AA205" s="51"/>
      <c r="AB205" s="52">
        <v>0.0</v>
      </c>
      <c r="AC205" s="53"/>
      <c r="AD205" s="52">
        <v>0.0</v>
      </c>
      <c r="AE205" s="51"/>
      <c r="AF205" s="52">
        <v>0.0</v>
      </c>
      <c r="AG205" s="51"/>
      <c r="AH205" s="52">
        <v>0.0</v>
      </c>
      <c r="AI205" s="51"/>
      <c r="AJ205" s="54">
        <v>0.0</v>
      </c>
      <c r="AK205" s="53"/>
      <c r="AL205" s="49">
        <v>0.0</v>
      </c>
      <c r="AM205" s="53"/>
      <c r="AN205" s="49">
        <v>0.0</v>
      </c>
      <c r="AO205" s="53"/>
      <c r="AP205" s="49">
        <v>0.0</v>
      </c>
      <c r="AQ205" s="53"/>
      <c r="AR205" s="52">
        <v>0.0</v>
      </c>
      <c r="AS205" s="51"/>
      <c r="AT205" s="52">
        <v>0.0</v>
      </c>
      <c r="AU205" s="53"/>
      <c r="AV205" s="55">
        <f t="shared" si="1"/>
        <v>0</v>
      </c>
      <c r="AW205" s="46">
        <f t="shared" si="2"/>
        <v>0</v>
      </c>
      <c r="AX205" s="46">
        <f t="shared" si="3"/>
        <v>0</v>
      </c>
      <c r="AY205" s="46">
        <f t="shared" si="4"/>
        <v>0</v>
      </c>
      <c r="AZ205" s="56" t="str">
        <f t="shared" si="5"/>
        <v/>
      </c>
    </row>
    <row r="206" ht="15.75" customHeight="1">
      <c r="A206" s="19" t="s">
        <v>30</v>
      </c>
      <c r="B206" s="57">
        <f t="shared" si="6"/>
        <v>44766</v>
      </c>
      <c r="C206" s="21">
        <v>8.0</v>
      </c>
      <c r="D206" s="21" t="s">
        <v>47</v>
      </c>
      <c r="E206" s="23"/>
      <c r="F206" s="24">
        <v>0.0</v>
      </c>
      <c r="H206" s="25">
        <v>0.0</v>
      </c>
      <c r="J206" s="25">
        <v>0.0</v>
      </c>
      <c r="L206" s="25">
        <v>0.0</v>
      </c>
      <c r="N206" s="25">
        <v>0.0</v>
      </c>
      <c r="P206" s="25">
        <v>0.0</v>
      </c>
      <c r="Q206" s="26"/>
      <c r="R206" s="24">
        <v>185.0</v>
      </c>
      <c r="T206" s="25">
        <v>185.0</v>
      </c>
      <c r="V206" s="25">
        <v>0.0</v>
      </c>
      <c r="X206" s="25">
        <v>0.0</v>
      </c>
      <c r="Z206" s="25">
        <v>0.0</v>
      </c>
      <c r="AB206" s="25">
        <v>0.0</v>
      </c>
      <c r="AC206" s="26"/>
      <c r="AD206" s="25">
        <v>0.0</v>
      </c>
      <c r="AF206" s="25">
        <v>0.0</v>
      </c>
      <c r="AH206" s="25">
        <v>0.0</v>
      </c>
      <c r="AJ206" s="27">
        <v>0.0</v>
      </c>
      <c r="AK206" s="26"/>
      <c r="AL206" s="24">
        <v>0.0</v>
      </c>
      <c r="AM206" s="26"/>
      <c r="AN206" s="24">
        <v>0.0</v>
      </c>
      <c r="AO206" s="26"/>
      <c r="AP206" s="24">
        <v>0.0</v>
      </c>
      <c r="AQ206" s="26"/>
      <c r="AR206" s="25">
        <v>0.0</v>
      </c>
      <c r="AT206" s="25">
        <v>0.0</v>
      </c>
      <c r="AU206" s="26"/>
      <c r="AV206" s="29">
        <f t="shared" si="1"/>
        <v>3751.8</v>
      </c>
      <c r="AW206" s="21">
        <f t="shared" si="2"/>
        <v>370</v>
      </c>
      <c r="AX206" s="21">
        <f t="shared" si="3"/>
        <v>0</v>
      </c>
      <c r="AY206" s="21">
        <f t="shared" si="4"/>
        <v>370</v>
      </c>
      <c r="AZ206" s="58">
        <f t="shared" si="5"/>
        <v>10.14</v>
      </c>
    </row>
    <row r="207" ht="15.75" customHeight="1">
      <c r="A207" s="31" t="s">
        <v>33</v>
      </c>
      <c r="B207" s="32">
        <f t="shared" si="6"/>
        <v>44767</v>
      </c>
      <c r="C207" s="33">
        <v>8.0</v>
      </c>
      <c r="D207" s="33" t="s">
        <v>47</v>
      </c>
      <c r="E207" s="34"/>
      <c r="F207" s="24">
        <v>0.0</v>
      </c>
      <c r="H207" s="25">
        <v>0.0</v>
      </c>
      <c r="J207" s="25">
        <v>0.0</v>
      </c>
      <c r="L207" s="25">
        <v>0.0</v>
      </c>
      <c r="N207" s="25">
        <v>0.0</v>
      </c>
      <c r="P207" s="25">
        <v>0.0</v>
      </c>
      <c r="Q207" s="26"/>
      <c r="R207" s="24">
        <v>185.0</v>
      </c>
      <c r="T207" s="25">
        <v>185.0</v>
      </c>
      <c r="V207" s="25">
        <v>0.0</v>
      </c>
      <c r="X207" s="25">
        <v>0.0</v>
      </c>
      <c r="Z207" s="25">
        <v>0.0</v>
      </c>
      <c r="AB207" s="25">
        <v>0.0</v>
      </c>
      <c r="AC207" s="26"/>
      <c r="AD207" s="25">
        <v>0.0</v>
      </c>
      <c r="AF207" s="25">
        <v>0.0</v>
      </c>
      <c r="AH207" s="25">
        <v>0.0</v>
      </c>
      <c r="AJ207" s="27">
        <v>0.0</v>
      </c>
      <c r="AK207" s="26"/>
      <c r="AL207" s="24">
        <v>0.0</v>
      </c>
      <c r="AM207" s="26"/>
      <c r="AN207" s="24">
        <v>0.0</v>
      </c>
      <c r="AO207" s="26"/>
      <c r="AP207" s="24">
        <v>0.0</v>
      </c>
      <c r="AQ207" s="26"/>
      <c r="AR207" s="25">
        <v>0.0</v>
      </c>
      <c r="AT207" s="25">
        <v>0.0</v>
      </c>
      <c r="AU207" s="26"/>
      <c r="AV207" s="35">
        <f t="shared" si="1"/>
        <v>3751.8</v>
      </c>
      <c r="AW207" s="33">
        <f t="shared" si="2"/>
        <v>370</v>
      </c>
      <c r="AX207" s="33">
        <f t="shared" si="3"/>
        <v>0</v>
      </c>
      <c r="AY207" s="33">
        <f t="shared" si="4"/>
        <v>370</v>
      </c>
      <c r="AZ207" s="30">
        <f t="shared" si="5"/>
        <v>10.14</v>
      </c>
    </row>
    <row r="208" ht="15.75" customHeight="1">
      <c r="A208" s="31" t="s">
        <v>34</v>
      </c>
      <c r="B208" s="32">
        <f t="shared" si="6"/>
        <v>44768</v>
      </c>
      <c r="C208" s="33">
        <v>8.0</v>
      </c>
      <c r="D208" s="33" t="s">
        <v>47</v>
      </c>
      <c r="E208" s="34"/>
      <c r="F208" s="24">
        <v>0.0</v>
      </c>
      <c r="H208" s="25">
        <v>0.0</v>
      </c>
      <c r="J208" s="25">
        <v>0.0</v>
      </c>
      <c r="L208" s="25">
        <v>0.0</v>
      </c>
      <c r="N208" s="25">
        <v>0.0</v>
      </c>
      <c r="P208" s="25">
        <v>0.0</v>
      </c>
      <c r="Q208" s="26"/>
      <c r="R208" s="24">
        <v>185.0</v>
      </c>
      <c r="T208" s="25">
        <v>185.0</v>
      </c>
      <c r="V208" s="25">
        <v>0.0</v>
      </c>
      <c r="X208" s="25">
        <v>0.0</v>
      </c>
      <c r="Z208" s="25">
        <v>0.0</v>
      </c>
      <c r="AB208" s="25">
        <v>0.0</v>
      </c>
      <c r="AC208" s="26"/>
      <c r="AD208" s="25">
        <v>0.0</v>
      </c>
      <c r="AF208" s="25">
        <v>0.0</v>
      </c>
      <c r="AH208" s="25">
        <v>0.0</v>
      </c>
      <c r="AJ208" s="27">
        <v>0.0</v>
      </c>
      <c r="AK208" s="26"/>
      <c r="AL208" s="24">
        <v>0.0</v>
      </c>
      <c r="AM208" s="26"/>
      <c r="AN208" s="24">
        <v>0.0</v>
      </c>
      <c r="AO208" s="26"/>
      <c r="AP208" s="24">
        <v>0.0</v>
      </c>
      <c r="AQ208" s="26"/>
      <c r="AR208" s="25">
        <v>0.0</v>
      </c>
      <c r="AT208" s="25">
        <v>0.0</v>
      </c>
      <c r="AU208" s="26"/>
      <c r="AV208" s="35">
        <f t="shared" si="1"/>
        <v>3751.8</v>
      </c>
      <c r="AW208" s="33">
        <f t="shared" si="2"/>
        <v>370</v>
      </c>
      <c r="AX208" s="33">
        <f t="shared" si="3"/>
        <v>0</v>
      </c>
      <c r="AY208" s="33">
        <f t="shared" si="4"/>
        <v>370</v>
      </c>
      <c r="AZ208" s="30">
        <f t="shared" si="5"/>
        <v>10.14</v>
      </c>
    </row>
    <row r="209" ht="15.75" customHeight="1">
      <c r="A209" s="31" t="s">
        <v>35</v>
      </c>
      <c r="B209" s="32">
        <f t="shared" si="6"/>
        <v>44769</v>
      </c>
      <c r="C209" s="33">
        <v>8.0</v>
      </c>
      <c r="D209" s="33" t="s">
        <v>47</v>
      </c>
      <c r="E209" s="34"/>
      <c r="F209" s="24">
        <v>0.0</v>
      </c>
      <c r="H209" s="25">
        <v>0.0</v>
      </c>
      <c r="J209" s="25">
        <v>0.0</v>
      </c>
      <c r="L209" s="25">
        <v>0.0</v>
      </c>
      <c r="N209" s="25">
        <v>0.0</v>
      </c>
      <c r="P209" s="25">
        <v>0.0</v>
      </c>
      <c r="Q209" s="26"/>
      <c r="R209" s="24">
        <v>185.0</v>
      </c>
      <c r="T209" s="25">
        <v>185.0</v>
      </c>
      <c r="V209" s="25">
        <v>0.0</v>
      </c>
      <c r="X209" s="25">
        <v>0.0</v>
      </c>
      <c r="Z209" s="25">
        <v>0.0</v>
      </c>
      <c r="AB209" s="25">
        <v>0.0</v>
      </c>
      <c r="AC209" s="26"/>
      <c r="AD209" s="25">
        <v>0.0</v>
      </c>
      <c r="AF209" s="25">
        <v>0.0</v>
      </c>
      <c r="AH209" s="25">
        <v>0.0</v>
      </c>
      <c r="AJ209" s="27">
        <v>0.0</v>
      </c>
      <c r="AK209" s="26"/>
      <c r="AL209" s="24">
        <v>0.0</v>
      </c>
      <c r="AM209" s="26"/>
      <c r="AN209" s="24">
        <v>0.0</v>
      </c>
      <c r="AO209" s="26"/>
      <c r="AP209" s="24">
        <v>0.0</v>
      </c>
      <c r="AQ209" s="26"/>
      <c r="AR209" s="25">
        <v>0.0</v>
      </c>
      <c r="AT209" s="25">
        <v>0.0</v>
      </c>
      <c r="AU209" s="26"/>
      <c r="AV209" s="35">
        <f t="shared" si="1"/>
        <v>3751.8</v>
      </c>
      <c r="AW209" s="33">
        <f t="shared" si="2"/>
        <v>370</v>
      </c>
      <c r="AX209" s="33">
        <f t="shared" si="3"/>
        <v>0</v>
      </c>
      <c r="AY209" s="33">
        <f t="shared" si="4"/>
        <v>370</v>
      </c>
      <c r="AZ209" s="30">
        <f t="shared" si="5"/>
        <v>10.14</v>
      </c>
    </row>
    <row r="210" ht="15.75" customHeight="1">
      <c r="A210" s="31" t="s">
        <v>38</v>
      </c>
      <c r="B210" s="32">
        <f t="shared" si="6"/>
        <v>44770</v>
      </c>
      <c r="C210" s="33">
        <v>8.0</v>
      </c>
      <c r="D210" s="33" t="s">
        <v>47</v>
      </c>
      <c r="E210" s="34"/>
      <c r="F210" s="24">
        <v>0.0</v>
      </c>
      <c r="H210" s="25">
        <v>0.0</v>
      </c>
      <c r="J210" s="25">
        <v>0.0</v>
      </c>
      <c r="L210" s="25">
        <v>0.0</v>
      </c>
      <c r="N210" s="25">
        <v>0.0</v>
      </c>
      <c r="P210" s="25">
        <v>0.0</v>
      </c>
      <c r="Q210" s="26"/>
      <c r="R210" s="24">
        <v>185.0</v>
      </c>
      <c r="T210" s="25">
        <v>185.0</v>
      </c>
      <c r="V210" s="25">
        <v>0.0</v>
      </c>
      <c r="X210" s="25">
        <v>0.0</v>
      </c>
      <c r="Z210" s="25">
        <v>0.0</v>
      </c>
      <c r="AB210" s="25">
        <v>0.0</v>
      </c>
      <c r="AC210" s="26"/>
      <c r="AD210" s="25">
        <v>0.0</v>
      </c>
      <c r="AF210" s="25">
        <v>0.0</v>
      </c>
      <c r="AH210" s="25">
        <v>0.0</v>
      </c>
      <c r="AJ210" s="27">
        <v>0.0</v>
      </c>
      <c r="AK210" s="26"/>
      <c r="AL210" s="24">
        <v>0.0</v>
      </c>
      <c r="AM210" s="26"/>
      <c r="AN210" s="24">
        <v>0.0</v>
      </c>
      <c r="AO210" s="26"/>
      <c r="AP210" s="24">
        <v>0.0</v>
      </c>
      <c r="AQ210" s="26"/>
      <c r="AR210" s="25">
        <v>0.0</v>
      </c>
      <c r="AT210" s="25">
        <v>0.0</v>
      </c>
      <c r="AU210" s="26"/>
      <c r="AV210" s="35">
        <f t="shared" si="1"/>
        <v>3751.8</v>
      </c>
      <c r="AW210" s="33">
        <f t="shared" si="2"/>
        <v>370</v>
      </c>
      <c r="AX210" s="33">
        <f t="shared" si="3"/>
        <v>0</v>
      </c>
      <c r="AY210" s="33">
        <f t="shared" si="4"/>
        <v>370</v>
      </c>
      <c r="AZ210" s="30">
        <f t="shared" si="5"/>
        <v>10.14</v>
      </c>
    </row>
    <row r="211" ht="15.75" customHeight="1">
      <c r="A211" s="31" t="s">
        <v>45</v>
      </c>
      <c r="B211" s="32">
        <f t="shared" si="6"/>
        <v>44771</v>
      </c>
      <c r="C211" s="33">
        <v>8.0</v>
      </c>
      <c r="D211" s="33" t="s">
        <v>47</v>
      </c>
      <c r="E211" s="34"/>
      <c r="F211" s="24">
        <v>0.0</v>
      </c>
      <c r="H211" s="25">
        <v>0.0</v>
      </c>
      <c r="J211" s="25">
        <v>0.0</v>
      </c>
      <c r="L211" s="25">
        <v>0.0</v>
      </c>
      <c r="N211" s="25">
        <v>0.0</v>
      </c>
      <c r="P211" s="25">
        <v>0.0</v>
      </c>
      <c r="Q211" s="26"/>
      <c r="R211" s="24">
        <v>185.0</v>
      </c>
      <c r="T211" s="25">
        <v>185.0</v>
      </c>
      <c r="V211" s="25">
        <v>0.0</v>
      </c>
      <c r="X211" s="25">
        <v>0.0</v>
      </c>
      <c r="Z211" s="25">
        <v>0.0</v>
      </c>
      <c r="AB211" s="25">
        <v>0.0</v>
      </c>
      <c r="AC211" s="26"/>
      <c r="AD211" s="25">
        <v>0.0</v>
      </c>
      <c r="AF211" s="25">
        <v>0.0</v>
      </c>
      <c r="AH211" s="25">
        <v>0.0</v>
      </c>
      <c r="AJ211" s="27">
        <v>0.0</v>
      </c>
      <c r="AK211" s="26"/>
      <c r="AL211" s="24">
        <v>0.0</v>
      </c>
      <c r="AM211" s="26"/>
      <c r="AN211" s="24">
        <v>0.0</v>
      </c>
      <c r="AO211" s="26"/>
      <c r="AP211" s="24">
        <v>0.0</v>
      </c>
      <c r="AQ211" s="26"/>
      <c r="AR211" s="25">
        <v>0.0</v>
      </c>
      <c r="AT211" s="25">
        <v>0.0</v>
      </c>
      <c r="AU211" s="26"/>
      <c r="AV211" s="35">
        <f t="shared" si="1"/>
        <v>3751.8</v>
      </c>
      <c r="AW211" s="33">
        <f t="shared" si="2"/>
        <v>370</v>
      </c>
      <c r="AX211" s="33">
        <f t="shared" si="3"/>
        <v>0</v>
      </c>
      <c r="AY211" s="33">
        <f t="shared" si="4"/>
        <v>370</v>
      </c>
      <c r="AZ211" s="30">
        <f t="shared" si="5"/>
        <v>10.14</v>
      </c>
    </row>
    <row r="212" ht="15.75" customHeight="1">
      <c r="A212" s="44" t="s">
        <v>46</v>
      </c>
      <c r="B212" s="45">
        <f t="shared" si="6"/>
        <v>44772</v>
      </c>
      <c r="C212" s="46">
        <v>8.0</v>
      </c>
      <c r="D212" s="46" t="s">
        <v>47</v>
      </c>
      <c r="E212" s="47"/>
      <c r="F212" s="49">
        <v>0.0</v>
      </c>
      <c r="G212" s="51"/>
      <c r="H212" s="52">
        <v>0.0</v>
      </c>
      <c r="I212" s="51"/>
      <c r="J212" s="52">
        <v>0.0</v>
      </c>
      <c r="K212" s="51"/>
      <c r="L212" s="52">
        <v>0.0</v>
      </c>
      <c r="M212" s="51"/>
      <c r="N212" s="52">
        <v>0.0</v>
      </c>
      <c r="O212" s="51"/>
      <c r="P212" s="52">
        <v>0.0</v>
      </c>
      <c r="Q212" s="53"/>
      <c r="R212" s="49">
        <v>0.0</v>
      </c>
      <c r="S212" s="51"/>
      <c r="T212" s="52">
        <v>0.0</v>
      </c>
      <c r="U212" s="51"/>
      <c r="V212" s="52">
        <v>0.0</v>
      </c>
      <c r="W212" s="51"/>
      <c r="X212" s="52">
        <v>0.0</v>
      </c>
      <c r="Y212" s="51"/>
      <c r="Z212" s="52">
        <v>0.0</v>
      </c>
      <c r="AA212" s="51"/>
      <c r="AB212" s="52">
        <v>0.0</v>
      </c>
      <c r="AC212" s="53"/>
      <c r="AD212" s="52">
        <v>0.0</v>
      </c>
      <c r="AE212" s="51"/>
      <c r="AF212" s="52">
        <v>0.0</v>
      </c>
      <c r="AG212" s="51"/>
      <c r="AH212" s="52">
        <v>0.0</v>
      </c>
      <c r="AI212" s="51"/>
      <c r="AJ212" s="54">
        <v>0.0</v>
      </c>
      <c r="AK212" s="53"/>
      <c r="AL212" s="49">
        <v>0.0</v>
      </c>
      <c r="AM212" s="53"/>
      <c r="AN212" s="49">
        <v>0.0</v>
      </c>
      <c r="AO212" s="53"/>
      <c r="AP212" s="49">
        <v>0.0</v>
      </c>
      <c r="AQ212" s="53"/>
      <c r="AR212" s="52">
        <v>0.0</v>
      </c>
      <c r="AS212" s="51"/>
      <c r="AT212" s="52">
        <v>0.0</v>
      </c>
      <c r="AU212" s="53"/>
      <c r="AV212" s="55">
        <f t="shared" si="1"/>
        <v>0</v>
      </c>
      <c r="AW212" s="46">
        <f t="shared" si="2"/>
        <v>0</v>
      </c>
      <c r="AX212" s="46">
        <f t="shared" si="3"/>
        <v>0</v>
      </c>
      <c r="AY212" s="46">
        <f t="shared" si="4"/>
        <v>0</v>
      </c>
      <c r="AZ212" s="56" t="str">
        <f t="shared" si="5"/>
        <v/>
      </c>
    </row>
    <row r="213" ht="15.75" customHeight="1">
      <c r="A213" s="19" t="s">
        <v>30</v>
      </c>
      <c r="B213" s="57">
        <f t="shared" si="6"/>
        <v>44773</v>
      </c>
      <c r="C213" s="21">
        <v>8.0</v>
      </c>
      <c r="D213" s="21" t="s">
        <v>48</v>
      </c>
      <c r="E213" s="23"/>
      <c r="F213" s="24">
        <v>0.0</v>
      </c>
      <c r="H213" s="25">
        <v>0.0</v>
      </c>
      <c r="J213" s="25">
        <v>0.0</v>
      </c>
      <c r="L213" s="25">
        <v>0.0</v>
      </c>
      <c r="N213" s="25">
        <v>0.0</v>
      </c>
      <c r="P213" s="25">
        <v>0.0</v>
      </c>
      <c r="Q213" s="26"/>
      <c r="R213" s="24">
        <v>160.0</v>
      </c>
      <c r="T213" s="25">
        <v>160.0</v>
      </c>
      <c r="V213" s="25">
        <v>0.0</v>
      </c>
      <c r="X213" s="25">
        <v>0.0</v>
      </c>
      <c r="Z213" s="25">
        <v>0.0</v>
      </c>
      <c r="AB213" s="25">
        <v>0.0</v>
      </c>
      <c r="AC213" s="26"/>
      <c r="AD213" s="25">
        <v>0.0</v>
      </c>
      <c r="AF213" s="25">
        <v>0.0</v>
      </c>
      <c r="AH213" s="25">
        <v>0.0</v>
      </c>
      <c r="AJ213" s="27">
        <v>0.0</v>
      </c>
      <c r="AK213" s="26"/>
      <c r="AL213" s="24">
        <v>0.0</v>
      </c>
      <c r="AM213" s="26"/>
      <c r="AN213" s="24">
        <v>0.0</v>
      </c>
      <c r="AO213" s="26"/>
      <c r="AP213" s="24">
        <v>0.0</v>
      </c>
      <c r="AQ213" s="26"/>
      <c r="AR213" s="25">
        <v>0.0</v>
      </c>
      <c r="AT213" s="25">
        <v>0.0</v>
      </c>
      <c r="AU213" s="26"/>
      <c r="AV213" s="29">
        <f t="shared" si="1"/>
        <v>3244.8</v>
      </c>
      <c r="AW213" s="21">
        <f t="shared" si="2"/>
        <v>320</v>
      </c>
      <c r="AX213" s="21">
        <f t="shared" si="3"/>
        <v>0</v>
      </c>
      <c r="AY213" s="21">
        <f t="shared" si="4"/>
        <v>320</v>
      </c>
      <c r="AZ213" s="58">
        <f t="shared" si="5"/>
        <v>10.14</v>
      </c>
    </row>
    <row r="214" ht="15.75" customHeight="1">
      <c r="A214" s="31" t="s">
        <v>33</v>
      </c>
      <c r="B214" s="32">
        <f t="shared" si="6"/>
        <v>44774</v>
      </c>
      <c r="C214" s="33">
        <v>8.0</v>
      </c>
      <c r="D214" s="33" t="s">
        <v>48</v>
      </c>
      <c r="E214" s="34"/>
      <c r="F214" s="24">
        <v>0.0</v>
      </c>
      <c r="H214" s="25">
        <v>0.0</v>
      </c>
      <c r="J214" s="25">
        <v>0.0</v>
      </c>
      <c r="L214" s="25">
        <v>0.0</v>
      </c>
      <c r="N214" s="25">
        <v>0.0</v>
      </c>
      <c r="P214" s="25">
        <v>0.0</v>
      </c>
      <c r="Q214" s="26"/>
      <c r="R214" s="24">
        <v>160.0</v>
      </c>
      <c r="T214" s="25">
        <v>160.0</v>
      </c>
      <c r="V214" s="25">
        <v>0.0</v>
      </c>
      <c r="X214" s="25">
        <v>0.0</v>
      </c>
      <c r="Z214" s="25">
        <v>0.0</v>
      </c>
      <c r="AB214" s="25">
        <v>0.0</v>
      </c>
      <c r="AC214" s="26"/>
      <c r="AD214" s="25">
        <v>50.0</v>
      </c>
      <c r="AF214" s="25">
        <v>50.0</v>
      </c>
      <c r="AH214" s="25">
        <v>0.0</v>
      </c>
      <c r="AJ214" s="27">
        <v>0.0</v>
      </c>
      <c r="AK214" s="26"/>
      <c r="AL214" s="24">
        <v>0.0</v>
      </c>
      <c r="AM214" s="26"/>
      <c r="AN214" s="24">
        <v>0.0</v>
      </c>
      <c r="AO214" s="26"/>
      <c r="AP214" s="24">
        <v>0.0</v>
      </c>
      <c r="AQ214" s="26"/>
      <c r="AR214" s="25">
        <v>0.0</v>
      </c>
      <c r="AT214" s="25">
        <v>0.0</v>
      </c>
      <c r="AU214" s="26"/>
      <c r="AV214" s="35">
        <f t="shared" si="1"/>
        <v>4694.8</v>
      </c>
      <c r="AW214" s="33">
        <f t="shared" si="2"/>
        <v>420</v>
      </c>
      <c r="AX214" s="33">
        <f t="shared" si="3"/>
        <v>0</v>
      </c>
      <c r="AY214" s="33">
        <f t="shared" si="4"/>
        <v>420</v>
      </c>
      <c r="AZ214" s="30">
        <f t="shared" si="5"/>
        <v>11.17809524</v>
      </c>
    </row>
    <row r="215" ht="15.75" customHeight="1">
      <c r="A215" s="31" t="s">
        <v>34</v>
      </c>
      <c r="B215" s="32">
        <f t="shared" si="6"/>
        <v>44775</v>
      </c>
      <c r="C215" s="33">
        <v>8.0</v>
      </c>
      <c r="D215" s="33" t="s">
        <v>48</v>
      </c>
      <c r="E215" s="34"/>
      <c r="F215" s="24">
        <v>0.0</v>
      </c>
      <c r="H215" s="25">
        <v>0.0</v>
      </c>
      <c r="J215" s="25">
        <v>0.0</v>
      </c>
      <c r="L215" s="25">
        <v>0.0</v>
      </c>
      <c r="N215" s="25">
        <v>0.0</v>
      </c>
      <c r="P215" s="25">
        <v>0.0</v>
      </c>
      <c r="Q215" s="26"/>
      <c r="R215" s="24">
        <v>160.0</v>
      </c>
      <c r="T215" s="25">
        <v>160.0</v>
      </c>
      <c r="V215" s="25">
        <v>0.0</v>
      </c>
      <c r="X215" s="25">
        <v>0.0</v>
      </c>
      <c r="Z215" s="25">
        <v>0.0</v>
      </c>
      <c r="AB215" s="25">
        <v>0.0</v>
      </c>
      <c r="AC215" s="26"/>
      <c r="AD215" s="25">
        <v>50.0</v>
      </c>
      <c r="AF215" s="25">
        <v>50.0</v>
      </c>
      <c r="AH215" s="25">
        <v>0.0</v>
      </c>
      <c r="AJ215" s="27">
        <v>0.0</v>
      </c>
      <c r="AK215" s="26"/>
      <c r="AL215" s="24">
        <v>0.0</v>
      </c>
      <c r="AM215" s="26"/>
      <c r="AN215" s="24">
        <v>0.0</v>
      </c>
      <c r="AO215" s="26"/>
      <c r="AP215" s="24">
        <v>0.0</v>
      </c>
      <c r="AQ215" s="26"/>
      <c r="AR215" s="25">
        <v>0.0</v>
      </c>
      <c r="AT215" s="25">
        <v>0.0</v>
      </c>
      <c r="AU215" s="26"/>
      <c r="AV215" s="35">
        <f t="shared" si="1"/>
        <v>4694.8</v>
      </c>
      <c r="AW215" s="33">
        <f t="shared" si="2"/>
        <v>420</v>
      </c>
      <c r="AX215" s="33">
        <f t="shared" si="3"/>
        <v>0</v>
      </c>
      <c r="AY215" s="33">
        <f t="shared" si="4"/>
        <v>420</v>
      </c>
      <c r="AZ215" s="30">
        <f t="shared" si="5"/>
        <v>11.17809524</v>
      </c>
    </row>
    <row r="216" ht="15.75" customHeight="1">
      <c r="A216" s="31" t="s">
        <v>35</v>
      </c>
      <c r="B216" s="32">
        <f t="shared" si="6"/>
        <v>44776</v>
      </c>
      <c r="C216" s="33">
        <v>8.0</v>
      </c>
      <c r="D216" s="33" t="s">
        <v>48</v>
      </c>
      <c r="E216" s="34"/>
      <c r="F216" s="24">
        <v>0.0</v>
      </c>
      <c r="H216" s="25">
        <v>0.0</v>
      </c>
      <c r="J216" s="25">
        <v>0.0</v>
      </c>
      <c r="L216" s="25">
        <v>0.0</v>
      </c>
      <c r="N216" s="25">
        <v>0.0</v>
      </c>
      <c r="P216" s="25">
        <v>0.0</v>
      </c>
      <c r="Q216" s="26"/>
      <c r="R216" s="24">
        <v>160.0</v>
      </c>
      <c r="T216" s="25">
        <v>160.0</v>
      </c>
      <c r="V216" s="25">
        <v>0.0</v>
      </c>
      <c r="X216" s="25">
        <v>0.0</v>
      </c>
      <c r="Z216" s="25">
        <v>0.0</v>
      </c>
      <c r="AB216" s="25">
        <v>0.0</v>
      </c>
      <c r="AC216" s="26"/>
      <c r="AD216" s="25">
        <v>0.0</v>
      </c>
      <c r="AF216" s="25">
        <v>50.0</v>
      </c>
      <c r="AH216" s="25">
        <v>0.0</v>
      </c>
      <c r="AJ216" s="27">
        <v>0.0</v>
      </c>
      <c r="AK216" s="26"/>
      <c r="AL216" s="24">
        <v>0.0</v>
      </c>
      <c r="AM216" s="26"/>
      <c r="AN216" s="24">
        <v>0.0</v>
      </c>
      <c r="AO216" s="26"/>
      <c r="AP216" s="24">
        <v>0.0</v>
      </c>
      <c r="AQ216" s="26"/>
      <c r="AR216" s="25">
        <v>0.0</v>
      </c>
      <c r="AT216" s="25">
        <v>0.0</v>
      </c>
      <c r="AU216" s="26"/>
      <c r="AV216" s="35">
        <f t="shared" si="1"/>
        <v>3969.8</v>
      </c>
      <c r="AW216" s="33">
        <f t="shared" si="2"/>
        <v>370</v>
      </c>
      <c r="AX216" s="33">
        <f t="shared" si="3"/>
        <v>0</v>
      </c>
      <c r="AY216" s="33">
        <f t="shared" si="4"/>
        <v>370</v>
      </c>
      <c r="AZ216" s="30">
        <f t="shared" si="5"/>
        <v>10.72918919</v>
      </c>
    </row>
    <row r="217" ht="15.75" customHeight="1">
      <c r="A217" s="31" t="s">
        <v>38</v>
      </c>
      <c r="B217" s="32">
        <f t="shared" si="6"/>
        <v>44777</v>
      </c>
      <c r="C217" s="33">
        <v>8.0</v>
      </c>
      <c r="D217" s="33" t="s">
        <v>48</v>
      </c>
      <c r="E217" s="34"/>
      <c r="F217" s="24">
        <v>0.0</v>
      </c>
      <c r="H217" s="25">
        <v>0.0</v>
      </c>
      <c r="J217" s="25">
        <v>0.0</v>
      </c>
      <c r="L217" s="25">
        <v>0.0</v>
      </c>
      <c r="N217" s="25">
        <v>0.0</v>
      </c>
      <c r="P217" s="25">
        <v>0.0</v>
      </c>
      <c r="Q217" s="26"/>
      <c r="R217" s="24">
        <v>160.0</v>
      </c>
      <c r="T217" s="25">
        <v>160.0</v>
      </c>
      <c r="V217" s="25">
        <v>0.0</v>
      </c>
      <c r="X217" s="25">
        <v>0.0</v>
      </c>
      <c r="Z217" s="25">
        <v>0.0</v>
      </c>
      <c r="AB217" s="25">
        <v>0.0</v>
      </c>
      <c r="AC217" s="26"/>
      <c r="AD217" s="25">
        <v>50.0</v>
      </c>
      <c r="AF217" s="25">
        <v>50.0</v>
      </c>
      <c r="AH217" s="25">
        <v>0.0</v>
      </c>
      <c r="AJ217" s="27">
        <v>0.0</v>
      </c>
      <c r="AK217" s="26"/>
      <c r="AL217" s="24">
        <v>0.0</v>
      </c>
      <c r="AM217" s="26"/>
      <c r="AN217" s="24">
        <v>0.0</v>
      </c>
      <c r="AO217" s="26"/>
      <c r="AP217" s="24">
        <v>0.0</v>
      </c>
      <c r="AQ217" s="26"/>
      <c r="AR217" s="25">
        <v>0.0</v>
      </c>
      <c r="AT217" s="25">
        <v>0.0</v>
      </c>
      <c r="AU217" s="26"/>
      <c r="AV217" s="35">
        <f t="shared" si="1"/>
        <v>4694.8</v>
      </c>
      <c r="AW217" s="33">
        <f t="shared" si="2"/>
        <v>420</v>
      </c>
      <c r="AX217" s="33">
        <f t="shared" si="3"/>
        <v>0</v>
      </c>
      <c r="AY217" s="33">
        <f t="shared" si="4"/>
        <v>420</v>
      </c>
      <c r="AZ217" s="30">
        <f t="shared" si="5"/>
        <v>11.17809524</v>
      </c>
    </row>
    <row r="218" ht="15.75" customHeight="1">
      <c r="A218" s="31" t="s">
        <v>45</v>
      </c>
      <c r="B218" s="32">
        <f t="shared" si="6"/>
        <v>44778</v>
      </c>
      <c r="C218" s="33">
        <v>8.0</v>
      </c>
      <c r="D218" s="33" t="s">
        <v>48</v>
      </c>
      <c r="E218" s="34"/>
      <c r="F218" s="24">
        <v>0.0</v>
      </c>
      <c r="H218" s="25">
        <v>0.0</v>
      </c>
      <c r="J218" s="25">
        <v>0.0</v>
      </c>
      <c r="L218" s="25">
        <v>0.0</v>
      </c>
      <c r="N218" s="25">
        <v>0.0</v>
      </c>
      <c r="P218" s="25">
        <v>0.0</v>
      </c>
      <c r="Q218" s="26"/>
      <c r="R218" s="24">
        <v>160.0</v>
      </c>
      <c r="T218" s="25">
        <v>160.0</v>
      </c>
      <c r="V218" s="25">
        <v>0.0</v>
      </c>
      <c r="X218" s="25">
        <v>0.0</v>
      </c>
      <c r="Z218" s="25">
        <v>0.0</v>
      </c>
      <c r="AB218" s="25">
        <v>0.0</v>
      </c>
      <c r="AC218" s="26"/>
      <c r="AD218" s="25">
        <v>50.0</v>
      </c>
      <c r="AF218" s="25">
        <v>0.0</v>
      </c>
      <c r="AH218" s="25">
        <v>0.0</v>
      </c>
      <c r="AJ218" s="27">
        <v>0.0</v>
      </c>
      <c r="AK218" s="26"/>
      <c r="AL218" s="24">
        <v>0.0</v>
      </c>
      <c r="AM218" s="26"/>
      <c r="AN218" s="24">
        <v>0.0</v>
      </c>
      <c r="AO218" s="26"/>
      <c r="AP218" s="24">
        <v>0.0</v>
      </c>
      <c r="AQ218" s="26"/>
      <c r="AR218" s="25">
        <v>0.0</v>
      </c>
      <c r="AT218" s="25">
        <v>0.0</v>
      </c>
      <c r="AU218" s="26"/>
      <c r="AV218" s="35">
        <f t="shared" si="1"/>
        <v>3969.8</v>
      </c>
      <c r="AW218" s="33">
        <f t="shared" si="2"/>
        <v>370</v>
      </c>
      <c r="AX218" s="33">
        <f t="shared" si="3"/>
        <v>0</v>
      </c>
      <c r="AY218" s="33">
        <f t="shared" si="4"/>
        <v>370</v>
      </c>
      <c r="AZ218" s="30">
        <f t="shared" si="5"/>
        <v>10.72918919</v>
      </c>
    </row>
    <row r="219" ht="15.75" customHeight="1">
      <c r="A219" s="44" t="s">
        <v>46</v>
      </c>
      <c r="B219" s="45">
        <f t="shared" si="6"/>
        <v>44779</v>
      </c>
      <c r="C219" s="46">
        <v>8.0</v>
      </c>
      <c r="D219" s="46" t="s">
        <v>48</v>
      </c>
      <c r="E219" s="47"/>
      <c r="F219" s="49">
        <v>0.0</v>
      </c>
      <c r="G219" s="51"/>
      <c r="H219" s="52">
        <v>0.0</v>
      </c>
      <c r="I219" s="51"/>
      <c r="J219" s="52">
        <v>0.0</v>
      </c>
      <c r="K219" s="51"/>
      <c r="L219" s="52">
        <v>0.0</v>
      </c>
      <c r="M219" s="51"/>
      <c r="N219" s="52">
        <v>0.0</v>
      </c>
      <c r="O219" s="51"/>
      <c r="P219" s="52">
        <v>0.0</v>
      </c>
      <c r="Q219" s="53"/>
      <c r="R219" s="49">
        <v>0.0</v>
      </c>
      <c r="S219" s="51"/>
      <c r="T219" s="52">
        <v>0.0</v>
      </c>
      <c r="U219" s="51"/>
      <c r="V219" s="52">
        <v>0.0</v>
      </c>
      <c r="W219" s="51"/>
      <c r="X219" s="52">
        <v>0.0</v>
      </c>
      <c r="Y219" s="51"/>
      <c r="Z219" s="52">
        <v>0.0</v>
      </c>
      <c r="AA219" s="51"/>
      <c r="AB219" s="52">
        <v>0.0</v>
      </c>
      <c r="AC219" s="53"/>
      <c r="AD219" s="52">
        <v>0.0</v>
      </c>
      <c r="AE219" s="51"/>
      <c r="AF219" s="52">
        <v>0.0</v>
      </c>
      <c r="AG219" s="51"/>
      <c r="AH219" s="52">
        <v>0.0</v>
      </c>
      <c r="AI219" s="51"/>
      <c r="AJ219" s="54">
        <v>0.0</v>
      </c>
      <c r="AK219" s="53"/>
      <c r="AL219" s="49">
        <v>0.0</v>
      </c>
      <c r="AM219" s="53"/>
      <c r="AN219" s="49">
        <v>0.0</v>
      </c>
      <c r="AO219" s="53"/>
      <c r="AP219" s="49">
        <v>0.0</v>
      </c>
      <c r="AQ219" s="53"/>
      <c r="AR219" s="52">
        <v>0.0</v>
      </c>
      <c r="AS219" s="51"/>
      <c r="AT219" s="52">
        <v>0.0</v>
      </c>
      <c r="AU219" s="53"/>
      <c r="AV219" s="55">
        <f t="shared" si="1"/>
        <v>0</v>
      </c>
      <c r="AW219" s="46">
        <f t="shared" si="2"/>
        <v>0</v>
      </c>
      <c r="AX219" s="46">
        <f t="shared" si="3"/>
        <v>0</v>
      </c>
      <c r="AY219" s="46">
        <f t="shared" si="4"/>
        <v>0</v>
      </c>
      <c r="AZ219" s="56" t="str">
        <f t="shared" si="5"/>
        <v/>
      </c>
    </row>
    <row r="220" ht="15.75" customHeight="1">
      <c r="A220" s="19" t="s">
        <v>30</v>
      </c>
      <c r="B220" s="57">
        <f t="shared" si="6"/>
        <v>44780</v>
      </c>
      <c r="C220" s="21">
        <v>8.0</v>
      </c>
      <c r="D220" s="21" t="s">
        <v>49</v>
      </c>
      <c r="E220" s="23"/>
      <c r="F220" s="24">
        <v>0.0</v>
      </c>
      <c r="H220" s="25">
        <v>0.0</v>
      </c>
      <c r="J220" s="25">
        <v>0.0</v>
      </c>
      <c r="L220" s="25">
        <v>0.0</v>
      </c>
      <c r="N220" s="25">
        <v>0.0</v>
      </c>
      <c r="P220" s="25">
        <v>0.0</v>
      </c>
      <c r="Q220" s="26"/>
      <c r="R220" s="24">
        <v>160.0</v>
      </c>
      <c r="T220" s="25">
        <v>160.0</v>
      </c>
      <c r="V220" s="25">
        <v>0.0</v>
      </c>
      <c r="X220" s="25">
        <v>0.0</v>
      </c>
      <c r="Z220" s="25">
        <v>0.0</v>
      </c>
      <c r="AB220" s="25">
        <v>0.0</v>
      </c>
      <c r="AC220" s="26"/>
      <c r="AD220" s="25">
        <v>0.0</v>
      </c>
      <c r="AF220" s="25">
        <v>0.0</v>
      </c>
      <c r="AH220" s="25">
        <v>0.0</v>
      </c>
      <c r="AJ220" s="27">
        <v>0.0</v>
      </c>
      <c r="AK220" s="26"/>
      <c r="AL220" s="24">
        <v>0.0</v>
      </c>
      <c r="AM220" s="26"/>
      <c r="AN220" s="24">
        <v>0.0</v>
      </c>
      <c r="AO220" s="26"/>
      <c r="AP220" s="24">
        <v>0.0</v>
      </c>
      <c r="AQ220" s="26"/>
      <c r="AR220" s="25">
        <v>0.0</v>
      </c>
      <c r="AT220" s="25">
        <v>0.0</v>
      </c>
      <c r="AU220" s="26"/>
      <c r="AV220" s="29">
        <f t="shared" si="1"/>
        <v>3244.8</v>
      </c>
      <c r="AW220" s="21">
        <f t="shared" si="2"/>
        <v>320</v>
      </c>
      <c r="AX220" s="21">
        <f t="shared" si="3"/>
        <v>0</v>
      </c>
      <c r="AY220" s="21">
        <f t="shared" si="4"/>
        <v>320</v>
      </c>
      <c r="AZ220" s="58">
        <f t="shared" si="5"/>
        <v>10.14</v>
      </c>
    </row>
    <row r="221" ht="15.75" customHeight="1">
      <c r="A221" s="31" t="s">
        <v>33</v>
      </c>
      <c r="B221" s="32">
        <f t="shared" si="6"/>
        <v>44781</v>
      </c>
      <c r="C221" s="33">
        <v>8.0</v>
      </c>
      <c r="D221" s="33" t="s">
        <v>49</v>
      </c>
      <c r="E221" s="34"/>
      <c r="F221" s="24">
        <v>0.0</v>
      </c>
      <c r="H221" s="25">
        <v>0.0</v>
      </c>
      <c r="J221" s="25">
        <v>0.0</v>
      </c>
      <c r="L221" s="25">
        <v>0.0</v>
      </c>
      <c r="N221" s="25">
        <v>0.0</v>
      </c>
      <c r="P221" s="25">
        <v>0.0</v>
      </c>
      <c r="Q221" s="26"/>
      <c r="R221" s="24">
        <v>172.0</v>
      </c>
      <c r="T221" s="25">
        <v>172.0</v>
      </c>
      <c r="V221" s="25">
        <v>0.0</v>
      </c>
      <c r="X221" s="25">
        <v>0.0</v>
      </c>
      <c r="Z221" s="25">
        <v>0.0</v>
      </c>
      <c r="AB221" s="25">
        <v>0.0</v>
      </c>
      <c r="AC221" s="26"/>
      <c r="AD221" s="25">
        <v>0.0</v>
      </c>
      <c r="AF221" s="25">
        <v>0.0</v>
      </c>
      <c r="AH221" s="25">
        <v>0.0</v>
      </c>
      <c r="AJ221" s="27">
        <v>0.0</v>
      </c>
      <c r="AK221" s="26"/>
      <c r="AL221" s="24">
        <v>0.0</v>
      </c>
      <c r="AM221" s="26"/>
      <c r="AN221" s="24">
        <v>0.0</v>
      </c>
      <c r="AO221" s="26"/>
      <c r="AP221" s="24">
        <v>0.0</v>
      </c>
      <c r="AQ221" s="26"/>
      <c r="AR221" s="25">
        <v>0.0</v>
      </c>
      <c r="AT221" s="25">
        <v>0.0</v>
      </c>
      <c r="AU221" s="26"/>
      <c r="AV221" s="35">
        <f t="shared" si="1"/>
        <v>3488.16</v>
      </c>
      <c r="AW221" s="33">
        <f t="shared" si="2"/>
        <v>344</v>
      </c>
      <c r="AX221" s="33">
        <f t="shared" si="3"/>
        <v>0</v>
      </c>
      <c r="AY221" s="33">
        <f t="shared" si="4"/>
        <v>344</v>
      </c>
      <c r="AZ221" s="30">
        <f t="shared" si="5"/>
        <v>10.14</v>
      </c>
    </row>
    <row r="222" ht="15.75" customHeight="1">
      <c r="A222" s="31" t="s">
        <v>34</v>
      </c>
      <c r="B222" s="32">
        <f t="shared" si="6"/>
        <v>44782</v>
      </c>
      <c r="C222" s="33">
        <v>8.0</v>
      </c>
      <c r="D222" s="33" t="s">
        <v>49</v>
      </c>
      <c r="E222" s="34"/>
      <c r="F222" s="24">
        <v>0.0</v>
      </c>
      <c r="H222" s="25">
        <v>0.0</v>
      </c>
      <c r="J222" s="25">
        <v>0.0</v>
      </c>
      <c r="L222" s="25">
        <v>0.0</v>
      </c>
      <c r="N222" s="25">
        <v>0.0</v>
      </c>
      <c r="P222" s="25">
        <v>0.0</v>
      </c>
      <c r="Q222" s="26"/>
      <c r="R222" s="24">
        <v>172.0</v>
      </c>
      <c r="T222" s="25">
        <v>172.0</v>
      </c>
      <c r="V222" s="25">
        <v>0.0</v>
      </c>
      <c r="X222" s="25">
        <v>0.0</v>
      </c>
      <c r="Z222" s="25">
        <v>0.0</v>
      </c>
      <c r="AB222" s="25">
        <v>0.0</v>
      </c>
      <c r="AC222" s="26"/>
      <c r="AD222" s="25">
        <v>0.0</v>
      </c>
      <c r="AF222" s="25">
        <v>0.0</v>
      </c>
      <c r="AH222" s="25">
        <v>0.0</v>
      </c>
      <c r="AJ222" s="27">
        <v>0.0</v>
      </c>
      <c r="AK222" s="26"/>
      <c r="AL222" s="24">
        <v>0.0</v>
      </c>
      <c r="AM222" s="26"/>
      <c r="AN222" s="24">
        <v>0.0</v>
      </c>
      <c r="AO222" s="26"/>
      <c r="AP222" s="24">
        <v>0.0</v>
      </c>
      <c r="AQ222" s="26"/>
      <c r="AR222" s="25">
        <v>0.0</v>
      </c>
      <c r="AT222" s="25">
        <v>0.0</v>
      </c>
      <c r="AU222" s="26"/>
      <c r="AV222" s="35">
        <f t="shared" si="1"/>
        <v>3488.16</v>
      </c>
      <c r="AW222" s="33">
        <f t="shared" si="2"/>
        <v>344</v>
      </c>
      <c r="AX222" s="33">
        <f t="shared" si="3"/>
        <v>0</v>
      </c>
      <c r="AY222" s="33">
        <f t="shared" si="4"/>
        <v>344</v>
      </c>
      <c r="AZ222" s="30">
        <f t="shared" si="5"/>
        <v>10.14</v>
      </c>
    </row>
    <row r="223" ht="15.75" customHeight="1">
      <c r="A223" s="31" t="s">
        <v>35</v>
      </c>
      <c r="B223" s="32">
        <f t="shared" si="6"/>
        <v>44783</v>
      </c>
      <c r="C223" s="33">
        <v>8.0</v>
      </c>
      <c r="D223" s="33" t="s">
        <v>49</v>
      </c>
      <c r="E223" s="34"/>
      <c r="F223" s="24">
        <v>0.0</v>
      </c>
      <c r="H223" s="25">
        <v>0.0</v>
      </c>
      <c r="J223" s="25">
        <v>0.0</v>
      </c>
      <c r="L223" s="25">
        <v>0.0</v>
      </c>
      <c r="N223" s="25">
        <v>0.0</v>
      </c>
      <c r="P223" s="25">
        <v>0.0</v>
      </c>
      <c r="Q223" s="26"/>
      <c r="R223" s="24">
        <v>172.0</v>
      </c>
      <c r="T223" s="25">
        <v>172.0</v>
      </c>
      <c r="V223" s="25">
        <v>0.0</v>
      </c>
      <c r="X223" s="25">
        <v>0.0</v>
      </c>
      <c r="Z223" s="25">
        <v>0.0</v>
      </c>
      <c r="AB223" s="25">
        <v>0.0</v>
      </c>
      <c r="AC223" s="26"/>
      <c r="AD223" s="25">
        <v>0.0</v>
      </c>
      <c r="AF223" s="25">
        <v>0.0</v>
      </c>
      <c r="AH223" s="25">
        <v>0.0</v>
      </c>
      <c r="AJ223" s="27">
        <v>0.0</v>
      </c>
      <c r="AK223" s="26"/>
      <c r="AL223" s="24">
        <v>0.0</v>
      </c>
      <c r="AM223" s="26"/>
      <c r="AN223" s="24">
        <v>0.0</v>
      </c>
      <c r="AO223" s="26"/>
      <c r="AP223" s="24">
        <v>0.0</v>
      </c>
      <c r="AQ223" s="26"/>
      <c r="AR223" s="25">
        <v>0.0</v>
      </c>
      <c r="AT223" s="25">
        <v>0.0</v>
      </c>
      <c r="AU223" s="26"/>
      <c r="AV223" s="35">
        <f t="shared" si="1"/>
        <v>3488.16</v>
      </c>
      <c r="AW223" s="33">
        <f t="shared" si="2"/>
        <v>344</v>
      </c>
      <c r="AX223" s="33">
        <f t="shared" si="3"/>
        <v>0</v>
      </c>
      <c r="AY223" s="33">
        <f t="shared" si="4"/>
        <v>344</v>
      </c>
      <c r="AZ223" s="30">
        <f t="shared" si="5"/>
        <v>10.14</v>
      </c>
    </row>
    <row r="224" ht="15.75" customHeight="1">
      <c r="A224" s="31" t="s">
        <v>38</v>
      </c>
      <c r="B224" s="32">
        <f t="shared" si="6"/>
        <v>44784</v>
      </c>
      <c r="C224" s="33">
        <v>8.0</v>
      </c>
      <c r="D224" s="33" t="s">
        <v>49</v>
      </c>
      <c r="E224" s="34"/>
      <c r="F224" s="24">
        <v>0.0</v>
      </c>
      <c r="H224" s="25">
        <v>0.0</v>
      </c>
      <c r="J224" s="25">
        <v>0.0</v>
      </c>
      <c r="L224" s="25">
        <v>0.0</v>
      </c>
      <c r="N224" s="25">
        <v>0.0</v>
      </c>
      <c r="P224" s="25">
        <v>0.0</v>
      </c>
      <c r="Q224" s="26"/>
      <c r="R224" s="24">
        <v>172.0</v>
      </c>
      <c r="T224" s="25">
        <v>172.0</v>
      </c>
      <c r="V224" s="25">
        <v>0.0</v>
      </c>
      <c r="X224" s="25">
        <v>0.0</v>
      </c>
      <c r="Z224" s="25">
        <v>0.0</v>
      </c>
      <c r="AB224" s="25">
        <v>0.0</v>
      </c>
      <c r="AC224" s="26"/>
      <c r="AD224" s="25">
        <v>0.0</v>
      </c>
      <c r="AF224" s="25">
        <v>0.0</v>
      </c>
      <c r="AH224" s="25">
        <v>0.0</v>
      </c>
      <c r="AJ224" s="27">
        <v>0.0</v>
      </c>
      <c r="AK224" s="26"/>
      <c r="AL224" s="24">
        <v>0.0</v>
      </c>
      <c r="AM224" s="26"/>
      <c r="AN224" s="24">
        <v>0.0</v>
      </c>
      <c r="AO224" s="26"/>
      <c r="AP224" s="24">
        <v>0.0</v>
      </c>
      <c r="AQ224" s="26"/>
      <c r="AR224" s="25">
        <v>0.0</v>
      </c>
      <c r="AT224" s="25">
        <v>0.0</v>
      </c>
      <c r="AU224" s="26"/>
      <c r="AV224" s="35">
        <f t="shared" si="1"/>
        <v>3488.16</v>
      </c>
      <c r="AW224" s="33">
        <f t="shared" si="2"/>
        <v>344</v>
      </c>
      <c r="AX224" s="33">
        <f t="shared" si="3"/>
        <v>0</v>
      </c>
      <c r="AY224" s="33">
        <f t="shared" si="4"/>
        <v>344</v>
      </c>
      <c r="AZ224" s="30">
        <f t="shared" si="5"/>
        <v>10.14</v>
      </c>
    </row>
    <row r="225" ht="15.75" customHeight="1">
      <c r="A225" s="31" t="s">
        <v>45</v>
      </c>
      <c r="B225" s="32">
        <f t="shared" si="6"/>
        <v>44785</v>
      </c>
      <c r="C225" s="33">
        <v>8.0</v>
      </c>
      <c r="D225" s="33" t="s">
        <v>49</v>
      </c>
      <c r="E225" s="34"/>
      <c r="F225" s="24">
        <v>0.0</v>
      </c>
      <c r="H225" s="25">
        <v>0.0</v>
      </c>
      <c r="J225" s="25">
        <v>0.0</v>
      </c>
      <c r="L225" s="25">
        <v>0.0</v>
      </c>
      <c r="N225" s="25">
        <v>0.0</v>
      </c>
      <c r="P225" s="25">
        <v>0.0</v>
      </c>
      <c r="Q225" s="26"/>
      <c r="R225" s="24">
        <v>160.0</v>
      </c>
      <c r="T225" s="25">
        <v>160.0</v>
      </c>
      <c r="V225" s="25">
        <v>0.0</v>
      </c>
      <c r="X225" s="25">
        <v>0.0</v>
      </c>
      <c r="Z225" s="25">
        <v>0.0</v>
      </c>
      <c r="AB225" s="25">
        <v>0.0</v>
      </c>
      <c r="AC225" s="26"/>
      <c r="AD225" s="25">
        <v>0.0</v>
      </c>
      <c r="AF225" s="25">
        <v>0.0</v>
      </c>
      <c r="AH225" s="25">
        <v>0.0</v>
      </c>
      <c r="AJ225" s="27">
        <v>0.0</v>
      </c>
      <c r="AK225" s="26"/>
      <c r="AL225" s="24">
        <v>0.0</v>
      </c>
      <c r="AM225" s="26"/>
      <c r="AN225" s="24">
        <v>0.0</v>
      </c>
      <c r="AO225" s="26"/>
      <c r="AP225" s="24">
        <v>0.0</v>
      </c>
      <c r="AQ225" s="26"/>
      <c r="AR225" s="25">
        <v>0.0</v>
      </c>
      <c r="AT225" s="25">
        <v>0.0</v>
      </c>
      <c r="AU225" s="26"/>
      <c r="AV225" s="35">
        <f t="shared" si="1"/>
        <v>3244.8</v>
      </c>
      <c r="AW225" s="33">
        <f t="shared" si="2"/>
        <v>320</v>
      </c>
      <c r="AX225" s="33">
        <f t="shared" si="3"/>
        <v>0</v>
      </c>
      <c r="AY225" s="33">
        <f t="shared" si="4"/>
        <v>320</v>
      </c>
      <c r="AZ225" s="30">
        <f t="shared" si="5"/>
        <v>10.14</v>
      </c>
    </row>
    <row r="226" ht="15.75" customHeight="1">
      <c r="A226" s="44" t="s">
        <v>46</v>
      </c>
      <c r="B226" s="45">
        <f t="shared" si="6"/>
        <v>44786</v>
      </c>
      <c r="C226" s="46">
        <v>8.0</v>
      </c>
      <c r="D226" s="46" t="s">
        <v>49</v>
      </c>
      <c r="E226" s="47"/>
      <c r="F226" s="49">
        <v>0.0</v>
      </c>
      <c r="G226" s="51"/>
      <c r="H226" s="52">
        <v>0.0</v>
      </c>
      <c r="I226" s="51"/>
      <c r="J226" s="52">
        <v>0.0</v>
      </c>
      <c r="K226" s="51"/>
      <c r="L226" s="52">
        <v>0.0</v>
      </c>
      <c r="M226" s="51"/>
      <c r="N226" s="52">
        <v>0.0</v>
      </c>
      <c r="O226" s="51"/>
      <c r="P226" s="52">
        <v>0.0</v>
      </c>
      <c r="Q226" s="53"/>
      <c r="R226" s="49">
        <v>0.0</v>
      </c>
      <c r="S226" s="51"/>
      <c r="T226" s="52">
        <v>0.0</v>
      </c>
      <c r="U226" s="51"/>
      <c r="V226" s="52">
        <v>0.0</v>
      </c>
      <c r="W226" s="51"/>
      <c r="X226" s="52">
        <v>0.0</v>
      </c>
      <c r="Y226" s="51"/>
      <c r="Z226" s="52">
        <v>0.0</v>
      </c>
      <c r="AA226" s="51"/>
      <c r="AB226" s="52">
        <v>0.0</v>
      </c>
      <c r="AC226" s="53"/>
      <c r="AD226" s="52">
        <v>0.0</v>
      </c>
      <c r="AE226" s="51"/>
      <c r="AF226" s="52">
        <v>0.0</v>
      </c>
      <c r="AG226" s="51"/>
      <c r="AH226" s="52">
        <v>0.0</v>
      </c>
      <c r="AI226" s="51"/>
      <c r="AJ226" s="54">
        <v>0.0</v>
      </c>
      <c r="AK226" s="53"/>
      <c r="AL226" s="49">
        <v>0.0</v>
      </c>
      <c r="AM226" s="53"/>
      <c r="AN226" s="49">
        <v>0.0</v>
      </c>
      <c r="AO226" s="53"/>
      <c r="AP226" s="49">
        <v>0.0</v>
      </c>
      <c r="AQ226" s="53"/>
      <c r="AR226" s="52">
        <v>0.0</v>
      </c>
      <c r="AS226" s="51"/>
      <c r="AT226" s="52">
        <v>0.0</v>
      </c>
      <c r="AU226" s="53"/>
      <c r="AV226" s="55">
        <f t="shared" si="1"/>
        <v>0</v>
      </c>
      <c r="AW226" s="46">
        <f t="shared" si="2"/>
        <v>0</v>
      </c>
      <c r="AX226" s="46">
        <f t="shared" si="3"/>
        <v>0</v>
      </c>
      <c r="AY226" s="46">
        <f t="shared" si="4"/>
        <v>0</v>
      </c>
      <c r="AZ226" s="56" t="str">
        <f t="shared" si="5"/>
        <v/>
      </c>
    </row>
    <row r="227" ht="15.75" customHeight="1">
      <c r="A227" s="19" t="s">
        <v>30</v>
      </c>
      <c r="B227" s="57">
        <f t="shared" si="6"/>
        <v>44787</v>
      </c>
      <c r="C227" s="21">
        <v>9.0</v>
      </c>
      <c r="D227" s="21" t="s">
        <v>31</v>
      </c>
      <c r="E227" s="23"/>
      <c r="F227" s="24">
        <v>0.0</v>
      </c>
      <c r="H227" s="25">
        <v>0.0</v>
      </c>
      <c r="J227" s="25">
        <v>0.0</v>
      </c>
      <c r="L227" s="25">
        <v>0.0</v>
      </c>
      <c r="N227" s="25">
        <v>0.0</v>
      </c>
      <c r="P227" s="25">
        <v>0.0</v>
      </c>
      <c r="Q227" s="26"/>
      <c r="R227" s="24">
        <v>160.0</v>
      </c>
      <c r="T227" s="25">
        <v>160.0</v>
      </c>
      <c r="V227" s="25">
        <v>0.0</v>
      </c>
      <c r="X227" s="25">
        <v>0.0</v>
      </c>
      <c r="Z227" s="25">
        <v>0.0</v>
      </c>
      <c r="AB227" s="25">
        <v>0.0</v>
      </c>
      <c r="AC227" s="26"/>
      <c r="AD227" s="25">
        <v>0.0</v>
      </c>
      <c r="AF227" s="25">
        <v>0.0</v>
      </c>
      <c r="AH227" s="25">
        <v>0.0</v>
      </c>
      <c r="AJ227" s="27">
        <v>0.0</v>
      </c>
      <c r="AK227" s="26"/>
      <c r="AL227" s="24">
        <v>0.0</v>
      </c>
      <c r="AM227" s="26"/>
      <c r="AN227" s="24">
        <v>0.0</v>
      </c>
      <c r="AO227" s="26"/>
      <c r="AP227" s="24">
        <v>0.0</v>
      </c>
      <c r="AQ227" s="26"/>
      <c r="AR227" s="25">
        <v>0.0</v>
      </c>
      <c r="AT227" s="25">
        <v>0.0</v>
      </c>
      <c r="AU227" s="26"/>
      <c r="AV227" s="29">
        <f t="shared" si="1"/>
        <v>3244.8</v>
      </c>
      <c r="AW227" s="21">
        <f t="shared" si="2"/>
        <v>320</v>
      </c>
      <c r="AX227" s="21">
        <f t="shared" si="3"/>
        <v>0</v>
      </c>
      <c r="AY227" s="21">
        <f t="shared" si="4"/>
        <v>320</v>
      </c>
      <c r="AZ227" s="58">
        <f t="shared" si="5"/>
        <v>10.14</v>
      </c>
    </row>
    <row r="228" ht="15.75" customHeight="1">
      <c r="A228" s="31" t="s">
        <v>33</v>
      </c>
      <c r="B228" s="32">
        <f t="shared" si="6"/>
        <v>44788</v>
      </c>
      <c r="C228" s="33">
        <v>9.0</v>
      </c>
      <c r="D228" s="33" t="s">
        <v>31</v>
      </c>
      <c r="E228" s="34"/>
      <c r="F228" s="24">
        <v>0.0</v>
      </c>
      <c r="H228" s="25">
        <v>0.0</v>
      </c>
      <c r="J228" s="25">
        <v>0.0</v>
      </c>
      <c r="L228" s="25">
        <v>0.0</v>
      </c>
      <c r="N228" s="25">
        <v>0.0</v>
      </c>
      <c r="P228" s="25">
        <v>0.0</v>
      </c>
      <c r="Q228" s="26"/>
      <c r="R228" s="24">
        <v>160.0</v>
      </c>
      <c r="T228" s="25">
        <v>160.0</v>
      </c>
      <c r="V228" s="25">
        <v>0.0</v>
      </c>
      <c r="X228" s="25">
        <v>0.0</v>
      </c>
      <c r="Z228" s="25">
        <v>0.0</v>
      </c>
      <c r="AB228" s="25">
        <v>0.0</v>
      </c>
      <c r="AC228" s="26"/>
      <c r="AD228" s="25">
        <v>0.0</v>
      </c>
      <c r="AF228" s="25">
        <v>0.0</v>
      </c>
      <c r="AH228" s="25">
        <v>50.0</v>
      </c>
      <c r="AJ228" s="27">
        <v>0.0</v>
      </c>
      <c r="AK228" s="26"/>
      <c r="AL228" s="24">
        <v>0.0</v>
      </c>
      <c r="AM228" s="26"/>
      <c r="AN228" s="24">
        <v>0.0</v>
      </c>
      <c r="AO228" s="26"/>
      <c r="AP228" s="24">
        <v>0.0</v>
      </c>
      <c r="AQ228" s="26"/>
      <c r="AR228" s="25">
        <v>0.0</v>
      </c>
      <c r="AT228" s="25">
        <v>0.0</v>
      </c>
      <c r="AU228" s="26"/>
      <c r="AV228" s="35">
        <f t="shared" si="1"/>
        <v>3969.8</v>
      </c>
      <c r="AW228" s="33">
        <f t="shared" si="2"/>
        <v>370</v>
      </c>
      <c r="AX228" s="33">
        <f t="shared" si="3"/>
        <v>0</v>
      </c>
      <c r="AY228" s="33">
        <f t="shared" si="4"/>
        <v>370</v>
      </c>
      <c r="AZ228" s="30">
        <f t="shared" si="5"/>
        <v>10.72918919</v>
      </c>
    </row>
    <row r="229" ht="15.75" customHeight="1">
      <c r="A229" s="31" t="s">
        <v>34</v>
      </c>
      <c r="B229" s="32">
        <f t="shared" si="6"/>
        <v>44789</v>
      </c>
      <c r="C229" s="33">
        <v>9.0</v>
      </c>
      <c r="D229" s="33" t="s">
        <v>31</v>
      </c>
      <c r="E229" s="74" t="s">
        <v>59</v>
      </c>
      <c r="F229" s="24">
        <v>0.0</v>
      </c>
      <c r="H229" s="25">
        <v>0.0</v>
      </c>
      <c r="J229" s="25">
        <v>0.0</v>
      </c>
      <c r="L229" s="25">
        <v>0.0</v>
      </c>
      <c r="N229" s="25">
        <v>0.0</v>
      </c>
      <c r="P229" s="25">
        <v>0.0</v>
      </c>
      <c r="Q229" s="26"/>
      <c r="R229" s="24">
        <v>160.0</v>
      </c>
      <c r="T229" s="25">
        <v>160.0</v>
      </c>
      <c r="V229" s="25">
        <v>0.0</v>
      </c>
      <c r="X229" s="25">
        <v>0.0</v>
      </c>
      <c r="Z229" s="25">
        <v>0.0</v>
      </c>
      <c r="AB229" s="25">
        <v>0.0</v>
      </c>
      <c r="AC229" s="26"/>
      <c r="AD229" s="25">
        <v>0.0</v>
      </c>
      <c r="AF229" s="25">
        <v>0.0</v>
      </c>
      <c r="AH229" s="25">
        <v>50.0</v>
      </c>
      <c r="AJ229" s="78">
        <v>4426.99</v>
      </c>
      <c r="AK229" s="26"/>
      <c r="AL229" s="24">
        <v>0.0</v>
      </c>
      <c r="AM229" s="26"/>
      <c r="AN229" s="24">
        <v>0.0</v>
      </c>
      <c r="AO229" s="26"/>
      <c r="AP229" s="24">
        <v>0.0</v>
      </c>
      <c r="AQ229" s="26"/>
      <c r="AR229" s="25">
        <v>0.0</v>
      </c>
      <c r="AT229" s="25">
        <v>0.0</v>
      </c>
      <c r="AU229" s="26"/>
      <c r="AV229" s="35">
        <f t="shared" si="1"/>
        <v>3969.8</v>
      </c>
      <c r="AW229" s="33">
        <f t="shared" si="2"/>
        <v>4796.99</v>
      </c>
      <c r="AX229" s="33">
        <f t="shared" si="3"/>
        <v>0</v>
      </c>
      <c r="AY229" s="33">
        <f t="shared" si="4"/>
        <v>4796.99</v>
      </c>
      <c r="AZ229" s="30">
        <f t="shared" si="5"/>
        <v>0.8275606161</v>
      </c>
    </row>
    <row r="230" ht="15.75" customHeight="1">
      <c r="A230" s="31" t="s">
        <v>35</v>
      </c>
      <c r="B230" s="32">
        <f t="shared" si="6"/>
        <v>44790</v>
      </c>
      <c r="C230" s="33">
        <v>9.0</v>
      </c>
      <c r="D230" s="33" t="s">
        <v>31</v>
      </c>
      <c r="E230" s="34"/>
      <c r="F230" s="24">
        <v>0.0</v>
      </c>
      <c r="H230" s="25">
        <v>0.0</v>
      </c>
      <c r="J230" s="25">
        <v>0.0</v>
      </c>
      <c r="L230" s="25">
        <v>0.0</v>
      </c>
      <c r="N230" s="25">
        <v>0.0</v>
      </c>
      <c r="P230" s="25">
        <v>0.0</v>
      </c>
      <c r="Q230" s="26"/>
      <c r="R230" s="24">
        <v>160.0</v>
      </c>
      <c r="T230" s="25">
        <v>160.0</v>
      </c>
      <c r="V230" s="25">
        <v>0.0</v>
      </c>
      <c r="X230" s="25">
        <v>0.0</v>
      </c>
      <c r="Z230" s="25">
        <v>0.0</v>
      </c>
      <c r="AB230" s="25">
        <v>0.0</v>
      </c>
      <c r="AC230" s="26"/>
      <c r="AD230" s="25">
        <v>0.0</v>
      </c>
      <c r="AF230" s="25">
        <v>0.0</v>
      </c>
      <c r="AH230" s="25">
        <v>50.0</v>
      </c>
      <c r="AJ230" s="27">
        <v>0.0</v>
      </c>
      <c r="AK230" s="26"/>
      <c r="AL230" s="24">
        <v>0.0</v>
      </c>
      <c r="AM230" s="26"/>
      <c r="AN230" s="24">
        <v>0.0</v>
      </c>
      <c r="AO230" s="26"/>
      <c r="AP230" s="24">
        <v>0.0</v>
      </c>
      <c r="AQ230" s="26"/>
      <c r="AR230" s="25">
        <v>0.0</v>
      </c>
      <c r="AT230" s="25">
        <v>0.0</v>
      </c>
      <c r="AU230" s="26"/>
      <c r="AV230" s="35">
        <f t="shared" si="1"/>
        <v>3969.8</v>
      </c>
      <c r="AW230" s="33">
        <f t="shared" si="2"/>
        <v>370</v>
      </c>
      <c r="AX230" s="33">
        <f t="shared" si="3"/>
        <v>0</v>
      </c>
      <c r="AY230" s="33">
        <f t="shared" si="4"/>
        <v>370</v>
      </c>
      <c r="AZ230" s="30">
        <f t="shared" si="5"/>
        <v>10.72918919</v>
      </c>
    </row>
    <row r="231" ht="15.75" customHeight="1">
      <c r="A231" s="31" t="s">
        <v>38</v>
      </c>
      <c r="B231" s="32">
        <f t="shared" si="6"/>
        <v>44791</v>
      </c>
      <c r="C231" s="33">
        <v>9.0</v>
      </c>
      <c r="D231" s="33" t="s">
        <v>31</v>
      </c>
      <c r="E231" s="34"/>
      <c r="F231" s="24">
        <v>0.0</v>
      </c>
      <c r="H231" s="25">
        <v>0.0</v>
      </c>
      <c r="J231" s="25">
        <v>0.0</v>
      </c>
      <c r="L231" s="25">
        <v>0.0</v>
      </c>
      <c r="N231" s="25">
        <v>0.0</v>
      </c>
      <c r="P231" s="25">
        <v>0.0</v>
      </c>
      <c r="Q231" s="26"/>
      <c r="R231" s="24">
        <v>160.0</v>
      </c>
      <c r="T231" s="25">
        <v>160.0</v>
      </c>
      <c r="V231" s="25">
        <v>0.0</v>
      </c>
      <c r="X231" s="25">
        <v>0.0</v>
      </c>
      <c r="Z231" s="25">
        <v>0.0</v>
      </c>
      <c r="AB231" s="25">
        <v>0.0</v>
      </c>
      <c r="AC231" s="26"/>
      <c r="AD231" s="25">
        <v>0.0</v>
      </c>
      <c r="AF231" s="25">
        <v>0.0</v>
      </c>
      <c r="AH231" s="25">
        <v>50.0</v>
      </c>
      <c r="AJ231" s="27">
        <v>0.0</v>
      </c>
      <c r="AK231" s="26"/>
      <c r="AL231" s="24">
        <v>0.0</v>
      </c>
      <c r="AM231" s="26"/>
      <c r="AN231" s="24">
        <v>0.0</v>
      </c>
      <c r="AO231" s="26"/>
      <c r="AP231" s="24">
        <v>0.0</v>
      </c>
      <c r="AQ231" s="26"/>
      <c r="AR231" s="25">
        <v>0.0</v>
      </c>
      <c r="AT231" s="25">
        <v>0.0</v>
      </c>
      <c r="AU231" s="26"/>
      <c r="AV231" s="35">
        <f t="shared" si="1"/>
        <v>3969.8</v>
      </c>
      <c r="AW231" s="33">
        <f t="shared" si="2"/>
        <v>370</v>
      </c>
      <c r="AX231" s="33">
        <f t="shared" si="3"/>
        <v>0</v>
      </c>
      <c r="AY231" s="33">
        <f t="shared" si="4"/>
        <v>370</v>
      </c>
      <c r="AZ231" s="30">
        <f t="shared" si="5"/>
        <v>10.72918919</v>
      </c>
    </row>
    <row r="232" ht="15.75" customHeight="1">
      <c r="A232" s="31" t="s">
        <v>45</v>
      </c>
      <c r="B232" s="32">
        <f t="shared" si="6"/>
        <v>44792</v>
      </c>
      <c r="C232" s="33">
        <v>9.0</v>
      </c>
      <c r="D232" s="33" t="s">
        <v>31</v>
      </c>
      <c r="E232" s="34"/>
      <c r="F232" s="24">
        <v>0.0</v>
      </c>
      <c r="H232" s="25">
        <v>0.0</v>
      </c>
      <c r="J232" s="25">
        <v>0.0</v>
      </c>
      <c r="L232" s="25">
        <v>0.0</v>
      </c>
      <c r="N232" s="25">
        <v>0.0</v>
      </c>
      <c r="P232" s="25">
        <v>0.0</v>
      </c>
      <c r="Q232" s="26"/>
      <c r="R232" s="24">
        <v>160.0</v>
      </c>
      <c r="T232" s="25">
        <v>160.0</v>
      </c>
      <c r="V232" s="25">
        <v>0.0</v>
      </c>
      <c r="X232" s="25">
        <v>0.0</v>
      </c>
      <c r="Z232" s="25">
        <v>0.0</v>
      </c>
      <c r="AB232" s="25">
        <v>0.0</v>
      </c>
      <c r="AC232" s="26"/>
      <c r="AD232" s="25">
        <v>0.0</v>
      </c>
      <c r="AF232" s="25">
        <v>0.0</v>
      </c>
      <c r="AH232" s="25">
        <v>50.0</v>
      </c>
      <c r="AJ232" s="27">
        <v>0.0</v>
      </c>
      <c r="AK232" s="26"/>
      <c r="AL232" s="24">
        <v>0.0</v>
      </c>
      <c r="AM232" s="26"/>
      <c r="AN232" s="24">
        <v>0.0</v>
      </c>
      <c r="AO232" s="26"/>
      <c r="AP232" s="24">
        <v>0.0</v>
      </c>
      <c r="AQ232" s="26"/>
      <c r="AR232" s="25">
        <v>0.0</v>
      </c>
      <c r="AT232" s="25">
        <v>0.0</v>
      </c>
      <c r="AU232" s="26"/>
      <c r="AV232" s="35">
        <f t="shared" si="1"/>
        <v>3969.8</v>
      </c>
      <c r="AW232" s="33">
        <f t="shared" si="2"/>
        <v>370</v>
      </c>
      <c r="AX232" s="33">
        <f t="shared" si="3"/>
        <v>0</v>
      </c>
      <c r="AY232" s="33">
        <f t="shared" si="4"/>
        <v>370</v>
      </c>
      <c r="AZ232" s="30">
        <f t="shared" si="5"/>
        <v>10.72918919</v>
      </c>
    </row>
    <row r="233" ht="15.75" customHeight="1">
      <c r="A233" s="44" t="s">
        <v>46</v>
      </c>
      <c r="B233" s="45">
        <f t="shared" si="6"/>
        <v>44793</v>
      </c>
      <c r="C233" s="46">
        <v>9.0</v>
      </c>
      <c r="D233" s="46" t="s">
        <v>31</v>
      </c>
      <c r="E233" s="47"/>
      <c r="F233" s="49">
        <v>0.0</v>
      </c>
      <c r="G233" s="51"/>
      <c r="H233" s="52">
        <v>0.0</v>
      </c>
      <c r="I233" s="51"/>
      <c r="J233" s="52">
        <v>0.0</v>
      </c>
      <c r="K233" s="51"/>
      <c r="L233" s="52">
        <v>0.0</v>
      </c>
      <c r="M233" s="51"/>
      <c r="N233" s="52">
        <v>0.0</v>
      </c>
      <c r="O233" s="51"/>
      <c r="P233" s="52">
        <v>0.0</v>
      </c>
      <c r="Q233" s="53"/>
      <c r="R233" s="49">
        <v>0.0</v>
      </c>
      <c r="S233" s="51"/>
      <c r="T233" s="52">
        <v>0.0</v>
      </c>
      <c r="U233" s="51"/>
      <c r="V233" s="52">
        <v>0.0</v>
      </c>
      <c r="W233" s="51"/>
      <c r="X233" s="52">
        <v>0.0</v>
      </c>
      <c r="Y233" s="51"/>
      <c r="Z233" s="52">
        <v>0.0</v>
      </c>
      <c r="AA233" s="51"/>
      <c r="AB233" s="52">
        <v>0.0</v>
      </c>
      <c r="AC233" s="53"/>
      <c r="AD233" s="52">
        <v>0.0</v>
      </c>
      <c r="AE233" s="51"/>
      <c r="AF233" s="52">
        <v>0.0</v>
      </c>
      <c r="AG233" s="51"/>
      <c r="AH233" s="52">
        <v>0.0</v>
      </c>
      <c r="AI233" s="51"/>
      <c r="AJ233" s="54">
        <v>0.0</v>
      </c>
      <c r="AK233" s="53"/>
      <c r="AL233" s="49">
        <v>0.0</v>
      </c>
      <c r="AM233" s="53"/>
      <c r="AN233" s="49">
        <v>0.0</v>
      </c>
      <c r="AO233" s="53"/>
      <c r="AP233" s="49">
        <v>0.0</v>
      </c>
      <c r="AQ233" s="53"/>
      <c r="AR233" s="52">
        <v>0.0</v>
      </c>
      <c r="AS233" s="51"/>
      <c r="AT233" s="52">
        <v>0.0</v>
      </c>
      <c r="AU233" s="53"/>
      <c r="AV233" s="55">
        <f t="shared" si="1"/>
        <v>0</v>
      </c>
      <c r="AW233" s="46">
        <f t="shared" si="2"/>
        <v>0</v>
      </c>
      <c r="AX233" s="46">
        <f t="shared" si="3"/>
        <v>0</v>
      </c>
      <c r="AY233" s="46">
        <f t="shared" si="4"/>
        <v>0</v>
      </c>
      <c r="AZ233" s="56" t="str">
        <f t="shared" si="5"/>
        <v/>
      </c>
    </row>
    <row r="234" ht="15.75" customHeight="1">
      <c r="A234" s="19" t="s">
        <v>30</v>
      </c>
      <c r="B234" s="57">
        <f t="shared" si="6"/>
        <v>44794</v>
      </c>
      <c r="C234" s="21">
        <v>9.0</v>
      </c>
      <c r="D234" s="21" t="s">
        <v>47</v>
      </c>
      <c r="E234" s="23"/>
      <c r="F234" s="24">
        <v>0.0</v>
      </c>
      <c r="H234" s="25">
        <v>0.0</v>
      </c>
      <c r="J234" s="25">
        <v>0.0</v>
      </c>
      <c r="L234" s="25">
        <v>0.0</v>
      </c>
      <c r="N234" s="25">
        <v>0.0</v>
      </c>
      <c r="P234" s="25">
        <v>0.0</v>
      </c>
      <c r="Q234" s="26"/>
      <c r="R234" s="24">
        <v>160.0</v>
      </c>
      <c r="T234" s="25">
        <v>160.0</v>
      </c>
      <c r="V234" s="25">
        <v>0.0</v>
      </c>
      <c r="X234" s="25">
        <v>0.0</v>
      </c>
      <c r="Z234" s="25">
        <v>0.0</v>
      </c>
      <c r="AB234" s="25">
        <v>0.0</v>
      </c>
      <c r="AC234" s="26"/>
      <c r="AD234" s="25">
        <v>0.0</v>
      </c>
      <c r="AF234" s="25">
        <v>0.0</v>
      </c>
      <c r="AH234" s="25">
        <v>0.0</v>
      </c>
      <c r="AJ234" s="27">
        <v>0.0</v>
      </c>
      <c r="AK234" s="26"/>
      <c r="AL234" s="24">
        <v>0.0</v>
      </c>
      <c r="AM234" s="26"/>
      <c r="AN234" s="24">
        <v>0.0</v>
      </c>
      <c r="AO234" s="26"/>
      <c r="AP234" s="24">
        <v>0.0</v>
      </c>
      <c r="AQ234" s="26"/>
      <c r="AR234" s="25">
        <v>0.0</v>
      </c>
      <c r="AT234" s="25">
        <v>0.0</v>
      </c>
      <c r="AU234" s="26"/>
      <c r="AV234" s="29">
        <f t="shared" si="1"/>
        <v>3244.8</v>
      </c>
      <c r="AW234" s="21">
        <f t="shared" si="2"/>
        <v>320</v>
      </c>
      <c r="AX234" s="21">
        <f t="shared" si="3"/>
        <v>0</v>
      </c>
      <c r="AY234" s="21">
        <f t="shared" si="4"/>
        <v>320</v>
      </c>
      <c r="AZ234" s="58">
        <f t="shared" si="5"/>
        <v>10.14</v>
      </c>
    </row>
    <row r="235" ht="15.75" customHeight="1">
      <c r="A235" s="31" t="s">
        <v>33</v>
      </c>
      <c r="B235" s="32">
        <f t="shared" si="6"/>
        <v>44795</v>
      </c>
      <c r="C235" s="33">
        <v>9.0</v>
      </c>
      <c r="D235" s="33" t="s">
        <v>47</v>
      </c>
      <c r="E235" s="34"/>
      <c r="F235" s="24">
        <v>0.0</v>
      </c>
      <c r="H235" s="25">
        <v>0.0</v>
      </c>
      <c r="J235" s="25">
        <v>0.0</v>
      </c>
      <c r="L235" s="25">
        <v>0.0</v>
      </c>
      <c r="N235" s="25">
        <v>0.0</v>
      </c>
      <c r="P235" s="25">
        <v>0.0</v>
      </c>
      <c r="Q235" s="26"/>
      <c r="R235" s="24">
        <v>160.0</v>
      </c>
      <c r="T235" s="25">
        <v>160.0</v>
      </c>
      <c r="V235" s="25">
        <v>0.0</v>
      </c>
      <c r="X235" s="25">
        <v>0.0</v>
      </c>
      <c r="Z235" s="25">
        <v>0.0</v>
      </c>
      <c r="AB235" s="25">
        <v>0.0</v>
      </c>
      <c r="AC235" s="26"/>
      <c r="AD235" s="25">
        <v>0.0</v>
      </c>
      <c r="AF235" s="25">
        <v>50.0</v>
      </c>
      <c r="AH235" s="25">
        <v>50.0</v>
      </c>
      <c r="AJ235" s="27">
        <v>0.0</v>
      </c>
      <c r="AK235" s="26"/>
      <c r="AL235" s="24">
        <v>0.0</v>
      </c>
      <c r="AM235" s="26"/>
      <c r="AN235" s="24">
        <v>0.0</v>
      </c>
      <c r="AO235" s="26"/>
      <c r="AP235" s="24">
        <v>0.0</v>
      </c>
      <c r="AQ235" s="26"/>
      <c r="AR235" s="25">
        <v>0.0</v>
      </c>
      <c r="AT235" s="25">
        <v>0.0</v>
      </c>
      <c r="AU235" s="26"/>
      <c r="AV235" s="35">
        <f t="shared" si="1"/>
        <v>4694.8</v>
      </c>
      <c r="AW235" s="33">
        <f t="shared" si="2"/>
        <v>420</v>
      </c>
      <c r="AX235" s="33">
        <f t="shared" si="3"/>
        <v>0</v>
      </c>
      <c r="AY235" s="33">
        <f t="shared" si="4"/>
        <v>420</v>
      </c>
      <c r="AZ235" s="30">
        <f t="shared" si="5"/>
        <v>11.17809524</v>
      </c>
    </row>
    <row r="236" ht="15.75" customHeight="1">
      <c r="A236" s="31" t="s">
        <v>34</v>
      </c>
      <c r="B236" s="32">
        <f t="shared" si="6"/>
        <v>44796</v>
      </c>
      <c r="C236" s="33">
        <v>9.0</v>
      </c>
      <c r="D236" s="33" t="s">
        <v>47</v>
      </c>
      <c r="E236" s="34"/>
      <c r="F236" s="24">
        <v>0.0</v>
      </c>
      <c r="H236" s="25">
        <v>0.0</v>
      </c>
      <c r="J236" s="25">
        <v>0.0</v>
      </c>
      <c r="L236" s="25">
        <v>0.0</v>
      </c>
      <c r="N236" s="25">
        <v>0.0</v>
      </c>
      <c r="P236" s="25">
        <v>0.0</v>
      </c>
      <c r="Q236" s="26"/>
      <c r="R236" s="24">
        <v>50.0</v>
      </c>
      <c r="T236" s="25">
        <v>50.0</v>
      </c>
      <c r="V236" s="25">
        <v>0.0</v>
      </c>
      <c r="X236" s="25">
        <v>0.0</v>
      </c>
      <c r="Z236" s="25">
        <v>0.0</v>
      </c>
      <c r="AB236" s="25">
        <v>0.0</v>
      </c>
      <c r="AC236" s="26"/>
      <c r="AD236" s="25">
        <v>0.0</v>
      </c>
      <c r="AF236" s="25">
        <v>50.0</v>
      </c>
      <c r="AH236" s="25">
        <v>50.0</v>
      </c>
      <c r="AJ236" s="27">
        <v>0.0</v>
      </c>
      <c r="AK236" s="26"/>
      <c r="AL236" s="24">
        <v>0.0</v>
      </c>
      <c r="AM236" s="26"/>
      <c r="AN236" s="24">
        <v>0.0</v>
      </c>
      <c r="AO236" s="26"/>
      <c r="AP236" s="24">
        <v>0.0</v>
      </c>
      <c r="AQ236" s="26"/>
      <c r="AR236" s="25">
        <v>0.0</v>
      </c>
      <c r="AT236" s="25">
        <v>0.0</v>
      </c>
      <c r="AU236" s="26"/>
      <c r="AV236" s="35">
        <f t="shared" si="1"/>
        <v>2464</v>
      </c>
      <c r="AW236" s="33">
        <f t="shared" si="2"/>
        <v>200</v>
      </c>
      <c r="AX236" s="33">
        <f t="shared" si="3"/>
        <v>0</v>
      </c>
      <c r="AY236" s="33">
        <f t="shared" si="4"/>
        <v>200</v>
      </c>
      <c r="AZ236" s="30">
        <f t="shared" si="5"/>
        <v>12.32</v>
      </c>
    </row>
    <row r="237" ht="15.75" customHeight="1">
      <c r="A237" s="31" t="s">
        <v>35</v>
      </c>
      <c r="B237" s="32">
        <f t="shared" si="6"/>
        <v>44797</v>
      </c>
      <c r="C237" s="33">
        <v>9.0</v>
      </c>
      <c r="D237" s="33" t="s">
        <v>47</v>
      </c>
      <c r="E237" s="34"/>
      <c r="F237" s="24">
        <v>0.0</v>
      </c>
      <c r="H237" s="25">
        <v>0.0</v>
      </c>
      <c r="J237" s="25">
        <v>0.0</v>
      </c>
      <c r="L237" s="25">
        <v>0.0</v>
      </c>
      <c r="N237" s="25">
        <v>0.0</v>
      </c>
      <c r="P237" s="25">
        <v>0.0</v>
      </c>
      <c r="Q237" s="26"/>
      <c r="R237" s="24">
        <v>50.0</v>
      </c>
      <c r="T237" s="25">
        <v>50.0</v>
      </c>
      <c r="V237" s="25">
        <v>0.0</v>
      </c>
      <c r="X237" s="25">
        <v>0.0</v>
      </c>
      <c r="Z237" s="25">
        <v>0.0</v>
      </c>
      <c r="AB237" s="25">
        <v>0.0</v>
      </c>
      <c r="AC237" s="26"/>
      <c r="AD237" s="25">
        <v>0.0</v>
      </c>
      <c r="AF237" s="25">
        <v>0.0</v>
      </c>
      <c r="AH237" s="25">
        <v>50.0</v>
      </c>
      <c r="AJ237" s="27">
        <v>0.0</v>
      </c>
      <c r="AK237" s="26"/>
      <c r="AL237" s="24">
        <v>0.0</v>
      </c>
      <c r="AM237" s="26"/>
      <c r="AN237" s="24">
        <v>0.0</v>
      </c>
      <c r="AO237" s="26"/>
      <c r="AP237" s="24">
        <v>0.0</v>
      </c>
      <c r="AQ237" s="26"/>
      <c r="AR237" s="25">
        <v>0.0</v>
      </c>
      <c r="AT237" s="25">
        <v>0.0</v>
      </c>
      <c r="AU237" s="26"/>
      <c r="AV237" s="35">
        <f t="shared" si="1"/>
        <v>1739</v>
      </c>
      <c r="AW237" s="33">
        <f t="shared" si="2"/>
        <v>150</v>
      </c>
      <c r="AX237" s="33">
        <f t="shared" si="3"/>
        <v>0</v>
      </c>
      <c r="AY237" s="33">
        <f t="shared" si="4"/>
        <v>150</v>
      </c>
      <c r="AZ237" s="30">
        <f t="shared" si="5"/>
        <v>11.59333333</v>
      </c>
    </row>
    <row r="238" ht="15.75" customHeight="1">
      <c r="A238" s="31" t="s">
        <v>38</v>
      </c>
      <c r="B238" s="32">
        <f t="shared" si="6"/>
        <v>44798</v>
      </c>
      <c r="C238" s="33">
        <v>9.0</v>
      </c>
      <c r="D238" s="33" t="s">
        <v>47</v>
      </c>
      <c r="E238" s="34"/>
      <c r="F238" s="24">
        <v>0.0</v>
      </c>
      <c r="H238" s="25">
        <v>0.0</v>
      </c>
      <c r="J238" s="25">
        <v>0.0</v>
      </c>
      <c r="L238" s="25">
        <v>0.0</v>
      </c>
      <c r="N238" s="25">
        <v>0.0</v>
      </c>
      <c r="P238" s="25">
        <v>0.0</v>
      </c>
      <c r="Q238" s="26"/>
      <c r="R238" s="24">
        <v>75.0</v>
      </c>
      <c r="T238" s="25">
        <v>75.0</v>
      </c>
      <c r="V238" s="25">
        <v>0.0</v>
      </c>
      <c r="X238" s="25">
        <v>0.0</v>
      </c>
      <c r="Z238" s="25">
        <v>0.0</v>
      </c>
      <c r="AB238" s="25">
        <v>0.0</v>
      </c>
      <c r="AC238" s="26"/>
      <c r="AD238" s="25">
        <v>0.0</v>
      </c>
      <c r="AF238" s="25">
        <v>50.0</v>
      </c>
      <c r="AH238" s="25">
        <v>50.0</v>
      </c>
      <c r="AJ238" s="27">
        <v>0.0</v>
      </c>
      <c r="AK238" s="26"/>
      <c r="AL238" s="24">
        <v>0.0</v>
      </c>
      <c r="AM238" s="26"/>
      <c r="AN238" s="24">
        <v>0.0</v>
      </c>
      <c r="AO238" s="26"/>
      <c r="AP238" s="24">
        <v>0.0</v>
      </c>
      <c r="AQ238" s="26"/>
      <c r="AR238" s="25">
        <v>0.0</v>
      </c>
      <c r="AT238" s="25">
        <v>0.0</v>
      </c>
      <c r="AU238" s="26"/>
      <c r="AV238" s="35">
        <f t="shared" si="1"/>
        <v>2971</v>
      </c>
      <c r="AW238" s="33">
        <f t="shared" si="2"/>
        <v>250</v>
      </c>
      <c r="AX238" s="33">
        <f t="shared" si="3"/>
        <v>0</v>
      </c>
      <c r="AY238" s="33">
        <f t="shared" si="4"/>
        <v>250</v>
      </c>
      <c r="AZ238" s="30">
        <f t="shared" si="5"/>
        <v>11.884</v>
      </c>
    </row>
    <row r="239" ht="15.75" customHeight="1">
      <c r="A239" s="31" t="s">
        <v>45</v>
      </c>
      <c r="B239" s="32">
        <f t="shared" si="6"/>
        <v>44799</v>
      </c>
      <c r="C239" s="33">
        <v>9.0</v>
      </c>
      <c r="D239" s="33" t="s">
        <v>47</v>
      </c>
      <c r="E239" s="34"/>
      <c r="F239" s="24">
        <v>0.0</v>
      </c>
      <c r="H239" s="25">
        <v>0.0</v>
      </c>
      <c r="J239" s="25">
        <v>0.0</v>
      </c>
      <c r="L239" s="25">
        <v>0.0</v>
      </c>
      <c r="N239" s="25">
        <v>0.0</v>
      </c>
      <c r="P239" s="25">
        <v>0.0</v>
      </c>
      <c r="Q239" s="26"/>
      <c r="R239" s="24">
        <v>75.0</v>
      </c>
      <c r="T239" s="25">
        <v>75.0</v>
      </c>
      <c r="V239" s="25">
        <v>0.0</v>
      </c>
      <c r="X239" s="25">
        <v>0.0</v>
      </c>
      <c r="Z239" s="25">
        <v>0.0</v>
      </c>
      <c r="AB239" s="25">
        <v>0.0</v>
      </c>
      <c r="AC239" s="26"/>
      <c r="AD239" s="25">
        <v>0.0</v>
      </c>
      <c r="AF239" s="25">
        <v>50.0</v>
      </c>
      <c r="AH239" s="25">
        <v>0.0</v>
      </c>
      <c r="AJ239" s="27">
        <v>0.0</v>
      </c>
      <c r="AK239" s="26"/>
      <c r="AL239" s="24">
        <v>0.0</v>
      </c>
      <c r="AM239" s="26"/>
      <c r="AN239" s="24">
        <v>0.0</v>
      </c>
      <c r="AO239" s="26"/>
      <c r="AP239" s="24">
        <v>0.0</v>
      </c>
      <c r="AQ239" s="26"/>
      <c r="AR239" s="25">
        <v>0.0</v>
      </c>
      <c r="AT239" s="25">
        <v>0.0</v>
      </c>
      <c r="AU239" s="26"/>
      <c r="AV239" s="35">
        <f t="shared" si="1"/>
        <v>2246</v>
      </c>
      <c r="AW239" s="33">
        <f t="shared" si="2"/>
        <v>200</v>
      </c>
      <c r="AX239" s="33">
        <f t="shared" si="3"/>
        <v>0</v>
      </c>
      <c r="AY239" s="33">
        <f t="shared" si="4"/>
        <v>200</v>
      </c>
      <c r="AZ239" s="30">
        <f t="shared" si="5"/>
        <v>11.23</v>
      </c>
    </row>
    <row r="240" ht="15.75" customHeight="1">
      <c r="A240" s="44" t="s">
        <v>46</v>
      </c>
      <c r="B240" s="45">
        <f t="shared" si="6"/>
        <v>44800</v>
      </c>
      <c r="C240" s="46">
        <v>9.0</v>
      </c>
      <c r="D240" s="46" t="s">
        <v>47</v>
      </c>
      <c r="E240" s="47"/>
      <c r="F240" s="49">
        <v>0.0</v>
      </c>
      <c r="G240" s="51"/>
      <c r="H240" s="52">
        <v>0.0</v>
      </c>
      <c r="I240" s="51"/>
      <c r="J240" s="52">
        <v>0.0</v>
      </c>
      <c r="K240" s="51"/>
      <c r="L240" s="52">
        <v>0.0</v>
      </c>
      <c r="M240" s="51"/>
      <c r="N240" s="52">
        <v>0.0</v>
      </c>
      <c r="O240" s="51"/>
      <c r="P240" s="52">
        <v>0.0</v>
      </c>
      <c r="Q240" s="53"/>
      <c r="R240" s="49">
        <v>0.0</v>
      </c>
      <c r="S240" s="51"/>
      <c r="T240" s="52">
        <v>0.0</v>
      </c>
      <c r="U240" s="51"/>
      <c r="V240" s="52">
        <v>0.0</v>
      </c>
      <c r="W240" s="51"/>
      <c r="X240" s="52">
        <v>0.0</v>
      </c>
      <c r="Y240" s="51"/>
      <c r="Z240" s="52">
        <v>0.0</v>
      </c>
      <c r="AA240" s="51"/>
      <c r="AB240" s="52">
        <v>0.0</v>
      </c>
      <c r="AC240" s="53"/>
      <c r="AD240" s="52">
        <v>0.0</v>
      </c>
      <c r="AE240" s="51"/>
      <c r="AF240" s="52">
        <v>0.0</v>
      </c>
      <c r="AG240" s="51"/>
      <c r="AH240" s="52">
        <v>0.0</v>
      </c>
      <c r="AI240" s="51"/>
      <c r="AJ240" s="54">
        <v>0.0</v>
      </c>
      <c r="AK240" s="53"/>
      <c r="AL240" s="49">
        <v>0.0</v>
      </c>
      <c r="AM240" s="53"/>
      <c r="AN240" s="49">
        <v>0.0</v>
      </c>
      <c r="AO240" s="53"/>
      <c r="AP240" s="49">
        <v>0.0</v>
      </c>
      <c r="AQ240" s="53"/>
      <c r="AR240" s="52">
        <v>0.0</v>
      </c>
      <c r="AS240" s="51"/>
      <c r="AT240" s="52">
        <v>0.0</v>
      </c>
      <c r="AU240" s="53"/>
      <c r="AV240" s="55">
        <f t="shared" si="1"/>
        <v>0</v>
      </c>
      <c r="AW240" s="46">
        <f t="shared" si="2"/>
        <v>0</v>
      </c>
      <c r="AX240" s="46">
        <f t="shared" si="3"/>
        <v>0</v>
      </c>
      <c r="AY240" s="46">
        <f t="shared" si="4"/>
        <v>0</v>
      </c>
      <c r="AZ240" s="56" t="str">
        <f t="shared" si="5"/>
        <v/>
      </c>
    </row>
    <row r="241" ht="15.75" customHeight="1">
      <c r="A241" s="19" t="s">
        <v>30</v>
      </c>
      <c r="B241" s="57">
        <f t="shared" si="6"/>
        <v>44801</v>
      </c>
      <c r="C241" s="21">
        <v>9.0</v>
      </c>
      <c r="D241" s="21" t="s">
        <v>48</v>
      </c>
      <c r="E241" s="23"/>
      <c r="F241" s="24">
        <v>0.0</v>
      </c>
      <c r="H241" s="25">
        <v>0.0</v>
      </c>
      <c r="J241" s="25">
        <v>0.0</v>
      </c>
      <c r="L241" s="25">
        <v>0.0</v>
      </c>
      <c r="N241" s="25">
        <v>0.0</v>
      </c>
      <c r="P241" s="25">
        <v>0.0</v>
      </c>
      <c r="Q241" s="26"/>
      <c r="R241" s="24">
        <v>75.0</v>
      </c>
      <c r="T241" s="25">
        <v>75.0</v>
      </c>
      <c r="V241" s="25">
        <v>0.0</v>
      </c>
      <c r="X241" s="25">
        <v>0.0</v>
      </c>
      <c r="Z241" s="25">
        <v>0.0</v>
      </c>
      <c r="AB241" s="25">
        <v>0.0</v>
      </c>
      <c r="AC241" s="26"/>
      <c r="AD241" s="25">
        <v>0.0</v>
      </c>
      <c r="AF241" s="25">
        <v>0.0</v>
      </c>
      <c r="AH241" s="25">
        <v>0.0</v>
      </c>
      <c r="AJ241" s="27">
        <v>0.0</v>
      </c>
      <c r="AK241" s="26"/>
      <c r="AL241" s="24">
        <v>0.0</v>
      </c>
      <c r="AM241" s="26"/>
      <c r="AN241" s="24">
        <v>0.0</v>
      </c>
      <c r="AO241" s="26"/>
      <c r="AP241" s="24">
        <v>0.0</v>
      </c>
      <c r="AQ241" s="26"/>
      <c r="AR241" s="25">
        <v>0.0</v>
      </c>
      <c r="AT241" s="25">
        <v>0.0</v>
      </c>
      <c r="AU241" s="26"/>
      <c r="AV241" s="29">
        <f t="shared" si="1"/>
        <v>1521</v>
      </c>
      <c r="AW241" s="21">
        <f t="shared" si="2"/>
        <v>150</v>
      </c>
      <c r="AX241" s="21">
        <f t="shared" si="3"/>
        <v>0</v>
      </c>
      <c r="AY241" s="21">
        <f t="shared" si="4"/>
        <v>150</v>
      </c>
      <c r="AZ241" s="58">
        <f t="shared" si="5"/>
        <v>10.14</v>
      </c>
    </row>
    <row r="242" ht="15.75" customHeight="1">
      <c r="A242" s="31" t="s">
        <v>33</v>
      </c>
      <c r="B242" s="32">
        <f t="shared" si="6"/>
        <v>44802</v>
      </c>
      <c r="C242" s="33">
        <v>9.0</v>
      </c>
      <c r="D242" s="33" t="s">
        <v>48</v>
      </c>
      <c r="E242" s="34"/>
      <c r="F242" s="24">
        <v>0.0</v>
      </c>
      <c r="H242" s="25">
        <v>0.0</v>
      </c>
      <c r="J242" s="25">
        <v>0.0</v>
      </c>
      <c r="L242" s="25">
        <v>0.0</v>
      </c>
      <c r="N242" s="25">
        <v>0.0</v>
      </c>
      <c r="P242" s="25">
        <v>0.0</v>
      </c>
      <c r="Q242" s="26"/>
      <c r="R242" s="24">
        <v>55.0</v>
      </c>
      <c r="T242" s="25">
        <v>55.0</v>
      </c>
      <c r="V242" s="25">
        <v>0.0</v>
      </c>
      <c r="X242" s="25">
        <v>0.0</v>
      </c>
      <c r="Z242" s="25">
        <v>0.0</v>
      </c>
      <c r="AB242" s="25">
        <v>0.0</v>
      </c>
      <c r="AC242" s="26"/>
      <c r="AD242" s="25">
        <v>0.0</v>
      </c>
      <c r="AF242" s="25">
        <v>0.0</v>
      </c>
      <c r="AH242" s="25">
        <v>0.0</v>
      </c>
      <c r="AJ242" s="27">
        <v>0.0</v>
      </c>
      <c r="AK242" s="26"/>
      <c r="AL242" s="24">
        <v>0.0</v>
      </c>
      <c r="AM242" s="26"/>
      <c r="AN242" s="24">
        <v>0.0</v>
      </c>
      <c r="AO242" s="26"/>
      <c r="AP242" s="24">
        <v>0.0</v>
      </c>
      <c r="AQ242" s="26"/>
      <c r="AR242" s="25">
        <v>0.0</v>
      </c>
      <c r="AT242" s="25">
        <v>0.0</v>
      </c>
      <c r="AU242" s="26"/>
      <c r="AV242" s="35">
        <f t="shared" si="1"/>
        <v>1115.4</v>
      </c>
      <c r="AW242" s="33">
        <f t="shared" si="2"/>
        <v>110</v>
      </c>
      <c r="AX242" s="33">
        <f t="shared" si="3"/>
        <v>0</v>
      </c>
      <c r="AY242" s="33">
        <f t="shared" si="4"/>
        <v>110</v>
      </c>
      <c r="AZ242" s="30">
        <f t="shared" si="5"/>
        <v>10.14</v>
      </c>
    </row>
    <row r="243" ht="15.75" customHeight="1">
      <c r="A243" s="31" t="s">
        <v>34</v>
      </c>
      <c r="B243" s="32">
        <f t="shared" si="6"/>
        <v>44803</v>
      </c>
      <c r="C243" s="33">
        <v>9.0</v>
      </c>
      <c r="D243" s="33" t="s">
        <v>48</v>
      </c>
      <c r="E243" s="34"/>
      <c r="F243" s="24">
        <v>0.0</v>
      </c>
      <c r="H243" s="25">
        <v>0.0</v>
      </c>
      <c r="J243" s="25">
        <v>0.0</v>
      </c>
      <c r="L243" s="25">
        <v>0.0</v>
      </c>
      <c r="N243" s="25">
        <v>0.0</v>
      </c>
      <c r="P243" s="25">
        <v>0.0</v>
      </c>
      <c r="Q243" s="26"/>
      <c r="R243" s="24">
        <v>55.0</v>
      </c>
      <c r="T243" s="25">
        <v>55.0</v>
      </c>
      <c r="V243" s="25">
        <v>0.0</v>
      </c>
      <c r="X243" s="25">
        <v>0.0</v>
      </c>
      <c r="Z243" s="25">
        <v>0.0</v>
      </c>
      <c r="AB243" s="25">
        <v>0.0</v>
      </c>
      <c r="AC243" s="26"/>
      <c r="AD243" s="25">
        <v>0.0</v>
      </c>
      <c r="AF243" s="25">
        <v>0.0</v>
      </c>
      <c r="AH243" s="25">
        <v>0.0</v>
      </c>
      <c r="AJ243" s="27">
        <v>0.0</v>
      </c>
      <c r="AK243" s="26"/>
      <c r="AL243" s="24">
        <v>0.0</v>
      </c>
      <c r="AM243" s="26"/>
      <c r="AN243" s="24">
        <v>0.0</v>
      </c>
      <c r="AO243" s="26"/>
      <c r="AP243" s="24">
        <v>0.0</v>
      </c>
      <c r="AQ243" s="26"/>
      <c r="AR243" s="25">
        <v>0.0</v>
      </c>
      <c r="AT243" s="25">
        <v>0.0</v>
      </c>
      <c r="AU243" s="26"/>
      <c r="AV243" s="35">
        <f t="shared" si="1"/>
        <v>1115.4</v>
      </c>
      <c r="AW243" s="33">
        <f t="shared" si="2"/>
        <v>110</v>
      </c>
      <c r="AX243" s="33">
        <f t="shared" si="3"/>
        <v>0</v>
      </c>
      <c r="AY243" s="33">
        <f t="shared" si="4"/>
        <v>110</v>
      </c>
      <c r="AZ243" s="30">
        <f t="shared" si="5"/>
        <v>10.14</v>
      </c>
    </row>
    <row r="244" ht="15.75" customHeight="1">
      <c r="A244" s="31" t="s">
        <v>35</v>
      </c>
      <c r="B244" s="32">
        <f t="shared" si="6"/>
        <v>44804</v>
      </c>
      <c r="C244" s="33">
        <v>9.0</v>
      </c>
      <c r="D244" s="33" t="s">
        <v>48</v>
      </c>
      <c r="E244" s="34"/>
      <c r="F244" s="24">
        <v>0.0</v>
      </c>
      <c r="H244" s="25">
        <v>0.0</v>
      </c>
      <c r="J244" s="25">
        <v>0.0</v>
      </c>
      <c r="L244" s="25">
        <v>0.0</v>
      </c>
      <c r="N244" s="25">
        <v>0.0</v>
      </c>
      <c r="P244" s="25">
        <v>0.0</v>
      </c>
      <c r="Q244" s="26"/>
      <c r="R244" s="24">
        <v>75.0</v>
      </c>
      <c r="T244" s="25">
        <v>75.0</v>
      </c>
      <c r="V244" s="25">
        <v>0.0</v>
      </c>
      <c r="X244" s="25">
        <v>0.0</v>
      </c>
      <c r="Z244" s="25">
        <v>0.0</v>
      </c>
      <c r="AB244" s="25">
        <v>0.0</v>
      </c>
      <c r="AC244" s="26"/>
      <c r="AD244" s="25">
        <v>0.0</v>
      </c>
      <c r="AF244" s="25">
        <v>0.0</v>
      </c>
      <c r="AH244" s="25">
        <v>0.0</v>
      </c>
      <c r="AJ244" s="27">
        <v>0.0</v>
      </c>
      <c r="AK244" s="26"/>
      <c r="AL244" s="24">
        <v>0.0</v>
      </c>
      <c r="AM244" s="26"/>
      <c r="AN244" s="24">
        <v>0.0</v>
      </c>
      <c r="AO244" s="26"/>
      <c r="AP244" s="24">
        <v>0.0</v>
      </c>
      <c r="AQ244" s="26"/>
      <c r="AR244" s="25">
        <v>0.0</v>
      </c>
      <c r="AT244" s="25">
        <v>0.0</v>
      </c>
      <c r="AU244" s="26"/>
      <c r="AV244" s="35">
        <f t="shared" si="1"/>
        <v>1521</v>
      </c>
      <c r="AW244" s="33">
        <f t="shared" si="2"/>
        <v>150</v>
      </c>
      <c r="AX244" s="33">
        <f t="shared" si="3"/>
        <v>0</v>
      </c>
      <c r="AY244" s="33">
        <f t="shared" si="4"/>
        <v>150</v>
      </c>
      <c r="AZ244" s="30">
        <f t="shared" si="5"/>
        <v>10.14</v>
      </c>
    </row>
    <row r="245" ht="15.75" customHeight="1">
      <c r="A245" s="31" t="s">
        <v>38</v>
      </c>
      <c r="B245" s="32">
        <f t="shared" si="6"/>
        <v>44805</v>
      </c>
      <c r="C245" s="33">
        <v>9.0</v>
      </c>
      <c r="D245" s="33" t="s">
        <v>48</v>
      </c>
      <c r="E245" s="34"/>
      <c r="F245" s="24">
        <v>0.0</v>
      </c>
      <c r="H245" s="25">
        <v>0.0</v>
      </c>
      <c r="J245" s="25">
        <v>0.0</v>
      </c>
      <c r="L245" s="25">
        <v>0.0</v>
      </c>
      <c r="N245" s="25">
        <v>0.0</v>
      </c>
      <c r="P245" s="25">
        <v>0.0</v>
      </c>
      <c r="Q245" s="26"/>
      <c r="R245" s="24">
        <v>75.0</v>
      </c>
      <c r="T245" s="25">
        <v>75.0</v>
      </c>
      <c r="V245" s="25">
        <v>0.0</v>
      </c>
      <c r="X245" s="25">
        <v>0.0</v>
      </c>
      <c r="Z245" s="25">
        <v>0.0</v>
      </c>
      <c r="AB245" s="25">
        <v>0.0</v>
      </c>
      <c r="AC245" s="26"/>
      <c r="AD245" s="25">
        <v>0.0</v>
      </c>
      <c r="AF245" s="25">
        <v>0.0</v>
      </c>
      <c r="AH245" s="25">
        <v>0.0</v>
      </c>
      <c r="AJ245" s="27">
        <v>0.0</v>
      </c>
      <c r="AK245" s="26"/>
      <c r="AL245" s="24">
        <v>0.0</v>
      </c>
      <c r="AM245" s="26"/>
      <c r="AN245" s="24">
        <v>0.0</v>
      </c>
      <c r="AO245" s="26"/>
      <c r="AP245" s="24">
        <v>0.0</v>
      </c>
      <c r="AQ245" s="26"/>
      <c r="AR245" s="25">
        <v>0.0</v>
      </c>
      <c r="AT245" s="25">
        <v>0.0</v>
      </c>
      <c r="AU245" s="26"/>
      <c r="AV245" s="35">
        <f t="shared" si="1"/>
        <v>1521</v>
      </c>
      <c r="AW245" s="33">
        <f t="shared" si="2"/>
        <v>150</v>
      </c>
      <c r="AX245" s="33">
        <f t="shared" si="3"/>
        <v>0</v>
      </c>
      <c r="AY245" s="33">
        <f t="shared" si="4"/>
        <v>150</v>
      </c>
      <c r="AZ245" s="30">
        <f t="shared" si="5"/>
        <v>10.14</v>
      </c>
    </row>
    <row r="246" ht="15.75" customHeight="1">
      <c r="A246" s="31" t="s">
        <v>45</v>
      </c>
      <c r="B246" s="32">
        <f t="shared" si="6"/>
        <v>44806</v>
      </c>
      <c r="C246" s="33">
        <v>9.0</v>
      </c>
      <c r="D246" s="33" t="s">
        <v>48</v>
      </c>
      <c r="E246" s="34"/>
      <c r="F246" s="24">
        <v>0.0</v>
      </c>
      <c r="H246" s="25">
        <v>0.0</v>
      </c>
      <c r="J246" s="25">
        <v>0.0</v>
      </c>
      <c r="L246" s="25">
        <v>0.0</v>
      </c>
      <c r="N246" s="25">
        <v>0.0</v>
      </c>
      <c r="P246" s="25">
        <v>0.0</v>
      </c>
      <c r="Q246" s="26"/>
      <c r="R246" s="24">
        <v>75.0</v>
      </c>
      <c r="T246" s="25">
        <v>75.0</v>
      </c>
      <c r="V246" s="25">
        <v>0.0</v>
      </c>
      <c r="X246" s="25">
        <v>0.0</v>
      </c>
      <c r="Z246" s="25">
        <v>0.0</v>
      </c>
      <c r="AB246" s="25">
        <v>0.0</v>
      </c>
      <c r="AC246" s="26"/>
      <c r="AD246" s="25">
        <v>0.0</v>
      </c>
      <c r="AF246" s="25">
        <v>0.0</v>
      </c>
      <c r="AH246" s="25">
        <v>0.0</v>
      </c>
      <c r="AJ246" s="27">
        <v>0.0</v>
      </c>
      <c r="AK246" s="26"/>
      <c r="AL246" s="24">
        <v>0.0</v>
      </c>
      <c r="AM246" s="26"/>
      <c r="AN246" s="24">
        <v>0.0</v>
      </c>
      <c r="AO246" s="26"/>
      <c r="AP246" s="24">
        <v>0.0</v>
      </c>
      <c r="AQ246" s="26"/>
      <c r="AR246" s="25">
        <v>0.0</v>
      </c>
      <c r="AT246" s="25">
        <v>0.0</v>
      </c>
      <c r="AU246" s="26"/>
      <c r="AV246" s="35">
        <f t="shared" si="1"/>
        <v>1521</v>
      </c>
      <c r="AW246" s="33">
        <f t="shared" si="2"/>
        <v>150</v>
      </c>
      <c r="AX246" s="33">
        <f t="shared" si="3"/>
        <v>0</v>
      </c>
      <c r="AY246" s="33">
        <f t="shared" si="4"/>
        <v>150</v>
      </c>
      <c r="AZ246" s="30">
        <f t="shared" si="5"/>
        <v>10.14</v>
      </c>
    </row>
    <row r="247" ht="15.75" customHeight="1">
      <c r="A247" s="44" t="s">
        <v>46</v>
      </c>
      <c r="B247" s="45">
        <f t="shared" si="6"/>
        <v>44807</v>
      </c>
      <c r="C247" s="46">
        <v>9.0</v>
      </c>
      <c r="D247" s="46" t="s">
        <v>48</v>
      </c>
      <c r="E247" s="47"/>
      <c r="F247" s="49">
        <v>0.0</v>
      </c>
      <c r="G247" s="51"/>
      <c r="H247" s="52">
        <v>0.0</v>
      </c>
      <c r="I247" s="51"/>
      <c r="J247" s="52">
        <v>0.0</v>
      </c>
      <c r="K247" s="51"/>
      <c r="L247" s="52">
        <v>0.0</v>
      </c>
      <c r="M247" s="51"/>
      <c r="N247" s="52">
        <v>0.0</v>
      </c>
      <c r="O247" s="51"/>
      <c r="P247" s="52">
        <v>0.0</v>
      </c>
      <c r="Q247" s="53"/>
      <c r="R247" s="49">
        <v>0.0</v>
      </c>
      <c r="S247" s="51"/>
      <c r="T247" s="52">
        <v>0.0</v>
      </c>
      <c r="U247" s="51"/>
      <c r="V247" s="52">
        <v>0.0</v>
      </c>
      <c r="W247" s="51"/>
      <c r="X247" s="52">
        <v>0.0</v>
      </c>
      <c r="Y247" s="51"/>
      <c r="Z247" s="52">
        <v>0.0</v>
      </c>
      <c r="AA247" s="51"/>
      <c r="AB247" s="52">
        <v>0.0</v>
      </c>
      <c r="AC247" s="53"/>
      <c r="AD247" s="52">
        <v>0.0</v>
      </c>
      <c r="AE247" s="51"/>
      <c r="AF247" s="52">
        <v>0.0</v>
      </c>
      <c r="AG247" s="51"/>
      <c r="AH247" s="52">
        <v>0.0</v>
      </c>
      <c r="AI247" s="51"/>
      <c r="AJ247" s="54">
        <v>0.0</v>
      </c>
      <c r="AK247" s="53"/>
      <c r="AL247" s="49">
        <v>0.0</v>
      </c>
      <c r="AM247" s="53"/>
      <c r="AN247" s="49">
        <v>0.0</v>
      </c>
      <c r="AO247" s="53"/>
      <c r="AP247" s="49">
        <v>0.0</v>
      </c>
      <c r="AQ247" s="53"/>
      <c r="AR247" s="52">
        <v>0.0</v>
      </c>
      <c r="AS247" s="51"/>
      <c r="AT247" s="52">
        <v>0.0</v>
      </c>
      <c r="AU247" s="53"/>
      <c r="AV247" s="55">
        <f t="shared" si="1"/>
        <v>0</v>
      </c>
      <c r="AW247" s="46">
        <f t="shared" si="2"/>
        <v>0</v>
      </c>
      <c r="AX247" s="46">
        <f t="shared" si="3"/>
        <v>0</v>
      </c>
      <c r="AY247" s="46">
        <f t="shared" si="4"/>
        <v>0</v>
      </c>
      <c r="AZ247" s="56" t="str">
        <f t="shared" si="5"/>
        <v/>
      </c>
    </row>
    <row r="248" ht="15.75" customHeight="1">
      <c r="A248" s="19" t="s">
        <v>30</v>
      </c>
      <c r="B248" s="57">
        <f t="shared" si="6"/>
        <v>44808</v>
      </c>
      <c r="C248" s="21">
        <v>9.0</v>
      </c>
      <c r="D248" s="21" t="s">
        <v>49</v>
      </c>
      <c r="E248" s="23"/>
      <c r="F248" s="24">
        <v>0.0</v>
      </c>
      <c r="H248" s="25">
        <v>0.0</v>
      </c>
      <c r="J248" s="25">
        <v>0.0</v>
      </c>
      <c r="L248" s="25">
        <v>0.0</v>
      </c>
      <c r="N248" s="25">
        <v>0.0</v>
      </c>
      <c r="P248" s="25">
        <v>0.0</v>
      </c>
      <c r="Q248" s="26"/>
      <c r="R248" s="24">
        <v>75.0</v>
      </c>
      <c r="T248" s="25">
        <v>75.0</v>
      </c>
      <c r="V248" s="25">
        <v>0.0</v>
      </c>
      <c r="X248" s="25">
        <v>0.0</v>
      </c>
      <c r="Z248" s="25">
        <v>0.0</v>
      </c>
      <c r="AB248" s="25">
        <v>0.0</v>
      </c>
      <c r="AC248" s="26"/>
      <c r="AD248" s="25">
        <v>0.0</v>
      </c>
      <c r="AF248" s="25">
        <v>0.0</v>
      </c>
      <c r="AH248" s="25">
        <v>0.0</v>
      </c>
      <c r="AJ248" s="27">
        <v>0.0</v>
      </c>
      <c r="AK248" s="26"/>
      <c r="AL248" s="24">
        <v>0.0</v>
      </c>
      <c r="AM248" s="26"/>
      <c r="AN248" s="24">
        <v>0.0</v>
      </c>
      <c r="AO248" s="26"/>
      <c r="AP248" s="24">
        <v>0.0</v>
      </c>
      <c r="AQ248" s="26"/>
      <c r="AR248" s="25">
        <v>0.0</v>
      </c>
      <c r="AT248" s="25">
        <v>0.0</v>
      </c>
      <c r="AU248" s="26"/>
      <c r="AV248" s="29">
        <f t="shared" si="1"/>
        <v>1521</v>
      </c>
      <c r="AW248" s="21">
        <f t="shared" si="2"/>
        <v>150</v>
      </c>
      <c r="AX248" s="21">
        <f t="shared" si="3"/>
        <v>0</v>
      </c>
      <c r="AY248" s="21">
        <f t="shared" si="4"/>
        <v>150</v>
      </c>
      <c r="AZ248" s="58">
        <f t="shared" si="5"/>
        <v>10.14</v>
      </c>
    </row>
    <row r="249" ht="15.75" customHeight="1">
      <c r="A249" s="31" t="s">
        <v>33</v>
      </c>
      <c r="B249" s="32">
        <f t="shared" si="6"/>
        <v>44809</v>
      </c>
      <c r="C249" s="33">
        <v>9.0</v>
      </c>
      <c r="D249" s="33" t="s">
        <v>49</v>
      </c>
      <c r="E249" s="34"/>
      <c r="F249" s="24">
        <v>0.0</v>
      </c>
      <c r="H249" s="25">
        <v>0.0</v>
      </c>
      <c r="J249" s="25">
        <v>0.0</v>
      </c>
      <c r="L249" s="25">
        <v>0.0</v>
      </c>
      <c r="N249" s="25">
        <v>0.0</v>
      </c>
      <c r="P249" s="25">
        <v>0.0</v>
      </c>
      <c r="Q249" s="26"/>
      <c r="R249" s="24">
        <v>75.0</v>
      </c>
      <c r="T249" s="25">
        <v>75.0</v>
      </c>
      <c r="V249" s="25">
        <v>0.0</v>
      </c>
      <c r="X249" s="25">
        <v>0.0</v>
      </c>
      <c r="Z249" s="25">
        <v>0.0</v>
      </c>
      <c r="AB249" s="25">
        <v>0.0</v>
      </c>
      <c r="AC249" s="26"/>
      <c r="AD249" s="25">
        <v>0.0</v>
      </c>
      <c r="AF249" s="25">
        <v>50.0</v>
      </c>
      <c r="AH249" s="25">
        <v>50.0</v>
      </c>
      <c r="AJ249" s="27">
        <v>0.0</v>
      </c>
      <c r="AK249" s="26"/>
      <c r="AL249" s="24">
        <v>0.0</v>
      </c>
      <c r="AM249" s="26"/>
      <c r="AN249" s="24">
        <v>0.0</v>
      </c>
      <c r="AO249" s="26"/>
      <c r="AP249" s="24">
        <v>0.0</v>
      </c>
      <c r="AQ249" s="26"/>
      <c r="AR249" s="25">
        <v>0.0</v>
      </c>
      <c r="AT249" s="25">
        <v>0.0</v>
      </c>
      <c r="AU249" s="26"/>
      <c r="AV249" s="35">
        <f t="shared" si="1"/>
        <v>2971</v>
      </c>
      <c r="AW249" s="33">
        <f t="shared" si="2"/>
        <v>250</v>
      </c>
      <c r="AX249" s="33">
        <f t="shared" si="3"/>
        <v>0</v>
      </c>
      <c r="AY249" s="33">
        <f t="shared" si="4"/>
        <v>250</v>
      </c>
      <c r="AZ249" s="30">
        <f t="shared" si="5"/>
        <v>11.884</v>
      </c>
    </row>
    <row r="250" ht="15.75" customHeight="1">
      <c r="A250" s="31" t="s">
        <v>34</v>
      </c>
      <c r="B250" s="32">
        <f t="shared" si="6"/>
        <v>44810</v>
      </c>
      <c r="C250" s="33">
        <v>9.0</v>
      </c>
      <c r="D250" s="33" t="s">
        <v>49</v>
      </c>
      <c r="E250" s="34"/>
      <c r="F250" s="24">
        <v>0.0</v>
      </c>
      <c r="H250" s="25">
        <v>0.0</v>
      </c>
      <c r="J250" s="25">
        <v>0.0</v>
      </c>
      <c r="L250" s="25">
        <v>0.0</v>
      </c>
      <c r="N250" s="25">
        <v>0.0</v>
      </c>
      <c r="P250" s="25">
        <v>0.0</v>
      </c>
      <c r="Q250" s="26"/>
      <c r="R250" s="24">
        <v>75.0</v>
      </c>
      <c r="T250" s="25">
        <v>75.0</v>
      </c>
      <c r="V250" s="25">
        <v>0.0</v>
      </c>
      <c r="X250" s="25">
        <v>0.0</v>
      </c>
      <c r="Z250" s="25">
        <v>0.0</v>
      </c>
      <c r="AB250" s="25">
        <v>0.0</v>
      </c>
      <c r="AC250" s="26"/>
      <c r="AD250" s="25">
        <v>0.0</v>
      </c>
      <c r="AF250" s="25">
        <v>50.0</v>
      </c>
      <c r="AH250" s="25">
        <v>50.0</v>
      </c>
      <c r="AJ250" s="27">
        <v>0.0</v>
      </c>
      <c r="AK250" s="26"/>
      <c r="AL250" s="24">
        <v>0.0</v>
      </c>
      <c r="AM250" s="26"/>
      <c r="AN250" s="24">
        <v>0.0</v>
      </c>
      <c r="AO250" s="26"/>
      <c r="AP250" s="24">
        <v>0.0</v>
      </c>
      <c r="AQ250" s="26"/>
      <c r="AR250" s="25">
        <v>0.0</v>
      </c>
      <c r="AT250" s="25">
        <v>0.0</v>
      </c>
      <c r="AU250" s="26"/>
      <c r="AV250" s="35">
        <f t="shared" si="1"/>
        <v>2971</v>
      </c>
      <c r="AW250" s="33">
        <f t="shared" si="2"/>
        <v>250</v>
      </c>
      <c r="AX250" s="33">
        <f t="shared" si="3"/>
        <v>0</v>
      </c>
      <c r="AY250" s="33">
        <f t="shared" si="4"/>
        <v>250</v>
      </c>
      <c r="AZ250" s="30">
        <f t="shared" si="5"/>
        <v>11.884</v>
      </c>
    </row>
    <row r="251" ht="15.75" customHeight="1">
      <c r="A251" s="31" t="s">
        <v>35</v>
      </c>
      <c r="B251" s="32">
        <f t="shared" si="6"/>
        <v>44811</v>
      </c>
      <c r="C251" s="33">
        <v>9.0</v>
      </c>
      <c r="D251" s="33" t="s">
        <v>49</v>
      </c>
      <c r="E251" s="34"/>
      <c r="F251" s="24">
        <v>0.0</v>
      </c>
      <c r="H251" s="25">
        <v>0.0</v>
      </c>
      <c r="J251" s="25">
        <v>0.0</v>
      </c>
      <c r="L251" s="25">
        <v>0.0</v>
      </c>
      <c r="N251" s="25">
        <v>0.0</v>
      </c>
      <c r="P251" s="25">
        <v>0.0</v>
      </c>
      <c r="Q251" s="26"/>
      <c r="R251" s="24">
        <v>75.0</v>
      </c>
      <c r="T251" s="25">
        <v>75.0</v>
      </c>
      <c r="V251" s="25">
        <v>0.0</v>
      </c>
      <c r="X251" s="25">
        <v>0.0</v>
      </c>
      <c r="Z251" s="25">
        <v>0.0</v>
      </c>
      <c r="AB251" s="25">
        <v>0.0</v>
      </c>
      <c r="AC251" s="26"/>
      <c r="AD251" s="25">
        <v>0.0</v>
      </c>
      <c r="AF251" s="25">
        <v>0.0</v>
      </c>
      <c r="AH251" s="25">
        <v>50.0</v>
      </c>
      <c r="AJ251" s="27">
        <v>0.0</v>
      </c>
      <c r="AK251" s="26"/>
      <c r="AL251" s="24">
        <v>0.0</v>
      </c>
      <c r="AM251" s="26"/>
      <c r="AN251" s="24">
        <v>0.0</v>
      </c>
      <c r="AO251" s="26"/>
      <c r="AP251" s="24">
        <v>0.0</v>
      </c>
      <c r="AQ251" s="26"/>
      <c r="AR251" s="25">
        <v>0.0</v>
      </c>
      <c r="AT251" s="25">
        <v>0.0</v>
      </c>
      <c r="AU251" s="26"/>
      <c r="AV251" s="35">
        <f t="shared" si="1"/>
        <v>2246</v>
      </c>
      <c r="AW251" s="33">
        <f t="shared" si="2"/>
        <v>200</v>
      </c>
      <c r="AX251" s="33">
        <f t="shared" si="3"/>
        <v>0</v>
      </c>
      <c r="AY251" s="33">
        <f t="shared" si="4"/>
        <v>200</v>
      </c>
      <c r="AZ251" s="30">
        <f t="shared" si="5"/>
        <v>11.23</v>
      </c>
    </row>
    <row r="252" ht="15.75" customHeight="1">
      <c r="A252" s="31" t="s">
        <v>38</v>
      </c>
      <c r="B252" s="32">
        <f t="shared" si="6"/>
        <v>44812</v>
      </c>
      <c r="C252" s="33">
        <v>9.0</v>
      </c>
      <c r="D252" s="33" t="s">
        <v>49</v>
      </c>
      <c r="E252" s="34"/>
      <c r="F252" s="24">
        <v>0.0</v>
      </c>
      <c r="H252" s="25">
        <v>0.0</v>
      </c>
      <c r="J252" s="25">
        <v>0.0</v>
      </c>
      <c r="L252" s="25">
        <v>0.0</v>
      </c>
      <c r="N252" s="25">
        <v>0.0</v>
      </c>
      <c r="P252" s="25">
        <v>0.0</v>
      </c>
      <c r="Q252" s="26"/>
      <c r="R252" s="24">
        <v>75.0</v>
      </c>
      <c r="T252" s="25">
        <v>75.0</v>
      </c>
      <c r="V252" s="25">
        <v>0.0</v>
      </c>
      <c r="X252" s="25">
        <v>0.0</v>
      </c>
      <c r="Z252" s="25">
        <v>0.0</v>
      </c>
      <c r="AB252" s="25">
        <v>0.0</v>
      </c>
      <c r="AC252" s="26"/>
      <c r="AD252" s="25">
        <v>0.0</v>
      </c>
      <c r="AF252" s="25">
        <v>50.0</v>
      </c>
      <c r="AH252" s="25">
        <v>50.0</v>
      </c>
      <c r="AJ252" s="27">
        <v>0.0</v>
      </c>
      <c r="AK252" s="26"/>
      <c r="AL252" s="24">
        <v>0.0</v>
      </c>
      <c r="AM252" s="26"/>
      <c r="AN252" s="24">
        <v>0.0</v>
      </c>
      <c r="AO252" s="26"/>
      <c r="AP252" s="24">
        <v>0.0</v>
      </c>
      <c r="AQ252" s="26"/>
      <c r="AR252" s="25">
        <v>0.0</v>
      </c>
      <c r="AT252" s="25">
        <v>0.0</v>
      </c>
      <c r="AU252" s="26"/>
      <c r="AV252" s="35">
        <f t="shared" si="1"/>
        <v>2971</v>
      </c>
      <c r="AW252" s="33">
        <f t="shared" si="2"/>
        <v>250</v>
      </c>
      <c r="AX252" s="33">
        <f t="shared" si="3"/>
        <v>0</v>
      </c>
      <c r="AY252" s="33">
        <f t="shared" si="4"/>
        <v>250</v>
      </c>
      <c r="AZ252" s="30">
        <f t="shared" si="5"/>
        <v>11.884</v>
      </c>
    </row>
    <row r="253" ht="15.75" customHeight="1">
      <c r="A253" s="31" t="s">
        <v>45</v>
      </c>
      <c r="B253" s="32">
        <f t="shared" si="6"/>
        <v>44813</v>
      </c>
      <c r="C253" s="33">
        <v>9.0</v>
      </c>
      <c r="D253" s="33" t="s">
        <v>49</v>
      </c>
      <c r="E253" s="34"/>
      <c r="F253" s="24">
        <v>0.0</v>
      </c>
      <c r="H253" s="25">
        <v>0.0</v>
      </c>
      <c r="J253" s="25">
        <v>0.0</v>
      </c>
      <c r="L253" s="25">
        <v>0.0</v>
      </c>
      <c r="N253" s="25">
        <v>0.0</v>
      </c>
      <c r="P253" s="25">
        <v>0.0</v>
      </c>
      <c r="Q253" s="26"/>
      <c r="R253" s="24">
        <v>75.0</v>
      </c>
      <c r="T253" s="25">
        <v>75.0</v>
      </c>
      <c r="V253" s="25">
        <v>0.0</v>
      </c>
      <c r="X253" s="25">
        <v>0.0</v>
      </c>
      <c r="Z253" s="25">
        <v>0.0</v>
      </c>
      <c r="AB253" s="25">
        <v>0.0</v>
      </c>
      <c r="AC253" s="26"/>
      <c r="AD253" s="25">
        <v>0.0</v>
      </c>
      <c r="AF253" s="25">
        <v>50.0</v>
      </c>
      <c r="AH253" s="25">
        <v>0.0</v>
      </c>
      <c r="AJ253" s="27">
        <v>0.0</v>
      </c>
      <c r="AK253" s="26"/>
      <c r="AL253" s="24">
        <v>0.0</v>
      </c>
      <c r="AM253" s="26"/>
      <c r="AN253" s="24">
        <v>0.0</v>
      </c>
      <c r="AO253" s="26"/>
      <c r="AP253" s="24">
        <v>0.0</v>
      </c>
      <c r="AQ253" s="26"/>
      <c r="AR253" s="25">
        <v>0.0</v>
      </c>
      <c r="AT253" s="25">
        <v>0.0</v>
      </c>
      <c r="AU253" s="26"/>
      <c r="AV253" s="35">
        <f t="shared" si="1"/>
        <v>2246</v>
      </c>
      <c r="AW253" s="33">
        <f t="shared" si="2"/>
        <v>200</v>
      </c>
      <c r="AX253" s="33">
        <f t="shared" si="3"/>
        <v>0</v>
      </c>
      <c r="AY253" s="33">
        <f t="shared" si="4"/>
        <v>200</v>
      </c>
      <c r="AZ253" s="30">
        <f t="shared" si="5"/>
        <v>11.23</v>
      </c>
    </row>
    <row r="254" ht="15.75" customHeight="1">
      <c r="A254" s="44" t="s">
        <v>46</v>
      </c>
      <c r="B254" s="45">
        <f t="shared" si="6"/>
        <v>44814</v>
      </c>
      <c r="C254" s="46">
        <v>9.0</v>
      </c>
      <c r="D254" s="46" t="s">
        <v>49</v>
      </c>
      <c r="E254" s="47"/>
      <c r="F254" s="49">
        <v>0.0</v>
      </c>
      <c r="G254" s="51"/>
      <c r="H254" s="52">
        <v>0.0</v>
      </c>
      <c r="I254" s="51"/>
      <c r="J254" s="52">
        <v>0.0</v>
      </c>
      <c r="K254" s="51"/>
      <c r="L254" s="52">
        <v>0.0</v>
      </c>
      <c r="M254" s="51"/>
      <c r="N254" s="52">
        <v>0.0</v>
      </c>
      <c r="O254" s="51"/>
      <c r="P254" s="52">
        <v>0.0</v>
      </c>
      <c r="Q254" s="53"/>
      <c r="R254" s="49">
        <v>0.0</v>
      </c>
      <c r="S254" s="51"/>
      <c r="T254" s="52">
        <v>0.0</v>
      </c>
      <c r="U254" s="51"/>
      <c r="V254" s="52">
        <v>0.0</v>
      </c>
      <c r="W254" s="51"/>
      <c r="X254" s="52">
        <v>0.0</v>
      </c>
      <c r="Y254" s="51"/>
      <c r="Z254" s="52">
        <v>0.0</v>
      </c>
      <c r="AA254" s="51"/>
      <c r="AB254" s="52">
        <v>0.0</v>
      </c>
      <c r="AC254" s="53"/>
      <c r="AD254" s="52">
        <v>0.0</v>
      </c>
      <c r="AE254" s="51"/>
      <c r="AF254" s="52">
        <v>0.0</v>
      </c>
      <c r="AG254" s="51"/>
      <c r="AH254" s="52">
        <v>0.0</v>
      </c>
      <c r="AI254" s="51"/>
      <c r="AJ254" s="54">
        <v>0.0</v>
      </c>
      <c r="AK254" s="53"/>
      <c r="AL254" s="49">
        <v>0.0</v>
      </c>
      <c r="AM254" s="53"/>
      <c r="AN254" s="49">
        <v>0.0</v>
      </c>
      <c r="AO254" s="53"/>
      <c r="AP254" s="49">
        <v>0.0</v>
      </c>
      <c r="AQ254" s="53"/>
      <c r="AR254" s="52">
        <v>0.0</v>
      </c>
      <c r="AS254" s="51"/>
      <c r="AT254" s="52">
        <v>0.0</v>
      </c>
      <c r="AU254" s="53"/>
      <c r="AV254" s="55">
        <f t="shared" si="1"/>
        <v>0</v>
      </c>
      <c r="AW254" s="46">
        <f t="shared" si="2"/>
        <v>0</v>
      </c>
      <c r="AX254" s="46">
        <f t="shared" si="3"/>
        <v>0</v>
      </c>
      <c r="AY254" s="46">
        <f t="shared" si="4"/>
        <v>0</v>
      </c>
      <c r="AZ254" s="56" t="str">
        <f t="shared" si="5"/>
        <v/>
      </c>
    </row>
    <row r="255" ht="15.75" customHeight="1">
      <c r="A255" s="19" t="s">
        <v>30</v>
      </c>
      <c r="B255" s="57">
        <f t="shared" si="6"/>
        <v>44815</v>
      </c>
      <c r="C255" s="21">
        <v>10.0</v>
      </c>
      <c r="D255" s="21" t="s">
        <v>31</v>
      </c>
      <c r="E255" s="23"/>
      <c r="F255" s="24">
        <v>0.0</v>
      </c>
      <c r="H255" s="25">
        <v>0.0</v>
      </c>
      <c r="J255" s="25">
        <v>0.0</v>
      </c>
      <c r="L255" s="25">
        <v>0.0</v>
      </c>
      <c r="N255" s="25">
        <v>0.0</v>
      </c>
      <c r="P255" s="25">
        <v>0.0</v>
      </c>
      <c r="Q255" s="26"/>
      <c r="R255" s="24">
        <v>120.0</v>
      </c>
      <c r="T255" s="25">
        <v>120.0</v>
      </c>
      <c r="V255" s="25">
        <v>0.0</v>
      </c>
      <c r="X255" s="25">
        <v>0.0</v>
      </c>
      <c r="Z255" s="25">
        <v>0.0</v>
      </c>
      <c r="AB255" s="25">
        <v>0.0</v>
      </c>
      <c r="AC255" s="26"/>
      <c r="AD255" s="25">
        <v>0.0</v>
      </c>
      <c r="AF255" s="25">
        <v>0.0</v>
      </c>
      <c r="AH255" s="25">
        <v>0.0</v>
      </c>
      <c r="AJ255" s="27">
        <v>0.0</v>
      </c>
      <c r="AK255" s="26"/>
      <c r="AL255" s="24">
        <v>0.0</v>
      </c>
      <c r="AM255" s="26"/>
      <c r="AN255" s="24">
        <v>0.0</v>
      </c>
      <c r="AO255" s="26"/>
      <c r="AP255" s="24">
        <v>0.0</v>
      </c>
      <c r="AQ255" s="26"/>
      <c r="AR255" s="25">
        <v>0.0</v>
      </c>
      <c r="AT255" s="25">
        <v>0.0</v>
      </c>
      <c r="AU255" s="26"/>
      <c r="AV255" s="29">
        <f t="shared" si="1"/>
        <v>2433.6</v>
      </c>
      <c r="AW255" s="21">
        <f t="shared" si="2"/>
        <v>240</v>
      </c>
      <c r="AX255" s="21">
        <f t="shared" si="3"/>
        <v>0</v>
      </c>
      <c r="AY255" s="21">
        <f t="shared" si="4"/>
        <v>240</v>
      </c>
      <c r="AZ255" s="58">
        <f t="shared" si="5"/>
        <v>10.14</v>
      </c>
    </row>
    <row r="256" ht="15.75" customHeight="1">
      <c r="A256" s="31" t="s">
        <v>33</v>
      </c>
      <c r="B256" s="32">
        <f t="shared" si="6"/>
        <v>44816</v>
      </c>
      <c r="C256" s="33">
        <v>10.0</v>
      </c>
      <c r="D256" s="33" t="s">
        <v>31</v>
      </c>
      <c r="E256" s="34"/>
      <c r="F256" s="24">
        <v>0.0</v>
      </c>
      <c r="H256" s="25">
        <v>0.0</v>
      </c>
      <c r="J256" s="25">
        <v>0.0</v>
      </c>
      <c r="L256" s="25">
        <v>0.0</v>
      </c>
      <c r="N256" s="25">
        <v>0.0</v>
      </c>
      <c r="P256" s="25">
        <v>0.0</v>
      </c>
      <c r="Q256" s="26"/>
      <c r="R256" s="24">
        <v>120.0</v>
      </c>
      <c r="T256" s="25">
        <v>120.0</v>
      </c>
      <c r="V256" s="25">
        <v>0.0</v>
      </c>
      <c r="X256" s="25">
        <v>0.0</v>
      </c>
      <c r="Z256" s="25">
        <v>0.0</v>
      </c>
      <c r="AB256" s="25">
        <v>0.0</v>
      </c>
      <c r="AC256" s="26"/>
      <c r="AD256" s="25">
        <v>0.0</v>
      </c>
      <c r="AF256" s="25">
        <v>0.0</v>
      </c>
      <c r="AH256" s="25">
        <v>0.0</v>
      </c>
      <c r="AJ256" s="27">
        <v>0.0</v>
      </c>
      <c r="AK256" s="26"/>
      <c r="AL256" s="24">
        <v>0.0</v>
      </c>
      <c r="AM256" s="26"/>
      <c r="AN256" s="24">
        <v>0.0</v>
      </c>
      <c r="AO256" s="26"/>
      <c r="AP256" s="24">
        <v>0.0</v>
      </c>
      <c r="AQ256" s="26"/>
      <c r="AR256" s="25">
        <v>0.0</v>
      </c>
      <c r="AT256" s="25">
        <v>0.0</v>
      </c>
      <c r="AU256" s="26"/>
      <c r="AV256" s="35">
        <f t="shared" si="1"/>
        <v>2433.6</v>
      </c>
      <c r="AW256" s="33">
        <f t="shared" si="2"/>
        <v>240</v>
      </c>
      <c r="AX256" s="33">
        <f t="shared" si="3"/>
        <v>0</v>
      </c>
      <c r="AY256" s="33">
        <f t="shared" si="4"/>
        <v>240</v>
      </c>
      <c r="AZ256" s="30">
        <f t="shared" si="5"/>
        <v>10.14</v>
      </c>
    </row>
    <row r="257" ht="15.75" customHeight="1">
      <c r="A257" s="31" t="s">
        <v>34</v>
      </c>
      <c r="B257" s="32">
        <f t="shared" si="6"/>
        <v>44817</v>
      </c>
      <c r="C257" s="33">
        <v>10.0</v>
      </c>
      <c r="D257" s="33" t="s">
        <v>31</v>
      </c>
      <c r="E257" s="34"/>
      <c r="F257" s="24">
        <v>0.0</v>
      </c>
      <c r="H257" s="25">
        <v>0.0</v>
      </c>
      <c r="J257" s="25">
        <v>0.0</v>
      </c>
      <c r="L257" s="25">
        <v>0.0</v>
      </c>
      <c r="N257" s="25">
        <v>0.0</v>
      </c>
      <c r="P257" s="25">
        <v>0.0</v>
      </c>
      <c r="Q257" s="26"/>
      <c r="R257" s="24">
        <v>120.0</v>
      </c>
      <c r="T257" s="25">
        <v>120.0</v>
      </c>
      <c r="V257" s="25">
        <v>0.0</v>
      </c>
      <c r="X257" s="25">
        <v>0.0</v>
      </c>
      <c r="Z257" s="25">
        <v>0.0</v>
      </c>
      <c r="AB257" s="25">
        <v>0.0</v>
      </c>
      <c r="AC257" s="26"/>
      <c r="AD257" s="25">
        <v>0.0</v>
      </c>
      <c r="AF257" s="25">
        <v>0.0</v>
      </c>
      <c r="AH257" s="25">
        <v>0.0</v>
      </c>
      <c r="AJ257" s="27">
        <v>0.0</v>
      </c>
      <c r="AK257" s="26"/>
      <c r="AL257" s="24">
        <v>0.0</v>
      </c>
      <c r="AM257" s="26"/>
      <c r="AN257" s="24">
        <v>0.0</v>
      </c>
      <c r="AO257" s="26"/>
      <c r="AP257" s="24">
        <v>0.0</v>
      </c>
      <c r="AQ257" s="26"/>
      <c r="AR257" s="25">
        <v>0.0</v>
      </c>
      <c r="AT257" s="25">
        <v>0.0</v>
      </c>
      <c r="AU257" s="26"/>
      <c r="AV257" s="35">
        <f t="shared" si="1"/>
        <v>2433.6</v>
      </c>
      <c r="AW257" s="33">
        <f t="shared" si="2"/>
        <v>240</v>
      </c>
      <c r="AX257" s="33">
        <f t="shared" si="3"/>
        <v>0</v>
      </c>
      <c r="AY257" s="33">
        <f t="shared" si="4"/>
        <v>240</v>
      </c>
      <c r="AZ257" s="30">
        <f t="shared" si="5"/>
        <v>10.14</v>
      </c>
    </row>
    <row r="258" ht="15.75" customHeight="1">
      <c r="A258" s="31" t="s">
        <v>35</v>
      </c>
      <c r="B258" s="32">
        <f t="shared" si="6"/>
        <v>44818</v>
      </c>
      <c r="C258" s="33">
        <v>10.0</v>
      </c>
      <c r="D258" s="33" t="s">
        <v>31</v>
      </c>
      <c r="E258" s="34"/>
      <c r="F258" s="24">
        <v>0.0</v>
      </c>
      <c r="H258" s="25">
        <v>0.0</v>
      </c>
      <c r="J258" s="25">
        <v>0.0</v>
      </c>
      <c r="L258" s="25">
        <v>0.0</v>
      </c>
      <c r="N258" s="25">
        <v>0.0</v>
      </c>
      <c r="P258" s="25">
        <v>0.0</v>
      </c>
      <c r="Q258" s="26"/>
      <c r="R258" s="24">
        <v>120.0</v>
      </c>
      <c r="T258" s="25">
        <v>120.0</v>
      </c>
      <c r="V258" s="25">
        <v>0.0</v>
      </c>
      <c r="X258" s="25">
        <v>0.0</v>
      </c>
      <c r="Z258" s="25">
        <v>0.0</v>
      </c>
      <c r="AB258" s="25">
        <v>0.0</v>
      </c>
      <c r="AC258" s="26"/>
      <c r="AD258" s="25">
        <v>0.0</v>
      </c>
      <c r="AF258" s="25">
        <v>0.0</v>
      </c>
      <c r="AH258" s="25">
        <v>0.0</v>
      </c>
      <c r="AJ258" s="27">
        <v>0.0</v>
      </c>
      <c r="AK258" s="26"/>
      <c r="AL258" s="24">
        <v>0.0</v>
      </c>
      <c r="AM258" s="26"/>
      <c r="AN258" s="24">
        <v>0.0</v>
      </c>
      <c r="AO258" s="26"/>
      <c r="AP258" s="24">
        <v>0.0</v>
      </c>
      <c r="AQ258" s="26"/>
      <c r="AR258" s="25">
        <v>0.0</v>
      </c>
      <c r="AT258" s="25">
        <v>0.0</v>
      </c>
      <c r="AU258" s="26"/>
      <c r="AV258" s="35">
        <f t="shared" si="1"/>
        <v>2433.6</v>
      </c>
      <c r="AW258" s="33">
        <f t="shared" si="2"/>
        <v>240</v>
      </c>
      <c r="AX258" s="33">
        <f t="shared" si="3"/>
        <v>0</v>
      </c>
      <c r="AY258" s="33">
        <f t="shared" si="4"/>
        <v>240</v>
      </c>
      <c r="AZ258" s="30">
        <f t="shared" si="5"/>
        <v>10.14</v>
      </c>
    </row>
    <row r="259" ht="15.75" customHeight="1">
      <c r="A259" s="31" t="s">
        <v>38</v>
      </c>
      <c r="B259" s="32">
        <f t="shared" si="6"/>
        <v>44819</v>
      </c>
      <c r="C259" s="33">
        <v>10.0</v>
      </c>
      <c r="D259" s="33" t="s">
        <v>31</v>
      </c>
      <c r="E259" s="34"/>
      <c r="F259" s="24">
        <v>0.0</v>
      </c>
      <c r="H259" s="25">
        <v>0.0</v>
      </c>
      <c r="J259" s="25">
        <v>0.0</v>
      </c>
      <c r="L259" s="25">
        <v>0.0</v>
      </c>
      <c r="N259" s="25">
        <v>0.0</v>
      </c>
      <c r="P259" s="25">
        <v>0.0</v>
      </c>
      <c r="Q259" s="26"/>
      <c r="R259" s="24">
        <v>128.0</v>
      </c>
      <c r="T259" s="25">
        <v>128.0</v>
      </c>
      <c r="V259" s="25">
        <v>0.0</v>
      </c>
      <c r="X259" s="25">
        <v>0.0</v>
      </c>
      <c r="Z259" s="25">
        <v>0.0</v>
      </c>
      <c r="AB259" s="25">
        <v>0.0</v>
      </c>
      <c r="AC259" s="26"/>
      <c r="AD259" s="25">
        <v>0.0</v>
      </c>
      <c r="AF259" s="25">
        <v>0.0</v>
      </c>
      <c r="AH259" s="25">
        <v>0.0</v>
      </c>
      <c r="AJ259" s="27">
        <v>0.0</v>
      </c>
      <c r="AK259" s="26"/>
      <c r="AL259" s="24">
        <v>0.0</v>
      </c>
      <c r="AM259" s="26"/>
      <c r="AN259" s="24">
        <v>0.0</v>
      </c>
      <c r="AO259" s="26"/>
      <c r="AP259" s="24">
        <v>0.0</v>
      </c>
      <c r="AQ259" s="26"/>
      <c r="AR259" s="25">
        <v>0.0</v>
      </c>
      <c r="AT259" s="25">
        <v>0.0</v>
      </c>
      <c r="AU259" s="26"/>
      <c r="AV259" s="35">
        <f t="shared" si="1"/>
        <v>2595.84</v>
      </c>
      <c r="AW259" s="33">
        <f t="shared" si="2"/>
        <v>256</v>
      </c>
      <c r="AX259" s="33">
        <f t="shared" si="3"/>
        <v>0</v>
      </c>
      <c r="AY259" s="33">
        <f t="shared" si="4"/>
        <v>256</v>
      </c>
      <c r="AZ259" s="30">
        <f t="shared" si="5"/>
        <v>10.14</v>
      </c>
    </row>
    <row r="260" ht="15.75" customHeight="1">
      <c r="A260" s="31" t="s">
        <v>45</v>
      </c>
      <c r="B260" s="32">
        <f t="shared" si="6"/>
        <v>44820</v>
      </c>
      <c r="C260" s="33">
        <v>10.0</v>
      </c>
      <c r="D260" s="33" t="s">
        <v>31</v>
      </c>
      <c r="E260" s="34"/>
      <c r="F260" s="24">
        <v>0.0</v>
      </c>
      <c r="H260" s="25">
        <v>0.0</v>
      </c>
      <c r="J260" s="25">
        <v>0.0</v>
      </c>
      <c r="L260" s="25">
        <v>0.0</v>
      </c>
      <c r="N260" s="25">
        <v>0.0</v>
      </c>
      <c r="P260" s="25">
        <v>0.0</v>
      </c>
      <c r="Q260" s="26"/>
      <c r="R260" s="24">
        <v>140.0</v>
      </c>
      <c r="T260" s="25">
        <v>140.0</v>
      </c>
      <c r="V260" s="25">
        <v>0.0</v>
      </c>
      <c r="X260" s="25">
        <v>0.0</v>
      </c>
      <c r="Z260" s="25">
        <v>0.0</v>
      </c>
      <c r="AB260" s="25">
        <v>0.0</v>
      </c>
      <c r="AC260" s="26"/>
      <c r="AD260" s="25">
        <v>0.0</v>
      </c>
      <c r="AF260" s="25">
        <v>0.0</v>
      </c>
      <c r="AH260" s="25">
        <v>0.0</v>
      </c>
      <c r="AJ260" s="27">
        <v>0.0</v>
      </c>
      <c r="AK260" s="26"/>
      <c r="AL260" s="24">
        <v>0.0</v>
      </c>
      <c r="AM260" s="26"/>
      <c r="AN260" s="24">
        <v>0.0</v>
      </c>
      <c r="AO260" s="26"/>
      <c r="AP260" s="24">
        <v>0.0</v>
      </c>
      <c r="AQ260" s="26"/>
      <c r="AR260" s="25">
        <v>0.0</v>
      </c>
      <c r="AT260" s="25">
        <v>0.0</v>
      </c>
      <c r="AU260" s="26"/>
      <c r="AV260" s="35">
        <f t="shared" si="1"/>
        <v>2839.2</v>
      </c>
      <c r="AW260" s="33">
        <f t="shared" si="2"/>
        <v>280</v>
      </c>
      <c r="AX260" s="33">
        <f t="shared" si="3"/>
        <v>0</v>
      </c>
      <c r="AY260" s="33">
        <f t="shared" si="4"/>
        <v>280</v>
      </c>
      <c r="AZ260" s="30">
        <f t="shared" si="5"/>
        <v>10.14</v>
      </c>
    </row>
    <row r="261" ht="15.75" customHeight="1">
      <c r="A261" s="44" t="s">
        <v>46</v>
      </c>
      <c r="B261" s="45">
        <f t="shared" si="6"/>
        <v>44821</v>
      </c>
      <c r="C261" s="46">
        <v>10.0</v>
      </c>
      <c r="D261" s="46" t="s">
        <v>31</v>
      </c>
      <c r="E261" s="47"/>
      <c r="F261" s="49">
        <v>0.0</v>
      </c>
      <c r="G261" s="51"/>
      <c r="H261" s="52">
        <v>0.0</v>
      </c>
      <c r="I261" s="51"/>
      <c r="J261" s="52">
        <v>0.0</v>
      </c>
      <c r="K261" s="51"/>
      <c r="L261" s="52">
        <v>0.0</v>
      </c>
      <c r="M261" s="51"/>
      <c r="N261" s="52">
        <v>0.0</v>
      </c>
      <c r="O261" s="51"/>
      <c r="P261" s="52">
        <v>0.0</v>
      </c>
      <c r="Q261" s="53"/>
      <c r="R261" s="49">
        <v>0.0</v>
      </c>
      <c r="S261" s="51"/>
      <c r="T261" s="52">
        <v>0.0</v>
      </c>
      <c r="U261" s="51"/>
      <c r="V261" s="52">
        <v>0.0</v>
      </c>
      <c r="W261" s="51"/>
      <c r="X261" s="52">
        <v>0.0</v>
      </c>
      <c r="Y261" s="51"/>
      <c r="Z261" s="52">
        <v>0.0</v>
      </c>
      <c r="AA261" s="51"/>
      <c r="AB261" s="52">
        <v>0.0</v>
      </c>
      <c r="AC261" s="53"/>
      <c r="AD261" s="52">
        <v>0.0</v>
      </c>
      <c r="AE261" s="51"/>
      <c r="AF261" s="52">
        <v>0.0</v>
      </c>
      <c r="AG261" s="51"/>
      <c r="AH261" s="52">
        <v>0.0</v>
      </c>
      <c r="AI261" s="51"/>
      <c r="AJ261" s="54">
        <v>0.0</v>
      </c>
      <c r="AK261" s="53"/>
      <c r="AL261" s="49">
        <v>0.0</v>
      </c>
      <c r="AM261" s="53"/>
      <c r="AN261" s="49">
        <v>0.0</v>
      </c>
      <c r="AO261" s="53"/>
      <c r="AP261" s="49">
        <v>0.0</v>
      </c>
      <c r="AQ261" s="53"/>
      <c r="AR261" s="52">
        <v>0.0</v>
      </c>
      <c r="AS261" s="51"/>
      <c r="AT261" s="52">
        <v>0.0</v>
      </c>
      <c r="AU261" s="53"/>
      <c r="AV261" s="55">
        <f t="shared" si="1"/>
        <v>0</v>
      </c>
      <c r="AW261" s="46">
        <f t="shared" si="2"/>
        <v>0</v>
      </c>
      <c r="AX261" s="46">
        <f t="shared" si="3"/>
        <v>0</v>
      </c>
      <c r="AY261" s="46">
        <f t="shared" si="4"/>
        <v>0</v>
      </c>
      <c r="AZ261" s="56" t="str">
        <f t="shared" si="5"/>
        <v/>
      </c>
    </row>
    <row r="262" ht="15.75" customHeight="1">
      <c r="A262" s="19" t="s">
        <v>30</v>
      </c>
      <c r="B262" s="57">
        <f t="shared" si="6"/>
        <v>44822</v>
      </c>
      <c r="C262" s="21">
        <v>10.0</v>
      </c>
      <c r="D262" s="21" t="s">
        <v>47</v>
      </c>
      <c r="E262" s="23"/>
      <c r="F262" s="24">
        <v>0.0</v>
      </c>
      <c r="H262" s="25">
        <v>0.0</v>
      </c>
      <c r="J262" s="25">
        <v>0.0</v>
      </c>
      <c r="L262" s="25">
        <v>0.0</v>
      </c>
      <c r="N262" s="25">
        <v>0.0</v>
      </c>
      <c r="P262" s="25">
        <v>0.0</v>
      </c>
      <c r="Q262" s="26"/>
      <c r="R262" s="24">
        <v>140.0</v>
      </c>
      <c r="T262" s="25">
        <v>140.0</v>
      </c>
      <c r="V262" s="25">
        <v>0.0</v>
      </c>
      <c r="X262" s="25">
        <v>0.0</v>
      </c>
      <c r="Z262" s="25">
        <v>0.0</v>
      </c>
      <c r="AB262" s="25">
        <v>0.0</v>
      </c>
      <c r="AC262" s="26"/>
      <c r="AD262" s="25">
        <v>0.0</v>
      </c>
      <c r="AF262" s="25">
        <v>0.0</v>
      </c>
      <c r="AH262" s="25">
        <v>0.0</v>
      </c>
      <c r="AJ262" s="27">
        <v>0.0</v>
      </c>
      <c r="AK262" s="26"/>
      <c r="AL262" s="24">
        <v>0.0</v>
      </c>
      <c r="AM262" s="26"/>
      <c r="AN262" s="24">
        <v>0.0</v>
      </c>
      <c r="AO262" s="26"/>
      <c r="AP262" s="24">
        <v>0.0</v>
      </c>
      <c r="AQ262" s="26"/>
      <c r="AR262" s="25">
        <v>0.0</v>
      </c>
      <c r="AT262" s="25">
        <v>0.0</v>
      </c>
      <c r="AU262" s="26"/>
      <c r="AV262" s="29">
        <f t="shared" si="1"/>
        <v>2839.2</v>
      </c>
      <c r="AW262" s="21">
        <f t="shared" si="2"/>
        <v>280</v>
      </c>
      <c r="AX262" s="21">
        <f t="shared" si="3"/>
        <v>0</v>
      </c>
      <c r="AY262" s="21">
        <f t="shared" si="4"/>
        <v>280</v>
      </c>
      <c r="AZ262" s="58">
        <f t="shared" si="5"/>
        <v>10.14</v>
      </c>
    </row>
    <row r="263" ht="15.75" customHeight="1">
      <c r="A263" s="31" t="s">
        <v>33</v>
      </c>
      <c r="B263" s="32">
        <f t="shared" si="6"/>
        <v>44823</v>
      </c>
      <c r="C263" s="33">
        <v>10.0</v>
      </c>
      <c r="D263" s="33" t="s">
        <v>47</v>
      </c>
      <c r="E263" s="34"/>
      <c r="F263" s="24">
        <v>0.0</v>
      </c>
      <c r="H263" s="25">
        <v>0.0</v>
      </c>
      <c r="J263" s="25">
        <v>0.0</v>
      </c>
      <c r="L263" s="25">
        <v>0.0</v>
      </c>
      <c r="N263" s="25">
        <v>0.0</v>
      </c>
      <c r="P263" s="25">
        <v>0.0</v>
      </c>
      <c r="Q263" s="26"/>
      <c r="R263" s="24">
        <v>140.0</v>
      </c>
      <c r="T263" s="25">
        <v>140.0</v>
      </c>
      <c r="V263" s="25">
        <v>0.0</v>
      </c>
      <c r="X263" s="25">
        <v>0.0</v>
      </c>
      <c r="Z263" s="25">
        <v>0.0</v>
      </c>
      <c r="AB263" s="25">
        <v>0.0</v>
      </c>
      <c r="AC263" s="26"/>
      <c r="AD263" s="25">
        <v>0.0</v>
      </c>
      <c r="AF263" s="25">
        <v>0.0</v>
      </c>
      <c r="AH263" s="25">
        <v>0.0</v>
      </c>
      <c r="AJ263" s="27">
        <v>0.0</v>
      </c>
      <c r="AK263" s="26"/>
      <c r="AL263" s="24">
        <v>0.0</v>
      </c>
      <c r="AM263" s="26"/>
      <c r="AN263" s="24">
        <v>0.0</v>
      </c>
      <c r="AO263" s="26"/>
      <c r="AP263" s="24">
        <v>0.0</v>
      </c>
      <c r="AQ263" s="26"/>
      <c r="AR263" s="25">
        <v>0.0</v>
      </c>
      <c r="AT263" s="25">
        <v>0.0</v>
      </c>
      <c r="AU263" s="26"/>
      <c r="AV263" s="35">
        <f t="shared" si="1"/>
        <v>2839.2</v>
      </c>
      <c r="AW263" s="33">
        <f t="shared" si="2"/>
        <v>280</v>
      </c>
      <c r="AX263" s="33">
        <f t="shared" si="3"/>
        <v>0</v>
      </c>
      <c r="AY263" s="33">
        <f t="shared" si="4"/>
        <v>280</v>
      </c>
      <c r="AZ263" s="30">
        <f t="shared" si="5"/>
        <v>10.14</v>
      </c>
    </row>
    <row r="264" ht="15.75" customHeight="1">
      <c r="A264" s="31" t="s">
        <v>34</v>
      </c>
      <c r="B264" s="32">
        <f t="shared" si="6"/>
        <v>44824</v>
      </c>
      <c r="C264" s="33">
        <v>10.0</v>
      </c>
      <c r="D264" s="33" t="s">
        <v>47</v>
      </c>
      <c r="E264" s="34"/>
      <c r="F264" s="24">
        <v>0.0</v>
      </c>
      <c r="H264" s="25">
        <v>0.0</v>
      </c>
      <c r="J264" s="25">
        <v>0.0</v>
      </c>
      <c r="L264" s="25">
        <v>0.0</v>
      </c>
      <c r="N264" s="25">
        <v>0.0</v>
      </c>
      <c r="P264" s="25">
        <v>0.0</v>
      </c>
      <c r="Q264" s="26"/>
      <c r="R264" s="24">
        <v>140.0</v>
      </c>
      <c r="T264" s="25">
        <v>140.0</v>
      </c>
      <c r="V264" s="25">
        <v>0.0</v>
      </c>
      <c r="X264" s="25">
        <v>0.0</v>
      </c>
      <c r="Z264" s="25">
        <v>0.0</v>
      </c>
      <c r="AB264" s="25">
        <v>0.0</v>
      </c>
      <c r="AC264" s="26"/>
      <c r="AD264" s="25">
        <v>0.0</v>
      </c>
      <c r="AF264" s="25">
        <v>0.0</v>
      </c>
      <c r="AH264" s="25">
        <v>0.0</v>
      </c>
      <c r="AJ264" s="27">
        <v>0.0</v>
      </c>
      <c r="AK264" s="26"/>
      <c r="AL264" s="24">
        <v>0.0</v>
      </c>
      <c r="AM264" s="26"/>
      <c r="AN264" s="24">
        <v>0.0</v>
      </c>
      <c r="AO264" s="26"/>
      <c r="AP264" s="24">
        <v>0.0</v>
      </c>
      <c r="AQ264" s="26"/>
      <c r="AR264" s="25">
        <v>0.0</v>
      </c>
      <c r="AT264" s="25">
        <v>0.0</v>
      </c>
      <c r="AU264" s="26"/>
      <c r="AV264" s="35">
        <f t="shared" si="1"/>
        <v>2839.2</v>
      </c>
      <c r="AW264" s="33">
        <f t="shared" si="2"/>
        <v>280</v>
      </c>
      <c r="AX264" s="33">
        <f t="shared" si="3"/>
        <v>0</v>
      </c>
      <c r="AY264" s="33">
        <f t="shared" si="4"/>
        <v>280</v>
      </c>
      <c r="AZ264" s="30">
        <f t="shared" si="5"/>
        <v>10.14</v>
      </c>
    </row>
    <row r="265" ht="15.75" customHeight="1">
      <c r="A265" s="31" t="s">
        <v>35</v>
      </c>
      <c r="B265" s="32">
        <f t="shared" si="6"/>
        <v>44825</v>
      </c>
      <c r="C265" s="33">
        <v>10.0</v>
      </c>
      <c r="D265" s="33" t="s">
        <v>47</v>
      </c>
      <c r="E265" s="34"/>
      <c r="F265" s="24">
        <v>0.0</v>
      </c>
      <c r="H265" s="25">
        <v>0.0</v>
      </c>
      <c r="J265" s="25">
        <v>0.0</v>
      </c>
      <c r="L265" s="25">
        <v>0.0</v>
      </c>
      <c r="N265" s="25">
        <v>0.0</v>
      </c>
      <c r="P265" s="25">
        <v>0.0</v>
      </c>
      <c r="Q265" s="26"/>
      <c r="R265" s="24">
        <v>140.0</v>
      </c>
      <c r="T265" s="25">
        <v>140.0</v>
      </c>
      <c r="V265" s="25">
        <v>0.0</v>
      </c>
      <c r="X265" s="25">
        <v>0.0</v>
      </c>
      <c r="Z265" s="25">
        <v>0.0</v>
      </c>
      <c r="AB265" s="25">
        <v>0.0</v>
      </c>
      <c r="AC265" s="26"/>
      <c r="AD265" s="25">
        <v>0.0</v>
      </c>
      <c r="AF265" s="25">
        <v>0.0</v>
      </c>
      <c r="AH265" s="25">
        <v>0.0</v>
      </c>
      <c r="AJ265" s="27">
        <v>0.0</v>
      </c>
      <c r="AK265" s="26"/>
      <c r="AL265" s="24">
        <v>0.0</v>
      </c>
      <c r="AM265" s="26"/>
      <c r="AN265" s="24">
        <v>0.0</v>
      </c>
      <c r="AO265" s="26"/>
      <c r="AP265" s="24">
        <v>0.0</v>
      </c>
      <c r="AQ265" s="26"/>
      <c r="AR265" s="25">
        <v>0.0</v>
      </c>
      <c r="AT265" s="25">
        <v>0.0</v>
      </c>
      <c r="AU265" s="26"/>
      <c r="AV265" s="35">
        <f t="shared" si="1"/>
        <v>2839.2</v>
      </c>
      <c r="AW265" s="33">
        <f t="shared" si="2"/>
        <v>280</v>
      </c>
      <c r="AX265" s="33">
        <f t="shared" si="3"/>
        <v>0</v>
      </c>
      <c r="AY265" s="33">
        <f t="shared" si="4"/>
        <v>280</v>
      </c>
      <c r="AZ265" s="30">
        <f t="shared" si="5"/>
        <v>10.14</v>
      </c>
    </row>
    <row r="266" ht="15.75" customHeight="1">
      <c r="A266" s="31" t="s">
        <v>38</v>
      </c>
      <c r="B266" s="32">
        <f t="shared" si="6"/>
        <v>44826</v>
      </c>
      <c r="C266" s="33">
        <v>10.0</v>
      </c>
      <c r="D266" s="33" t="s">
        <v>47</v>
      </c>
      <c r="E266" s="74" t="s">
        <v>61</v>
      </c>
      <c r="F266" s="24">
        <v>0.0</v>
      </c>
      <c r="H266" s="25">
        <v>0.0</v>
      </c>
      <c r="J266" s="25">
        <v>0.0</v>
      </c>
      <c r="L266" s="25">
        <v>0.0</v>
      </c>
      <c r="N266" s="25">
        <v>0.0</v>
      </c>
      <c r="P266" s="25">
        <v>0.0</v>
      </c>
      <c r="Q266" s="26"/>
      <c r="R266" s="24">
        <v>140.0</v>
      </c>
      <c r="T266" s="25">
        <v>140.0</v>
      </c>
      <c r="V266" s="25">
        <v>0.0</v>
      </c>
      <c r="X266" s="25">
        <v>0.0</v>
      </c>
      <c r="Z266" s="25">
        <v>0.0</v>
      </c>
      <c r="AB266" s="25">
        <v>0.0</v>
      </c>
      <c r="AC266" s="26"/>
      <c r="AD266" s="25">
        <v>0.0</v>
      </c>
      <c r="AF266" s="25">
        <v>0.0</v>
      </c>
      <c r="AH266" s="25">
        <v>0.0</v>
      </c>
      <c r="AJ266" s="27">
        <v>0.0</v>
      </c>
      <c r="AK266" s="26"/>
      <c r="AL266" s="24">
        <v>0.0</v>
      </c>
      <c r="AM266" s="26"/>
      <c r="AN266" s="24">
        <v>0.0</v>
      </c>
      <c r="AO266" s="26"/>
      <c r="AP266" s="24">
        <v>0.0</v>
      </c>
      <c r="AQ266" s="26"/>
      <c r="AR266" s="25">
        <v>50.0</v>
      </c>
      <c r="AT266" s="25">
        <v>0.0</v>
      </c>
      <c r="AU266" s="26"/>
      <c r="AV266" s="35">
        <f t="shared" si="1"/>
        <v>4539.2</v>
      </c>
      <c r="AW266" s="33">
        <f t="shared" si="2"/>
        <v>330</v>
      </c>
      <c r="AX266" s="33">
        <f t="shared" si="3"/>
        <v>0</v>
      </c>
      <c r="AY266" s="33">
        <f t="shared" si="4"/>
        <v>330</v>
      </c>
      <c r="AZ266" s="30">
        <f t="shared" si="5"/>
        <v>13.75515152</v>
      </c>
    </row>
    <row r="267" ht="15.75" customHeight="1">
      <c r="A267" s="31" t="s">
        <v>45</v>
      </c>
      <c r="B267" s="32">
        <f t="shared" si="6"/>
        <v>44827</v>
      </c>
      <c r="C267" s="33">
        <v>10.0</v>
      </c>
      <c r="D267" s="33" t="s">
        <v>47</v>
      </c>
      <c r="E267" s="74" t="s">
        <v>62</v>
      </c>
      <c r="F267" s="24">
        <v>0.0</v>
      </c>
      <c r="H267" s="25">
        <v>0.0</v>
      </c>
      <c r="J267" s="25">
        <v>0.0</v>
      </c>
      <c r="L267" s="25">
        <v>0.0</v>
      </c>
      <c r="N267" s="25">
        <v>0.0</v>
      </c>
      <c r="P267" s="25">
        <v>0.0</v>
      </c>
      <c r="Q267" s="26"/>
      <c r="R267" s="24">
        <v>160.0</v>
      </c>
      <c r="T267" s="25">
        <v>160.0</v>
      </c>
      <c r="V267" s="25">
        <v>0.0</v>
      </c>
      <c r="X267" s="25">
        <v>0.0</v>
      </c>
      <c r="Z267" s="25">
        <v>0.0</v>
      </c>
      <c r="AB267" s="25">
        <v>0.0</v>
      </c>
      <c r="AC267" s="26"/>
      <c r="AD267" s="25">
        <v>0.0</v>
      </c>
      <c r="AF267" s="25">
        <v>0.0</v>
      </c>
      <c r="AH267" s="25">
        <v>0.0</v>
      </c>
      <c r="AJ267" s="78">
        <v>2324.4</v>
      </c>
      <c r="AK267" s="26"/>
      <c r="AL267" s="24">
        <v>0.0</v>
      </c>
      <c r="AM267" s="26"/>
      <c r="AN267" s="24">
        <v>0.0</v>
      </c>
      <c r="AO267" s="26"/>
      <c r="AP267" s="24">
        <v>0.0</v>
      </c>
      <c r="AQ267" s="26"/>
      <c r="AR267" s="25">
        <v>50.0</v>
      </c>
      <c r="AT267" s="25">
        <v>0.0</v>
      </c>
      <c r="AU267" s="26"/>
      <c r="AV267" s="35">
        <f t="shared" si="1"/>
        <v>4944.8</v>
      </c>
      <c r="AW267" s="33">
        <f t="shared" si="2"/>
        <v>2694.4</v>
      </c>
      <c r="AX267" s="33">
        <f t="shared" si="3"/>
        <v>0</v>
      </c>
      <c r="AY267" s="33">
        <f t="shared" si="4"/>
        <v>2694.4</v>
      </c>
      <c r="AZ267" s="30">
        <f t="shared" si="5"/>
        <v>1.835213777</v>
      </c>
    </row>
    <row r="268" ht="15.75" customHeight="1">
      <c r="A268" s="44" t="s">
        <v>46</v>
      </c>
      <c r="B268" s="45">
        <f t="shared" si="6"/>
        <v>44828</v>
      </c>
      <c r="C268" s="46">
        <v>10.0</v>
      </c>
      <c r="D268" s="46" t="s">
        <v>47</v>
      </c>
      <c r="E268" s="47"/>
      <c r="F268" s="49">
        <v>0.0</v>
      </c>
      <c r="G268" s="51"/>
      <c r="H268" s="52">
        <v>0.0</v>
      </c>
      <c r="I268" s="51"/>
      <c r="J268" s="52">
        <v>0.0</v>
      </c>
      <c r="K268" s="51"/>
      <c r="L268" s="52">
        <v>0.0</v>
      </c>
      <c r="M268" s="51"/>
      <c r="N268" s="52">
        <v>0.0</v>
      </c>
      <c r="O268" s="51"/>
      <c r="P268" s="52">
        <v>0.0</v>
      </c>
      <c r="Q268" s="53"/>
      <c r="R268" s="49">
        <v>0.0</v>
      </c>
      <c r="S268" s="51"/>
      <c r="T268" s="52">
        <v>0.0</v>
      </c>
      <c r="U268" s="51"/>
      <c r="V268" s="52">
        <v>0.0</v>
      </c>
      <c r="W268" s="51"/>
      <c r="X268" s="52">
        <v>0.0</v>
      </c>
      <c r="Y268" s="51"/>
      <c r="Z268" s="52">
        <v>0.0</v>
      </c>
      <c r="AA268" s="51"/>
      <c r="AB268" s="52">
        <v>0.0</v>
      </c>
      <c r="AC268" s="53"/>
      <c r="AD268" s="52">
        <v>0.0</v>
      </c>
      <c r="AE268" s="51"/>
      <c r="AF268" s="52">
        <v>0.0</v>
      </c>
      <c r="AG268" s="51"/>
      <c r="AH268" s="52">
        <v>0.0</v>
      </c>
      <c r="AI268" s="51"/>
      <c r="AJ268" s="54">
        <v>0.0</v>
      </c>
      <c r="AK268" s="53"/>
      <c r="AL268" s="49">
        <v>0.0</v>
      </c>
      <c r="AM268" s="53"/>
      <c r="AN268" s="49">
        <v>0.0</v>
      </c>
      <c r="AO268" s="53"/>
      <c r="AP268" s="49">
        <v>0.0</v>
      </c>
      <c r="AQ268" s="53"/>
      <c r="AR268" s="52">
        <v>0.0</v>
      </c>
      <c r="AS268" s="51"/>
      <c r="AT268" s="52">
        <v>0.0</v>
      </c>
      <c r="AU268" s="53"/>
      <c r="AV268" s="55">
        <f t="shared" si="1"/>
        <v>0</v>
      </c>
      <c r="AW268" s="46">
        <f t="shared" si="2"/>
        <v>0</v>
      </c>
      <c r="AX268" s="46">
        <f t="shared" si="3"/>
        <v>0</v>
      </c>
      <c r="AY268" s="46">
        <f t="shared" si="4"/>
        <v>0</v>
      </c>
      <c r="AZ268" s="56" t="str">
        <f t="shared" si="5"/>
        <v/>
      </c>
    </row>
    <row r="269" ht="15.75" customHeight="1">
      <c r="A269" s="19" t="s">
        <v>30</v>
      </c>
      <c r="B269" s="57">
        <f t="shared" si="6"/>
        <v>44829</v>
      </c>
      <c r="C269" s="21">
        <v>10.0</v>
      </c>
      <c r="D269" s="21" t="s">
        <v>48</v>
      </c>
      <c r="E269" s="23"/>
      <c r="F269" s="24">
        <v>0.0</v>
      </c>
      <c r="H269" s="25">
        <v>0.0</v>
      </c>
      <c r="J269" s="25">
        <v>0.0</v>
      </c>
      <c r="L269" s="25">
        <v>0.0</v>
      </c>
      <c r="N269" s="25">
        <v>0.0</v>
      </c>
      <c r="P269" s="25">
        <v>0.0</v>
      </c>
      <c r="Q269" s="26"/>
      <c r="R269" s="24">
        <v>180.0</v>
      </c>
      <c r="T269" s="25">
        <v>180.0</v>
      </c>
      <c r="V269" s="25">
        <v>0.0</v>
      </c>
      <c r="X269" s="25">
        <v>0.0</v>
      </c>
      <c r="Z269" s="25">
        <v>0.0</v>
      </c>
      <c r="AB269" s="25">
        <v>0.0</v>
      </c>
      <c r="AC269" s="26"/>
      <c r="AD269" s="25">
        <v>0.0</v>
      </c>
      <c r="AF269" s="25">
        <v>0.0</v>
      </c>
      <c r="AH269" s="25">
        <v>0.0</v>
      </c>
      <c r="AJ269" s="27">
        <v>0.0</v>
      </c>
      <c r="AK269" s="26"/>
      <c r="AL269" s="24">
        <v>0.0</v>
      </c>
      <c r="AM269" s="26"/>
      <c r="AN269" s="24">
        <v>0.0</v>
      </c>
      <c r="AO269" s="26"/>
      <c r="AP269" s="24">
        <v>0.0</v>
      </c>
      <c r="AQ269" s="26"/>
      <c r="AR269" s="25">
        <v>0.0</v>
      </c>
      <c r="AT269" s="25">
        <v>0.0</v>
      </c>
      <c r="AU269" s="26"/>
      <c r="AV269" s="29">
        <f t="shared" si="1"/>
        <v>3650.4</v>
      </c>
      <c r="AW269" s="21">
        <f t="shared" si="2"/>
        <v>360</v>
      </c>
      <c r="AX269" s="21">
        <f t="shared" si="3"/>
        <v>0</v>
      </c>
      <c r="AY269" s="21">
        <f t="shared" si="4"/>
        <v>360</v>
      </c>
      <c r="AZ269" s="58">
        <f t="shared" si="5"/>
        <v>10.14</v>
      </c>
    </row>
    <row r="270" ht="15.75" customHeight="1">
      <c r="A270" s="31" t="s">
        <v>33</v>
      </c>
      <c r="B270" s="32">
        <f t="shared" si="6"/>
        <v>44830</v>
      </c>
      <c r="C270" s="33">
        <v>10.0</v>
      </c>
      <c r="D270" s="33" t="s">
        <v>48</v>
      </c>
      <c r="E270" s="34"/>
      <c r="F270" s="24">
        <v>0.0</v>
      </c>
      <c r="H270" s="25">
        <v>0.0</v>
      </c>
      <c r="J270" s="25">
        <v>0.0</v>
      </c>
      <c r="L270" s="25">
        <v>0.0</v>
      </c>
      <c r="N270" s="25">
        <v>0.0</v>
      </c>
      <c r="P270" s="25">
        <v>0.0</v>
      </c>
      <c r="Q270" s="26"/>
      <c r="R270" s="24">
        <v>180.0</v>
      </c>
      <c r="T270" s="25">
        <v>180.0</v>
      </c>
      <c r="V270" s="25">
        <v>0.0</v>
      </c>
      <c r="X270" s="25">
        <v>0.0</v>
      </c>
      <c r="Z270" s="25">
        <v>0.0</v>
      </c>
      <c r="AB270" s="25">
        <v>0.0</v>
      </c>
      <c r="AC270" s="26"/>
      <c r="AD270" s="25">
        <v>0.0</v>
      </c>
      <c r="AF270" s="25">
        <v>0.0</v>
      </c>
      <c r="AH270" s="25">
        <v>0.0</v>
      </c>
      <c r="AJ270" s="27">
        <v>0.0</v>
      </c>
      <c r="AK270" s="26"/>
      <c r="AL270" s="24">
        <v>0.0</v>
      </c>
      <c r="AM270" s="26"/>
      <c r="AN270" s="24">
        <v>0.0</v>
      </c>
      <c r="AO270" s="26"/>
      <c r="AP270" s="24">
        <v>0.0</v>
      </c>
      <c r="AQ270" s="26"/>
      <c r="AR270" s="25">
        <v>0.0</v>
      </c>
      <c r="AT270" s="25">
        <v>0.0</v>
      </c>
      <c r="AU270" s="26"/>
      <c r="AV270" s="35">
        <f t="shared" si="1"/>
        <v>3650.4</v>
      </c>
      <c r="AW270" s="33">
        <f t="shared" si="2"/>
        <v>360</v>
      </c>
      <c r="AX270" s="33">
        <f t="shared" si="3"/>
        <v>0</v>
      </c>
      <c r="AY270" s="33">
        <f t="shared" si="4"/>
        <v>360</v>
      </c>
      <c r="AZ270" s="30">
        <f t="shared" si="5"/>
        <v>10.14</v>
      </c>
    </row>
    <row r="271" ht="15.75" customHeight="1">
      <c r="A271" s="31" t="s">
        <v>34</v>
      </c>
      <c r="B271" s="32">
        <f t="shared" si="6"/>
        <v>44831</v>
      </c>
      <c r="C271" s="33">
        <v>10.0</v>
      </c>
      <c r="D271" s="33" t="s">
        <v>48</v>
      </c>
      <c r="E271" s="34"/>
      <c r="F271" s="24">
        <v>0.0</v>
      </c>
      <c r="H271" s="25">
        <v>0.0</v>
      </c>
      <c r="J271" s="25">
        <v>0.0</v>
      </c>
      <c r="L271" s="25">
        <v>0.0</v>
      </c>
      <c r="N271" s="25">
        <v>0.0</v>
      </c>
      <c r="P271" s="25">
        <v>0.0</v>
      </c>
      <c r="Q271" s="26"/>
      <c r="R271" s="24">
        <v>170.0</v>
      </c>
      <c r="T271" s="25">
        <v>170.0</v>
      </c>
      <c r="V271" s="25">
        <v>0.0</v>
      </c>
      <c r="X271" s="25">
        <v>0.0</v>
      </c>
      <c r="Z271" s="25">
        <v>0.0</v>
      </c>
      <c r="AB271" s="25">
        <v>0.0</v>
      </c>
      <c r="AC271" s="26"/>
      <c r="AD271" s="25">
        <v>0.0</v>
      </c>
      <c r="AF271" s="25">
        <v>0.0</v>
      </c>
      <c r="AH271" s="25">
        <v>0.0</v>
      </c>
      <c r="AJ271" s="27">
        <v>0.0</v>
      </c>
      <c r="AK271" s="26"/>
      <c r="AL271" s="24">
        <v>0.0</v>
      </c>
      <c r="AM271" s="26"/>
      <c r="AN271" s="24">
        <v>0.0</v>
      </c>
      <c r="AO271" s="26"/>
      <c r="AP271" s="24">
        <v>0.0</v>
      </c>
      <c r="AQ271" s="26"/>
      <c r="AR271" s="25">
        <v>0.0</v>
      </c>
      <c r="AT271" s="25">
        <v>0.0</v>
      </c>
      <c r="AU271" s="26"/>
      <c r="AV271" s="35">
        <f t="shared" si="1"/>
        <v>3447.6</v>
      </c>
      <c r="AW271" s="33">
        <f t="shared" si="2"/>
        <v>340</v>
      </c>
      <c r="AX271" s="33">
        <f t="shared" si="3"/>
        <v>0</v>
      </c>
      <c r="AY271" s="33">
        <f t="shared" si="4"/>
        <v>340</v>
      </c>
      <c r="AZ271" s="30">
        <f t="shared" si="5"/>
        <v>10.14</v>
      </c>
    </row>
    <row r="272" ht="15.75" customHeight="1">
      <c r="A272" s="31" t="s">
        <v>35</v>
      </c>
      <c r="B272" s="32">
        <f t="shared" si="6"/>
        <v>44832</v>
      </c>
      <c r="C272" s="33">
        <v>10.0</v>
      </c>
      <c r="D272" s="33" t="s">
        <v>48</v>
      </c>
      <c r="E272" s="34"/>
      <c r="F272" s="24">
        <v>0.0</v>
      </c>
      <c r="H272" s="25">
        <v>0.0</v>
      </c>
      <c r="J272" s="25">
        <v>0.0</v>
      </c>
      <c r="L272" s="25">
        <v>0.0</v>
      </c>
      <c r="N272" s="25">
        <v>0.0</v>
      </c>
      <c r="P272" s="25">
        <v>0.0</v>
      </c>
      <c r="Q272" s="26"/>
      <c r="R272" s="24">
        <v>160.0</v>
      </c>
      <c r="T272" s="25">
        <v>160.0</v>
      </c>
      <c r="V272" s="25">
        <v>0.0</v>
      </c>
      <c r="X272" s="25">
        <v>0.0</v>
      </c>
      <c r="Z272" s="25">
        <v>0.0</v>
      </c>
      <c r="AB272" s="25">
        <v>0.0</v>
      </c>
      <c r="AC272" s="26"/>
      <c r="AD272" s="25">
        <v>0.0</v>
      </c>
      <c r="AF272" s="25">
        <v>0.0</v>
      </c>
      <c r="AH272" s="25">
        <v>0.0</v>
      </c>
      <c r="AJ272" s="27">
        <v>0.0</v>
      </c>
      <c r="AK272" s="26"/>
      <c r="AL272" s="24">
        <v>0.0</v>
      </c>
      <c r="AM272" s="26"/>
      <c r="AN272" s="24">
        <v>0.0</v>
      </c>
      <c r="AO272" s="26"/>
      <c r="AP272" s="24">
        <v>0.0</v>
      </c>
      <c r="AQ272" s="26"/>
      <c r="AR272" s="25">
        <v>0.0</v>
      </c>
      <c r="AT272" s="25">
        <v>0.0</v>
      </c>
      <c r="AU272" s="26"/>
      <c r="AV272" s="35">
        <f t="shared" si="1"/>
        <v>3244.8</v>
      </c>
      <c r="AW272" s="33">
        <f t="shared" si="2"/>
        <v>320</v>
      </c>
      <c r="AX272" s="33">
        <f t="shared" si="3"/>
        <v>0</v>
      </c>
      <c r="AY272" s="33">
        <f t="shared" si="4"/>
        <v>320</v>
      </c>
      <c r="AZ272" s="30">
        <f t="shared" si="5"/>
        <v>10.14</v>
      </c>
    </row>
    <row r="273" ht="15.75" customHeight="1">
      <c r="A273" s="31" t="s">
        <v>38</v>
      </c>
      <c r="B273" s="32">
        <f t="shared" si="6"/>
        <v>44833</v>
      </c>
      <c r="C273" s="33">
        <v>10.0</v>
      </c>
      <c r="D273" s="33" t="s">
        <v>48</v>
      </c>
      <c r="E273" s="34"/>
      <c r="F273" s="24">
        <v>0.0</v>
      </c>
      <c r="H273" s="25">
        <v>0.0</v>
      </c>
      <c r="J273" s="25">
        <v>0.0</v>
      </c>
      <c r="L273" s="25">
        <v>0.0</v>
      </c>
      <c r="N273" s="25">
        <v>0.0</v>
      </c>
      <c r="P273" s="25">
        <v>0.0</v>
      </c>
      <c r="Q273" s="26"/>
      <c r="R273" s="24">
        <v>160.0</v>
      </c>
      <c r="T273" s="25">
        <v>160.0</v>
      </c>
      <c r="V273" s="25">
        <v>0.0</v>
      </c>
      <c r="X273" s="25">
        <v>0.0</v>
      </c>
      <c r="Z273" s="25">
        <v>0.0</v>
      </c>
      <c r="AB273" s="25">
        <v>0.0</v>
      </c>
      <c r="AC273" s="26"/>
      <c r="AD273" s="25">
        <v>0.0</v>
      </c>
      <c r="AF273" s="25">
        <v>0.0</v>
      </c>
      <c r="AH273" s="25">
        <v>0.0</v>
      </c>
      <c r="AJ273" s="27">
        <v>0.0</v>
      </c>
      <c r="AK273" s="26"/>
      <c r="AL273" s="24">
        <v>0.0</v>
      </c>
      <c r="AM273" s="26"/>
      <c r="AN273" s="24">
        <v>0.0</v>
      </c>
      <c r="AO273" s="26"/>
      <c r="AP273" s="24">
        <v>0.0</v>
      </c>
      <c r="AQ273" s="26"/>
      <c r="AR273" s="25">
        <v>0.0</v>
      </c>
      <c r="AT273" s="25">
        <v>0.0</v>
      </c>
      <c r="AU273" s="26"/>
      <c r="AV273" s="35">
        <f t="shared" si="1"/>
        <v>3244.8</v>
      </c>
      <c r="AW273" s="33">
        <f t="shared" si="2"/>
        <v>320</v>
      </c>
      <c r="AX273" s="33">
        <f t="shared" si="3"/>
        <v>0</v>
      </c>
      <c r="AY273" s="33">
        <f t="shared" si="4"/>
        <v>320</v>
      </c>
      <c r="AZ273" s="30">
        <f t="shared" si="5"/>
        <v>10.14</v>
      </c>
    </row>
    <row r="274" ht="15.75" customHeight="1">
      <c r="A274" s="31" t="s">
        <v>45</v>
      </c>
      <c r="B274" s="32">
        <f t="shared" si="6"/>
        <v>44834</v>
      </c>
      <c r="C274" s="33">
        <v>10.0</v>
      </c>
      <c r="D274" s="33" t="s">
        <v>48</v>
      </c>
      <c r="E274" s="34"/>
      <c r="F274" s="24">
        <v>0.0</v>
      </c>
      <c r="H274" s="25">
        <v>0.0</v>
      </c>
      <c r="J274" s="25">
        <v>0.0</v>
      </c>
      <c r="L274" s="25">
        <v>0.0</v>
      </c>
      <c r="N274" s="25">
        <v>0.0</v>
      </c>
      <c r="P274" s="25">
        <v>0.0</v>
      </c>
      <c r="Q274" s="26"/>
      <c r="R274" s="24">
        <v>150.0</v>
      </c>
      <c r="T274" s="25">
        <v>150.0</v>
      </c>
      <c r="V274" s="25">
        <v>0.0</v>
      </c>
      <c r="X274" s="25">
        <v>0.0</v>
      </c>
      <c r="Z274" s="25">
        <v>0.0</v>
      </c>
      <c r="AB274" s="25">
        <v>0.0</v>
      </c>
      <c r="AC274" s="26"/>
      <c r="AD274" s="25">
        <v>0.0</v>
      </c>
      <c r="AF274" s="25">
        <v>0.0</v>
      </c>
      <c r="AH274" s="25">
        <v>0.0</v>
      </c>
      <c r="AJ274" s="27">
        <v>0.0</v>
      </c>
      <c r="AK274" s="26"/>
      <c r="AL274" s="24">
        <v>0.0</v>
      </c>
      <c r="AM274" s="26"/>
      <c r="AN274" s="24">
        <v>0.0</v>
      </c>
      <c r="AO274" s="26"/>
      <c r="AP274" s="24">
        <v>0.0</v>
      </c>
      <c r="AQ274" s="26"/>
      <c r="AR274" s="25">
        <v>0.0</v>
      </c>
      <c r="AT274" s="25">
        <v>0.0</v>
      </c>
      <c r="AU274" s="26"/>
      <c r="AV274" s="35">
        <f t="shared" si="1"/>
        <v>3042</v>
      </c>
      <c r="AW274" s="33">
        <f t="shared" si="2"/>
        <v>300</v>
      </c>
      <c r="AX274" s="33">
        <f t="shared" si="3"/>
        <v>0</v>
      </c>
      <c r="AY274" s="33">
        <f t="shared" si="4"/>
        <v>300</v>
      </c>
      <c r="AZ274" s="30">
        <f t="shared" si="5"/>
        <v>10.14</v>
      </c>
    </row>
    <row r="275" ht="15.75" customHeight="1">
      <c r="A275" s="44" t="s">
        <v>46</v>
      </c>
      <c r="B275" s="45">
        <f t="shared" si="6"/>
        <v>44835</v>
      </c>
      <c r="C275" s="46">
        <v>10.0</v>
      </c>
      <c r="D275" s="46" t="s">
        <v>48</v>
      </c>
      <c r="E275" s="47"/>
      <c r="F275" s="49">
        <v>0.0</v>
      </c>
      <c r="G275" s="51"/>
      <c r="H275" s="52">
        <v>0.0</v>
      </c>
      <c r="I275" s="51"/>
      <c r="J275" s="52">
        <v>0.0</v>
      </c>
      <c r="K275" s="51"/>
      <c r="L275" s="52">
        <v>0.0</v>
      </c>
      <c r="M275" s="51"/>
      <c r="N275" s="52">
        <v>0.0</v>
      </c>
      <c r="O275" s="51"/>
      <c r="P275" s="52">
        <v>0.0</v>
      </c>
      <c r="Q275" s="53"/>
      <c r="R275" s="49">
        <v>0.0</v>
      </c>
      <c r="S275" s="51"/>
      <c r="T275" s="52">
        <v>0.0</v>
      </c>
      <c r="U275" s="51"/>
      <c r="V275" s="52">
        <v>0.0</v>
      </c>
      <c r="W275" s="51"/>
      <c r="X275" s="52">
        <v>0.0</v>
      </c>
      <c r="Y275" s="51"/>
      <c r="Z275" s="52">
        <v>0.0</v>
      </c>
      <c r="AA275" s="51"/>
      <c r="AB275" s="52">
        <v>0.0</v>
      </c>
      <c r="AC275" s="53"/>
      <c r="AD275" s="52">
        <v>0.0</v>
      </c>
      <c r="AE275" s="51"/>
      <c r="AF275" s="52">
        <v>0.0</v>
      </c>
      <c r="AG275" s="51"/>
      <c r="AH275" s="52">
        <v>0.0</v>
      </c>
      <c r="AI275" s="51"/>
      <c r="AJ275" s="54">
        <v>0.0</v>
      </c>
      <c r="AK275" s="53"/>
      <c r="AL275" s="49">
        <v>0.0</v>
      </c>
      <c r="AM275" s="53"/>
      <c r="AN275" s="49">
        <v>0.0</v>
      </c>
      <c r="AO275" s="53"/>
      <c r="AP275" s="49">
        <v>0.0</v>
      </c>
      <c r="AQ275" s="53"/>
      <c r="AR275" s="52">
        <v>0.0</v>
      </c>
      <c r="AS275" s="51"/>
      <c r="AT275" s="52">
        <v>0.0</v>
      </c>
      <c r="AU275" s="53"/>
      <c r="AV275" s="55">
        <f t="shared" si="1"/>
        <v>0</v>
      </c>
      <c r="AW275" s="46">
        <f t="shared" si="2"/>
        <v>0</v>
      </c>
      <c r="AX275" s="46">
        <f t="shared" si="3"/>
        <v>0</v>
      </c>
      <c r="AY275" s="46">
        <f t="shared" si="4"/>
        <v>0</v>
      </c>
      <c r="AZ275" s="56" t="str">
        <f t="shared" si="5"/>
        <v/>
      </c>
    </row>
    <row r="276" ht="15.75" customHeight="1">
      <c r="A276" s="19" t="s">
        <v>30</v>
      </c>
      <c r="B276" s="57">
        <f t="shared" si="6"/>
        <v>44836</v>
      </c>
      <c r="C276" s="21">
        <v>10.0</v>
      </c>
      <c r="D276" s="21" t="s">
        <v>49</v>
      </c>
      <c r="E276" s="23"/>
      <c r="F276" s="24">
        <v>0.0</v>
      </c>
      <c r="H276" s="25">
        <v>0.0</v>
      </c>
      <c r="J276" s="25">
        <v>0.0</v>
      </c>
      <c r="L276" s="25">
        <v>0.0</v>
      </c>
      <c r="N276" s="25">
        <v>0.0</v>
      </c>
      <c r="P276" s="25">
        <v>0.0</v>
      </c>
      <c r="Q276" s="26"/>
      <c r="R276" s="24">
        <v>160.0</v>
      </c>
      <c r="T276" s="25">
        <v>160.0</v>
      </c>
      <c r="V276" s="25">
        <v>0.0</v>
      </c>
      <c r="X276" s="25">
        <v>0.0</v>
      </c>
      <c r="Z276" s="25">
        <v>0.0</v>
      </c>
      <c r="AB276" s="25">
        <v>0.0</v>
      </c>
      <c r="AC276" s="26"/>
      <c r="AD276" s="25">
        <v>0.0</v>
      </c>
      <c r="AF276" s="25">
        <v>0.0</v>
      </c>
      <c r="AH276" s="25">
        <v>0.0</v>
      </c>
      <c r="AJ276" s="27">
        <v>0.0</v>
      </c>
      <c r="AK276" s="26"/>
      <c r="AL276" s="24">
        <v>0.0</v>
      </c>
      <c r="AM276" s="26"/>
      <c r="AN276" s="24">
        <v>0.0</v>
      </c>
      <c r="AO276" s="26"/>
      <c r="AP276" s="24">
        <v>0.0</v>
      </c>
      <c r="AQ276" s="26"/>
      <c r="AR276" s="25">
        <v>0.0</v>
      </c>
      <c r="AT276" s="25">
        <v>0.0</v>
      </c>
      <c r="AU276" s="26"/>
      <c r="AV276" s="29">
        <f t="shared" si="1"/>
        <v>3244.8</v>
      </c>
      <c r="AW276" s="21">
        <f t="shared" si="2"/>
        <v>320</v>
      </c>
      <c r="AX276" s="21">
        <f t="shared" si="3"/>
        <v>0</v>
      </c>
      <c r="AY276" s="21">
        <f t="shared" si="4"/>
        <v>320</v>
      </c>
      <c r="AZ276" s="58">
        <f t="shared" si="5"/>
        <v>10.14</v>
      </c>
    </row>
    <row r="277" ht="15.75" customHeight="1">
      <c r="A277" s="31" t="s">
        <v>33</v>
      </c>
      <c r="B277" s="32">
        <f t="shared" si="6"/>
        <v>44837</v>
      </c>
      <c r="C277" s="33">
        <v>10.0</v>
      </c>
      <c r="D277" s="33" t="s">
        <v>49</v>
      </c>
      <c r="E277" s="74"/>
      <c r="F277" s="24">
        <v>0.0</v>
      </c>
      <c r="H277" s="25">
        <v>0.0</v>
      </c>
      <c r="J277" s="25">
        <v>0.0</v>
      </c>
      <c r="L277" s="25">
        <v>0.0</v>
      </c>
      <c r="N277" s="25">
        <v>0.0</v>
      </c>
      <c r="P277" s="25">
        <v>0.0</v>
      </c>
      <c r="Q277" s="26"/>
      <c r="R277" s="24">
        <v>170.0</v>
      </c>
      <c r="T277" s="25">
        <v>170.0</v>
      </c>
      <c r="V277" s="25">
        <v>0.0</v>
      </c>
      <c r="X277" s="25">
        <v>0.0</v>
      </c>
      <c r="Z277" s="25">
        <v>0.0</v>
      </c>
      <c r="AB277" s="25">
        <v>0.0</v>
      </c>
      <c r="AC277" s="26"/>
      <c r="AD277" s="25">
        <v>0.0</v>
      </c>
      <c r="AF277" s="25">
        <v>0.0</v>
      </c>
      <c r="AH277" s="25">
        <v>0.0</v>
      </c>
      <c r="AJ277" s="27">
        <v>0.0</v>
      </c>
      <c r="AK277" s="26"/>
      <c r="AL277" s="24">
        <v>0.0</v>
      </c>
      <c r="AM277" s="26"/>
      <c r="AN277" s="24">
        <v>0.0</v>
      </c>
      <c r="AO277" s="26"/>
      <c r="AP277" s="24">
        <v>0.0</v>
      </c>
      <c r="AQ277" s="26"/>
      <c r="AR277" s="25">
        <v>0.0</v>
      </c>
      <c r="AT277" s="25">
        <v>0.0</v>
      </c>
      <c r="AU277" s="26"/>
      <c r="AV277" s="35">
        <f t="shared" si="1"/>
        <v>3447.6</v>
      </c>
      <c r="AW277" s="33">
        <f t="shared" si="2"/>
        <v>340</v>
      </c>
      <c r="AX277" s="33">
        <f t="shared" si="3"/>
        <v>0</v>
      </c>
      <c r="AY277" s="33">
        <f t="shared" si="4"/>
        <v>340</v>
      </c>
      <c r="AZ277" s="30">
        <f t="shared" si="5"/>
        <v>10.14</v>
      </c>
    </row>
    <row r="278" ht="15.75" customHeight="1">
      <c r="A278" s="31" t="s">
        <v>34</v>
      </c>
      <c r="B278" s="32">
        <f t="shared" si="6"/>
        <v>44838</v>
      </c>
      <c r="C278" s="33">
        <v>10.0</v>
      </c>
      <c r="D278" s="33" t="s">
        <v>49</v>
      </c>
      <c r="E278" s="74"/>
      <c r="F278" s="24">
        <v>0.0</v>
      </c>
      <c r="H278" s="25">
        <v>0.0</v>
      </c>
      <c r="J278" s="25">
        <v>0.0</v>
      </c>
      <c r="L278" s="25">
        <v>0.0</v>
      </c>
      <c r="N278" s="25">
        <v>0.0</v>
      </c>
      <c r="P278" s="25">
        <v>0.0</v>
      </c>
      <c r="Q278" s="26"/>
      <c r="R278" s="24">
        <v>170.0</v>
      </c>
      <c r="T278" s="25">
        <v>170.0</v>
      </c>
      <c r="V278" s="25">
        <v>0.0</v>
      </c>
      <c r="X278" s="25">
        <v>0.0</v>
      </c>
      <c r="Z278" s="25">
        <v>0.0</v>
      </c>
      <c r="AB278" s="25">
        <v>0.0</v>
      </c>
      <c r="AC278" s="26"/>
      <c r="AD278" s="25">
        <v>0.0</v>
      </c>
      <c r="AF278" s="25">
        <v>0.0</v>
      </c>
      <c r="AH278" s="25">
        <v>0.0</v>
      </c>
      <c r="AJ278" s="27">
        <v>0.0</v>
      </c>
      <c r="AK278" s="26"/>
      <c r="AL278" s="24">
        <v>0.0</v>
      </c>
      <c r="AM278" s="26"/>
      <c r="AN278" s="24">
        <v>0.0</v>
      </c>
      <c r="AO278" s="26"/>
      <c r="AP278" s="24">
        <v>0.0</v>
      </c>
      <c r="AQ278" s="26"/>
      <c r="AR278" s="25">
        <v>0.0</v>
      </c>
      <c r="AT278" s="25">
        <v>0.0</v>
      </c>
      <c r="AU278" s="26"/>
      <c r="AV278" s="35">
        <f t="shared" si="1"/>
        <v>3447.6</v>
      </c>
      <c r="AW278" s="33">
        <f t="shared" si="2"/>
        <v>340</v>
      </c>
      <c r="AX278" s="33">
        <f t="shared" si="3"/>
        <v>0</v>
      </c>
      <c r="AY278" s="33">
        <f t="shared" si="4"/>
        <v>340</v>
      </c>
      <c r="AZ278" s="30">
        <f t="shared" si="5"/>
        <v>10.14</v>
      </c>
    </row>
    <row r="279" ht="15.75" customHeight="1">
      <c r="A279" s="31" t="s">
        <v>35</v>
      </c>
      <c r="B279" s="32">
        <f t="shared" si="6"/>
        <v>44839</v>
      </c>
      <c r="C279" s="33">
        <v>10.0</v>
      </c>
      <c r="D279" s="33" t="s">
        <v>49</v>
      </c>
      <c r="E279" s="74"/>
      <c r="F279" s="24">
        <v>0.0</v>
      </c>
      <c r="H279" s="25">
        <v>0.0</v>
      </c>
      <c r="J279" s="25">
        <v>0.0</v>
      </c>
      <c r="L279" s="25">
        <v>0.0</v>
      </c>
      <c r="N279" s="25">
        <v>0.0</v>
      </c>
      <c r="P279" s="25">
        <v>0.0</v>
      </c>
      <c r="Q279" s="26"/>
      <c r="R279" s="24">
        <v>170.0</v>
      </c>
      <c r="T279" s="25">
        <v>170.0</v>
      </c>
      <c r="V279" s="25">
        <v>0.0</v>
      </c>
      <c r="X279" s="25">
        <v>0.0</v>
      </c>
      <c r="Z279" s="25">
        <v>0.0</v>
      </c>
      <c r="AB279" s="25">
        <v>0.0</v>
      </c>
      <c r="AC279" s="26"/>
      <c r="AD279" s="25">
        <v>0.0</v>
      </c>
      <c r="AF279" s="25">
        <v>0.0</v>
      </c>
      <c r="AH279" s="25">
        <v>0.0</v>
      </c>
      <c r="AJ279" s="27">
        <v>0.0</v>
      </c>
      <c r="AK279" s="26"/>
      <c r="AL279" s="24">
        <v>0.0</v>
      </c>
      <c r="AM279" s="26"/>
      <c r="AN279" s="24">
        <v>0.0</v>
      </c>
      <c r="AO279" s="26"/>
      <c r="AP279" s="24">
        <v>0.0</v>
      </c>
      <c r="AQ279" s="26"/>
      <c r="AR279" s="25">
        <v>0.0</v>
      </c>
      <c r="AT279" s="25">
        <v>0.0</v>
      </c>
      <c r="AU279" s="26"/>
      <c r="AV279" s="35">
        <f t="shared" si="1"/>
        <v>3447.6</v>
      </c>
      <c r="AW279" s="33">
        <f t="shared" si="2"/>
        <v>340</v>
      </c>
      <c r="AX279" s="33">
        <f t="shared" si="3"/>
        <v>0</v>
      </c>
      <c r="AY279" s="33">
        <f t="shared" si="4"/>
        <v>340</v>
      </c>
      <c r="AZ279" s="30">
        <f t="shared" si="5"/>
        <v>10.14</v>
      </c>
    </row>
    <row r="280" ht="15.75" customHeight="1">
      <c r="A280" s="31" t="s">
        <v>38</v>
      </c>
      <c r="B280" s="32">
        <f t="shared" si="6"/>
        <v>44840</v>
      </c>
      <c r="C280" s="33">
        <v>10.0</v>
      </c>
      <c r="D280" s="33" t="s">
        <v>49</v>
      </c>
      <c r="E280" s="34"/>
      <c r="F280" s="24">
        <v>0.0</v>
      </c>
      <c r="H280" s="25">
        <v>0.0</v>
      </c>
      <c r="J280" s="25">
        <v>0.0</v>
      </c>
      <c r="L280" s="25">
        <v>0.0</v>
      </c>
      <c r="N280" s="25">
        <v>0.0</v>
      </c>
      <c r="P280" s="25">
        <v>0.0</v>
      </c>
      <c r="Q280" s="26"/>
      <c r="R280" s="24">
        <v>170.0</v>
      </c>
      <c r="T280" s="25">
        <v>170.0</v>
      </c>
      <c r="V280" s="25">
        <v>0.0</v>
      </c>
      <c r="X280" s="25">
        <v>0.0</v>
      </c>
      <c r="Z280" s="25">
        <v>0.0</v>
      </c>
      <c r="AB280" s="25">
        <v>0.0</v>
      </c>
      <c r="AC280" s="26"/>
      <c r="AD280" s="25">
        <v>0.0</v>
      </c>
      <c r="AF280" s="25">
        <v>0.0</v>
      </c>
      <c r="AH280" s="25">
        <v>0.0</v>
      </c>
      <c r="AJ280" s="27">
        <v>0.0</v>
      </c>
      <c r="AK280" s="26"/>
      <c r="AL280" s="24">
        <v>0.0</v>
      </c>
      <c r="AM280" s="26"/>
      <c r="AN280" s="24">
        <v>0.0</v>
      </c>
      <c r="AO280" s="26"/>
      <c r="AP280" s="24">
        <v>0.0</v>
      </c>
      <c r="AQ280" s="26"/>
      <c r="AR280" s="25">
        <v>0.0</v>
      </c>
      <c r="AT280" s="25">
        <v>0.0</v>
      </c>
      <c r="AU280" s="26"/>
      <c r="AV280" s="35">
        <f t="shared" si="1"/>
        <v>3447.6</v>
      </c>
      <c r="AW280" s="33">
        <f t="shared" si="2"/>
        <v>340</v>
      </c>
      <c r="AX280" s="33">
        <f t="shared" si="3"/>
        <v>0</v>
      </c>
      <c r="AY280" s="33">
        <f t="shared" si="4"/>
        <v>340</v>
      </c>
      <c r="AZ280" s="30">
        <f t="shared" si="5"/>
        <v>10.14</v>
      </c>
    </row>
    <row r="281" ht="15.75" customHeight="1">
      <c r="A281" s="31" t="s">
        <v>45</v>
      </c>
      <c r="B281" s="32">
        <f t="shared" si="6"/>
        <v>44841</v>
      </c>
      <c r="C281" s="33">
        <v>10.0</v>
      </c>
      <c r="D281" s="33" t="s">
        <v>49</v>
      </c>
      <c r="E281" s="34"/>
      <c r="F281" s="24">
        <v>0.0</v>
      </c>
      <c r="H281" s="25">
        <v>0.0</v>
      </c>
      <c r="J281" s="25">
        <v>0.0</v>
      </c>
      <c r="L281" s="25">
        <v>0.0</v>
      </c>
      <c r="N281" s="25">
        <v>0.0</v>
      </c>
      <c r="P281" s="25">
        <v>0.0</v>
      </c>
      <c r="Q281" s="26"/>
      <c r="R281" s="24">
        <v>50.0</v>
      </c>
      <c r="T281" s="25">
        <v>50.0</v>
      </c>
      <c r="V281" s="25">
        <v>0.0</v>
      </c>
      <c r="X281" s="25">
        <v>0.0</v>
      </c>
      <c r="Z281" s="25">
        <v>0.0</v>
      </c>
      <c r="AB281" s="25">
        <v>0.0</v>
      </c>
      <c r="AC281" s="26"/>
      <c r="AD281" s="25">
        <v>0.0</v>
      </c>
      <c r="AF281" s="25">
        <v>0.0</v>
      </c>
      <c r="AH281" s="25">
        <v>0.0</v>
      </c>
      <c r="AJ281" s="79">
        <v>5427.06</v>
      </c>
      <c r="AK281" s="26"/>
      <c r="AL281" s="24">
        <v>0.0</v>
      </c>
      <c r="AM281" s="26"/>
      <c r="AN281" s="24">
        <v>0.0</v>
      </c>
      <c r="AO281" s="26"/>
      <c r="AP281" s="24">
        <v>0.0</v>
      </c>
      <c r="AQ281" s="26"/>
      <c r="AR281" s="25">
        <v>0.0</v>
      </c>
      <c r="AT281" s="25">
        <v>0.0</v>
      </c>
      <c r="AU281" s="26"/>
      <c r="AV281" s="35">
        <f t="shared" si="1"/>
        <v>1014</v>
      </c>
      <c r="AW281" s="33">
        <f t="shared" si="2"/>
        <v>5527.06</v>
      </c>
      <c r="AX281" s="33">
        <f t="shared" si="3"/>
        <v>0</v>
      </c>
      <c r="AY281" s="33">
        <f t="shared" si="4"/>
        <v>5527.06</v>
      </c>
      <c r="AZ281" s="30">
        <f t="shared" si="5"/>
        <v>0.1834610082</v>
      </c>
    </row>
    <row r="282" ht="15.75" customHeight="1">
      <c r="A282" s="44" t="s">
        <v>46</v>
      </c>
      <c r="B282" s="45">
        <f t="shared" si="6"/>
        <v>44842</v>
      </c>
      <c r="C282" s="46">
        <v>10.0</v>
      </c>
      <c r="D282" s="46" t="s">
        <v>49</v>
      </c>
      <c r="E282" s="47"/>
      <c r="F282" s="49">
        <v>0.0</v>
      </c>
      <c r="G282" s="51"/>
      <c r="H282" s="52">
        <v>0.0</v>
      </c>
      <c r="I282" s="51"/>
      <c r="J282" s="52">
        <v>0.0</v>
      </c>
      <c r="K282" s="51"/>
      <c r="L282" s="52">
        <v>0.0</v>
      </c>
      <c r="M282" s="51"/>
      <c r="N282" s="52">
        <v>0.0</v>
      </c>
      <c r="O282" s="51"/>
      <c r="P282" s="52">
        <v>0.0</v>
      </c>
      <c r="Q282" s="53"/>
      <c r="R282" s="49">
        <v>0.0</v>
      </c>
      <c r="S282" s="51"/>
      <c r="T282" s="52">
        <v>0.0</v>
      </c>
      <c r="U282" s="51"/>
      <c r="V282" s="52">
        <v>0.0</v>
      </c>
      <c r="W282" s="51"/>
      <c r="X282" s="52">
        <v>0.0</v>
      </c>
      <c r="Y282" s="51"/>
      <c r="Z282" s="52">
        <v>0.0</v>
      </c>
      <c r="AA282" s="51"/>
      <c r="AB282" s="52">
        <v>0.0</v>
      </c>
      <c r="AC282" s="53"/>
      <c r="AD282" s="52">
        <v>0.0</v>
      </c>
      <c r="AE282" s="51"/>
      <c r="AF282" s="52">
        <v>0.0</v>
      </c>
      <c r="AG282" s="51"/>
      <c r="AH282" s="52">
        <v>0.0</v>
      </c>
      <c r="AI282" s="51"/>
      <c r="AJ282" s="54">
        <v>0.0</v>
      </c>
      <c r="AK282" s="53"/>
      <c r="AL282" s="49">
        <v>0.0</v>
      </c>
      <c r="AM282" s="53"/>
      <c r="AN282" s="49">
        <v>0.0</v>
      </c>
      <c r="AO282" s="53"/>
      <c r="AP282" s="49">
        <v>0.0</v>
      </c>
      <c r="AQ282" s="53"/>
      <c r="AR282" s="52">
        <v>0.0</v>
      </c>
      <c r="AS282" s="51"/>
      <c r="AT282" s="52">
        <v>0.0</v>
      </c>
      <c r="AU282" s="53"/>
      <c r="AV282" s="55">
        <f t="shared" si="1"/>
        <v>0</v>
      </c>
      <c r="AW282" s="46">
        <f t="shared" si="2"/>
        <v>0</v>
      </c>
      <c r="AX282" s="46">
        <f t="shared" si="3"/>
        <v>0</v>
      </c>
      <c r="AY282" s="46">
        <f t="shared" si="4"/>
        <v>0</v>
      </c>
      <c r="AZ282" s="56" t="str">
        <f t="shared" si="5"/>
        <v/>
      </c>
    </row>
    <row r="283" ht="15.75" customHeight="1">
      <c r="A283" s="19" t="s">
        <v>30</v>
      </c>
      <c r="B283" s="57">
        <f t="shared" si="6"/>
        <v>44843</v>
      </c>
      <c r="C283" s="21">
        <v>11.0</v>
      </c>
      <c r="D283" s="21" t="s">
        <v>31</v>
      </c>
      <c r="E283" s="23"/>
      <c r="F283" s="24">
        <v>0.0</v>
      </c>
      <c r="H283" s="25">
        <v>0.0</v>
      </c>
      <c r="J283" s="25">
        <v>0.0</v>
      </c>
      <c r="L283" s="25">
        <v>0.0</v>
      </c>
      <c r="N283" s="25">
        <v>0.0</v>
      </c>
      <c r="P283" s="25">
        <v>0.0</v>
      </c>
      <c r="Q283" s="26"/>
      <c r="R283" s="24">
        <v>100.0</v>
      </c>
      <c r="T283" s="25">
        <v>100.0</v>
      </c>
      <c r="V283" s="25">
        <v>0.0</v>
      </c>
      <c r="X283" s="25">
        <v>0.0</v>
      </c>
      <c r="Z283" s="25">
        <v>0.0</v>
      </c>
      <c r="AB283" s="25">
        <v>0.0</v>
      </c>
      <c r="AC283" s="26"/>
      <c r="AD283" s="25">
        <v>0.0</v>
      </c>
      <c r="AF283" s="25">
        <v>0.0</v>
      </c>
      <c r="AH283" s="25">
        <v>0.0</v>
      </c>
      <c r="AJ283" s="59"/>
      <c r="AK283" s="26"/>
      <c r="AL283" s="24">
        <v>0.0</v>
      </c>
      <c r="AM283" s="26"/>
      <c r="AN283" s="24">
        <v>0.0</v>
      </c>
      <c r="AO283" s="26"/>
      <c r="AP283" s="24">
        <v>0.0</v>
      </c>
      <c r="AQ283" s="26"/>
      <c r="AR283" s="25">
        <v>0.0</v>
      </c>
      <c r="AT283" s="25">
        <v>0.0</v>
      </c>
      <c r="AU283" s="26"/>
      <c r="AV283" s="29">
        <f t="shared" si="1"/>
        <v>2028</v>
      </c>
      <c r="AW283" s="21">
        <f t="shared" si="2"/>
        <v>200</v>
      </c>
      <c r="AX283" s="21">
        <f t="shared" si="3"/>
        <v>0</v>
      </c>
      <c r="AY283" s="21">
        <f t="shared" si="4"/>
        <v>200</v>
      </c>
      <c r="AZ283" s="58">
        <f t="shared" si="5"/>
        <v>10.14</v>
      </c>
    </row>
    <row r="284" ht="15.75" customHeight="1">
      <c r="A284" s="31" t="s">
        <v>33</v>
      </c>
      <c r="B284" s="32">
        <f t="shared" si="6"/>
        <v>44844</v>
      </c>
      <c r="C284" s="33">
        <v>11.0</v>
      </c>
      <c r="D284" s="33" t="s">
        <v>31</v>
      </c>
      <c r="E284" s="34"/>
      <c r="F284" s="24">
        <v>0.0</v>
      </c>
      <c r="H284" s="25">
        <v>0.0</v>
      </c>
      <c r="J284" s="25">
        <v>0.0</v>
      </c>
      <c r="L284" s="25">
        <v>0.0</v>
      </c>
      <c r="N284" s="25">
        <v>0.0</v>
      </c>
      <c r="P284" s="25">
        <v>0.0</v>
      </c>
      <c r="Q284" s="26"/>
      <c r="R284" s="24">
        <v>100.0</v>
      </c>
      <c r="T284" s="25">
        <v>100.0</v>
      </c>
      <c r="V284" s="25">
        <v>0.0</v>
      </c>
      <c r="X284" s="25">
        <v>0.0</v>
      </c>
      <c r="Z284" s="25">
        <v>0.0</v>
      </c>
      <c r="AB284" s="25">
        <v>0.0</v>
      </c>
      <c r="AC284" s="26"/>
      <c r="AD284" s="25">
        <v>0.0</v>
      </c>
      <c r="AF284" s="25">
        <v>0.0</v>
      </c>
      <c r="AH284" s="25">
        <v>0.0</v>
      </c>
      <c r="AJ284" s="59"/>
      <c r="AK284" s="26"/>
      <c r="AL284" s="24">
        <v>0.0</v>
      </c>
      <c r="AM284" s="26"/>
      <c r="AN284" s="24">
        <v>0.0</v>
      </c>
      <c r="AO284" s="26"/>
      <c r="AP284" s="24">
        <v>0.0</v>
      </c>
      <c r="AQ284" s="26"/>
      <c r="AR284" s="25">
        <v>0.0</v>
      </c>
      <c r="AT284" s="25">
        <v>0.0</v>
      </c>
      <c r="AU284" s="26"/>
      <c r="AV284" s="35">
        <f t="shared" si="1"/>
        <v>2028</v>
      </c>
      <c r="AW284" s="33">
        <f t="shared" si="2"/>
        <v>200</v>
      </c>
      <c r="AX284" s="33">
        <f t="shared" si="3"/>
        <v>0</v>
      </c>
      <c r="AY284" s="33">
        <f t="shared" si="4"/>
        <v>200</v>
      </c>
      <c r="AZ284" s="30">
        <f t="shared" si="5"/>
        <v>10.14</v>
      </c>
    </row>
    <row r="285" ht="15.75" customHeight="1">
      <c r="A285" s="31" t="s">
        <v>34</v>
      </c>
      <c r="B285" s="32">
        <f t="shared" si="6"/>
        <v>44845</v>
      </c>
      <c r="C285" s="33">
        <v>11.0</v>
      </c>
      <c r="D285" s="33" t="s">
        <v>31</v>
      </c>
      <c r="E285" s="34"/>
      <c r="F285" s="24">
        <v>0.0</v>
      </c>
      <c r="H285" s="25">
        <v>0.0</v>
      </c>
      <c r="J285" s="25">
        <v>0.0</v>
      </c>
      <c r="L285" s="25">
        <v>0.0</v>
      </c>
      <c r="N285" s="25">
        <v>0.0</v>
      </c>
      <c r="P285" s="25">
        <v>0.0</v>
      </c>
      <c r="Q285" s="26"/>
      <c r="R285" s="24">
        <v>110.0</v>
      </c>
      <c r="T285" s="25">
        <v>110.0</v>
      </c>
      <c r="V285" s="25">
        <v>0.0</v>
      </c>
      <c r="X285" s="25">
        <v>0.0</v>
      </c>
      <c r="Z285" s="25">
        <v>0.0</v>
      </c>
      <c r="AB285" s="25">
        <v>0.0</v>
      </c>
      <c r="AC285" s="26"/>
      <c r="AD285" s="25">
        <v>0.0</v>
      </c>
      <c r="AF285" s="25">
        <v>0.0</v>
      </c>
      <c r="AH285" s="25">
        <v>0.0</v>
      </c>
      <c r="AJ285" s="59"/>
      <c r="AK285" s="26"/>
      <c r="AL285" s="24">
        <v>0.0</v>
      </c>
      <c r="AM285" s="26"/>
      <c r="AN285" s="24">
        <v>0.0</v>
      </c>
      <c r="AO285" s="26"/>
      <c r="AP285" s="24">
        <v>0.0</v>
      </c>
      <c r="AQ285" s="26"/>
      <c r="AR285" s="25">
        <v>0.0</v>
      </c>
      <c r="AT285" s="25">
        <v>0.0</v>
      </c>
      <c r="AU285" s="26"/>
      <c r="AV285" s="35">
        <f t="shared" si="1"/>
        <v>2230.8</v>
      </c>
      <c r="AW285" s="33">
        <f t="shared" si="2"/>
        <v>220</v>
      </c>
      <c r="AX285" s="33">
        <f t="shared" si="3"/>
        <v>0</v>
      </c>
      <c r="AY285" s="33">
        <f t="shared" si="4"/>
        <v>220</v>
      </c>
      <c r="AZ285" s="30">
        <f t="shared" si="5"/>
        <v>10.14</v>
      </c>
    </row>
    <row r="286" ht="15.75" customHeight="1">
      <c r="A286" s="31" t="s">
        <v>35</v>
      </c>
      <c r="B286" s="32">
        <f t="shared" si="6"/>
        <v>44846</v>
      </c>
      <c r="C286" s="33">
        <v>11.0</v>
      </c>
      <c r="D286" s="33" t="s">
        <v>31</v>
      </c>
      <c r="E286" s="34"/>
      <c r="F286" s="24">
        <v>0.0</v>
      </c>
      <c r="H286" s="25">
        <v>0.0</v>
      </c>
      <c r="J286" s="25">
        <v>0.0</v>
      </c>
      <c r="L286" s="25">
        <v>0.0</v>
      </c>
      <c r="N286" s="25">
        <v>0.0</v>
      </c>
      <c r="P286" s="25">
        <v>0.0</v>
      </c>
      <c r="Q286" s="26"/>
      <c r="R286" s="24">
        <v>100.0</v>
      </c>
      <c r="T286" s="25">
        <v>100.0</v>
      </c>
      <c r="V286" s="25">
        <v>0.0</v>
      </c>
      <c r="X286" s="25">
        <v>0.0</v>
      </c>
      <c r="Z286" s="25">
        <v>0.0</v>
      </c>
      <c r="AB286" s="25">
        <v>0.0</v>
      </c>
      <c r="AC286" s="26"/>
      <c r="AD286" s="25">
        <v>0.0</v>
      </c>
      <c r="AF286" s="25">
        <v>0.0</v>
      </c>
      <c r="AH286" s="25">
        <v>0.0</v>
      </c>
      <c r="AJ286" s="59"/>
      <c r="AK286" s="26"/>
      <c r="AL286" s="24">
        <v>0.0</v>
      </c>
      <c r="AM286" s="26"/>
      <c r="AN286" s="24">
        <v>0.0</v>
      </c>
      <c r="AO286" s="26"/>
      <c r="AP286" s="24">
        <v>0.0</v>
      </c>
      <c r="AQ286" s="26"/>
      <c r="AR286" s="25">
        <v>0.0</v>
      </c>
      <c r="AT286" s="25">
        <v>0.0</v>
      </c>
      <c r="AU286" s="26"/>
      <c r="AV286" s="35">
        <f t="shared" si="1"/>
        <v>2028</v>
      </c>
      <c r="AW286" s="33">
        <f t="shared" si="2"/>
        <v>200</v>
      </c>
      <c r="AX286" s="33">
        <f t="shared" si="3"/>
        <v>0</v>
      </c>
      <c r="AY286" s="33">
        <f t="shared" si="4"/>
        <v>200</v>
      </c>
      <c r="AZ286" s="30">
        <f t="shared" si="5"/>
        <v>10.14</v>
      </c>
    </row>
    <row r="287" ht="15.75" customHeight="1">
      <c r="A287" s="31" t="s">
        <v>38</v>
      </c>
      <c r="B287" s="32">
        <f t="shared" si="6"/>
        <v>44847</v>
      </c>
      <c r="C287" s="33">
        <v>11.0</v>
      </c>
      <c r="D287" s="33" t="s">
        <v>31</v>
      </c>
      <c r="E287" s="34"/>
      <c r="F287" s="24">
        <v>0.0</v>
      </c>
      <c r="H287" s="25">
        <v>0.0</v>
      </c>
      <c r="J287" s="25">
        <v>0.0</v>
      </c>
      <c r="L287" s="25">
        <v>0.0</v>
      </c>
      <c r="N287" s="25">
        <v>0.0</v>
      </c>
      <c r="P287" s="25">
        <v>0.0</v>
      </c>
      <c r="Q287" s="26"/>
      <c r="R287" s="24">
        <v>100.0</v>
      </c>
      <c r="T287" s="25">
        <v>100.0</v>
      </c>
      <c r="V287" s="25">
        <v>0.0</v>
      </c>
      <c r="X287" s="25">
        <v>0.0</v>
      </c>
      <c r="Z287" s="25">
        <v>0.0</v>
      </c>
      <c r="AB287" s="25">
        <v>0.0</v>
      </c>
      <c r="AC287" s="26"/>
      <c r="AD287" s="25">
        <v>0.0</v>
      </c>
      <c r="AF287" s="25">
        <v>0.0</v>
      </c>
      <c r="AH287" s="25">
        <v>0.0</v>
      </c>
      <c r="AJ287" s="59"/>
      <c r="AK287" s="26"/>
      <c r="AL287" s="24">
        <v>0.0</v>
      </c>
      <c r="AM287" s="26"/>
      <c r="AN287" s="24">
        <v>0.0</v>
      </c>
      <c r="AO287" s="26"/>
      <c r="AP287" s="24">
        <v>0.0</v>
      </c>
      <c r="AQ287" s="26"/>
      <c r="AR287" s="25">
        <v>0.0</v>
      </c>
      <c r="AT287" s="25">
        <v>0.0</v>
      </c>
      <c r="AU287" s="26"/>
      <c r="AV287" s="35">
        <f t="shared" si="1"/>
        <v>2028</v>
      </c>
      <c r="AW287" s="33">
        <f t="shared" si="2"/>
        <v>200</v>
      </c>
      <c r="AX287" s="33">
        <f t="shared" si="3"/>
        <v>0</v>
      </c>
      <c r="AY287" s="33">
        <f t="shared" si="4"/>
        <v>200</v>
      </c>
      <c r="AZ287" s="30">
        <f t="shared" si="5"/>
        <v>10.14</v>
      </c>
    </row>
    <row r="288" ht="15.75" customHeight="1">
      <c r="A288" s="31" t="s">
        <v>45</v>
      </c>
      <c r="B288" s="32">
        <f t="shared" si="6"/>
        <v>44848</v>
      </c>
      <c r="C288" s="33">
        <v>11.0</v>
      </c>
      <c r="D288" s="33" t="s">
        <v>31</v>
      </c>
      <c r="E288" s="34"/>
      <c r="F288" s="24">
        <v>0.0</v>
      </c>
      <c r="H288" s="25">
        <v>0.0</v>
      </c>
      <c r="J288" s="25">
        <v>0.0</v>
      </c>
      <c r="L288" s="25">
        <v>0.0</v>
      </c>
      <c r="N288" s="25">
        <v>0.0</v>
      </c>
      <c r="P288" s="25">
        <v>0.0</v>
      </c>
      <c r="Q288" s="26"/>
      <c r="R288" s="24">
        <v>0.0</v>
      </c>
      <c r="T288" s="25">
        <v>0.0</v>
      </c>
      <c r="V288" s="25">
        <v>0.0</v>
      </c>
      <c r="X288" s="25">
        <v>0.0</v>
      </c>
      <c r="Z288" s="25">
        <v>0.0</v>
      </c>
      <c r="AB288" s="25">
        <v>0.0</v>
      </c>
      <c r="AC288" s="26"/>
      <c r="AD288" s="25">
        <v>0.0</v>
      </c>
      <c r="AF288" s="25">
        <v>0.0</v>
      </c>
      <c r="AH288" s="25">
        <v>0.0</v>
      </c>
      <c r="AJ288" s="59"/>
      <c r="AK288" s="26"/>
      <c r="AL288" s="24">
        <v>0.0</v>
      </c>
      <c r="AM288" s="26"/>
      <c r="AN288" s="24">
        <v>0.0</v>
      </c>
      <c r="AO288" s="26"/>
      <c r="AP288" s="24">
        <v>0.0</v>
      </c>
      <c r="AQ288" s="26"/>
      <c r="AR288" s="25">
        <v>0.0</v>
      </c>
      <c r="AT288" s="25">
        <v>0.0</v>
      </c>
      <c r="AU288" s="26"/>
      <c r="AV288" s="35">
        <f t="shared" si="1"/>
        <v>0</v>
      </c>
      <c r="AW288" s="33">
        <f t="shared" si="2"/>
        <v>0</v>
      </c>
      <c r="AX288" s="33">
        <f t="shared" si="3"/>
        <v>0</v>
      </c>
      <c r="AY288" s="33">
        <f t="shared" si="4"/>
        <v>0</v>
      </c>
      <c r="AZ288" s="30" t="str">
        <f t="shared" si="5"/>
        <v/>
      </c>
    </row>
    <row r="289" ht="15.75" customHeight="1">
      <c r="A289" s="44" t="s">
        <v>46</v>
      </c>
      <c r="B289" s="45">
        <f t="shared" si="6"/>
        <v>44849</v>
      </c>
      <c r="C289" s="46">
        <v>11.0</v>
      </c>
      <c r="D289" s="46" t="s">
        <v>31</v>
      </c>
      <c r="E289" s="47"/>
      <c r="F289" s="49">
        <v>0.0</v>
      </c>
      <c r="G289" s="51"/>
      <c r="H289" s="52">
        <v>0.0</v>
      </c>
      <c r="I289" s="51"/>
      <c r="J289" s="52">
        <v>0.0</v>
      </c>
      <c r="K289" s="51"/>
      <c r="L289" s="52">
        <v>0.0</v>
      </c>
      <c r="M289" s="51"/>
      <c r="N289" s="52">
        <v>0.0</v>
      </c>
      <c r="O289" s="51"/>
      <c r="P289" s="52">
        <v>0.0</v>
      </c>
      <c r="Q289" s="53"/>
      <c r="R289" s="49">
        <v>0.0</v>
      </c>
      <c r="S289" s="51"/>
      <c r="T289" s="52">
        <v>0.0</v>
      </c>
      <c r="U289" s="51"/>
      <c r="V289" s="52">
        <v>0.0</v>
      </c>
      <c r="W289" s="51"/>
      <c r="X289" s="52">
        <v>0.0</v>
      </c>
      <c r="Y289" s="51"/>
      <c r="Z289" s="52">
        <v>0.0</v>
      </c>
      <c r="AA289" s="51"/>
      <c r="AB289" s="52">
        <v>0.0</v>
      </c>
      <c r="AC289" s="53"/>
      <c r="AD289" s="52">
        <v>0.0</v>
      </c>
      <c r="AE289" s="51"/>
      <c r="AF289" s="52">
        <v>0.0</v>
      </c>
      <c r="AG289" s="51"/>
      <c r="AH289" s="52">
        <v>0.0</v>
      </c>
      <c r="AI289" s="51"/>
      <c r="AJ289" s="68"/>
      <c r="AK289" s="53"/>
      <c r="AL289" s="49">
        <v>0.0</v>
      </c>
      <c r="AM289" s="53"/>
      <c r="AN289" s="49">
        <v>0.0</v>
      </c>
      <c r="AO289" s="53"/>
      <c r="AP289" s="49">
        <v>0.0</v>
      </c>
      <c r="AQ289" s="53"/>
      <c r="AR289" s="52">
        <v>0.0</v>
      </c>
      <c r="AS289" s="51"/>
      <c r="AT289" s="52">
        <v>0.0</v>
      </c>
      <c r="AU289" s="53"/>
      <c r="AV289" s="55">
        <f t="shared" si="1"/>
        <v>0</v>
      </c>
      <c r="AW289" s="46">
        <f t="shared" si="2"/>
        <v>0</v>
      </c>
      <c r="AX289" s="46">
        <f t="shared" si="3"/>
        <v>0</v>
      </c>
      <c r="AY289" s="46">
        <f t="shared" si="4"/>
        <v>0</v>
      </c>
      <c r="AZ289" s="56" t="str">
        <f t="shared" si="5"/>
        <v/>
      </c>
    </row>
    <row r="290" ht="15.75" customHeight="1">
      <c r="A290" s="19" t="s">
        <v>30</v>
      </c>
      <c r="B290" s="57">
        <f t="shared" si="6"/>
        <v>44850</v>
      </c>
      <c r="C290" s="21">
        <v>11.0</v>
      </c>
      <c r="D290" s="21" t="s">
        <v>47</v>
      </c>
      <c r="E290" s="23"/>
      <c r="F290" s="24">
        <v>0.0</v>
      </c>
      <c r="H290" s="25">
        <v>0.0</v>
      </c>
      <c r="J290" s="25">
        <v>0.0</v>
      </c>
      <c r="L290" s="25">
        <v>0.0</v>
      </c>
      <c r="N290" s="25">
        <v>0.0</v>
      </c>
      <c r="P290" s="25">
        <v>0.0</v>
      </c>
      <c r="Q290" s="26"/>
      <c r="R290" s="24">
        <v>100.0</v>
      </c>
      <c r="T290" s="25">
        <v>100.0</v>
      </c>
      <c r="V290" s="25">
        <v>0.0</v>
      </c>
      <c r="X290" s="25">
        <v>0.0</v>
      </c>
      <c r="Z290" s="25">
        <v>0.0</v>
      </c>
      <c r="AB290" s="25">
        <v>0.0</v>
      </c>
      <c r="AC290" s="26"/>
      <c r="AD290" s="25">
        <v>0.0</v>
      </c>
      <c r="AF290" s="25">
        <v>0.0</v>
      </c>
      <c r="AH290" s="25">
        <v>0.0</v>
      </c>
      <c r="AJ290" s="59"/>
      <c r="AK290" s="26"/>
      <c r="AL290" s="24">
        <v>0.0</v>
      </c>
      <c r="AM290" s="26"/>
      <c r="AN290" s="24">
        <v>0.0</v>
      </c>
      <c r="AO290" s="26"/>
      <c r="AP290" s="24">
        <v>0.0</v>
      </c>
      <c r="AQ290" s="26"/>
      <c r="AR290" s="25">
        <v>0.0</v>
      </c>
      <c r="AT290" s="25">
        <v>0.0</v>
      </c>
      <c r="AU290" s="26"/>
      <c r="AV290" s="29">
        <f t="shared" si="1"/>
        <v>2028</v>
      </c>
      <c r="AW290" s="21">
        <f t="shared" si="2"/>
        <v>200</v>
      </c>
      <c r="AX290" s="21">
        <f t="shared" si="3"/>
        <v>0</v>
      </c>
      <c r="AY290" s="21">
        <f t="shared" si="4"/>
        <v>200</v>
      </c>
      <c r="AZ290" s="58">
        <f t="shared" si="5"/>
        <v>10.14</v>
      </c>
    </row>
    <row r="291" ht="15.75" customHeight="1">
      <c r="A291" s="31" t="s">
        <v>33</v>
      </c>
      <c r="B291" s="32">
        <f t="shared" si="6"/>
        <v>44851</v>
      </c>
      <c r="C291" s="33">
        <v>11.0</v>
      </c>
      <c r="D291" s="33" t="s">
        <v>47</v>
      </c>
      <c r="E291" s="34"/>
      <c r="F291" s="24">
        <v>0.0</v>
      </c>
      <c r="H291" s="25">
        <v>0.0</v>
      </c>
      <c r="J291" s="25">
        <v>0.0</v>
      </c>
      <c r="L291" s="25">
        <v>0.0</v>
      </c>
      <c r="N291" s="25">
        <v>0.0</v>
      </c>
      <c r="P291" s="25">
        <v>0.0</v>
      </c>
      <c r="Q291" s="26"/>
      <c r="R291" s="24">
        <v>100.0</v>
      </c>
      <c r="T291" s="25">
        <v>100.0</v>
      </c>
      <c r="V291" s="25">
        <v>0.0</v>
      </c>
      <c r="X291" s="25">
        <v>0.0</v>
      </c>
      <c r="Z291" s="25">
        <v>0.0</v>
      </c>
      <c r="AB291" s="25">
        <v>0.0</v>
      </c>
      <c r="AC291" s="26"/>
      <c r="AD291" s="25">
        <v>0.0</v>
      </c>
      <c r="AF291" s="25">
        <v>0.0</v>
      </c>
      <c r="AH291" s="25">
        <v>0.0</v>
      </c>
      <c r="AJ291" s="59"/>
      <c r="AK291" s="26"/>
      <c r="AL291" s="24">
        <v>0.0</v>
      </c>
      <c r="AM291" s="26"/>
      <c r="AN291" s="24">
        <v>0.0</v>
      </c>
      <c r="AO291" s="26"/>
      <c r="AP291" s="24">
        <v>0.0</v>
      </c>
      <c r="AQ291" s="26"/>
      <c r="AR291" s="25">
        <v>0.0</v>
      </c>
      <c r="AT291" s="25">
        <v>0.0</v>
      </c>
      <c r="AU291" s="26"/>
      <c r="AV291" s="35">
        <f t="shared" si="1"/>
        <v>2028</v>
      </c>
      <c r="AW291" s="33">
        <f t="shared" si="2"/>
        <v>200</v>
      </c>
      <c r="AX291" s="33">
        <f t="shared" si="3"/>
        <v>0</v>
      </c>
      <c r="AY291" s="33">
        <f t="shared" si="4"/>
        <v>200</v>
      </c>
      <c r="AZ291" s="30">
        <f t="shared" si="5"/>
        <v>10.14</v>
      </c>
    </row>
    <row r="292" ht="15.75" customHeight="1">
      <c r="A292" s="31" t="s">
        <v>34</v>
      </c>
      <c r="B292" s="32">
        <f t="shared" si="6"/>
        <v>44852</v>
      </c>
      <c r="C292" s="33">
        <v>11.0</v>
      </c>
      <c r="D292" s="33" t="s">
        <v>47</v>
      </c>
      <c r="E292" s="34"/>
      <c r="F292" s="24">
        <v>0.0</v>
      </c>
      <c r="H292" s="25">
        <v>0.0</v>
      </c>
      <c r="J292" s="25">
        <v>0.0</v>
      </c>
      <c r="L292" s="25">
        <v>0.0</v>
      </c>
      <c r="N292" s="25">
        <v>0.0</v>
      </c>
      <c r="P292" s="25">
        <v>0.0</v>
      </c>
      <c r="Q292" s="26"/>
      <c r="R292" s="24">
        <v>110.0</v>
      </c>
      <c r="T292" s="25">
        <v>110.0</v>
      </c>
      <c r="V292" s="25">
        <v>0.0</v>
      </c>
      <c r="X292" s="25">
        <v>0.0</v>
      </c>
      <c r="Z292" s="25">
        <v>0.0</v>
      </c>
      <c r="AB292" s="25">
        <v>0.0</v>
      </c>
      <c r="AC292" s="26"/>
      <c r="AD292" s="25">
        <v>0.0</v>
      </c>
      <c r="AF292" s="25">
        <v>0.0</v>
      </c>
      <c r="AH292" s="25">
        <v>0.0</v>
      </c>
      <c r="AJ292" s="59"/>
      <c r="AK292" s="26"/>
      <c r="AL292" s="24">
        <v>0.0</v>
      </c>
      <c r="AM292" s="26"/>
      <c r="AN292" s="24">
        <v>0.0</v>
      </c>
      <c r="AO292" s="26"/>
      <c r="AP292" s="24">
        <v>0.0</v>
      </c>
      <c r="AQ292" s="26"/>
      <c r="AR292" s="25">
        <v>0.0</v>
      </c>
      <c r="AT292" s="25">
        <v>0.0</v>
      </c>
      <c r="AU292" s="26"/>
      <c r="AV292" s="35">
        <f t="shared" si="1"/>
        <v>2230.8</v>
      </c>
      <c r="AW292" s="33">
        <f t="shared" si="2"/>
        <v>220</v>
      </c>
      <c r="AX292" s="33">
        <f t="shared" si="3"/>
        <v>0</v>
      </c>
      <c r="AY292" s="33">
        <f t="shared" si="4"/>
        <v>220</v>
      </c>
      <c r="AZ292" s="30">
        <f t="shared" si="5"/>
        <v>10.14</v>
      </c>
    </row>
    <row r="293" ht="15.75" customHeight="1">
      <c r="A293" s="31" t="s">
        <v>35</v>
      </c>
      <c r="B293" s="32">
        <f t="shared" si="6"/>
        <v>44853</v>
      </c>
      <c r="C293" s="33">
        <v>11.0</v>
      </c>
      <c r="D293" s="33" t="s">
        <v>47</v>
      </c>
      <c r="E293" s="34"/>
      <c r="F293" s="24">
        <v>0.0</v>
      </c>
      <c r="H293" s="25">
        <v>0.0</v>
      </c>
      <c r="J293" s="25">
        <v>0.0</v>
      </c>
      <c r="L293" s="25">
        <v>0.0</v>
      </c>
      <c r="N293" s="25">
        <v>0.0</v>
      </c>
      <c r="P293" s="25">
        <v>0.0</v>
      </c>
      <c r="Q293" s="26"/>
      <c r="R293" s="24">
        <v>100.0</v>
      </c>
      <c r="T293" s="25">
        <v>100.0</v>
      </c>
      <c r="V293" s="25">
        <v>0.0</v>
      </c>
      <c r="X293" s="25">
        <v>0.0</v>
      </c>
      <c r="Z293" s="25">
        <v>0.0</v>
      </c>
      <c r="AB293" s="25">
        <v>0.0</v>
      </c>
      <c r="AC293" s="26"/>
      <c r="AD293" s="25">
        <v>0.0</v>
      </c>
      <c r="AF293" s="25">
        <v>0.0</v>
      </c>
      <c r="AH293" s="25">
        <v>0.0</v>
      </c>
      <c r="AJ293" s="59"/>
      <c r="AK293" s="26"/>
      <c r="AL293" s="24">
        <v>0.0</v>
      </c>
      <c r="AM293" s="26"/>
      <c r="AN293" s="24">
        <v>0.0</v>
      </c>
      <c r="AO293" s="26"/>
      <c r="AP293" s="24">
        <v>0.0</v>
      </c>
      <c r="AQ293" s="26"/>
      <c r="AR293" s="25">
        <v>0.0</v>
      </c>
      <c r="AT293" s="25">
        <v>0.0</v>
      </c>
      <c r="AU293" s="26"/>
      <c r="AV293" s="35">
        <f t="shared" si="1"/>
        <v>2028</v>
      </c>
      <c r="AW293" s="33">
        <f t="shared" si="2"/>
        <v>200</v>
      </c>
      <c r="AX293" s="33">
        <f t="shared" si="3"/>
        <v>0</v>
      </c>
      <c r="AY293" s="33">
        <f t="shared" si="4"/>
        <v>200</v>
      </c>
      <c r="AZ293" s="30">
        <f t="shared" si="5"/>
        <v>10.14</v>
      </c>
    </row>
    <row r="294" ht="15.75" customHeight="1">
      <c r="A294" s="31" t="s">
        <v>38</v>
      </c>
      <c r="B294" s="32">
        <f t="shared" si="6"/>
        <v>44854</v>
      </c>
      <c r="C294" s="33">
        <v>11.0</v>
      </c>
      <c r="D294" s="33" t="s">
        <v>47</v>
      </c>
      <c r="E294" s="34"/>
      <c r="F294" s="24">
        <v>0.0</v>
      </c>
      <c r="H294" s="25">
        <v>0.0</v>
      </c>
      <c r="J294" s="25">
        <v>0.0</v>
      </c>
      <c r="L294" s="25">
        <v>0.0</v>
      </c>
      <c r="N294" s="25">
        <v>0.0</v>
      </c>
      <c r="P294" s="25">
        <v>0.0</v>
      </c>
      <c r="Q294" s="26"/>
      <c r="R294" s="24">
        <v>100.0</v>
      </c>
      <c r="T294" s="25">
        <v>100.0</v>
      </c>
      <c r="V294" s="25">
        <v>0.0</v>
      </c>
      <c r="X294" s="25">
        <v>0.0</v>
      </c>
      <c r="Z294" s="25">
        <v>0.0</v>
      </c>
      <c r="AB294" s="25">
        <v>0.0</v>
      </c>
      <c r="AC294" s="26"/>
      <c r="AD294" s="25">
        <v>0.0</v>
      </c>
      <c r="AF294" s="25">
        <v>0.0</v>
      </c>
      <c r="AH294" s="25">
        <v>0.0</v>
      </c>
      <c r="AJ294" s="59"/>
      <c r="AK294" s="26"/>
      <c r="AL294" s="24">
        <v>0.0</v>
      </c>
      <c r="AM294" s="26"/>
      <c r="AN294" s="24">
        <v>0.0</v>
      </c>
      <c r="AO294" s="26"/>
      <c r="AP294" s="24">
        <v>0.0</v>
      </c>
      <c r="AQ294" s="26"/>
      <c r="AR294" s="25">
        <v>0.0</v>
      </c>
      <c r="AT294" s="25">
        <v>0.0</v>
      </c>
      <c r="AU294" s="26"/>
      <c r="AV294" s="35">
        <f t="shared" si="1"/>
        <v>2028</v>
      </c>
      <c r="AW294" s="33">
        <f t="shared" si="2"/>
        <v>200</v>
      </c>
      <c r="AX294" s="33">
        <f t="shared" si="3"/>
        <v>0</v>
      </c>
      <c r="AY294" s="33">
        <f t="shared" si="4"/>
        <v>200</v>
      </c>
      <c r="AZ294" s="30">
        <f t="shared" si="5"/>
        <v>10.14</v>
      </c>
    </row>
    <row r="295" ht="15.75" customHeight="1">
      <c r="A295" s="31" t="s">
        <v>45</v>
      </c>
      <c r="B295" s="32">
        <f t="shared" si="6"/>
        <v>44855</v>
      </c>
      <c r="C295" s="33">
        <v>11.0</v>
      </c>
      <c r="D295" s="33" t="s">
        <v>47</v>
      </c>
      <c r="E295" s="34"/>
      <c r="F295" s="24">
        <v>0.0</v>
      </c>
      <c r="H295" s="25">
        <v>0.0</v>
      </c>
      <c r="J295" s="25">
        <v>0.0</v>
      </c>
      <c r="L295" s="25">
        <v>0.0</v>
      </c>
      <c r="N295" s="25">
        <v>0.0</v>
      </c>
      <c r="P295" s="25">
        <v>0.0</v>
      </c>
      <c r="Q295" s="26"/>
      <c r="R295" s="24">
        <v>0.0</v>
      </c>
      <c r="T295" s="25">
        <v>0.0</v>
      </c>
      <c r="V295" s="25">
        <v>0.0</v>
      </c>
      <c r="X295" s="25">
        <v>0.0</v>
      </c>
      <c r="Z295" s="25">
        <v>0.0</v>
      </c>
      <c r="AB295" s="25">
        <v>0.0</v>
      </c>
      <c r="AC295" s="26"/>
      <c r="AD295" s="25">
        <v>0.0</v>
      </c>
      <c r="AF295" s="25">
        <v>0.0</v>
      </c>
      <c r="AH295" s="25">
        <v>0.0</v>
      </c>
      <c r="AJ295" s="59"/>
      <c r="AK295" s="26"/>
      <c r="AL295" s="24">
        <v>0.0</v>
      </c>
      <c r="AM295" s="26"/>
      <c r="AN295" s="24">
        <v>0.0</v>
      </c>
      <c r="AO295" s="26"/>
      <c r="AP295" s="24">
        <v>0.0</v>
      </c>
      <c r="AQ295" s="26"/>
      <c r="AR295" s="25">
        <v>0.0</v>
      </c>
      <c r="AT295" s="25">
        <v>0.0</v>
      </c>
      <c r="AU295" s="26"/>
      <c r="AV295" s="35">
        <f t="shared" si="1"/>
        <v>0</v>
      </c>
      <c r="AW295" s="33">
        <f t="shared" si="2"/>
        <v>0</v>
      </c>
      <c r="AX295" s="33">
        <f t="shared" si="3"/>
        <v>0</v>
      </c>
      <c r="AY295" s="33">
        <f t="shared" si="4"/>
        <v>0</v>
      </c>
      <c r="AZ295" s="30" t="str">
        <f t="shared" si="5"/>
        <v/>
      </c>
    </row>
    <row r="296" ht="15.75" customHeight="1">
      <c r="A296" s="44" t="s">
        <v>46</v>
      </c>
      <c r="B296" s="45">
        <f t="shared" si="6"/>
        <v>44856</v>
      </c>
      <c r="C296" s="46">
        <v>11.0</v>
      </c>
      <c r="D296" s="46" t="s">
        <v>47</v>
      </c>
      <c r="E296" s="47"/>
      <c r="F296" s="49">
        <v>0.0</v>
      </c>
      <c r="G296" s="51"/>
      <c r="H296" s="52">
        <v>0.0</v>
      </c>
      <c r="I296" s="51"/>
      <c r="J296" s="52">
        <v>0.0</v>
      </c>
      <c r="K296" s="51"/>
      <c r="L296" s="52">
        <v>0.0</v>
      </c>
      <c r="M296" s="51"/>
      <c r="N296" s="52">
        <v>0.0</v>
      </c>
      <c r="O296" s="51"/>
      <c r="P296" s="52">
        <v>0.0</v>
      </c>
      <c r="Q296" s="53"/>
      <c r="R296" s="49">
        <v>0.0</v>
      </c>
      <c r="S296" s="51"/>
      <c r="T296" s="52">
        <v>0.0</v>
      </c>
      <c r="U296" s="51"/>
      <c r="V296" s="52">
        <v>0.0</v>
      </c>
      <c r="W296" s="51"/>
      <c r="X296" s="52">
        <v>0.0</v>
      </c>
      <c r="Y296" s="51"/>
      <c r="Z296" s="52">
        <v>0.0</v>
      </c>
      <c r="AA296" s="51"/>
      <c r="AB296" s="52">
        <v>0.0</v>
      </c>
      <c r="AC296" s="53"/>
      <c r="AD296" s="52">
        <v>0.0</v>
      </c>
      <c r="AE296" s="51"/>
      <c r="AF296" s="52">
        <v>0.0</v>
      </c>
      <c r="AG296" s="51"/>
      <c r="AH296" s="52">
        <v>0.0</v>
      </c>
      <c r="AI296" s="51"/>
      <c r="AJ296" s="68"/>
      <c r="AK296" s="53"/>
      <c r="AL296" s="49">
        <v>0.0</v>
      </c>
      <c r="AM296" s="53"/>
      <c r="AN296" s="49">
        <v>0.0</v>
      </c>
      <c r="AO296" s="53"/>
      <c r="AP296" s="49">
        <v>0.0</v>
      </c>
      <c r="AQ296" s="53"/>
      <c r="AR296" s="52">
        <v>0.0</v>
      </c>
      <c r="AS296" s="51"/>
      <c r="AT296" s="52">
        <v>0.0</v>
      </c>
      <c r="AU296" s="53"/>
      <c r="AV296" s="55">
        <f t="shared" si="1"/>
        <v>0</v>
      </c>
      <c r="AW296" s="46">
        <f t="shared" si="2"/>
        <v>0</v>
      </c>
      <c r="AX296" s="46">
        <f t="shared" si="3"/>
        <v>0</v>
      </c>
      <c r="AY296" s="46">
        <f t="shared" si="4"/>
        <v>0</v>
      </c>
      <c r="AZ296" s="56" t="str">
        <f t="shared" si="5"/>
        <v/>
      </c>
    </row>
    <row r="297" ht="15.75" customHeight="1">
      <c r="A297" s="19" t="s">
        <v>30</v>
      </c>
      <c r="B297" s="57">
        <f t="shared" si="6"/>
        <v>44857</v>
      </c>
      <c r="C297" s="21">
        <v>11.0</v>
      </c>
      <c r="D297" s="21" t="s">
        <v>48</v>
      </c>
      <c r="E297" s="72" t="s">
        <v>64</v>
      </c>
      <c r="F297" s="24">
        <v>0.0</v>
      </c>
      <c r="H297" s="25">
        <v>0.0</v>
      </c>
      <c r="J297" s="25">
        <v>0.0</v>
      </c>
      <c r="L297" s="25">
        <v>0.0</v>
      </c>
      <c r="N297" s="25">
        <v>0.0</v>
      </c>
      <c r="P297" s="25">
        <v>0.0</v>
      </c>
      <c r="Q297" s="26"/>
      <c r="R297" s="24">
        <v>160.0</v>
      </c>
      <c r="T297" s="25">
        <v>160.0</v>
      </c>
      <c r="V297" s="25">
        <v>0.0</v>
      </c>
      <c r="X297" s="25">
        <v>0.0</v>
      </c>
      <c r="Z297" s="25">
        <v>0.0</v>
      </c>
      <c r="AB297" s="25">
        <v>0.0</v>
      </c>
      <c r="AC297" s="26"/>
      <c r="AD297" s="25">
        <v>0.0</v>
      </c>
      <c r="AF297" s="25">
        <v>0.0</v>
      </c>
      <c r="AH297" s="25">
        <v>0.0</v>
      </c>
      <c r="AJ297" s="78">
        <v>2855.21</v>
      </c>
      <c r="AK297" s="26"/>
      <c r="AL297" s="24">
        <v>0.0</v>
      </c>
      <c r="AM297" s="26"/>
      <c r="AN297" s="24">
        <v>0.0</v>
      </c>
      <c r="AO297" s="26"/>
      <c r="AP297" s="24">
        <v>0.0</v>
      </c>
      <c r="AQ297" s="26"/>
      <c r="AR297" s="25">
        <v>0.0</v>
      </c>
      <c r="AT297" s="25">
        <v>0.0</v>
      </c>
      <c r="AU297" s="26"/>
      <c r="AV297" s="29">
        <f t="shared" si="1"/>
        <v>3244.8</v>
      </c>
      <c r="AW297" s="21">
        <f t="shared" si="2"/>
        <v>3175.21</v>
      </c>
      <c r="AX297" s="21">
        <f t="shared" si="3"/>
        <v>0</v>
      </c>
      <c r="AY297" s="21">
        <f t="shared" si="4"/>
        <v>3175.21</v>
      </c>
      <c r="AZ297" s="58">
        <f t="shared" si="5"/>
        <v>1.021916661</v>
      </c>
    </row>
    <row r="298" ht="15.75" customHeight="1">
      <c r="A298" s="31" t="s">
        <v>33</v>
      </c>
      <c r="B298" s="32">
        <f t="shared" si="6"/>
        <v>44858</v>
      </c>
      <c r="C298" s="33">
        <v>11.0</v>
      </c>
      <c r="D298" s="33" t="s">
        <v>48</v>
      </c>
      <c r="E298" s="34"/>
      <c r="F298" s="24">
        <v>0.0</v>
      </c>
      <c r="H298" s="25">
        <v>0.0</v>
      </c>
      <c r="J298" s="25">
        <v>0.0</v>
      </c>
      <c r="L298" s="25">
        <v>0.0</v>
      </c>
      <c r="N298" s="25">
        <v>0.0</v>
      </c>
      <c r="P298" s="25">
        <v>0.0</v>
      </c>
      <c r="Q298" s="26"/>
      <c r="R298" s="24">
        <v>160.0</v>
      </c>
      <c r="T298" s="25">
        <v>160.0</v>
      </c>
      <c r="V298" s="25">
        <v>0.0</v>
      </c>
      <c r="X298" s="25">
        <v>0.0</v>
      </c>
      <c r="Z298" s="25">
        <v>0.0</v>
      </c>
      <c r="AB298" s="25">
        <v>0.0</v>
      </c>
      <c r="AC298" s="26"/>
      <c r="AD298" s="25">
        <v>0.0</v>
      </c>
      <c r="AF298" s="25">
        <v>0.0</v>
      </c>
      <c r="AH298" s="25">
        <v>0.0</v>
      </c>
      <c r="AJ298" s="59"/>
      <c r="AK298" s="26"/>
      <c r="AL298" s="24">
        <v>0.0</v>
      </c>
      <c r="AM298" s="26"/>
      <c r="AN298" s="24">
        <v>0.0</v>
      </c>
      <c r="AO298" s="26"/>
      <c r="AP298" s="24">
        <v>0.0</v>
      </c>
      <c r="AQ298" s="26"/>
      <c r="AR298" s="25">
        <v>0.0</v>
      </c>
      <c r="AT298" s="25">
        <v>0.0</v>
      </c>
      <c r="AU298" s="26"/>
      <c r="AV298" s="35">
        <f t="shared" si="1"/>
        <v>3244.8</v>
      </c>
      <c r="AW298" s="33">
        <f t="shared" si="2"/>
        <v>320</v>
      </c>
      <c r="AX298" s="33">
        <f t="shared" si="3"/>
        <v>0</v>
      </c>
      <c r="AY298" s="33">
        <f t="shared" si="4"/>
        <v>320</v>
      </c>
      <c r="AZ298" s="30">
        <f t="shared" si="5"/>
        <v>10.14</v>
      </c>
    </row>
    <row r="299" ht="15.75" customHeight="1">
      <c r="A299" s="31" t="s">
        <v>34</v>
      </c>
      <c r="B299" s="32">
        <f t="shared" si="6"/>
        <v>44859</v>
      </c>
      <c r="C299" s="33">
        <v>11.0</v>
      </c>
      <c r="D299" s="33" t="s">
        <v>48</v>
      </c>
      <c r="E299" s="34"/>
      <c r="F299" s="24">
        <v>0.0</v>
      </c>
      <c r="H299" s="25">
        <v>0.0</v>
      </c>
      <c r="J299" s="25">
        <v>0.0</v>
      </c>
      <c r="L299" s="25">
        <v>0.0</v>
      </c>
      <c r="N299" s="25">
        <v>0.0</v>
      </c>
      <c r="P299" s="25">
        <v>0.0</v>
      </c>
      <c r="Q299" s="26"/>
      <c r="R299" s="24">
        <v>170.0</v>
      </c>
      <c r="T299" s="25">
        <v>170.0</v>
      </c>
      <c r="V299" s="25">
        <v>0.0</v>
      </c>
      <c r="X299" s="25">
        <v>0.0</v>
      </c>
      <c r="Z299" s="25">
        <v>0.0</v>
      </c>
      <c r="AB299" s="25">
        <v>0.0</v>
      </c>
      <c r="AC299" s="26"/>
      <c r="AD299" s="25">
        <v>0.0</v>
      </c>
      <c r="AF299" s="25">
        <v>0.0</v>
      </c>
      <c r="AH299" s="25">
        <v>0.0</v>
      </c>
      <c r="AJ299" s="59"/>
      <c r="AK299" s="26"/>
      <c r="AL299" s="24">
        <v>0.0</v>
      </c>
      <c r="AM299" s="26"/>
      <c r="AN299" s="24">
        <v>0.0</v>
      </c>
      <c r="AO299" s="26"/>
      <c r="AP299" s="24">
        <v>0.0</v>
      </c>
      <c r="AQ299" s="26"/>
      <c r="AR299" s="25">
        <v>0.0</v>
      </c>
      <c r="AT299" s="25">
        <v>0.0</v>
      </c>
      <c r="AU299" s="26"/>
      <c r="AV299" s="35">
        <f t="shared" si="1"/>
        <v>3447.6</v>
      </c>
      <c r="AW299" s="33">
        <f t="shared" si="2"/>
        <v>340</v>
      </c>
      <c r="AX299" s="33">
        <f t="shared" si="3"/>
        <v>0</v>
      </c>
      <c r="AY299" s="33">
        <f t="shared" si="4"/>
        <v>340</v>
      </c>
      <c r="AZ299" s="30">
        <f t="shared" si="5"/>
        <v>10.14</v>
      </c>
    </row>
    <row r="300" ht="15.75" customHeight="1">
      <c r="A300" s="31" t="s">
        <v>35</v>
      </c>
      <c r="B300" s="32">
        <f t="shared" si="6"/>
        <v>44860</v>
      </c>
      <c r="C300" s="33">
        <v>11.0</v>
      </c>
      <c r="D300" s="33" t="s">
        <v>48</v>
      </c>
      <c r="E300" s="34"/>
      <c r="F300" s="24">
        <v>0.0</v>
      </c>
      <c r="H300" s="25">
        <v>0.0</v>
      </c>
      <c r="J300" s="25">
        <v>0.0</v>
      </c>
      <c r="L300" s="25">
        <v>0.0</v>
      </c>
      <c r="N300" s="25">
        <v>0.0</v>
      </c>
      <c r="P300" s="25">
        <v>0.0</v>
      </c>
      <c r="Q300" s="26"/>
      <c r="R300" s="24">
        <v>160.0</v>
      </c>
      <c r="T300" s="25">
        <v>160.0</v>
      </c>
      <c r="V300" s="25">
        <v>0.0</v>
      </c>
      <c r="X300" s="25">
        <v>0.0</v>
      </c>
      <c r="Z300" s="25">
        <v>0.0</v>
      </c>
      <c r="AB300" s="25">
        <v>0.0</v>
      </c>
      <c r="AC300" s="26"/>
      <c r="AD300" s="25">
        <v>0.0</v>
      </c>
      <c r="AF300" s="25">
        <v>0.0</v>
      </c>
      <c r="AH300" s="25">
        <v>0.0</v>
      </c>
      <c r="AJ300" s="59"/>
      <c r="AK300" s="26"/>
      <c r="AL300" s="24">
        <v>0.0</v>
      </c>
      <c r="AM300" s="26"/>
      <c r="AN300" s="24">
        <v>0.0</v>
      </c>
      <c r="AO300" s="26"/>
      <c r="AP300" s="24">
        <v>0.0</v>
      </c>
      <c r="AQ300" s="26"/>
      <c r="AR300" s="25">
        <v>0.0</v>
      </c>
      <c r="AT300" s="25">
        <v>0.0</v>
      </c>
      <c r="AU300" s="26"/>
      <c r="AV300" s="35">
        <f t="shared" si="1"/>
        <v>3244.8</v>
      </c>
      <c r="AW300" s="33">
        <f t="shared" si="2"/>
        <v>320</v>
      </c>
      <c r="AX300" s="33">
        <f t="shared" si="3"/>
        <v>0</v>
      </c>
      <c r="AY300" s="33">
        <f t="shared" si="4"/>
        <v>320</v>
      </c>
      <c r="AZ300" s="30">
        <f t="shared" si="5"/>
        <v>10.14</v>
      </c>
    </row>
    <row r="301" ht="15.75" customHeight="1">
      <c r="A301" s="31" t="s">
        <v>38</v>
      </c>
      <c r="B301" s="32">
        <f t="shared" si="6"/>
        <v>44861</v>
      </c>
      <c r="C301" s="33">
        <v>11.0</v>
      </c>
      <c r="D301" s="33" t="s">
        <v>48</v>
      </c>
      <c r="E301" s="34"/>
      <c r="F301" s="24">
        <v>0.0</v>
      </c>
      <c r="H301" s="25">
        <v>0.0</v>
      </c>
      <c r="J301" s="25">
        <v>0.0</v>
      </c>
      <c r="L301" s="25">
        <v>0.0</v>
      </c>
      <c r="N301" s="25">
        <v>0.0</v>
      </c>
      <c r="P301" s="25">
        <v>0.0</v>
      </c>
      <c r="Q301" s="26"/>
      <c r="R301" s="24">
        <v>160.0</v>
      </c>
      <c r="T301" s="25">
        <v>160.0</v>
      </c>
      <c r="V301" s="25">
        <v>0.0</v>
      </c>
      <c r="X301" s="25">
        <v>0.0</v>
      </c>
      <c r="Z301" s="25">
        <v>0.0</v>
      </c>
      <c r="AB301" s="25">
        <v>0.0</v>
      </c>
      <c r="AC301" s="26"/>
      <c r="AD301" s="25">
        <v>0.0</v>
      </c>
      <c r="AF301" s="25">
        <v>0.0</v>
      </c>
      <c r="AH301" s="25">
        <v>0.0</v>
      </c>
      <c r="AJ301" s="59"/>
      <c r="AK301" s="26"/>
      <c r="AL301" s="24">
        <v>0.0</v>
      </c>
      <c r="AM301" s="26"/>
      <c r="AN301" s="24">
        <v>0.0</v>
      </c>
      <c r="AO301" s="26"/>
      <c r="AP301" s="24">
        <v>0.0</v>
      </c>
      <c r="AQ301" s="26"/>
      <c r="AR301" s="25">
        <v>0.0</v>
      </c>
      <c r="AT301" s="25">
        <v>0.0</v>
      </c>
      <c r="AU301" s="26"/>
      <c r="AV301" s="35">
        <f t="shared" si="1"/>
        <v>3244.8</v>
      </c>
      <c r="AW301" s="33">
        <f t="shared" si="2"/>
        <v>320</v>
      </c>
      <c r="AX301" s="33">
        <f t="shared" si="3"/>
        <v>0</v>
      </c>
      <c r="AY301" s="33">
        <f t="shared" si="4"/>
        <v>320</v>
      </c>
      <c r="AZ301" s="30">
        <f t="shared" si="5"/>
        <v>10.14</v>
      </c>
    </row>
    <row r="302" ht="15.75" customHeight="1">
      <c r="A302" s="31" t="s">
        <v>45</v>
      </c>
      <c r="B302" s="32">
        <f t="shared" si="6"/>
        <v>44862</v>
      </c>
      <c r="C302" s="33">
        <v>11.0</v>
      </c>
      <c r="D302" s="33" t="s">
        <v>48</v>
      </c>
      <c r="E302" s="34"/>
      <c r="F302" s="24">
        <v>0.0</v>
      </c>
      <c r="H302" s="25">
        <v>0.0</v>
      </c>
      <c r="J302" s="25">
        <v>0.0</v>
      </c>
      <c r="L302" s="25">
        <v>0.0</v>
      </c>
      <c r="N302" s="25">
        <v>0.0</v>
      </c>
      <c r="P302" s="25">
        <v>0.0</v>
      </c>
      <c r="Q302" s="26"/>
      <c r="R302" s="24">
        <v>0.0</v>
      </c>
      <c r="T302" s="25">
        <v>0.0</v>
      </c>
      <c r="V302" s="25">
        <v>0.0</v>
      </c>
      <c r="X302" s="25">
        <v>0.0</v>
      </c>
      <c r="Z302" s="25">
        <v>0.0</v>
      </c>
      <c r="AB302" s="25">
        <v>0.0</v>
      </c>
      <c r="AC302" s="26"/>
      <c r="AD302" s="25">
        <v>0.0</v>
      </c>
      <c r="AF302" s="25">
        <v>0.0</v>
      </c>
      <c r="AH302" s="25">
        <v>0.0</v>
      </c>
      <c r="AJ302" s="59"/>
      <c r="AK302" s="26"/>
      <c r="AL302" s="24">
        <v>0.0</v>
      </c>
      <c r="AM302" s="26"/>
      <c r="AN302" s="24">
        <v>0.0</v>
      </c>
      <c r="AO302" s="26"/>
      <c r="AP302" s="24">
        <v>0.0</v>
      </c>
      <c r="AQ302" s="26"/>
      <c r="AR302" s="25">
        <v>0.0</v>
      </c>
      <c r="AT302" s="25">
        <v>0.0</v>
      </c>
      <c r="AU302" s="26"/>
      <c r="AV302" s="35">
        <f t="shared" si="1"/>
        <v>0</v>
      </c>
      <c r="AW302" s="33">
        <f t="shared" si="2"/>
        <v>0</v>
      </c>
      <c r="AX302" s="33">
        <f t="shared" si="3"/>
        <v>0</v>
      </c>
      <c r="AY302" s="33">
        <f t="shared" si="4"/>
        <v>0</v>
      </c>
      <c r="AZ302" s="30" t="str">
        <f t="shared" si="5"/>
        <v/>
      </c>
    </row>
    <row r="303" ht="15.75" customHeight="1">
      <c r="A303" s="44" t="s">
        <v>46</v>
      </c>
      <c r="B303" s="45">
        <f t="shared" si="6"/>
        <v>44863</v>
      </c>
      <c r="C303" s="46">
        <v>11.0</v>
      </c>
      <c r="D303" s="46" t="s">
        <v>48</v>
      </c>
      <c r="E303" s="47"/>
      <c r="F303" s="49">
        <v>0.0</v>
      </c>
      <c r="G303" s="51"/>
      <c r="H303" s="52">
        <v>0.0</v>
      </c>
      <c r="I303" s="51"/>
      <c r="J303" s="52">
        <v>0.0</v>
      </c>
      <c r="K303" s="51"/>
      <c r="L303" s="52">
        <v>0.0</v>
      </c>
      <c r="M303" s="51"/>
      <c r="N303" s="52">
        <v>0.0</v>
      </c>
      <c r="O303" s="51"/>
      <c r="P303" s="52">
        <v>0.0</v>
      </c>
      <c r="Q303" s="53"/>
      <c r="R303" s="49">
        <v>0.0</v>
      </c>
      <c r="S303" s="51"/>
      <c r="T303" s="52">
        <v>0.0</v>
      </c>
      <c r="U303" s="51"/>
      <c r="V303" s="52">
        <v>0.0</v>
      </c>
      <c r="W303" s="51"/>
      <c r="X303" s="52">
        <v>0.0</v>
      </c>
      <c r="Y303" s="51"/>
      <c r="Z303" s="52">
        <v>0.0</v>
      </c>
      <c r="AA303" s="51"/>
      <c r="AB303" s="52">
        <v>0.0</v>
      </c>
      <c r="AC303" s="53"/>
      <c r="AD303" s="52">
        <v>0.0</v>
      </c>
      <c r="AE303" s="51"/>
      <c r="AF303" s="52">
        <v>0.0</v>
      </c>
      <c r="AG303" s="51"/>
      <c r="AH303" s="52">
        <v>0.0</v>
      </c>
      <c r="AI303" s="51"/>
      <c r="AJ303" s="68"/>
      <c r="AK303" s="53"/>
      <c r="AL303" s="49">
        <v>0.0</v>
      </c>
      <c r="AM303" s="53"/>
      <c r="AN303" s="49">
        <v>0.0</v>
      </c>
      <c r="AO303" s="53"/>
      <c r="AP303" s="49">
        <v>0.0</v>
      </c>
      <c r="AQ303" s="53"/>
      <c r="AR303" s="52">
        <v>0.0</v>
      </c>
      <c r="AS303" s="51"/>
      <c r="AT303" s="52">
        <v>0.0</v>
      </c>
      <c r="AU303" s="53"/>
      <c r="AV303" s="55">
        <f t="shared" si="1"/>
        <v>0</v>
      </c>
      <c r="AW303" s="46">
        <f t="shared" si="2"/>
        <v>0</v>
      </c>
      <c r="AX303" s="46">
        <f t="shared" si="3"/>
        <v>0</v>
      </c>
      <c r="AY303" s="46">
        <f t="shared" si="4"/>
        <v>0</v>
      </c>
      <c r="AZ303" s="56" t="str">
        <f t="shared" si="5"/>
        <v/>
      </c>
    </row>
    <row r="304" ht="15.75" customHeight="1">
      <c r="A304" s="19" t="s">
        <v>30</v>
      </c>
      <c r="B304" s="57">
        <f t="shared" si="6"/>
        <v>44864</v>
      </c>
      <c r="C304" s="21">
        <v>11.0</v>
      </c>
      <c r="D304" s="21" t="s">
        <v>49</v>
      </c>
      <c r="E304" s="23"/>
      <c r="F304" s="24">
        <v>0.0</v>
      </c>
      <c r="H304" s="25">
        <v>0.0</v>
      </c>
      <c r="J304" s="25">
        <v>0.0</v>
      </c>
      <c r="L304" s="25">
        <v>0.0</v>
      </c>
      <c r="N304" s="25">
        <v>0.0</v>
      </c>
      <c r="P304" s="25">
        <v>0.0</v>
      </c>
      <c r="Q304" s="26"/>
      <c r="R304" s="24">
        <v>150.0</v>
      </c>
      <c r="T304" s="25">
        <v>150.0</v>
      </c>
      <c r="V304" s="25">
        <v>0.0</v>
      </c>
      <c r="X304" s="25">
        <v>0.0</v>
      </c>
      <c r="Z304" s="25">
        <v>0.0</v>
      </c>
      <c r="AB304" s="25">
        <v>0.0</v>
      </c>
      <c r="AC304" s="26"/>
      <c r="AD304" s="25">
        <v>0.0</v>
      </c>
      <c r="AF304" s="25">
        <v>0.0</v>
      </c>
      <c r="AH304" s="25">
        <v>0.0</v>
      </c>
      <c r="AJ304" s="59"/>
      <c r="AK304" s="26"/>
      <c r="AL304" s="24">
        <v>0.0</v>
      </c>
      <c r="AM304" s="26"/>
      <c r="AN304" s="24">
        <v>0.0</v>
      </c>
      <c r="AO304" s="26"/>
      <c r="AP304" s="24">
        <v>0.0</v>
      </c>
      <c r="AQ304" s="26"/>
      <c r="AR304" s="25">
        <v>0.0</v>
      </c>
      <c r="AT304" s="25">
        <v>0.0</v>
      </c>
      <c r="AU304" s="26"/>
      <c r="AV304" s="29">
        <f t="shared" si="1"/>
        <v>3042</v>
      </c>
      <c r="AW304" s="21">
        <f t="shared" si="2"/>
        <v>300</v>
      </c>
      <c r="AX304" s="21">
        <f t="shared" si="3"/>
        <v>0</v>
      </c>
      <c r="AY304" s="21">
        <f t="shared" si="4"/>
        <v>300</v>
      </c>
      <c r="AZ304" s="58">
        <f t="shared" si="5"/>
        <v>10.14</v>
      </c>
    </row>
    <row r="305" ht="15.75" customHeight="1">
      <c r="A305" s="31" t="s">
        <v>33</v>
      </c>
      <c r="B305" s="32">
        <f t="shared" si="6"/>
        <v>44865</v>
      </c>
      <c r="C305" s="33">
        <v>11.0</v>
      </c>
      <c r="D305" s="33" t="s">
        <v>49</v>
      </c>
      <c r="E305" s="34"/>
      <c r="F305" s="24">
        <v>0.0</v>
      </c>
      <c r="H305" s="25">
        <v>0.0</v>
      </c>
      <c r="J305" s="25">
        <v>0.0</v>
      </c>
      <c r="L305" s="25">
        <v>0.0</v>
      </c>
      <c r="N305" s="25">
        <v>0.0</v>
      </c>
      <c r="P305" s="25">
        <v>0.0</v>
      </c>
      <c r="Q305" s="26"/>
      <c r="R305" s="24">
        <v>150.0</v>
      </c>
      <c r="T305" s="25">
        <v>150.0</v>
      </c>
      <c r="V305" s="25">
        <v>0.0</v>
      </c>
      <c r="X305" s="25">
        <v>0.0</v>
      </c>
      <c r="Z305" s="25">
        <v>0.0</v>
      </c>
      <c r="AB305" s="25">
        <v>0.0</v>
      </c>
      <c r="AC305" s="26"/>
      <c r="AD305" s="25">
        <v>0.0</v>
      </c>
      <c r="AF305" s="25">
        <v>0.0</v>
      </c>
      <c r="AH305" s="25">
        <v>0.0</v>
      </c>
      <c r="AJ305" s="59"/>
      <c r="AK305" s="26"/>
      <c r="AL305" s="24">
        <v>0.0</v>
      </c>
      <c r="AM305" s="26"/>
      <c r="AN305" s="24">
        <v>0.0</v>
      </c>
      <c r="AO305" s="26"/>
      <c r="AP305" s="24">
        <v>0.0</v>
      </c>
      <c r="AQ305" s="26"/>
      <c r="AR305" s="25">
        <v>0.0</v>
      </c>
      <c r="AT305" s="25">
        <v>0.0</v>
      </c>
      <c r="AU305" s="26"/>
      <c r="AV305" s="35">
        <f t="shared" si="1"/>
        <v>3042</v>
      </c>
      <c r="AW305" s="33">
        <f t="shared" si="2"/>
        <v>300</v>
      </c>
      <c r="AX305" s="33">
        <f t="shared" si="3"/>
        <v>0</v>
      </c>
      <c r="AY305" s="33">
        <f t="shared" si="4"/>
        <v>300</v>
      </c>
      <c r="AZ305" s="30">
        <f t="shared" si="5"/>
        <v>10.14</v>
      </c>
    </row>
    <row r="306" ht="15.75" customHeight="1">
      <c r="A306" s="31" t="s">
        <v>34</v>
      </c>
      <c r="B306" s="32">
        <f t="shared" si="6"/>
        <v>44866</v>
      </c>
      <c r="C306" s="33">
        <v>11.0</v>
      </c>
      <c r="D306" s="33" t="s">
        <v>49</v>
      </c>
      <c r="E306" s="34"/>
      <c r="F306" s="24">
        <v>0.0</v>
      </c>
      <c r="H306" s="25">
        <v>0.0</v>
      </c>
      <c r="J306" s="25">
        <v>0.0</v>
      </c>
      <c r="L306" s="25">
        <v>0.0</v>
      </c>
      <c r="N306" s="25">
        <v>0.0</v>
      </c>
      <c r="P306" s="25">
        <v>0.0</v>
      </c>
      <c r="Q306" s="26"/>
      <c r="R306" s="24">
        <v>160.0</v>
      </c>
      <c r="T306" s="25">
        <v>160.0</v>
      </c>
      <c r="V306" s="25">
        <v>0.0</v>
      </c>
      <c r="X306" s="25">
        <v>0.0</v>
      </c>
      <c r="Z306" s="25">
        <v>0.0</v>
      </c>
      <c r="AB306" s="25">
        <v>0.0</v>
      </c>
      <c r="AC306" s="26"/>
      <c r="AD306" s="25">
        <v>0.0</v>
      </c>
      <c r="AF306" s="25">
        <v>0.0</v>
      </c>
      <c r="AH306" s="25">
        <v>0.0</v>
      </c>
      <c r="AJ306" s="59"/>
      <c r="AK306" s="26"/>
      <c r="AL306" s="24">
        <v>0.0</v>
      </c>
      <c r="AM306" s="26"/>
      <c r="AN306" s="24">
        <v>0.0</v>
      </c>
      <c r="AO306" s="26"/>
      <c r="AP306" s="24">
        <v>0.0</v>
      </c>
      <c r="AQ306" s="26"/>
      <c r="AR306" s="25">
        <v>0.0</v>
      </c>
      <c r="AT306" s="25">
        <v>0.0</v>
      </c>
      <c r="AU306" s="26"/>
      <c r="AV306" s="35">
        <f t="shared" si="1"/>
        <v>3244.8</v>
      </c>
      <c r="AW306" s="33">
        <f t="shared" si="2"/>
        <v>320</v>
      </c>
      <c r="AX306" s="33">
        <f t="shared" si="3"/>
        <v>0</v>
      </c>
      <c r="AY306" s="33">
        <f t="shared" si="4"/>
        <v>320</v>
      </c>
      <c r="AZ306" s="30">
        <f t="shared" si="5"/>
        <v>10.14</v>
      </c>
    </row>
    <row r="307" ht="15.75" customHeight="1">
      <c r="A307" s="31" t="s">
        <v>35</v>
      </c>
      <c r="B307" s="32">
        <f t="shared" si="6"/>
        <v>44867</v>
      </c>
      <c r="C307" s="33">
        <v>11.0</v>
      </c>
      <c r="D307" s="33" t="s">
        <v>49</v>
      </c>
      <c r="E307" s="34"/>
      <c r="F307" s="24">
        <v>0.0</v>
      </c>
      <c r="H307" s="25">
        <v>0.0</v>
      </c>
      <c r="J307" s="25">
        <v>0.0</v>
      </c>
      <c r="L307" s="25">
        <v>0.0</v>
      </c>
      <c r="N307" s="25">
        <v>0.0</v>
      </c>
      <c r="P307" s="25">
        <v>0.0</v>
      </c>
      <c r="Q307" s="26"/>
      <c r="R307" s="24">
        <v>150.0</v>
      </c>
      <c r="T307" s="25">
        <v>150.0</v>
      </c>
      <c r="V307" s="25">
        <v>0.0</v>
      </c>
      <c r="X307" s="25">
        <v>0.0</v>
      </c>
      <c r="Z307" s="25">
        <v>0.0</v>
      </c>
      <c r="AB307" s="25">
        <v>0.0</v>
      </c>
      <c r="AC307" s="26"/>
      <c r="AD307" s="25">
        <v>0.0</v>
      </c>
      <c r="AF307" s="25">
        <v>0.0</v>
      </c>
      <c r="AH307" s="25">
        <v>0.0</v>
      </c>
      <c r="AJ307" s="59"/>
      <c r="AK307" s="26"/>
      <c r="AL307" s="24">
        <v>0.0</v>
      </c>
      <c r="AM307" s="26"/>
      <c r="AN307" s="24">
        <v>0.0</v>
      </c>
      <c r="AO307" s="26"/>
      <c r="AP307" s="24">
        <v>0.0</v>
      </c>
      <c r="AQ307" s="26"/>
      <c r="AR307" s="25">
        <v>0.0</v>
      </c>
      <c r="AT307" s="25">
        <v>0.0</v>
      </c>
      <c r="AU307" s="26"/>
      <c r="AV307" s="35">
        <f t="shared" si="1"/>
        <v>3042</v>
      </c>
      <c r="AW307" s="33">
        <f t="shared" si="2"/>
        <v>300</v>
      </c>
      <c r="AX307" s="33">
        <f t="shared" si="3"/>
        <v>0</v>
      </c>
      <c r="AY307" s="33">
        <f t="shared" si="4"/>
        <v>300</v>
      </c>
      <c r="AZ307" s="30">
        <f t="shared" si="5"/>
        <v>10.14</v>
      </c>
    </row>
    <row r="308" ht="15.75" customHeight="1">
      <c r="A308" s="31" t="s">
        <v>38</v>
      </c>
      <c r="B308" s="32">
        <f t="shared" si="6"/>
        <v>44868</v>
      </c>
      <c r="C308" s="33">
        <v>11.0</v>
      </c>
      <c r="D308" s="33" t="s">
        <v>49</v>
      </c>
      <c r="E308" s="34"/>
      <c r="F308" s="24">
        <v>0.0</v>
      </c>
      <c r="H308" s="25">
        <v>0.0</v>
      </c>
      <c r="J308" s="25">
        <v>0.0</v>
      </c>
      <c r="L308" s="25">
        <v>0.0</v>
      </c>
      <c r="N308" s="25">
        <v>0.0</v>
      </c>
      <c r="P308" s="25">
        <v>0.0</v>
      </c>
      <c r="Q308" s="26"/>
      <c r="R308" s="24">
        <v>150.0</v>
      </c>
      <c r="T308" s="25">
        <v>150.0</v>
      </c>
      <c r="V308" s="25">
        <v>0.0</v>
      </c>
      <c r="X308" s="25">
        <v>0.0</v>
      </c>
      <c r="Z308" s="25">
        <v>0.0</v>
      </c>
      <c r="AB308" s="25">
        <v>0.0</v>
      </c>
      <c r="AC308" s="26"/>
      <c r="AD308" s="25">
        <v>0.0</v>
      </c>
      <c r="AF308" s="25">
        <v>0.0</v>
      </c>
      <c r="AH308" s="25">
        <v>0.0</v>
      </c>
      <c r="AJ308" s="59"/>
      <c r="AK308" s="26"/>
      <c r="AL308" s="24">
        <v>0.0</v>
      </c>
      <c r="AM308" s="26"/>
      <c r="AN308" s="24">
        <v>0.0</v>
      </c>
      <c r="AO308" s="26"/>
      <c r="AP308" s="24">
        <v>0.0</v>
      </c>
      <c r="AQ308" s="26"/>
      <c r="AR308" s="25">
        <v>0.0</v>
      </c>
      <c r="AT308" s="25">
        <v>0.0</v>
      </c>
      <c r="AU308" s="26"/>
      <c r="AV308" s="35">
        <f t="shared" si="1"/>
        <v>3042</v>
      </c>
      <c r="AW308" s="33">
        <f t="shared" si="2"/>
        <v>300</v>
      </c>
      <c r="AX308" s="33">
        <f t="shared" si="3"/>
        <v>0</v>
      </c>
      <c r="AY308" s="33">
        <f t="shared" si="4"/>
        <v>300</v>
      </c>
      <c r="AZ308" s="30">
        <f t="shared" si="5"/>
        <v>10.14</v>
      </c>
    </row>
    <row r="309" ht="15.75" customHeight="1">
      <c r="A309" s="31" t="s">
        <v>45</v>
      </c>
      <c r="B309" s="32">
        <f t="shared" si="6"/>
        <v>44869</v>
      </c>
      <c r="C309" s="33">
        <v>11.0</v>
      </c>
      <c r="D309" s="33" t="s">
        <v>49</v>
      </c>
      <c r="E309" s="34"/>
      <c r="F309" s="24">
        <v>0.0</v>
      </c>
      <c r="H309" s="25">
        <v>0.0</v>
      </c>
      <c r="J309" s="25">
        <v>0.0</v>
      </c>
      <c r="L309" s="25">
        <v>0.0</v>
      </c>
      <c r="N309" s="25">
        <v>0.0</v>
      </c>
      <c r="P309" s="25">
        <v>0.0</v>
      </c>
      <c r="Q309" s="26"/>
      <c r="R309" s="24">
        <v>0.0</v>
      </c>
      <c r="T309" s="25">
        <v>0.0</v>
      </c>
      <c r="V309" s="25">
        <v>0.0</v>
      </c>
      <c r="X309" s="25">
        <v>0.0</v>
      </c>
      <c r="Z309" s="25">
        <v>0.0</v>
      </c>
      <c r="AB309" s="25">
        <v>0.0</v>
      </c>
      <c r="AC309" s="26"/>
      <c r="AD309" s="25">
        <v>0.0</v>
      </c>
      <c r="AF309" s="25">
        <v>0.0</v>
      </c>
      <c r="AH309" s="25">
        <v>0.0</v>
      </c>
      <c r="AJ309" s="59"/>
      <c r="AK309" s="26"/>
      <c r="AL309" s="24">
        <v>0.0</v>
      </c>
      <c r="AM309" s="26"/>
      <c r="AN309" s="24">
        <v>0.0</v>
      </c>
      <c r="AO309" s="26"/>
      <c r="AP309" s="24">
        <v>0.0</v>
      </c>
      <c r="AQ309" s="26"/>
      <c r="AR309" s="25">
        <v>0.0</v>
      </c>
      <c r="AT309" s="25">
        <v>0.0</v>
      </c>
      <c r="AU309" s="26"/>
      <c r="AV309" s="35">
        <f t="shared" si="1"/>
        <v>0</v>
      </c>
      <c r="AW309" s="33">
        <f t="shared" si="2"/>
        <v>0</v>
      </c>
      <c r="AX309" s="33">
        <f t="shared" si="3"/>
        <v>0</v>
      </c>
      <c r="AY309" s="33">
        <f t="shared" si="4"/>
        <v>0</v>
      </c>
      <c r="AZ309" s="30" t="str">
        <f t="shared" si="5"/>
        <v/>
      </c>
    </row>
    <row r="310" ht="15.75" customHeight="1">
      <c r="A310" s="44" t="s">
        <v>46</v>
      </c>
      <c r="B310" s="45">
        <f t="shared" si="6"/>
        <v>44870</v>
      </c>
      <c r="C310" s="46">
        <v>11.0</v>
      </c>
      <c r="D310" s="46" t="s">
        <v>49</v>
      </c>
      <c r="E310" s="47"/>
      <c r="F310" s="49">
        <v>0.0</v>
      </c>
      <c r="G310" s="51"/>
      <c r="H310" s="52">
        <v>0.0</v>
      </c>
      <c r="I310" s="51"/>
      <c r="J310" s="52">
        <v>0.0</v>
      </c>
      <c r="K310" s="51"/>
      <c r="L310" s="52">
        <v>0.0</v>
      </c>
      <c r="M310" s="51"/>
      <c r="N310" s="52">
        <v>0.0</v>
      </c>
      <c r="O310" s="51"/>
      <c r="P310" s="52">
        <v>0.0</v>
      </c>
      <c r="Q310" s="53"/>
      <c r="R310" s="49">
        <v>0.0</v>
      </c>
      <c r="S310" s="51"/>
      <c r="T310" s="52">
        <v>0.0</v>
      </c>
      <c r="U310" s="51"/>
      <c r="V310" s="52">
        <v>0.0</v>
      </c>
      <c r="W310" s="51"/>
      <c r="X310" s="52">
        <v>0.0</v>
      </c>
      <c r="Y310" s="51"/>
      <c r="Z310" s="52">
        <v>0.0</v>
      </c>
      <c r="AA310" s="51"/>
      <c r="AB310" s="52">
        <v>0.0</v>
      </c>
      <c r="AC310" s="53"/>
      <c r="AD310" s="52">
        <v>0.0</v>
      </c>
      <c r="AE310" s="51"/>
      <c r="AF310" s="52">
        <v>0.0</v>
      </c>
      <c r="AG310" s="51"/>
      <c r="AH310" s="52">
        <v>0.0</v>
      </c>
      <c r="AI310" s="51"/>
      <c r="AJ310" s="68"/>
      <c r="AK310" s="53"/>
      <c r="AL310" s="49">
        <v>0.0</v>
      </c>
      <c r="AM310" s="53"/>
      <c r="AN310" s="49">
        <v>0.0</v>
      </c>
      <c r="AO310" s="53"/>
      <c r="AP310" s="49">
        <v>0.0</v>
      </c>
      <c r="AQ310" s="53"/>
      <c r="AR310" s="52">
        <v>0.0</v>
      </c>
      <c r="AS310" s="51"/>
      <c r="AT310" s="52">
        <v>0.0</v>
      </c>
      <c r="AU310" s="53"/>
      <c r="AV310" s="55">
        <f t="shared" si="1"/>
        <v>0</v>
      </c>
      <c r="AW310" s="46">
        <f t="shared" si="2"/>
        <v>0</v>
      </c>
      <c r="AX310" s="46">
        <f t="shared" si="3"/>
        <v>0</v>
      </c>
      <c r="AY310" s="46">
        <f t="shared" si="4"/>
        <v>0</v>
      </c>
      <c r="AZ310" s="56" t="str">
        <f t="shared" si="5"/>
        <v/>
      </c>
    </row>
    <row r="311" ht="15.75" customHeight="1">
      <c r="A311" s="19" t="s">
        <v>30</v>
      </c>
      <c r="B311" s="57">
        <f t="shared" si="6"/>
        <v>44871</v>
      </c>
      <c r="C311" s="21">
        <v>12.0</v>
      </c>
      <c r="D311" s="21" t="s">
        <v>31</v>
      </c>
      <c r="E311" s="23"/>
      <c r="F311" s="24">
        <v>0.0</v>
      </c>
      <c r="H311" s="25">
        <v>0.0</v>
      </c>
      <c r="J311" s="25">
        <v>0.0</v>
      </c>
      <c r="L311" s="25">
        <v>0.0</v>
      </c>
      <c r="N311" s="25">
        <v>0.0</v>
      </c>
      <c r="P311" s="25">
        <v>0.0</v>
      </c>
      <c r="Q311" s="26"/>
      <c r="R311" s="24">
        <v>100.0</v>
      </c>
      <c r="T311" s="25">
        <v>100.0</v>
      </c>
      <c r="V311" s="25">
        <v>0.0</v>
      </c>
      <c r="X311" s="25">
        <v>0.0</v>
      </c>
      <c r="Z311" s="25">
        <v>0.0</v>
      </c>
      <c r="AB311" s="25">
        <v>0.0</v>
      </c>
      <c r="AC311" s="26"/>
      <c r="AD311" s="25">
        <v>0.0</v>
      </c>
      <c r="AF311" s="25">
        <v>0.0</v>
      </c>
      <c r="AH311" s="25">
        <v>0.0</v>
      </c>
      <c r="AJ311" s="59"/>
      <c r="AK311" s="26"/>
      <c r="AL311" s="24">
        <v>0.0</v>
      </c>
      <c r="AM311" s="26"/>
      <c r="AN311" s="24">
        <v>0.0</v>
      </c>
      <c r="AO311" s="26"/>
      <c r="AP311" s="24">
        <v>0.0</v>
      </c>
      <c r="AQ311" s="26"/>
      <c r="AR311" s="25">
        <v>0.0</v>
      </c>
      <c r="AT311" s="25">
        <v>0.0</v>
      </c>
      <c r="AU311" s="26"/>
      <c r="AV311" s="29">
        <f t="shared" si="1"/>
        <v>2028</v>
      </c>
      <c r="AW311" s="21">
        <f t="shared" si="2"/>
        <v>200</v>
      </c>
      <c r="AX311" s="21">
        <f t="shared" si="3"/>
        <v>0</v>
      </c>
      <c r="AY311" s="21">
        <f t="shared" si="4"/>
        <v>200</v>
      </c>
      <c r="AZ311" s="58">
        <f t="shared" si="5"/>
        <v>10.14</v>
      </c>
    </row>
    <row r="312" ht="15.75" customHeight="1">
      <c r="A312" s="31" t="s">
        <v>33</v>
      </c>
      <c r="B312" s="32">
        <f t="shared" si="6"/>
        <v>44872</v>
      </c>
      <c r="C312" s="33">
        <v>12.0</v>
      </c>
      <c r="D312" s="33" t="s">
        <v>31</v>
      </c>
      <c r="E312" s="34"/>
      <c r="F312" s="24">
        <v>0.0</v>
      </c>
      <c r="H312" s="25">
        <v>0.0</v>
      </c>
      <c r="J312" s="25">
        <v>0.0</v>
      </c>
      <c r="L312" s="25">
        <v>0.0</v>
      </c>
      <c r="N312" s="25">
        <v>0.0</v>
      </c>
      <c r="P312" s="25">
        <v>0.0</v>
      </c>
      <c r="Q312" s="26"/>
      <c r="R312" s="24">
        <v>100.0</v>
      </c>
      <c r="T312" s="25">
        <v>100.0</v>
      </c>
      <c r="V312" s="25">
        <v>0.0</v>
      </c>
      <c r="X312" s="25">
        <v>0.0</v>
      </c>
      <c r="Z312" s="25">
        <v>0.0</v>
      </c>
      <c r="AB312" s="25">
        <v>0.0</v>
      </c>
      <c r="AC312" s="26"/>
      <c r="AD312" s="25">
        <v>0.0</v>
      </c>
      <c r="AF312" s="25">
        <v>0.0</v>
      </c>
      <c r="AH312" s="25">
        <v>0.0</v>
      </c>
      <c r="AJ312" s="59"/>
      <c r="AK312" s="26"/>
      <c r="AL312" s="24">
        <v>0.0</v>
      </c>
      <c r="AM312" s="26"/>
      <c r="AN312" s="24">
        <v>0.0</v>
      </c>
      <c r="AO312" s="26"/>
      <c r="AP312" s="24">
        <v>0.0</v>
      </c>
      <c r="AQ312" s="26"/>
      <c r="AR312" s="25">
        <v>0.0</v>
      </c>
      <c r="AT312" s="25">
        <v>0.0</v>
      </c>
      <c r="AU312" s="26"/>
      <c r="AV312" s="35">
        <f t="shared" si="1"/>
        <v>2028</v>
      </c>
      <c r="AW312" s="33">
        <f t="shared" si="2"/>
        <v>200</v>
      </c>
      <c r="AX312" s="33">
        <f t="shared" si="3"/>
        <v>0</v>
      </c>
      <c r="AY312" s="33">
        <f t="shared" si="4"/>
        <v>200</v>
      </c>
      <c r="AZ312" s="30">
        <f t="shared" si="5"/>
        <v>10.14</v>
      </c>
    </row>
    <row r="313" ht="15.75" customHeight="1">
      <c r="A313" s="31" t="s">
        <v>34</v>
      </c>
      <c r="B313" s="32">
        <f t="shared" si="6"/>
        <v>44873</v>
      </c>
      <c r="C313" s="33">
        <v>12.0</v>
      </c>
      <c r="D313" s="33" t="s">
        <v>31</v>
      </c>
      <c r="E313" s="34"/>
      <c r="F313" s="24">
        <v>0.0</v>
      </c>
      <c r="H313" s="25">
        <v>0.0</v>
      </c>
      <c r="J313" s="25">
        <v>0.0</v>
      </c>
      <c r="L313" s="25">
        <v>0.0</v>
      </c>
      <c r="N313" s="25">
        <v>0.0</v>
      </c>
      <c r="P313" s="25">
        <v>0.0</v>
      </c>
      <c r="Q313" s="26"/>
      <c r="R313" s="24">
        <v>110.0</v>
      </c>
      <c r="T313" s="25">
        <v>110.0</v>
      </c>
      <c r="V313" s="25">
        <v>0.0</v>
      </c>
      <c r="X313" s="25">
        <v>0.0</v>
      </c>
      <c r="Z313" s="25">
        <v>0.0</v>
      </c>
      <c r="AB313" s="25">
        <v>0.0</v>
      </c>
      <c r="AC313" s="26"/>
      <c r="AD313" s="25">
        <v>0.0</v>
      </c>
      <c r="AF313" s="25">
        <v>0.0</v>
      </c>
      <c r="AH313" s="25">
        <v>0.0</v>
      </c>
      <c r="AJ313" s="59"/>
      <c r="AK313" s="26"/>
      <c r="AL313" s="24">
        <v>0.0</v>
      </c>
      <c r="AM313" s="26"/>
      <c r="AN313" s="24">
        <v>0.0</v>
      </c>
      <c r="AO313" s="26"/>
      <c r="AP313" s="24">
        <v>0.0</v>
      </c>
      <c r="AQ313" s="26"/>
      <c r="AR313" s="25">
        <v>0.0</v>
      </c>
      <c r="AT313" s="25">
        <v>0.0</v>
      </c>
      <c r="AU313" s="26"/>
      <c r="AV313" s="35">
        <f t="shared" si="1"/>
        <v>2230.8</v>
      </c>
      <c r="AW313" s="33">
        <f t="shared" si="2"/>
        <v>220</v>
      </c>
      <c r="AX313" s="33">
        <f t="shared" si="3"/>
        <v>0</v>
      </c>
      <c r="AY313" s="33">
        <f t="shared" si="4"/>
        <v>220</v>
      </c>
      <c r="AZ313" s="30">
        <f t="shared" si="5"/>
        <v>10.14</v>
      </c>
    </row>
    <row r="314" ht="15.75" customHeight="1">
      <c r="A314" s="31" t="s">
        <v>35</v>
      </c>
      <c r="B314" s="32">
        <f t="shared" si="6"/>
        <v>44874</v>
      </c>
      <c r="C314" s="33">
        <v>12.0</v>
      </c>
      <c r="D314" s="33" t="s">
        <v>31</v>
      </c>
      <c r="E314" s="34"/>
      <c r="F314" s="24">
        <v>0.0</v>
      </c>
      <c r="H314" s="25">
        <v>0.0</v>
      </c>
      <c r="J314" s="25">
        <v>0.0</v>
      </c>
      <c r="L314" s="25">
        <v>0.0</v>
      </c>
      <c r="N314" s="25">
        <v>0.0</v>
      </c>
      <c r="P314" s="25">
        <v>0.0</v>
      </c>
      <c r="Q314" s="26"/>
      <c r="R314" s="24">
        <v>100.0</v>
      </c>
      <c r="T314" s="25">
        <v>100.0</v>
      </c>
      <c r="V314" s="25">
        <v>0.0</v>
      </c>
      <c r="X314" s="25">
        <v>0.0</v>
      </c>
      <c r="Z314" s="25">
        <v>0.0</v>
      </c>
      <c r="AB314" s="25">
        <v>0.0</v>
      </c>
      <c r="AC314" s="26"/>
      <c r="AD314" s="25">
        <v>0.0</v>
      </c>
      <c r="AF314" s="25">
        <v>0.0</v>
      </c>
      <c r="AH314" s="25">
        <v>0.0</v>
      </c>
      <c r="AJ314" s="59"/>
      <c r="AK314" s="26"/>
      <c r="AL314" s="24">
        <v>0.0</v>
      </c>
      <c r="AM314" s="26"/>
      <c r="AN314" s="24">
        <v>0.0</v>
      </c>
      <c r="AO314" s="26"/>
      <c r="AP314" s="24">
        <v>0.0</v>
      </c>
      <c r="AQ314" s="26"/>
      <c r="AR314" s="25">
        <v>0.0</v>
      </c>
      <c r="AT314" s="25">
        <v>0.0</v>
      </c>
      <c r="AU314" s="26"/>
      <c r="AV314" s="35">
        <f t="shared" si="1"/>
        <v>2028</v>
      </c>
      <c r="AW314" s="33">
        <f t="shared" si="2"/>
        <v>200</v>
      </c>
      <c r="AX314" s="33">
        <f t="shared" si="3"/>
        <v>0</v>
      </c>
      <c r="AY314" s="33">
        <f t="shared" si="4"/>
        <v>200</v>
      </c>
      <c r="AZ314" s="30">
        <f t="shared" si="5"/>
        <v>10.14</v>
      </c>
    </row>
    <row r="315" ht="15.75" customHeight="1">
      <c r="A315" s="31" t="s">
        <v>38</v>
      </c>
      <c r="B315" s="32">
        <f t="shared" si="6"/>
        <v>44875</v>
      </c>
      <c r="C315" s="33">
        <v>12.0</v>
      </c>
      <c r="D315" s="33" t="s">
        <v>31</v>
      </c>
      <c r="E315" s="34"/>
      <c r="F315" s="24">
        <v>0.0</v>
      </c>
      <c r="H315" s="25">
        <v>0.0</v>
      </c>
      <c r="J315" s="25">
        <v>0.0</v>
      </c>
      <c r="L315" s="25">
        <v>0.0</v>
      </c>
      <c r="N315" s="25">
        <v>0.0</v>
      </c>
      <c r="P315" s="25">
        <v>0.0</v>
      </c>
      <c r="Q315" s="26"/>
      <c r="R315" s="24">
        <v>100.0</v>
      </c>
      <c r="T315" s="25">
        <v>100.0</v>
      </c>
      <c r="V315" s="25">
        <v>0.0</v>
      </c>
      <c r="X315" s="25">
        <v>0.0</v>
      </c>
      <c r="Z315" s="25">
        <v>0.0</v>
      </c>
      <c r="AB315" s="25">
        <v>0.0</v>
      </c>
      <c r="AC315" s="26"/>
      <c r="AD315" s="25">
        <v>0.0</v>
      </c>
      <c r="AF315" s="25">
        <v>0.0</v>
      </c>
      <c r="AH315" s="25">
        <v>0.0</v>
      </c>
      <c r="AJ315" s="59"/>
      <c r="AK315" s="26"/>
      <c r="AL315" s="24">
        <v>0.0</v>
      </c>
      <c r="AM315" s="26"/>
      <c r="AN315" s="24">
        <v>0.0</v>
      </c>
      <c r="AO315" s="26"/>
      <c r="AP315" s="24">
        <v>0.0</v>
      </c>
      <c r="AQ315" s="26"/>
      <c r="AR315" s="25">
        <v>0.0</v>
      </c>
      <c r="AT315" s="25">
        <v>0.0</v>
      </c>
      <c r="AU315" s="26"/>
      <c r="AV315" s="35">
        <f t="shared" si="1"/>
        <v>2028</v>
      </c>
      <c r="AW315" s="33">
        <f t="shared" si="2"/>
        <v>200</v>
      </c>
      <c r="AX315" s="33">
        <f t="shared" si="3"/>
        <v>0</v>
      </c>
      <c r="AY315" s="33">
        <f t="shared" si="4"/>
        <v>200</v>
      </c>
      <c r="AZ315" s="30">
        <f t="shared" si="5"/>
        <v>10.14</v>
      </c>
    </row>
    <row r="316" ht="15.75" customHeight="1">
      <c r="A316" s="31" t="s">
        <v>45</v>
      </c>
      <c r="B316" s="32">
        <f t="shared" si="6"/>
        <v>44876</v>
      </c>
      <c r="C316" s="33">
        <v>12.0</v>
      </c>
      <c r="D316" s="33" t="s">
        <v>31</v>
      </c>
      <c r="E316" s="34"/>
      <c r="F316" s="24">
        <v>0.0</v>
      </c>
      <c r="H316" s="25">
        <v>0.0</v>
      </c>
      <c r="J316" s="25">
        <v>0.0</v>
      </c>
      <c r="L316" s="25">
        <v>0.0</v>
      </c>
      <c r="N316" s="25">
        <v>0.0</v>
      </c>
      <c r="P316" s="25">
        <v>0.0</v>
      </c>
      <c r="Q316" s="26"/>
      <c r="R316" s="24">
        <v>0.0</v>
      </c>
      <c r="T316" s="25">
        <v>0.0</v>
      </c>
      <c r="V316" s="25">
        <v>0.0</v>
      </c>
      <c r="X316" s="25">
        <v>0.0</v>
      </c>
      <c r="Z316" s="25">
        <v>0.0</v>
      </c>
      <c r="AB316" s="25">
        <v>0.0</v>
      </c>
      <c r="AC316" s="26"/>
      <c r="AD316" s="25">
        <v>0.0</v>
      </c>
      <c r="AF316" s="25">
        <v>0.0</v>
      </c>
      <c r="AH316" s="25">
        <v>0.0</v>
      </c>
      <c r="AJ316" s="59"/>
      <c r="AK316" s="26"/>
      <c r="AL316" s="24">
        <v>0.0</v>
      </c>
      <c r="AM316" s="26"/>
      <c r="AN316" s="24">
        <v>0.0</v>
      </c>
      <c r="AO316" s="26"/>
      <c r="AP316" s="24">
        <v>0.0</v>
      </c>
      <c r="AQ316" s="26"/>
      <c r="AR316" s="25">
        <v>0.0</v>
      </c>
      <c r="AT316" s="25">
        <v>0.0</v>
      </c>
      <c r="AU316" s="26"/>
      <c r="AV316" s="35">
        <f t="shared" si="1"/>
        <v>0</v>
      </c>
      <c r="AW316" s="33">
        <f t="shared" si="2"/>
        <v>0</v>
      </c>
      <c r="AX316" s="33">
        <f t="shared" si="3"/>
        <v>0</v>
      </c>
      <c r="AY316" s="33">
        <f t="shared" si="4"/>
        <v>0</v>
      </c>
      <c r="AZ316" s="30" t="str">
        <f t="shared" si="5"/>
        <v/>
      </c>
    </row>
    <row r="317" ht="15.75" customHeight="1">
      <c r="A317" s="44" t="s">
        <v>46</v>
      </c>
      <c r="B317" s="45">
        <f t="shared" si="6"/>
        <v>44877</v>
      </c>
      <c r="C317" s="46">
        <v>12.0</v>
      </c>
      <c r="D317" s="46" t="s">
        <v>31</v>
      </c>
      <c r="E317" s="47"/>
      <c r="F317" s="49">
        <v>0.0</v>
      </c>
      <c r="G317" s="51"/>
      <c r="H317" s="52">
        <v>0.0</v>
      </c>
      <c r="I317" s="51"/>
      <c r="J317" s="52">
        <v>0.0</v>
      </c>
      <c r="K317" s="51"/>
      <c r="L317" s="52">
        <v>0.0</v>
      </c>
      <c r="M317" s="51"/>
      <c r="N317" s="52">
        <v>0.0</v>
      </c>
      <c r="O317" s="51"/>
      <c r="P317" s="52">
        <v>0.0</v>
      </c>
      <c r="Q317" s="53"/>
      <c r="R317" s="49">
        <v>0.0</v>
      </c>
      <c r="S317" s="51"/>
      <c r="T317" s="52">
        <v>0.0</v>
      </c>
      <c r="U317" s="51"/>
      <c r="V317" s="52">
        <v>0.0</v>
      </c>
      <c r="W317" s="51"/>
      <c r="X317" s="52">
        <v>0.0</v>
      </c>
      <c r="Y317" s="51"/>
      <c r="Z317" s="52">
        <v>0.0</v>
      </c>
      <c r="AA317" s="51"/>
      <c r="AB317" s="52">
        <v>0.0</v>
      </c>
      <c r="AC317" s="53"/>
      <c r="AD317" s="52">
        <v>0.0</v>
      </c>
      <c r="AE317" s="51"/>
      <c r="AF317" s="52">
        <v>0.0</v>
      </c>
      <c r="AG317" s="51"/>
      <c r="AH317" s="52">
        <v>0.0</v>
      </c>
      <c r="AI317" s="51"/>
      <c r="AJ317" s="68"/>
      <c r="AK317" s="53"/>
      <c r="AL317" s="49">
        <v>0.0</v>
      </c>
      <c r="AM317" s="53"/>
      <c r="AN317" s="49">
        <v>0.0</v>
      </c>
      <c r="AO317" s="53"/>
      <c r="AP317" s="49">
        <v>0.0</v>
      </c>
      <c r="AQ317" s="53"/>
      <c r="AR317" s="52">
        <v>0.0</v>
      </c>
      <c r="AS317" s="51"/>
      <c r="AT317" s="52">
        <v>0.0</v>
      </c>
      <c r="AU317" s="53"/>
      <c r="AV317" s="55">
        <f t="shared" si="1"/>
        <v>0</v>
      </c>
      <c r="AW317" s="46">
        <f t="shared" si="2"/>
        <v>0</v>
      </c>
      <c r="AX317" s="46">
        <f t="shared" si="3"/>
        <v>0</v>
      </c>
      <c r="AY317" s="46">
        <f t="shared" si="4"/>
        <v>0</v>
      </c>
      <c r="AZ317" s="56" t="str">
        <f t="shared" si="5"/>
        <v/>
      </c>
    </row>
    <row r="318" ht="15.75" customHeight="1">
      <c r="A318" s="19" t="s">
        <v>30</v>
      </c>
      <c r="B318" s="57">
        <f t="shared" si="6"/>
        <v>44878</v>
      </c>
      <c r="C318" s="21">
        <v>12.0</v>
      </c>
      <c r="D318" s="21" t="s">
        <v>47</v>
      </c>
      <c r="E318" s="23"/>
      <c r="F318" s="24">
        <v>0.0</v>
      </c>
      <c r="H318" s="25">
        <v>0.0</v>
      </c>
      <c r="J318" s="25">
        <v>0.0</v>
      </c>
      <c r="L318" s="25">
        <v>0.0</v>
      </c>
      <c r="N318" s="25">
        <v>0.0</v>
      </c>
      <c r="P318" s="25">
        <v>0.0</v>
      </c>
      <c r="Q318" s="26"/>
      <c r="R318" s="24">
        <v>90.0</v>
      </c>
      <c r="T318" s="25">
        <v>90.0</v>
      </c>
      <c r="V318" s="25">
        <v>0.0</v>
      </c>
      <c r="X318" s="25">
        <v>0.0</v>
      </c>
      <c r="Z318" s="25">
        <v>0.0</v>
      </c>
      <c r="AB318" s="25">
        <v>0.0</v>
      </c>
      <c r="AC318" s="26"/>
      <c r="AD318" s="25">
        <v>0.0</v>
      </c>
      <c r="AF318" s="25">
        <v>0.0</v>
      </c>
      <c r="AH318" s="25">
        <v>0.0</v>
      </c>
      <c r="AJ318" s="59"/>
      <c r="AK318" s="26"/>
      <c r="AL318" s="24">
        <v>0.0</v>
      </c>
      <c r="AM318" s="26"/>
      <c r="AN318" s="24">
        <v>0.0</v>
      </c>
      <c r="AO318" s="26"/>
      <c r="AP318" s="24">
        <v>0.0</v>
      </c>
      <c r="AQ318" s="26"/>
      <c r="AR318" s="25">
        <v>0.0</v>
      </c>
      <c r="AT318" s="25">
        <v>0.0</v>
      </c>
      <c r="AU318" s="26"/>
      <c r="AV318" s="29">
        <f t="shared" si="1"/>
        <v>1825.2</v>
      </c>
      <c r="AW318" s="21">
        <f t="shared" si="2"/>
        <v>180</v>
      </c>
      <c r="AX318" s="21">
        <f t="shared" si="3"/>
        <v>0</v>
      </c>
      <c r="AY318" s="21">
        <f t="shared" si="4"/>
        <v>180</v>
      </c>
      <c r="AZ318" s="58">
        <f t="shared" si="5"/>
        <v>10.14</v>
      </c>
    </row>
    <row r="319" ht="15.75" customHeight="1">
      <c r="A319" s="31" t="s">
        <v>33</v>
      </c>
      <c r="B319" s="32">
        <f t="shared" si="6"/>
        <v>44879</v>
      </c>
      <c r="C319" s="33">
        <v>12.0</v>
      </c>
      <c r="D319" s="33" t="s">
        <v>47</v>
      </c>
      <c r="E319" s="34"/>
      <c r="F319" s="24">
        <v>0.0</v>
      </c>
      <c r="H319" s="25">
        <v>0.0</v>
      </c>
      <c r="J319" s="25">
        <v>0.0</v>
      </c>
      <c r="L319" s="25">
        <v>0.0</v>
      </c>
      <c r="N319" s="25">
        <v>0.0</v>
      </c>
      <c r="P319" s="25">
        <v>0.0</v>
      </c>
      <c r="Q319" s="26"/>
      <c r="R319" s="24">
        <v>90.0</v>
      </c>
      <c r="T319" s="25">
        <v>90.0</v>
      </c>
      <c r="V319" s="25">
        <v>0.0</v>
      </c>
      <c r="X319" s="25">
        <v>0.0</v>
      </c>
      <c r="Z319" s="25">
        <v>0.0</v>
      </c>
      <c r="AB319" s="25">
        <v>0.0</v>
      </c>
      <c r="AC319" s="26"/>
      <c r="AD319" s="25">
        <v>0.0</v>
      </c>
      <c r="AF319" s="25">
        <v>0.0</v>
      </c>
      <c r="AH319" s="25">
        <v>0.0</v>
      </c>
      <c r="AJ319" s="59"/>
      <c r="AK319" s="26"/>
      <c r="AL319" s="24">
        <v>0.0</v>
      </c>
      <c r="AM319" s="26"/>
      <c r="AN319" s="24">
        <v>0.0</v>
      </c>
      <c r="AO319" s="26"/>
      <c r="AP319" s="24">
        <v>0.0</v>
      </c>
      <c r="AQ319" s="26"/>
      <c r="AR319" s="25">
        <v>0.0</v>
      </c>
      <c r="AT319" s="25">
        <v>0.0</v>
      </c>
      <c r="AU319" s="26"/>
      <c r="AV319" s="35">
        <f t="shared" si="1"/>
        <v>1825.2</v>
      </c>
      <c r="AW319" s="33">
        <f t="shared" si="2"/>
        <v>180</v>
      </c>
      <c r="AX319" s="33">
        <f t="shared" si="3"/>
        <v>0</v>
      </c>
      <c r="AY319" s="33">
        <f t="shared" si="4"/>
        <v>180</v>
      </c>
      <c r="AZ319" s="30">
        <f t="shared" si="5"/>
        <v>10.14</v>
      </c>
    </row>
    <row r="320" ht="15.75" customHeight="1">
      <c r="A320" s="31" t="s">
        <v>34</v>
      </c>
      <c r="B320" s="32">
        <f t="shared" si="6"/>
        <v>44880</v>
      </c>
      <c r="C320" s="33">
        <v>12.0</v>
      </c>
      <c r="D320" s="33" t="s">
        <v>47</v>
      </c>
      <c r="E320" s="34"/>
      <c r="F320" s="24">
        <v>0.0</v>
      </c>
      <c r="H320" s="25">
        <v>0.0</v>
      </c>
      <c r="J320" s="25">
        <v>0.0</v>
      </c>
      <c r="L320" s="25">
        <v>0.0</v>
      </c>
      <c r="N320" s="25">
        <v>0.0</v>
      </c>
      <c r="P320" s="25">
        <v>0.0</v>
      </c>
      <c r="Q320" s="26"/>
      <c r="R320" s="24">
        <v>100.0</v>
      </c>
      <c r="T320" s="25">
        <v>100.0</v>
      </c>
      <c r="V320" s="25">
        <v>0.0</v>
      </c>
      <c r="X320" s="25">
        <v>0.0</v>
      </c>
      <c r="Z320" s="25">
        <v>0.0</v>
      </c>
      <c r="AB320" s="25">
        <v>0.0</v>
      </c>
      <c r="AC320" s="26"/>
      <c r="AD320" s="25">
        <v>0.0</v>
      </c>
      <c r="AF320" s="25">
        <v>0.0</v>
      </c>
      <c r="AH320" s="25">
        <v>0.0</v>
      </c>
      <c r="AJ320" s="59"/>
      <c r="AK320" s="26"/>
      <c r="AL320" s="24">
        <v>0.0</v>
      </c>
      <c r="AM320" s="26"/>
      <c r="AN320" s="24">
        <v>0.0</v>
      </c>
      <c r="AO320" s="26"/>
      <c r="AP320" s="24">
        <v>0.0</v>
      </c>
      <c r="AQ320" s="26"/>
      <c r="AR320" s="25">
        <v>0.0</v>
      </c>
      <c r="AT320" s="25">
        <v>0.0</v>
      </c>
      <c r="AU320" s="26"/>
      <c r="AV320" s="35">
        <f t="shared" si="1"/>
        <v>2028</v>
      </c>
      <c r="AW320" s="33">
        <f t="shared" si="2"/>
        <v>200</v>
      </c>
      <c r="AX320" s="33">
        <f t="shared" si="3"/>
        <v>0</v>
      </c>
      <c r="AY320" s="33">
        <f t="shared" si="4"/>
        <v>200</v>
      </c>
      <c r="AZ320" s="30">
        <f t="shared" si="5"/>
        <v>10.14</v>
      </c>
    </row>
    <row r="321" ht="15.75" customHeight="1">
      <c r="A321" s="31" t="s">
        <v>35</v>
      </c>
      <c r="B321" s="32">
        <f t="shared" si="6"/>
        <v>44881</v>
      </c>
      <c r="C321" s="33">
        <v>12.0</v>
      </c>
      <c r="D321" s="33" t="s">
        <v>47</v>
      </c>
      <c r="E321" s="74" t="s">
        <v>68</v>
      </c>
      <c r="F321" s="24">
        <v>0.0</v>
      </c>
      <c r="H321" s="25">
        <v>0.0</v>
      </c>
      <c r="J321" s="25">
        <v>0.0</v>
      </c>
      <c r="L321" s="25">
        <v>0.0</v>
      </c>
      <c r="N321" s="25">
        <v>0.0</v>
      </c>
      <c r="P321" s="25">
        <v>0.0</v>
      </c>
      <c r="Q321" s="26"/>
      <c r="R321" s="24">
        <v>90.0</v>
      </c>
      <c r="T321" s="25">
        <v>90.0</v>
      </c>
      <c r="V321" s="25">
        <v>0.0</v>
      </c>
      <c r="X321" s="25">
        <v>0.0</v>
      </c>
      <c r="Z321" s="25">
        <v>0.0</v>
      </c>
      <c r="AB321" s="25">
        <v>0.0</v>
      </c>
      <c r="AC321" s="26"/>
      <c r="AD321" s="25">
        <v>0.0</v>
      </c>
      <c r="AF321" s="25">
        <v>0.0</v>
      </c>
      <c r="AH321" s="25">
        <v>0.0</v>
      </c>
      <c r="AJ321" s="80">
        <v>1200.0</v>
      </c>
      <c r="AK321" s="26"/>
      <c r="AL321" s="24">
        <v>0.0</v>
      </c>
      <c r="AM321" s="26"/>
      <c r="AN321" s="24">
        <v>0.0</v>
      </c>
      <c r="AO321" s="26"/>
      <c r="AP321" s="24">
        <v>0.0</v>
      </c>
      <c r="AQ321" s="26"/>
      <c r="AR321" s="25">
        <v>0.0</v>
      </c>
      <c r="AT321" s="25">
        <v>0.0</v>
      </c>
      <c r="AU321" s="26"/>
      <c r="AV321" s="35">
        <f t="shared" si="1"/>
        <v>1825.2</v>
      </c>
      <c r="AW321" s="33">
        <f t="shared" si="2"/>
        <v>1380</v>
      </c>
      <c r="AX321" s="33">
        <f t="shared" si="3"/>
        <v>0</v>
      </c>
      <c r="AY321" s="33">
        <f t="shared" si="4"/>
        <v>1380</v>
      </c>
      <c r="AZ321" s="30">
        <f t="shared" si="5"/>
        <v>1.322608696</v>
      </c>
    </row>
    <row r="322" ht="15.75" customHeight="1">
      <c r="A322" s="31" t="s">
        <v>38</v>
      </c>
      <c r="B322" s="32">
        <f t="shared" si="6"/>
        <v>44882</v>
      </c>
      <c r="C322" s="33">
        <v>12.0</v>
      </c>
      <c r="D322" s="33" t="s">
        <v>47</v>
      </c>
      <c r="E322" s="74" t="s">
        <v>69</v>
      </c>
      <c r="F322" s="24">
        <v>0.0</v>
      </c>
      <c r="H322" s="25">
        <v>0.0</v>
      </c>
      <c r="J322" s="25">
        <v>0.0</v>
      </c>
      <c r="L322" s="25">
        <v>0.0</v>
      </c>
      <c r="N322" s="25">
        <v>0.0</v>
      </c>
      <c r="P322" s="25">
        <v>0.0</v>
      </c>
      <c r="Q322" s="26"/>
      <c r="R322" s="24">
        <v>90.0</v>
      </c>
      <c r="T322" s="25">
        <v>90.0</v>
      </c>
      <c r="V322" s="25">
        <v>0.0</v>
      </c>
      <c r="X322" s="25">
        <v>0.0</v>
      </c>
      <c r="Z322" s="25">
        <v>0.0</v>
      </c>
      <c r="AB322" s="25">
        <v>0.0</v>
      </c>
      <c r="AC322" s="26"/>
      <c r="AD322" s="25">
        <v>0.0</v>
      </c>
      <c r="AF322" s="25">
        <v>0.0</v>
      </c>
      <c r="AH322" s="25">
        <v>0.0</v>
      </c>
      <c r="AJ322" s="59"/>
      <c r="AK322" s="26"/>
      <c r="AL322" s="24">
        <v>0.0</v>
      </c>
      <c r="AM322" s="26"/>
      <c r="AN322" s="24">
        <v>0.0</v>
      </c>
      <c r="AO322" s="26"/>
      <c r="AP322" s="24">
        <v>0.0</v>
      </c>
      <c r="AQ322" s="26"/>
      <c r="AR322" s="25">
        <v>0.0</v>
      </c>
      <c r="AT322" s="25">
        <v>0.0</v>
      </c>
      <c r="AU322" s="26"/>
      <c r="AV322" s="35">
        <f t="shared" si="1"/>
        <v>1825.2</v>
      </c>
      <c r="AW322" s="33">
        <f t="shared" si="2"/>
        <v>180</v>
      </c>
      <c r="AX322" s="33">
        <f t="shared" si="3"/>
        <v>0</v>
      </c>
      <c r="AY322" s="33">
        <f t="shared" si="4"/>
        <v>180</v>
      </c>
      <c r="AZ322" s="30">
        <f t="shared" si="5"/>
        <v>10.14</v>
      </c>
    </row>
    <row r="323" ht="15.75" customHeight="1">
      <c r="A323" s="31" t="s">
        <v>45</v>
      </c>
      <c r="B323" s="32">
        <f t="shared" si="6"/>
        <v>44883</v>
      </c>
      <c r="C323" s="33">
        <v>12.0</v>
      </c>
      <c r="D323" s="33" t="s">
        <v>47</v>
      </c>
      <c r="E323" s="34"/>
      <c r="F323" s="24">
        <v>0.0</v>
      </c>
      <c r="H323" s="25">
        <v>0.0</v>
      </c>
      <c r="J323" s="25">
        <v>0.0</v>
      </c>
      <c r="L323" s="25">
        <v>0.0</v>
      </c>
      <c r="N323" s="25">
        <v>0.0</v>
      </c>
      <c r="P323" s="25">
        <v>0.0</v>
      </c>
      <c r="Q323" s="26"/>
      <c r="R323" s="24">
        <v>0.0</v>
      </c>
      <c r="T323" s="25">
        <v>0.0</v>
      </c>
      <c r="V323" s="25">
        <v>0.0</v>
      </c>
      <c r="X323" s="25">
        <v>0.0</v>
      </c>
      <c r="Z323" s="25">
        <v>0.0</v>
      </c>
      <c r="AB323" s="25">
        <v>0.0</v>
      </c>
      <c r="AC323" s="26"/>
      <c r="AD323" s="25">
        <v>0.0</v>
      </c>
      <c r="AF323" s="25">
        <v>0.0</v>
      </c>
      <c r="AH323" s="25">
        <v>0.0</v>
      </c>
      <c r="AJ323" s="59"/>
      <c r="AK323" s="26"/>
      <c r="AL323" s="24">
        <v>0.0</v>
      </c>
      <c r="AM323" s="26"/>
      <c r="AN323" s="24">
        <v>0.0</v>
      </c>
      <c r="AO323" s="26"/>
      <c r="AP323" s="24">
        <v>0.0</v>
      </c>
      <c r="AQ323" s="26"/>
      <c r="AR323" s="25">
        <v>0.0</v>
      </c>
      <c r="AT323" s="25">
        <v>0.0</v>
      </c>
      <c r="AU323" s="26"/>
      <c r="AV323" s="35">
        <f t="shared" si="1"/>
        <v>0</v>
      </c>
      <c r="AW323" s="33">
        <f t="shared" si="2"/>
        <v>0</v>
      </c>
      <c r="AX323" s="33">
        <f t="shared" si="3"/>
        <v>0</v>
      </c>
      <c r="AY323" s="33">
        <f t="shared" si="4"/>
        <v>0</v>
      </c>
      <c r="AZ323" s="30" t="str">
        <f t="shared" si="5"/>
        <v/>
      </c>
    </row>
    <row r="324" ht="15.75" customHeight="1">
      <c r="A324" s="44" t="s">
        <v>46</v>
      </c>
      <c r="B324" s="45">
        <f t="shared" si="6"/>
        <v>44884</v>
      </c>
      <c r="C324" s="46">
        <v>12.0</v>
      </c>
      <c r="D324" s="46" t="s">
        <v>47</v>
      </c>
      <c r="E324" s="47"/>
      <c r="F324" s="49">
        <v>0.0</v>
      </c>
      <c r="G324" s="51"/>
      <c r="H324" s="52">
        <v>0.0</v>
      </c>
      <c r="I324" s="51"/>
      <c r="J324" s="52">
        <v>0.0</v>
      </c>
      <c r="K324" s="51"/>
      <c r="L324" s="52">
        <v>0.0</v>
      </c>
      <c r="M324" s="51"/>
      <c r="N324" s="52">
        <v>0.0</v>
      </c>
      <c r="O324" s="51"/>
      <c r="P324" s="52">
        <v>0.0</v>
      </c>
      <c r="Q324" s="53"/>
      <c r="R324" s="49">
        <v>0.0</v>
      </c>
      <c r="S324" s="51"/>
      <c r="T324" s="52">
        <v>0.0</v>
      </c>
      <c r="U324" s="51"/>
      <c r="V324" s="52">
        <v>0.0</v>
      </c>
      <c r="W324" s="51"/>
      <c r="X324" s="52">
        <v>0.0</v>
      </c>
      <c r="Y324" s="51"/>
      <c r="Z324" s="52">
        <v>0.0</v>
      </c>
      <c r="AA324" s="51"/>
      <c r="AB324" s="52">
        <v>0.0</v>
      </c>
      <c r="AC324" s="53"/>
      <c r="AD324" s="52">
        <v>0.0</v>
      </c>
      <c r="AE324" s="51"/>
      <c r="AF324" s="52">
        <v>0.0</v>
      </c>
      <c r="AG324" s="51"/>
      <c r="AH324" s="52">
        <v>0.0</v>
      </c>
      <c r="AI324" s="51"/>
      <c r="AJ324" s="68"/>
      <c r="AK324" s="53"/>
      <c r="AL324" s="49">
        <v>0.0</v>
      </c>
      <c r="AM324" s="53"/>
      <c r="AN324" s="49">
        <v>0.0</v>
      </c>
      <c r="AO324" s="53"/>
      <c r="AP324" s="49">
        <v>0.0</v>
      </c>
      <c r="AQ324" s="53"/>
      <c r="AR324" s="52">
        <v>0.0</v>
      </c>
      <c r="AS324" s="51"/>
      <c r="AT324" s="52">
        <v>0.0</v>
      </c>
      <c r="AU324" s="53"/>
      <c r="AV324" s="55">
        <f t="shared" si="1"/>
        <v>0</v>
      </c>
      <c r="AW324" s="46">
        <f t="shared" si="2"/>
        <v>0</v>
      </c>
      <c r="AX324" s="46">
        <f t="shared" si="3"/>
        <v>0</v>
      </c>
      <c r="AY324" s="46">
        <f t="shared" si="4"/>
        <v>0</v>
      </c>
      <c r="AZ324" s="56" t="str">
        <f t="shared" si="5"/>
        <v/>
      </c>
    </row>
    <row r="325" ht="15.75" customHeight="1">
      <c r="A325" s="19" t="s">
        <v>30</v>
      </c>
      <c r="B325" s="57">
        <f t="shared" si="6"/>
        <v>44885</v>
      </c>
      <c r="C325" s="21">
        <v>12.0</v>
      </c>
      <c r="D325" s="21" t="s">
        <v>48</v>
      </c>
      <c r="E325" s="23"/>
      <c r="F325" s="24">
        <v>0.0</v>
      </c>
      <c r="H325" s="25">
        <v>0.0</v>
      </c>
      <c r="J325" s="25">
        <v>0.0</v>
      </c>
      <c r="L325" s="25">
        <v>0.0</v>
      </c>
      <c r="N325" s="25">
        <v>0.0</v>
      </c>
      <c r="P325" s="25">
        <v>0.0</v>
      </c>
      <c r="Q325" s="26"/>
      <c r="R325" s="24">
        <v>0.0</v>
      </c>
      <c r="T325" s="25">
        <v>0.0</v>
      </c>
      <c r="V325" s="25">
        <v>0.0</v>
      </c>
      <c r="X325" s="25">
        <v>0.0</v>
      </c>
      <c r="Z325" s="25">
        <v>0.0</v>
      </c>
      <c r="AB325" s="25">
        <v>0.0</v>
      </c>
      <c r="AC325" s="26"/>
      <c r="AD325" s="25">
        <v>0.0</v>
      </c>
      <c r="AF325" s="25">
        <v>0.0</v>
      </c>
      <c r="AH325" s="25">
        <v>0.0</v>
      </c>
      <c r="AJ325" s="27"/>
      <c r="AK325" s="26"/>
      <c r="AL325" s="24">
        <v>0.0</v>
      </c>
      <c r="AM325" s="26"/>
      <c r="AN325" s="24">
        <v>0.0</v>
      </c>
      <c r="AO325" s="26"/>
      <c r="AP325" s="24">
        <v>0.0</v>
      </c>
      <c r="AQ325" s="26"/>
      <c r="AR325" s="25">
        <v>0.0</v>
      </c>
      <c r="AT325" s="25">
        <v>0.0</v>
      </c>
      <c r="AU325" s="26"/>
      <c r="AV325" s="29">
        <f t="shared" si="1"/>
        <v>0</v>
      </c>
      <c r="AW325" s="21">
        <f t="shared" si="2"/>
        <v>0</v>
      </c>
      <c r="AX325" s="21">
        <f t="shared" si="3"/>
        <v>0</v>
      </c>
      <c r="AY325" s="21">
        <f t="shared" si="4"/>
        <v>0</v>
      </c>
      <c r="AZ325" s="58" t="str">
        <f t="shared" si="5"/>
        <v/>
      </c>
    </row>
    <row r="326" ht="15.75" customHeight="1">
      <c r="A326" s="31" t="s">
        <v>33</v>
      </c>
      <c r="B326" s="32">
        <f t="shared" si="6"/>
        <v>44886</v>
      </c>
      <c r="C326" s="33">
        <v>12.0</v>
      </c>
      <c r="D326" s="33" t="s">
        <v>48</v>
      </c>
      <c r="E326" s="81" t="s">
        <v>65</v>
      </c>
      <c r="F326" s="24">
        <v>0.0</v>
      </c>
      <c r="H326" s="25">
        <v>0.0</v>
      </c>
      <c r="J326" s="25">
        <v>0.0</v>
      </c>
      <c r="L326" s="25">
        <v>0.0</v>
      </c>
      <c r="N326" s="25">
        <v>0.0</v>
      </c>
      <c r="P326" s="25">
        <v>0.0</v>
      </c>
      <c r="Q326" s="26"/>
      <c r="R326" s="24">
        <v>0.0</v>
      </c>
      <c r="T326" s="25">
        <v>0.0</v>
      </c>
      <c r="V326" s="25">
        <v>0.0</v>
      </c>
      <c r="X326" s="25">
        <v>0.0</v>
      </c>
      <c r="Z326" s="25">
        <v>0.0</v>
      </c>
      <c r="AB326" s="25">
        <v>0.0</v>
      </c>
      <c r="AC326" s="26"/>
      <c r="AD326" s="25">
        <v>0.0</v>
      </c>
      <c r="AF326" s="25">
        <v>0.0</v>
      </c>
      <c r="AH326" s="25">
        <v>0.0</v>
      </c>
      <c r="AJ326" s="27"/>
      <c r="AK326" s="26"/>
      <c r="AL326" s="24">
        <v>0.0</v>
      </c>
      <c r="AM326" s="26"/>
      <c r="AN326" s="24">
        <v>0.0</v>
      </c>
      <c r="AO326" s="26"/>
      <c r="AP326" s="24">
        <v>0.0</v>
      </c>
      <c r="AQ326" s="26"/>
      <c r="AR326" s="25">
        <v>0.0</v>
      </c>
      <c r="AT326" s="25">
        <v>0.0</v>
      </c>
      <c r="AU326" s="26"/>
      <c r="AV326" s="35">
        <f t="shared" si="1"/>
        <v>0</v>
      </c>
      <c r="AW326" s="33">
        <f t="shared" si="2"/>
        <v>0</v>
      </c>
      <c r="AX326" s="33">
        <f t="shared" si="3"/>
        <v>0</v>
      </c>
      <c r="AY326" s="33">
        <f t="shared" si="4"/>
        <v>0</v>
      </c>
      <c r="AZ326" s="30" t="str">
        <f t="shared" si="5"/>
        <v/>
      </c>
    </row>
    <row r="327" ht="15.75" customHeight="1">
      <c r="A327" s="31" t="s">
        <v>34</v>
      </c>
      <c r="B327" s="32">
        <f t="shared" si="6"/>
        <v>44887</v>
      </c>
      <c r="C327" s="33">
        <v>12.0</v>
      </c>
      <c r="D327" s="33" t="s">
        <v>48</v>
      </c>
      <c r="E327" s="81" t="s">
        <v>66</v>
      </c>
      <c r="F327" s="24">
        <v>0.0</v>
      </c>
      <c r="H327" s="25">
        <v>0.0</v>
      </c>
      <c r="J327" s="25">
        <v>0.0</v>
      </c>
      <c r="L327" s="25">
        <v>0.0</v>
      </c>
      <c r="N327" s="25">
        <v>0.0</v>
      </c>
      <c r="P327" s="25">
        <v>0.0</v>
      </c>
      <c r="Q327" s="26"/>
      <c r="R327" s="24">
        <v>0.0</v>
      </c>
      <c r="T327" s="25">
        <v>0.0</v>
      </c>
      <c r="V327" s="25">
        <v>0.0</v>
      </c>
      <c r="X327" s="25">
        <v>0.0</v>
      </c>
      <c r="Z327" s="25">
        <v>0.0</v>
      </c>
      <c r="AB327" s="25">
        <v>0.0</v>
      </c>
      <c r="AC327" s="26"/>
      <c r="AD327" s="25">
        <v>0.0</v>
      </c>
      <c r="AF327" s="25">
        <v>0.0</v>
      </c>
      <c r="AH327" s="25">
        <v>0.0</v>
      </c>
      <c r="AJ327" s="27"/>
      <c r="AK327" s="26"/>
      <c r="AL327" s="24">
        <v>0.0</v>
      </c>
      <c r="AM327" s="26"/>
      <c r="AN327" s="24">
        <v>0.0</v>
      </c>
      <c r="AO327" s="26"/>
      <c r="AP327" s="24">
        <v>0.0</v>
      </c>
      <c r="AQ327" s="26"/>
      <c r="AR327" s="25">
        <v>0.0</v>
      </c>
      <c r="AT327" s="25">
        <v>0.0</v>
      </c>
      <c r="AU327" s="26"/>
      <c r="AV327" s="35">
        <f t="shared" si="1"/>
        <v>0</v>
      </c>
      <c r="AW327" s="33">
        <f t="shared" si="2"/>
        <v>0</v>
      </c>
      <c r="AX327" s="33">
        <f t="shared" si="3"/>
        <v>0</v>
      </c>
      <c r="AY327" s="33">
        <f t="shared" si="4"/>
        <v>0</v>
      </c>
      <c r="AZ327" s="30" t="str">
        <f t="shared" si="5"/>
        <v/>
      </c>
    </row>
    <row r="328" ht="15.75" customHeight="1">
      <c r="A328" s="31" t="s">
        <v>35</v>
      </c>
      <c r="B328" s="32">
        <f t="shared" si="6"/>
        <v>44888</v>
      </c>
      <c r="C328" s="33">
        <v>12.0</v>
      </c>
      <c r="D328" s="33" t="s">
        <v>48</v>
      </c>
      <c r="E328" s="81" t="s">
        <v>67</v>
      </c>
      <c r="F328" s="24">
        <v>0.0</v>
      </c>
      <c r="H328" s="25">
        <v>0.0</v>
      </c>
      <c r="J328" s="25">
        <v>0.0</v>
      </c>
      <c r="L328" s="25">
        <v>0.0</v>
      </c>
      <c r="N328" s="25">
        <v>0.0</v>
      </c>
      <c r="P328" s="25">
        <v>0.0</v>
      </c>
      <c r="Q328" s="26"/>
      <c r="R328" s="24">
        <v>0.0</v>
      </c>
      <c r="T328" s="25">
        <v>0.0</v>
      </c>
      <c r="V328" s="25">
        <v>0.0</v>
      </c>
      <c r="X328" s="25">
        <v>0.0</v>
      </c>
      <c r="Z328" s="25">
        <v>0.0</v>
      </c>
      <c r="AB328" s="25">
        <v>0.0</v>
      </c>
      <c r="AC328" s="26"/>
      <c r="AD328" s="25">
        <v>0.0</v>
      </c>
      <c r="AF328" s="25">
        <v>0.0</v>
      </c>
      <c r="AH328" s="25">
        <v>0.0</v>
      </c>
      <c r="AJ328" s="27"/>
      <c r="AK328" s="26"/>
      <c r="AL328" s="24">
        <v>0.0</v>
      </c>
      <c r="AM328" s="26"/>
      <c r="AN328" s="24">
        <v>0.0</v>
      </c>
      <c r="AO328" s="26"/>
      <c r="AP328" s="24">
        <v>0.0</v>
      </c>
      <c r="AQ328" s="26"/>
      <c r="AR328" s="25">
        <v>0.0</v>
      </c>
      <c r="AT328" s="25">
        <v>0.0</v>
      </c>
      <c r="AU328" s="26"/>
      <c r="AV328" s="35">
        <f t="shared" si="1"/>
        <v>0</v>
      </c>
      <c r="AW328" s="33">
        <f t="shared" si="2"/>
        <v>0</v>
      </c>
      <c r="AX328" s="33">
        <f t="shared" si="3"/>
        <v>0</v>
      </c>
      <c r="AY328" s="33">
        <f t="shared" si="4"/>
        <v>0</v>
      </c>
      <c r="AZ328" s="30" t="str">
        <f t="shared" si="5"/>
        <v/>
      </c>
    </row>
    <row r="329" ht="15.75" customHeight="1">
      <c r="A329" s="31" t="s">
        <v>38</v>
      </c>
      <c r="B329" s="32">
        <f t="shared" si="6"/>
        <v>44889</v>
      </c>
      <c r="C329" s="33">
        <v>12.0</v>
      </c>
      <c r="D329" s="33" t="s">
        <v>48</v>
      </c>
      <c r="E329" s="34"/>
      <c r="F329" s="24">
        <v>0.0</v>
      </c>
      <c r="H329" s="25">
        <v>0.0</v>
      </c>
      <c r="J329" s="25">
        <v>0.0</v>
      </c>
      <c r="L329" s="25">
        <v>0.0</v>
      </c>
      <c r="N329" s="25">
        <v>0.0</v>
      </c>
      <c r="P329" s="25">
        <v>0.0</v>
      </c>
      <c r="Q329" s="26"/>
      <c r="R329" s="24">
        <v>0.0</v>
      </c>
      <c r="T329" s="25">
        <v>0.0</v>
      </c>
      <c r="V329" s="25">
        <v>0.0</v>
      </c>
      <c r="X329" s="25">
        <v>0.0</v>
      </c>
      <c r="Z329" s="25">
        <v>0.0</v>
      </c>
      <c r="AB329" s="25">
        <v>0.0</v>
      </c>
      <c r="AC329" s="26"/>
      <c r="AD329" s="25">
        <v>0.0</v>
      </c>
      <c r="AF329" s="25">
        <v>0.0</v>
      </c>
      <c r="AH329" s="25">
        <v>0.0</v>
      </c>
      <c r="AJ329" s="27"/>
      <c r="AK329" s="26"/>
      <c r="AL329" s="24">
        <v>0.0</v>
      </c>
      <c r="AM329" s="26"/>
      <c r="AN329" s="24">
        <v>0.0</v>
      </c>
      <c r="AO329" s="26"/>
      <c r="AP329" s="24">
        <v>0.0</v>
      </c>
      <c r="AQ329" s="26"/>
      <c r="AR329" s="25">
        <v>0.0</v>
      </c>
      <c r="AT329" s="25">
        <v>0.0</v>
      </c>
      <c r="AU329" s="26"/>
      <c r="AV329" s="35">
        <f t="shared" si="1"/>
        <v>0</v>
      </c>
      <c r="AW329" s="33">
        <f t="shared" si="2"/>
        <v>0</v>
      </c>
      <c r="AX329" s="33">
        <f t="shared" si="3"/>
        <v>0</v>
      </c>
      <c r="AY329" s="33">
        <f t="shared" si="4"/>
        <v>0</v>
      </c>
      <c r="AZ329" s="30" t="str">
        <f t="shared" si="5"/>
        <v/>
      </c>
    </row>
    <row r="330" ht="15.75" customHeight="1">
      <c r="A330" s="31" t="s">
        <v>45</v>
      </c>
      <c r="B330" s="32">
        <f t="shared" si="6"/>
        <v>44890</v>
      </c>
      <c r="C330" s="33">
        <v>12.0</v>
      </c>
      <c r="D330" s="33" t="s">
        <v>48</v>
      </c>
      <c r="E330" s="34"/>
      <c r="F330" s="24">
        <v>0.0</v>
      </c>
      <c r="H330" s="25">
        <v>0.0</v>
      </c>
      <c r="J330" s="25">
        <v>0.0</v>
      </c>
      <c r="L330" s="25">
        <v>0.0</v>
      </c>
      <c r="N330" s="25">
        <v>0.0</v>
      </c>
      <c r="P330" s="25">
        <v>0.0</v>
      </c>
      <c r="Q330" s="26"/>
      <c r="R330" s="24">
        <v>0.0</v>
      </c>
      <c r="T330" s="25">
        <v>0.0</v>
      </c>
      <c r="V330" s="25">
        <v>0.0</v>
      </c>
      <c r="X330" s="25">
        <v>0.0</v>
      </c>
      <c r="Z330" s="25">
        <v>0.0</v>
      </c>
      <c r="AB330" s="25">
        <v>0.0</v>
      </c>
      <c r="AC330" s="26"/>
      <c r="AD330" s="25">
        <v>0.0</v>
      </c>
      <c r="AF330" s="25">
        <v>0.0</v>
      </c>
      <c r="AH330" s="25">
        <v>0.0</v>
      </c>
      <c r="AJ330" s="27"/>
      <c r="AK330" s="26"/>
      <c r="AL330" s="24">
        <v>0.0</v>
      </c>
      <c r="AM330" s="26"/>
      <c r="AN330" s="24">
        <v>0.0</v>
      </c>
      <c r="AO330" s="26"/>
      <c r="AP330" s="24">
        <v>0.0</v>
      </c>
      <c r="AQ330" s="26"/>
      <c r="AR330" s="25">
        <v>0.0</v>
      </c>
      <c r="AT330" s="25">
        <v>0.0</v>
      </c>
      <c r="AU330" s="26"/>
      <c r="AV330" s="35">
        <f t="shared" si="1"/>
        <v>0</v>
      </c>
      <c r="AW330" s="33">
        <f t="shared" si="2"/>
        <v>0</v>
      </c>
      <c r="AX330" s="33">
        <f t="shared" si="3"/>
        <v>0</v>
      </c>
      <c r="AY330" s="33">
        <f t="shared" si="4"/>
        <v>0</v>
      </c>
      <c r="AZ330" s="30" t="str">
        <f t="shared" si="5"/>
        <v/>
      </c>
    </row>
    <row r="331" ht="15.75" customHeight="1">
      <c r="A331" s="44" t="s">
        <v>46</v>
      </c>
      <c r="B331" s="45">
        <f t="shared" si="6"/>
        <v>44891</v>
      </c>
      <c r="C331" s="46">
        <v>12.0</v>
      </c>
      <c r="D331" s="46" t="s">
        <v>48</v>
      </c>
      <c r="E331" s="47"/>
      <c r="F331" s="49">
        <v>0.0</v>
      </c>
      <c r="G331" s="51"/>
      <c r="H331" s="52">
        <v>0.0</v>
      </c>
      <c r="I331" s="51"/>
      <c r="J331" s="52">
        <v>0.0</v>
      </c>
      <c r="K331" s="51"/>
      <c r="L331" s="52">
        <v>0.0</v>
      </c>
      <c r="M331" s="51"/>
      <c r="N331" s="52">
        <v>0.0</v>
      </c>
      <c r="O331" s="51"/>
      <c r="P331" s="52">
        <v>0.0</v>
      </c>
      <c r="Q331" s="53"/>
      <c r="R331" s="49">
        <v>0.0</v>
      </c>
      <c r="S331" s="51"/>
      <c r="T331" s="52">
        <v>0.0</v>
      </c>
      <c r="U331" s="51"/>
      <c r="V331" s="52">
        <v>0.0</v>
      </c>
      <c r="W331" s="51"/>
      <c r="X331" s="52">
        <v>0.0</v>
      </c>
      <c r="Y331" s="51"/>
      <c r="Z331" s="52">
        <v>0.0</v>
      </c>
      <c r="AA331" s="51"/>
      <c r="AB331" s="52">
        <v>0.0</v>
      </c>
      <c r="AC331" s="53"/>
      <c r="AD331" s="52">
        <v>0.0</v>
      </c>
      <c r="AE331" s="51"/>
      <c r="AF331" s="52">
        <v>0.0</v>
      </c>
      <c r="AG331" s="51"/>
      <c r="AH331" s="52">
        <v>0.0</v>
      </c>
      <c r="AI331" s="51"/>
      <c r="AJ331" s="54"/>
      <c r="AK331" s="53"/>
      <c r="AL331" s="49">
        <v>0.0</v>
      </c>
      <c r="AM331" s="53"/>
      <c r="AN331" s="49">
        <v>0.0</v>
      </c>
      <c r="AO331" s="53"/>
      <c r="AP331" s="49">
        <v>0.0</v>
      </c>
      <c r="AQ331" s="53"/>
      <c r="AR331" s="52">
        <v>0.0</v>
      </c>
      <c r="AS331" s="51"/>
      <c r="AT331" s="52">
        <v>0.0</v>
      </c>
      <c r="AU331" s="53"/>
      <c r="AV331" s="55">
        <f t="shared" si="1"/>
        <v>0</v>
      </c>
      <c r="AW331" s="46">
        <f t="shared" si="2"/>
        <v>0</v>
      </c>
      <c r="AX331" s="46">
        <f t="shared" si="3"/>
        <v>0</v>
      </c>
      <c r="AY331" s="46">
        <f t="shared" si="4"/>
        <v>0</v>
      </c>
      <c r="AZ331" s="56" t="str">
        <f t="shared" si="5"/>
        <v/>
      </c>
    </row>
    <row r="332" ht="15.75" customHeight="1">
      <c r="A332" s="19" t="s">
        <v>30</v>
      </c>
      <c r="B332" s="57">
        <f t="shared" si="6"/>
        <v>44892</v>
      </c>
      <c r="C332" s="21">
        <v>12.0</v>
      </c>
      <c r="D332" s="21" t="s">
        <v>49</v>
      </c>
      <c r="E332" s="23"/>
      <c r="F332" s="24">
        <v>0.0</v>
      </c>
      <c r="H332" s="25">
        <v>0.0</v>
      </c>
      <c r="J332" s="25">
        <v>0.0</v>
      </c>
      <c r="L332" s="25">
        <v>0.0</v>
      </c>
      <c r="N332" s="25">
        <v>0.0</v>
      </c>
      <c r="P332" s="25">
        <v>0.0</v>
      </c>
      <c r="Q332" s="26"/>
      <c r="R332" s="24">
        <v>65.0</v>
      </c>
      <c r="T332" s="25">
        <v>65.0</v>
      </c>
      <c r="V332" s="25">
        <v>0.0</v>
      </c>
      <c r="X332" s="25">
        <v>0.0</v>
      </c>
      <c r="Z332" s="25">
        <v>0.0</v>
      </c>
      <c r="AB332" s="25">
        <v>0.0</v>
      </c>
      <c r="AC332" s="26"/>
      <c r="AD332" s="25">
        <v>0.0</v>
      </c>
      <c r="AF332" s="25">
        <v>0.0</v>
      </c>
      <c r="AH332" s="25">
        <v>0.0</v>
      </c>
      <c r="AJ332" s="59"/>
      <c r="AK332" s="26"/>
      <c r="AL332" s="24">
        <v>0.0</v>
      </c>
      <c r="AM332" s="26"/>
      <c r="AN332" s="24">
        <v>0.0</v>
      </c>
      <c r="AO332" s="26"/>
      <c r="AP332" s="24">
        <v>0.0</v>
      </c>
      <c r="AQ332" s="26"/>
      <c r="AR332" s="25">
        <v>0.0</v>
      </c>
      <c r="AT332" s="25">
        <v>0.0</v>
      </c>
      <c r="AU332" s="26"/>
      <c r="AV332" s="29">
        <f t="shared" si="1"/>
        <v>1318.2</v>
      </c>
      <c r="AW332" s="21">
        <f t="shared" si="2"/>
        <v>130</v>
      </c>
      <c r="AX332" s="21">
        <f t="shared" si="3"/>
        <v>0</v>
      </c>
      <c r="AY332" s="21">
        <f t="shared" si="4"/>
        <v>130</v>
      </c>
      <c r="AZ332" s="58">
        <f t="shared" si="5"/>
        <v>10.14</v>
      </c>
    </row>
    <row r="333" ht="15.75" customHeight="1">
      <c r="A333" s="31" t="s">
        <v>33</v>
      </c>
      <c r="B333" s="32">
        <f t="shared" si="6"/>
        <v>44893</v>
      </c>
      <c r="C333" s="33">
        <v>12.0</v>
      </c>
      <c r="D333" s="33" t="s">
        <v>49</v>
      </c>
      <c r="E333" s="34"/>
      <c r="F333" s="24">
        <v>0.0</v>
      </c>
      <c r="H333" s="25">
        <v>0.0</v>
      </c>
      <c r="J333" s="25">
        <v>0.0</v>
      </c>
      <c r="L333" s="25">
        <v>0.0</v>
      </c>
      <c r="N333" s="25">
        <v>0.0</v>
      </c>
      <c r="P333" s="25">
        <v>0.0</v>
      </c>
      <c r="Q333" s="26"/>
      <c r="R333" s="24">
        <v>65.0</v>
      </c>
      <c r="T333" s="25">
        <v>65.0</v>
      </c>
      <c r="V333" s="25">
        <v>0.0</v>
      </c>
      <c r="X333" s="25">
        <v>0.0</v>
      </c>
      <c r="Z333" s="25">
        <v>0.0</v>
      </c>
      <c r="AB333" s="25">
        <v>0.0</v>
      </c>
      <c r="AC333" s="26"/>
      <c r="AD333" s="25">
        <v>0.0</v>
      </c>
      <c r="AF333" s="25">
        <v>0.0</v>
      </c>
      <c r="AH333" s="25">
        <v>0.0</v>
      </c>
      <c r="AJ333" s="59"/>
      <c r="AK333" s="26"/>
      <c r="AL333" s="24">
        <v>0.0</v>
      </c>
      <c r="AM333" s="26"/>
      <c r="AN333" s="24">
        <v>0.0</v>
      </c>
      <c r="AO333" s="26"/>
      <c r="AP333" s="24">
        <v>0.0</v>
      </c>
      <c r="AQ333" s="26"/>
      <c r="AR333" s="25">
        <v>0.0</v>
      </c>
      <c r="AT333" s="25">
        <v>0.0</v>
      </c>
      <c r="AU333" s="26"/>
      <c r="AV333" s="35">
        <f t="shared" si="1"/>
        <v>1318.2</v>
      </c>
      <c r="AW333" s="33">
        <f t="shared" si="2"/>
        <v>130</v>
      </c>
      <c r="AX333" s="33">
        <f t="shared" si="3"/>
        <v>0</v>
      </c>
      <c r="AY333" s="33">
        <f t="shared" si="4"/>
        <v>130</v>
      </c>
      <c r="AZ333" s="30">
        <f t="shared" si="5"/>
        <v>10.14</v>
      </c>
    </row>
    <row r="334" ht="15.75" customHeight="1">
      <c r="A334" s="31" t="s">
        <v>34</v>
      </c>
      <c r="B334" s="32">
        <f t="shared" si="6"/>
        <v>44894</v>
      </c>
      <c r="C334" s="33">
        <v>12.0</v>
      </c>
      <c r="D334" s="33" t="s">
        <v>49</v>
      </c>
      <c r="E334" s="34"/>
      <c r="F334" s="24">
        <v>0.0</v>
      </c>
      <c r="H334" s="25">
        <v>0.0</v>
      </c>
      <c r="J334" s="25">
        <v>0.0</v>
      </c>
      <c r="L334" s="25">
        <v>0.0</v>
      </c>
      <c r="N334" s="25">
        <v>0.0</v>
      </c>
      <c r="P334" s="25">
        <v>0.0</v>
      </c>
      <c r="Q334" s="26"/>
      <c r="R334" s="24">
        <v>68.0</v>
      </c>
      <c r="T334" s="25">
        <v>68.0</v>
      </c>
      <c r="V334" s="25">
        <v>0.0</v>
      </c>
      <c r="X334" s="25">
        <v>0.0</v>
      </c>
      <c r="Z334" s="25">
        <v>0.0</v>
      </c>
      <c r="AB334" s="25">
        <v>0.0</v>
      </c>
      <c r="AC334" s="26"/>
      <c r="AD334" s="25">
        <v>0.0</v>
      </c>
      <c r="AF334" s="25">
        <v>0.0</v>
      </c>
      <c r="AH334" s="25">
        <v>0.0</v>
      </c>
      <c r="AJ334" s="59"/>
      <c r="AK334" s="26"/>
      <c r="AL334" s="24">
        <v>0.0</v>
      </c>
      <c r="AM334" s="26"/>
      <c r="AN334" s="24">
        <v>0.0</v>
      </c>
      <c r="AO334" s="26"/>
      <c r="AP334" s="24">
        <v>0.0</v>
      </c>
      <c r="AQ334" s="26"/>
      <c r="AR334" s="25">
        <v>0.0</v>
      </c>
      <c r="AT334" s="25">
        <v>0.0</v>
      </c>
      <c r="AU334" s="26"/>
      <c r="AV334" s="35">
        <f t="shared" si="1"/>
        <v>1379.04</v>
      </c>
      <c r="AW334" s="33">
        <f t="shared" si="2"/>
        <v>136</v>
      </c>
      <c r="AX334" s="33">
        <f t="shared" si="3"/>
        <v>0</v>
      </c>
      <c r="AY334" s="33">
        <f t="shared" si="4"/>
        <v>136</v>
      </c>
      <c r="AZ334" s="30">
        <f t="shared" si="5"/>
        <v>10.14</v>
      </c>
    </row>
    <row r="335" ht="15.75" customHeight="1">
      <c r="A335" s="31" t="s">
        <v>35</v>
      </c>
      <c r="B335" s="32">
        <f t="shared" si="6"/>
        <v>44895</v>
      </c>
      <c r="C335" s="33">
        <v>12.0</v>
      </c>
      <c r="D335" s="33" t="s">
        <v>49</v>
      </c>
      <c r="E335" s="34"/>
      <c r="F335" s="24">
        <v>0.0</v>
      </c>
      <c r="H335" s="25">
        <v>0.0</v>
      </c>
      <c r="J335" s="25">
        <v>0.0</v>
      </c>
      <c r="L335" s="25">
        <v>0.0</v>
      </c>
      <c r="N335" s="25">
        <v>0.0</v>
      </c>
      <c r="P335" s="25">
        <v>0.0</v>
      </c>
      <c r="Q335" s="26"/>
      <c r="R335" s="24">
        <v>58.0</v>
      </c>
      <c r="T335" s="25">
        <v>58.0</v>
      </c>
      <c r="V335" s="25">
        <v>0.0</v>
      </c>
      <c r="X335" s="25">
        <v>0.0</v>
      </c>
      <c r="Z335" s="25">
        <v>0.0</v>
      </c>
      <c r="AB335" s="25">
        <v>0.0</v>
      </c>
      <c r="AC335" s="26"/>
      <c r="AD335" s="25">
        <v>0.0</v>
      </c>
      <c r="AF335" s="25">
        <v>0.0</v>
      </c>
      <c r="AH335" s="25">
        <v>0.0</v>
      </c>
      <c r="AJ335" s="59"/>
      <c r="AK335" s="26"/>
      <c r="AL335" s="24">
        <v>0.0</v>
      </c>
      <c r="AM335" s="26"/>
      <c r="AN335" s="24">
        <v>0.0</v>
      </c>
      <c r="AO335" s="26"/>
      <c r="AP335" s="24">
        <v>0.0</v>
      </c>
      <c r="AQ335" s="26"/>
      <c r="AR335" s="25">
        <v>0.0</v>
      </c>
      <c r="AT335" s="25">
        <v>0.0</v>
      </c>
      <c r="AU335" s="26"/>
      <c r="AV335" s="35">
        <f t="shared" si="1"/>
        <v>1176.24</v>
      </c>
      <c r="AW335" s="33">
        <f t="shared" si="2"/>
        <v>116</v>
      </c>
      <c r="AX335" s="33">
        <f t="shared" si="3"/>
        <v>0</v>
      </c>
      <c r="AY335" s="33">
        <f t="shared" si="4"/>
        <v>116</v>
      </c>
      <c r="AZ335" s="30">
        <f t="shared" si="5"/>
        <v>10.14</v>
      </c>
    </row>
    <row r="336" ht="15.75" customHeight="1">
      <c r="A336" s="31" t="s">
        <v>38</v>
      </c>
      <c r="B336" s="32">
        <f t="shared" si="6"/>
        <v>44896</v>
      </c>
      <c r="C336" s="33">
        <v>12.0</v>
      </c>
      <c r="D336" s="33" t="s">
        <v>49</v>
      </c>
      <c r="E336" s="34"/>
      <c r="F336" s="24">
        <v>0.0</v>
      </c>
      <c r="H336" s="25">
        <v>0.0</v>
      </c>
      <c r="J336" s="25">
        <v>0.0</v>
      </c>
      <c r="L336" s="25">
        <v>0.0</v>
      </c>
      <c r="N336" s="25">
        <v>0.0</v>
      </c>
      <c r="P336" s="25">
        <v>0.0</v>
      </c>
      <c r="Q336" s="26"/>
      <c r="R336" s="24">
        <v>58.0</v>
      </c>
      <c r="T336" s="25">
        <v>58.0</v>
      </c>
      <c r="V336" s="25">
        <v>0.0</v>
      </c>
      <c r="X336" s="25">
        <v>0.0</v>
      </c>
      <c r="Z336" s="25">
        <v>0.0</v>
      </c>
      <c r="AB336" s="25">
        <v>0.0</v>
      </c>
      <c r="AC336" s="26"/>
      <c r="AD336" s="25">
        <v>0.0</v>
      </c>
      <c r="AF336" s="25">
        <v>0.0</v>
      </c>
      <c r="AH336" s="25">
        <v>0.0</v>
      </c>
      <c r="AJ336" s="59"/>
      <c r="AK336" s="26"/>
      <c r="AL336" s="24">
        <v>0.0</v>
      </c>
      <c r="AM336" s="26"/>
      <c r="AN336" s="24">
        <v>0.0</v>
      </c>
      <c r="AO336" s="26"/>
      <c r="AP336" s="24">
        <v>0.0</v>
      </c>
      <c r="AQ336" s="26"/>
      <c r="AR336" s="25">
        <v>0.0</v>
      </c>
      <c r="AT336" s="25">
        <v>0.0</v>
      </c>
      <c r="AU336" s="26"/>
      <c r="AV336" s="35">
        <f t="shared" si="1"/>
        <v>1176.24</v>
      </c>
      <c r="AW336" s="33">
        <f t="shared" si="2"/>
        <v>116</v>
      </c>
      <c r="AX336" s="33">
        <f t="shared" si="3"/>
        <v>0</v>
      </c>
      <c r="AY336" s="33">
        <f t="shared" si="4"/>
        <v>116</v>
      </c>
      <c r="AZ336" s="30">
        <f t="shared" si="5"/>
        <v>10.14</v>
      </c>
    </row>
    <row r="337" ht="15.75" customHeight="1">
      <c r="A337" s="31" t="s">
        <v>45</v>
      </c>
      <c r="B337" s="32">
        <f t="shared" si="6"/>
        <v>44897</v>
      </c>
      <c r="C337" s="33">
        <v>12.0</v>
      </c>
      <c r="D337" s="33" t="s">
        <v>49</v>
      </c>
      <c r="E337" s="34"/>
      <c r="F337" s="24">
        <v>0.0</v>
      </c>
      <c r="H337" s="25">
        <v>0.0</v>
      </c>
      <c r="J337" s="25">
        <v>0.0</v>
      </c>
      <c r="L337" s="25">
        <v>0.0</v>
      </c>
      <c r="N337" s="25">
        <v>0.0</v>
      </c>
      <c r="P337" s="25">
        <v>0.0</v>
      </c>
      <c r="Q337" s="26"/>
      <c r="R337" s="24">
        <v>0.0</v>
      </c>
      <c r="T337" s="25">
        <v>0.0</v>
      </c>
      <c r="V337" s="25">
        <v>0.0</v>
      </c>
      <c r="X337" s="25">
        <v>0.0</v>
      </c>
      <c r="Z337" s="25">
        <v>0.0</v>
      </c>
      <c r="AB337" s="25">
        <v>0.0</v>
      </c>
      <c r="AC337" s="26"/>
      <c r="AD337" s="25">
        <v>0.0</v>
      </c>
      <c r="AF337" s="25">
        <v>0.0</v>
      </c>
      <c r="AH337" s="25">
        <v>0.0</v>
      </c>
      <c r="AJ337" s="59"/>
      <c r="AK337" s="26"/>
      <c r="AL337" s="24">
        <v>0.0</v>
      </c>
      <c r="AM337" s="26"/>
      <c r="AN337" s="24">
        <v>0.0</v>
      </c>
      <c r="AO337" s="26"/>
      <c r="AP337" s="24">
        <v>0.0</v>
      </c>
      <c r="AQ337" s="26"/>
      <c r="AR337" s="25">
        <v>0.0</v>
      </c>
      <c r="AT337" s="25">
        <v>0.0</v>
      </c>
      <c r="AU337" s="26"/>
      <c r="AV337" s="35">
        <f t="shared" si="1"/>
        <v>0</v>
      </c>
      <c r="AW337" s="33">
        <f t="shared" si="2"/>
        <v>0</v>
      </c>
      <c r="AX337" s="33">
        <f t="shared" si="3"/>
        <v>0</v>
      </c>
      <c r="AY337" s="33">
        <f t="shared" si="4"/>
        <v>0</v>
      </c>
      <c r="AZ337" s="30" t="str">
        <f t="shared" si="5"/>
        <v/>
      </c>
    </row>
    <row r="338" ht="15.75" customHeight="1">
      <c r="A338" s="44" t="s">
        <v>46</v>
      </c>
      <c r="B338" s="45">
        <f t="shared" si="6"/>
        <v>44898</v>
      </c>
      <c r="C338" s="46">
        <v>12.0</v>
      </c>
      <c r="D338" s="46" t="s">
        <v>49</v>
      </c>
      <c r="E338" s="47"/>
      <c r="F338" s="49">
        <v>0.0</v>
      </c>
      <c r="G338" s="51"/>
      <c r="H338" s="52">
        <v>0.0</v>
      </c>
      <c r="I338" s="51"/>
      <c r="J338" s="52">
        <v>0.0</v>
      </c>
      <c r="K338" s="51"/>
      <c r="L338" s="52">
        <v>0.0</v>
      </c>
      <c r="M338" s="51"/>
      <c r="N338" s="52">
        <v>0.0</v>
      </c>
      <c r="O338" s="51"/>
      <c r="P338" s="52">
        <v>0.0</v>
      </c>
      <c r="Q338" s="53"/>
      <c r="R338" s="49">
        <v>0.0</v>
      </c>
      <c r="S338" s="51"/>
      <c r="T338" s="52">
        <v>0.0</v>
      </c>
      <c r="U338" s="51"/>
      <c r="V338" s="52">
        <v>0.0</v>
      </c>
      <c r="W338" s="51"/>
      <c r="X338" s="52">
        <v>0.0</v>
      </c>
      <c r="Y338" s="51"/>
      <c r="Z338" s="52">
        <v>0.0</v>
      </c>
      <c r="AA338" s="51"/>
      <c r="AB338" s="52">
        <v>0.0</v>
      </c>
      <c r="AC338" s="53"/>
      <c r="AD338" s="52">
        <v>0.0</v>
      </c>
      <c r="AE338" s="51"/>
      <c r="AF338" s="52">
        <v>0.0</v>
      </c>
      <c r="AG338" s="51"/>
      <c r="AH338" s="52">
        <v>0.0</v>
      </c>
      <c r="AI338" s="51"/>
      <c r="AJ338" s="68"/>
      <c r="AK338" s="53"/>
      <c r="AL338" s="49">
        <v>0.0</v>
      </c>
      <c r="AM338" s="53"/>
      <c r="AN338" s="49">
        <v>0.0</v>
      </c>
      <c r="AO338" s="53"/>
      <c r="AP338" s="49">
        <v>0.0</v>
      </c>
      <c r="AQ338" s="53"/>
      <c r="AR338" s="52">
        <v>0.0</v>
      </c>
      <c r="AS338" s="51"/>
      <c r="AT338" s="52">
        <v>0.0</v>
      </c>
      <c r="AU338" s="53"/>
      <c r="AV338" s="55">
        <f t="shared" si="1"/>
        <v>0</v>
      </c>
      <c r="AW338" s="46">
        <f t="shared" si="2"/>
        <v>0</v>
      </c>
      <c r="AX338" s="46">
        <f t="shared" si="3"/>
        <v>0</v>
      </c>
      <c r="AY338" s="46">
        <f t="shared" si="4"/>
        <v>0</v>
      </c>
      <c r="AZ338" s="56" t="str">
        <f t="shared" si="5"/>
        <v/>
      </c>
    </row>
    <row r="339" ht="15.75" customHeight="1">
      <c r="A339" s="19" t="s">
        <v>30</v>
      </c>
      <c r="B339" s="57">
        <f t="shared" si="6"/>
        <v>44899</v>
      </c>
      <c r="C339" s="21">
        <v>13.0</v>
      </c>
      <c r="D339" s="21" t="s">
        <v>47</v>
      </c>
      <c r="E339" s="72" t="s">
        <v>70</v>
      </c>
      <c r="F339" s="24">
        <v>0.0</v>
      </c>
      <c r="H339" s="25">
        <v>0.0</v>
      </c>
      <c r="J339" s="25">
        <v>0.0</v>
      </c>
      <c r="L339" s="25">
        <v>0.0</v>
      </c>
      <c r="N339" s="25">
        <v>0.0</v>
      </c>
      <c r="P339" s="25">
        <v>0.0</v>
      </c>
      <c r="Q339" s="26"/>
      <c r="R339" s="24">
        <v>0.0</v>
      </c>
      <c r="T339" s="25">
        <v>0.0</v>
      </c>
      <c r="V339" s="25">
        <v>0.0</v>
      </c>
      <c r="X339" s="25">
        <v>0.0</v>
      </c>
      <c r="Z339" s="25">
        <v>0.0</v>
      </c>
      <c r="AB339" s="25">
        <v>0.0</v>
      </c>
      <c r="AC339" s="26"/>
      <c r="AD339" s="25">
        <v>0.0</v>
      </c>
      <c r="AF339" s="25">
        <v>0.0</v>
      </c>
      <c r="AH339" s="25">
        <v>0.0</v>
      </c>
      <c r="AJ339" s="59"/>
      <c r="AK339" s="26"/>
      <c r="AL339" s="24">
        <v>0.0</v>
      </c>
      <c r="AM339" s="26"/>
      <c r="AN339" s="24">
        <v>0.0</v>
      </c>
      <c r="AO339" s="26"/>
      <c r="AP339" s="24">
        <v>0.0</v>
      </c>
      <c r="AQ339" s="26"/>
      <c r="AR339" s="25">
        <v>0.0</v>
      </c>
      <c r="AT339" s="25">
        <v>0.0</v>
      </c>
      <c r="AU339" s="26"/>
      <c r="AV339" s="29">
        <f t="shared" si="1"/>
        <v>0</v>
      </c>
      <c r="AW339" s="21">
        <f t="shared" si="2"/>
        <v>0</v>
      </c>
      <c r="AX339" s="21">
        <f t="shared" si="3"/>
        <v>0</v>
      </c>
      <c r="AY339" s="21">
        <f t="shared" si="4"/>
        <v>0</v>
      </c>
      <c r="AZ339" s="58" t="str">
        <f t="shared" si="5"/>
        <v/>
      </c>
    </row>
    <row r="340" ht="15.75" customHeight="1">
      <c r="A340" s="31" t="s">
        <v>33</v>
      </c>
      <c r="B340" s="32">
        <f t="shared" si="6"/>
        <v>44900</v>
      </c>
      <c r="C340" s="33">
        <v>13.0</v>
      </c>
      <c r="D340" s="33" t="s">
        <v>47</v>
      </c>
      <c r="E340" s="34"/>
      <c r="F340" s="24">
        <v>0.0</v>
      </c>
      <c r="H340" s="25">
        <v>0.0</v>
      </c>
      <c r="J340" s="25">
        <v>0.0</v>
      </c>
      <c r="L340" s="25">
        <v>0.0</v>
      </c>
      <c r="N340" s="25">
        <v>0.0</v>
      </c>
      <c r="P340" s="25">
        <v>0.0</v>
      </c>
      <c r="Q340" s="26"/>
      <c r="R340" s="24">
        <v>50.0</v>
      </c>
      <c r="T340" s="25">
        <v>50.0</v>
      </c>
      <c r="V340" s="25">
        <v>0.0</v>
      </c>
      <c r="X340" s="25">
        <v>0.0</v>
      </c>
      <c r="Z340" s="25">
        <v>0.0</v>
      </c>
      <c r="AB340" s="25">
        <v>0.0</v>
      </c>
      <c r="AC340" s="26"/>
      <c r="AD340" s="25">
        <v>0.0</v>
      </c>
      <c r="AF340" s="25">
        <v>0.0</v>
      </c>
      <c r="AH340" s="25">
        <v>0.0</v>
      </c>
      <c r="AJ340" s="59"/>
      <c r="AK340" s="26"/>
      <c r="AL340" s="24">
        <v>0.0</v>
      </c>
      <c r="AM340" s="26"/>
      <c r="AN340" s="24">
        <v>0.0</v>
      </c>
      <c r="AO340" s="26"/>
      <c r="AP340" s="24">
        <v>0.0</v>
      </c>
      <c r="AQ340" s="26"/>
      <c r="AR340" s="25">
        <v>0.0</v>
      </c>
      <c r="AT340" s="25">
        <v>0.0</v>
      </c>
      <c r="AU340" s="26"/>
      <c r="AV340" s="35">
        <f t="shared" si="1"/>
        <v>1014</v>
      </c>
      <c r="AW340" s="33">
        <f t="shared" si="2"/>
        <v>100</v>
      </c>
      <c r="AX340" s="33">
        <f t="shared" si="3"/>
        <v>0</v>
      </c>
      <c r="AY340" s="33">
        <f t="shared" si="4"/>
        <v>100</v>
      </c>
      <c r="AZ340" s="30">
        <f t="shared" si="5"/>
        <v>10.14</v>
      </c>
    </row>
    <row r="341" ht="15.75" customHeight="1">
      <c r="A341" s="31" t="s">
        <v>34</v>
      </c>
      <c r="B341" s="32">
        <f t="shared" si="6"/>
        <v>44901</v>
      </c>
      <c r="C341" s="33">
        <v>13.0</v>
      </c>
      <c r="D341" s="33" t="s">
        <v>47</v>
      </c>
      <c r="E341" s="34"/>
      <c r="F341" s="24">
        <v>0.0</v>
      </c>
      <c r="H341" s="25">
        <v>0.0</v>
      </c>
      <c r="J341" s="25">
        <v>0.0</v>
      </c>
      <c r="L341" s="25">
        <v>0.0</v>
      </c>
      <c r="N341" s="25">
        <v>0.0</v>
      </c>
      <c r="P341" s="25">
        <v>0.0</v>
      </c>
      <c r="Q341" s="26"/>
      <c r="R341" s="24">
        <v>60.0</v>
      </c>
      <c r="T341" s="25">
        <v>60.0</v>
      </c>
      <c r="V341" s="25">
        <v>0.0</v>
      </c>
      <c r="X341" s="25">
        <v>0.0</v>
      </c>
      <c r="Z341" s="25">
        <v>0.0</v>
      </c>
      <c r="AB341" s="25">
        <v>0.0</v>
      </c>
      <c r="AC341" s="26"/>
      <c r="AD341" s="25">
        <v>0.0</v>
      </c>
      <c r="AF341" s="25">
        <v>0.0</v>
      </c>
      <c r="AH341" s="25">
        <v>0.0</v>
      </c>
      <c r="AJ341" s="59"/>
      <c r="AK341" s="26"/>
      <c r="AL341" s="24">
        <v>0.0</v>
      </c>
      <c r="AM341" s="26"/>
      <c r="AN341" s="24">
        <v>0.0</v>
      </c>
      <c r="AO341" s="26"/>
      <c r="AP341" s="24">
        <v>0.0</v>
      </c>
      <c r="AQ341" s="26"/>
      <c r="AR341" s="25">
        <v>0.0</v>
      </c>
      <c r="AT341" s="25">
        <v>0.0</v>
      </c>
      <c r="AU341" s="26"/>
      <c r="AV341" s="35">
        <f t="shared" si="1"/>
        <v>1216.8</v>
      </c>
      <c r="AW341" s="33">
        <f t="shared" si="2"/>
        <v>120</v>
      </c>
      <c r="AX341" s="33">
        <f t="shared" si="3"/>
        <v>0</v>
      </c>
      <c r="AY341" s="33">
        <f t="shared" si="4"/>
        <v>120</v>
      </c>
      <c r="AZ341" s="30">
        <f t="shared" si="5"/>
        <v>10.14</v>
      </c>
    </row>
    <row r="342" ht="15.75" customHeight="1">
      <c r="A342" s="31" t="s">
        <v>35</v>
      </c>
      <c r="B342" s="32">
        <f t="shared" si="6"/>
        <v>44902</v>
      </c>
      <c r="C342" s="33">
        <v>13.0</v>
      </c>
      <c r="D342" s="33" t="s">
        <v>47</v>
      </c>
      <c r="E342" s="34"/>
      <c r="F342" s="24">
        <v>0.0</v>
      </c>
      <c r="H342" s="25">
        <v>0.0</v>
      </c>
      <c r="J342" s="25">
        <v>0.0</v>
      </c>
      <c r="L342" s="25">
        <v>0.0</v>
      </c>
      <c r="N342" s="25">
        <v>0.0</v>
      </c>
      <c r="P342" s="25">
        <v>0.0</v>
      </c>
      <c r="Q342" s="26"/>
      <c r="R342" s="24">
        <v>60.0</v>
      </c>
      <c r="T342" s="25">
        <v>60.0</v>
      </c>
      <c r="V342" s="25">
        <v>0.0</v>
      </c>
      <c r="X342" s="25">
        <v>0.0</v>
      </c>
      <c r="Z342" s="25">
        <v>0.0</v>
      </c>
      <c r="AB342" s="25">
        <v>0.0</v>
      </c>
      <c r="AC342" s="26"/>
      <c r="AD342" s="25">
        <v>0.0</v>
      </c>
      <c r="AF342" s="25">
        <v>0.0</v>
      </c>
      <c r="AH342" s="25">
        <v>0.0</v>
      </c>
      <c r="AJ342" s="59"/>
      <c r="AK342" s="26"/>
      <c r="AL342" s="24">
        <v>0.0</v>
      </c>
      <c r="AM342" s="26"/>
      <c r="AN342" s="24">
        <v>0.0</v>
      </c>
      <c r="AO342" s="26"/>
      <c r="AP342" s="24">
        <v>0.0</v>
      </c>
      <c r="AQ342" s="26"/>
      <c r="AR342" s="25">
        <v>0.0</v>
      </c>
      <c r="AT342" s="25">
        <v>0.0</v>
      </c>
      <c r="AU342" s="26"/>
      <c r="AV342" s="35">
        <f t="shared" si="1"/>
        <v>1216.8</v>
      </c>
      <c r="AW342" s="33">
        <f t="shared" si="2"/>
        <v>120</v>
      </c>
      <c r="AX342" s="33">
        <f t="shared" si="3"/>
        <v>0</v>
      </c>
      <c r="AY342" s="33">
        <f t="shared" si="4"/>
        <v>120</v>
      </c>
      <c r="AZ342" s="30">
        <f t="shared" si="5"/>
        <v>10.14</v>
      </c>
    </row>
    <row r="343" ht="15.75" customHeight="1">
      <c r="A343" s="31" t="s">
        <v>38</v>
      </c>
      <c r="B343" s="32">
        <f t="shared" si="6"/>
        <v>44903</v>
      </c>
      <c r="C343" s="33">
        <v>13.0</v>
      </c>
      <c r="D343" s="33" t="s">
        <v>47</v>
      </c>
      <c r="E343" s="34"/>
      <c r="F343" s="24">
        <v>0.0</v>
      </c>
      <c r="H343" s="25">
        <v>0.0</v>
      </c>
      <c r="J343" s="25">
        <v>0.0</v>
      </c>
      <c r="L343" s="25">
        <v>0.0</v>
      </c>
      <c r="N343" s="25">
        <v>0.0</v>
      </c>
      <c r="P343" s="25">
        <v>0.0</v>
      </c>
      <c r="Q343" s="26"/>
      <c r="R343" s="24">
        <v>60.0</v>
      </c>
      <c r="T343" s="25">
        <v>60.0</v>
      </c>
      <c r="V343" s="25">
        <v>0.0</v>
      </c>
      <c r="X343" s="25">
        <v>0.0</v>
      </c>
      <c r="Z343" s="25">
        <v>0.0</v>
      </c>
      <c r="AB343" s="25">
        <v>0.0</v>
      </c>
      <c r="AC343" s="26"/>
      <c r="AD343" s="25">
        <v>0.0</v>
      </c>
      <c r="AF343" s="25">
        <v>0.0</v>
      </c>
      <c r="AH343" s="25">
        <v>0.0</v>
      </c>
      <c r="AJ343" s="59"/>
      <c r="AK343" s="26"/>
      <c r="AL343" s="24">
        <v>0.0</v>
      </c>
      <c r="AM343" s="26"/>
      <c r="AN343" s="24">
        <v>0.0</v>
      </c>
      <c r="AO343" s="26"/>
      <c r="AP343" s="24">
        <v>0.0</v>
      </c>
      <c r="AQ343" s="26"/>
      <c r="AR343" s="25">
        <v>0.0</v>
      </c>
      <c r="AT343" s="25">
        <v>0.0</v>
      </c>
      <c r="AU343" s="26"/>
      <c r="AV343" s="35">
        <f t="shared" si="1"/>
        <v>1216.8</v>
      </c>
      <c r="AW343" s="33">
        <f t="shared" si="2"/>
        <v>120</v>
      </c>
      <c r="AX343" s="33">
        <f t="shared" si="3"/>
        <v>0</v>
      </c>
      <c r="AY343" s="33">
        <f t="shared" si="4"/>
        <v>120</v>
      </c>
      <c r="AZ343" s="30">
        <f t="shared" si="5"/>
        <v>10.14</v>
      </c>
    </row>
    <row r="344" ht="15.75" customHeight="1">
      <c r="A344" s="31" t="s">
        <v>45</v>
      </c>
      <c r="B344" s="32">
        <f t="shared" si="6"/>
        <v>44904</v>
      </c>
      <c r="C344" s="33">
        <v>13.0</v>
      </c>
      <c r="D344" s="33" t="s">
        <v>47</v>
      </c>
      <c r="E344" s="34"/>
      <c r="F344" s="24">
        <v>0.0</v>
      </c>
      <c r="H344" s="25">
        <v>0.0</v>
      </c>
      <c r="J344" s="25">
        <v>0.0</v>
      </c>
      <c r="L344" s="25">
        <v>0.0</v>
      </c>
      <c r="N344" s="25">
        <v>0.0</v>
      </c>
      <c r="P344" s="25">
        <v>0.0</v>
      </c>
      <c r="Q344" s="26"/>
      <c r="R344" s="24">
        <v>0.0</v>
      </c>
      <c r="T344" s="25">
        <v>0.0</v>
      </c>
      <c r="V344" s="25">
        <v>0.0</v>
      </c>
      <c r="X344" s="25">
        <v>0.0</v>
      </c>
      <c r="Z344" s="25">
        <v>0.0</v>
      </c>
      <c r="AB344" s="25">
        <v>0.0</v>
      </c>
      <c r="AC344" s="26"/>
      <c r="AD344" s="25">
        <v>0.0</v>
      </c>
      <c r="AF344" s="25">
        <v>0.0</v>
      </c>
      <c r="AH344" s="25">
        <v>0.0</v>
      </c>
      <c r="AJ344" s="59"/>
      <c r="AK344" s="26"/>
      <c r="AL344" s="24">
        <v>0.0</v>
      </c>
      <c r="AM344" s="26"/>
      <c r="AN344" s="24">
        <v>0.0</v>
      </c>
      <c r="AO344" s="26"/>
      <c r="AP344" s="24">
        <v>0.0</v>
      </c>
      <c r="AQ344" s="26"/>
      <c r="AR344" s="25">
        <v>0.0</v>
      </c>
      <c r="AT344" s="25">
        <v>0.0</v>
      </c>
      <c r="AU344" s="26"/>
      <c r="AV344" s="35">
        <f t="shared" si="1"/>
        <v>0</v>
      </c>
      <c r="AW344" s="33">
        <f t="shared" si="2"/>
        <v>0</v>
      </c>
      <c r="AX344" s="33">
        <f t="shared" si="3"/>
        <v>0</v>
      </c>
      <c r="AY344" s="33">
        <f t="shared" si="4"/>
        <v>0</v>
      </c>
      <c r="AZ344" s="30" t="str">
        <f t="shared" si="5"/>
        <v/>
      </c>
    </row>
    <row r="345" ht="15.75" customHeight="1">
      <c r="A345" s="44" t="s">
        <v>46</v>
      </c>
      <c r="B345" s="45">
        <f t="shared" si="6"/>
        <v>44905</v>
      </c>
      <c r="C345" s="46">
        <v>13.0</v>
      </c>
      <c r="D345" s="46" t="s">
        <v>47</v>
      </c>
      <c r="E345" s="47"/>
      <c r="F345" s="49">
        <v>0.0</v>
      </c>
      <c r="G345" s="51"/>
      <c r="H345" s="52">
        <v>0.0</v>
      </c>
      <c r="I345" s="51"/>
      <c r="J345" s="52">
        <v>0.0</v>
      </c>
      <c r="K345" s="51"/>
      <c r="L345" s="52">
        <v>0.0</v>
      </c>
      <c r="M345" s="51"/>
      <c r="N345" s="52">
        <v>0.0</v>
      </c>
      <c r="O345" s="51"/>
      <c r="P345" s="52">
        <v>0.0</v>
      </c>
      <c r="Q345" s="53"/>
      <c r="R345" s="49">
        <v>0.0</v>
      </c>
      <c r="S345" s="51"/>
      <c r="T345" s="52">
        <v>0.0</v>
      </c>
      <c r="U345" s="51"/>
      <c r="V345" s="52">
        <v>0.0</v>
      </c>
      <c r="W345" s="51"/>
      <c r="X345" s="52">
        <v>0.0</v>
      </c>
      <c r="Y345" s="51"/>
      <c r="Z345" s="52">
        <v>0.0</v>
      </c>
      <c r="AA345" s="51"/>
      <c r="AB345" s="52">
        <v>0.0</v>
      </c>
      <c r="AC345" s="53"/>
      <c r="AD345" s="52">
        <v>0.0</v>
      </c>
      <c r="AE345" s="51"/>
      <c r="AF345" s="52">
        <v>0.0</v>
      </c>
      <c r="AG345" s="51"/>
      <c r="AH345" s="52">
        <v>0.0</v>
      </c>
      <c r="AI345" s="51"/>
      <c r="AJ345" s="68"/>
      <c r="AK345" s="53"/>
      <c r="AL345" s="49">
        <v>0.0</v>
      </c>
      <c r="AM345" s="53"/>
      <c r="AN345" s="49">
        <v>0.0</v>
      </c>
      <c r="AO345" s="53"/>
      <c r="AP345" s="49">
        <v>0.0</v>
      </c>
      <c r="AQ345" s="53"/>
      <c r="AR345" s="52">
        <v>0.0</v>
      </c>
      <c r="AS345" s="51"/>
      <c r="AT345" s="52">
        <v>0.0</v>
      </c>
      <c r="AU345" s="53"/>
      <c r="AV345" s="55">
        <f t="shared" si="1"/>
        <v>0</v>
      </c>
      <c r="AW345" s="46">
        <f t="shared" si="2"/>
        <v>0</v>
      </c>
      <c r="AX345" s="46">
        <f t="shared" si="3"/>
        <v>0</v>
      </c>
      <c r="AY345" s="46">
        <f t="shared" si="4"/>
        <v>0</v>
      </c>
      <c r="AZ345" s="56" t="str">
        <f t="shared" si="5"/>
        <v/>
      </c>
    </row>
    <row r="346" ht="15.75" customHeight="1">
      <c r="A346" s="19" t="s">
        <v>30</v>
      </c>
      <c r="B346" s="57">
        <f t="shared" si="6"/>
        <v>44906</v>
      </c>
      <c r="C346" s="21">
        <v>13.0</v>
      </c>
      <c r="D346" s="21" t="s">
        <v>48</v>
      </c>
      <c r="E346" s="23"/>
      <c r="F346" s="24">
        <v>0.0</v>
      </c>
      <c r="H346" s="25">
        <v>0.0</v>
      </c>
      <c r="J346" s="25">
        <v>0.0</v>
      </c>
      <c r="L346" s="25">
        <v>0.0</v>
      </c>
      <c r="N346" s="25">
        <v>0.0</v>
      </c>
      <c r="P346" s="25">
        <v>0.0</v>
      </c>
      <c r="Q346" s="26"/>
      <c r="R346" s="24">
        <v>65.0</v>
      </c>
      <c r="T346" s="25">
        <v>65.0</v>
      </c>
      <c r="V346" s="25">
        <v>0.0</v>
      </c>
      <c r="X346" s="25">
        <v>0.0</v>
      </c>
      <c r="Z346" s="25">
        <v>0.0</v>
      </c>
      <c r="AB346" s="25">
        <v>0.0</v>
      </c>
      <c r="AC346" s="26"/>
      <c r="AD346" s="25">
        <v>0.0</v>
      </c>
      <c r="AF346" s="25">
        <v>0.0</v>
      </c>
      <c r="AH346" s="25">
        <v>0.0</v>
      </c>
      <c r="AJ346" s="59"/>
      <c r="AK346" s="26"/>
      <c r="AL346" s="24">
        <v>0.0</v>
      </c>
      <c r="AM346" s="26"/>
      <c r="AN346" s="24">
        <v>0.0</v>
      </c>
      <c r="AO346" s="26"/>
      <c r="AP346" s="24">
        <v>0.0</v>
      </c>
      <c r="AQ346" s="26"/>
      <c r="AR346" s="25">
        <v>0.0</v>
      </c>
      <c r="AT346" s="25">
        <v>0.0</v>
      </c>
      <c r="AU346" s="26"/>
      <c r="AV346" s="29">
        <f t="shared" si="1"/>
        <v>1318.2</v>
      </c>
      <c r="AW346" s="21">
        <f t="shared" si="2"/>
        <v>130</v>
      </c>
      <c r="AX346" s="21">
        <f t="shared" si="3"/>
        <v>0</v>
      </c>
      <c r="AY346" s="21">
        <f t="shared" si="4"/>
        <v>130</v>
      </c>
      <c r="AZ346" s="58">
        <f t="shared" si="5"/>
        <v>10.14</v>
      </c>
    </row>
    <row r="347" ht="15.75" customHeight="1">
      <c r="A347" s="31" t="s">
        <v>33</v>
      </c>
      <c r="B347" s="32">
        <f t="shared" si="6"/>
        <v>44907</v>
      </c>
      <c r="C347" s="33">
        <v>13.0</v>
      </c>
      <c r="D347" s="33" t="s">
        <v>48</v>
      </c>
      <c r="E347" s="34"/>
      <c r="F347" s="24">
        <v>0.0</v>
      </c>
      <c r="H347" s="25">
        <v>0.0</v>
      </c>
      <c r="J347" s="25">
        <v>0.0</v>
      </c>
      <c r="L347" s="25">
        <v>0.0</v>
      </c>
      <c r="N347" s="25">
        <v>0.0</v>
      </c>
      <c r="P347" s="25">
        <v>0.0</v>
      </c>
      <c r="Q347" s="26"/>
      <c r="R347" s="24">
        <v>65.0</v>
      </c>
      <c r="T347" s="25">
        <v>65.0</v>
      </c>
      <c r="V347" s="25">
        <v>0.0</v>
      </c>
      <c r="X347" s="25">
        <v>0.0</v>
      </c>
      <c r="Z347" s="25">
        <v>0.0</v>
      </c>
      <c r="AB347" s="25">
        <v>0.0</v>
      </c>
      <c r="AC347" s="26"/>
      <c r="AD347" s="25">
        <v>0.0</v>
      </c>
      <c r="AF347" s="25">
        <v>0.0</v>
      </c>
      <c r="AH347" s="25">
        <v>0.0</v>
      </c>
      <c r="AJ347" s="59"/>
      <c r="AK347" s="26"/>
      <c r="AL347" s="24">
        <v>0.0</v>
      </c>
      <c r="AM347" s="26"/>
      <c r="AN347" s="24">
        <v>0.0</v>
      </c>
      <c r="AO347" s="26"/>
      <c r="AP347" s="24">
        <v>0.0</v>
      </c>
      <c r="AQ347" s="26"/>
      <c r="AR347" s="25">
        <v>0.0</v>
      </c>
      <c r="AT347" s="25">
        <v>0.0</v>
      </c>
      <c r="AU347" s="26"/>
      <c r="AV347" s="35">
        <f t="shared" si="1"/>
        <v>1318.2</v>
      </c>
      <c r="AW347" s="33">
        <f t="shared" si="2"/>
        <v>130</v>
      </c>
      <c r="AX347" s="33">
        <f t="shared" si="3"/>
        <v>0</v>
      </c>
      <c r="AY347" s="33">
        <f t="shared" si="4"/>
        <v>130</v>
      </c>
      <c r="AZ347" s="30">
        <f t="shared" si="5"/>
        <v>10.14</v>
      </c>
    </row>
    <row r="348" ht="15.75" customHeight="1">
      <c r="A348" s="31" t="s">
        <v>34</v>
      </c>
      <c r="B348" s="32">
        <f t="shared" si="6"/>
        <v>44908</v>
      </c>
      <c r="C348" s="33">
        <v>13.0</v>
      </c>
      <c r="D348" s="33" t="s">
        <v>48</v>
      </c>
      <c r="E348" s="34"/>
      <c r="F348" s="24">
        <v>0.0</v>
      </c>
      <c r="H348" s="25">
        <v>0.0</v>
      </c>
      <c r="J348" s="25">
        <v>0.0</v>
      </c>
      <c r="L348" s="25">
        <v>0.0</v>
      </c>
      <c r="N348" s="25">
        <v>0.0</v>
      </c>
      <c r="P348" s="25">
        <v>0.0</v>
      </c>
      <c r="Q348" s="26"/>
      <c r="R348" s="24">
        <v>75.0</v>
      </c>
      <c r="T348" s="25">
        <v>75.0</v>
      </c>
      <c r="V348" s="25">
        <v>0.0</v>
      </c>
      <c r="X348" s="25">
        <v>0.0</v>
      </c>
      <c r="Z348" s="25">
        <v>0.0</v>
      </c>
      <c r="AB348" s="25">
        <v>0.0</v>
      </c>
      <c r="AC348" s="26"/>
      <c r="AD348" s="25">
        <v>0.0</v>
      </c>
      <c r="AF348" s="25">
        <v>0.0</v>
      </c>
      <c r="AH348" s="25">
        <v>0.0</v>
      </c>
      <c r="AJ348" s="59"/>
      <c r="AK348" s="26"/>
      <c r="AL348" s="24">
        <v>0.0</v>
      </c>
      <c r="AM348" s="26"/>
      <c r="AN348" s="24">
        <v>0.0</v>
      </c>
      <c r="AO348" s="26"/>
      <c r="AP348" s="24">
        <v>0.0</v>
      </c>
      <c r="AQ348" s="26"/>
      <c r="AR348" s="25">
        <v>0.0</v>
      </c>
      <c r="AT348" s="25">
        <v>0.0</v>
      </c>
      <c r="AU348" s="26"/>
      <c r="AV348" s="35">
        <f t="shared" si="1"/>
        <v>1521</v>
      </c>
      <c r="AW348" s="33">
        <f t="shared" si="2"/>
        <v>150</v>
      </c>
      <c r="AX348" s="33">
        <f t="shared" si="3"/>
        <v>0</v>
      </c>
      <c r="AY348" s="33">
        <f t="shared" si="4"/>
        <v>150</v>
      </c>
      <c r="AZ348" s="30">
        <f t="shared" si="5"/>
        <v>10.14</v>
      </c>
    </row>
    <row r="349" ht="15.75" customHeight="1">
      <c r="A349" s="31" t="s">
        <v>35</v>
      </c>
      <c r="B349" s="32">
        <f t="shared" si="6"/>
        <v>44909</v>
      </c>
      <c r="C349" s="33">
        <v>13.0</v>
      </c>
      <c r="D349" s="33" t="s">
        <v>48</v>
      </c>
      <c r="E349" s="34"/>
      <c r="F349" s="24">
        <v>0.0</v>
      </c>
      <c r="H349" s="25">
        <v>0.0</v>
      </c>
      <c r="J349" s="25">
        <v>0.0</v>
      </c>
      <c r="L349" s="25">
        <v>0.0</v>
      </c>
      <c r="N349" s="25">
        <v>0.0</v>
      </c>
      <c r="P349" s="25">
        <v>0.0</v>
      </c>
      <c r="Q349" s="26"/>
      <c r="R349" s="24">
        <v>50.0</v>
      </c>
      <c r="T349" s="25">
        <v>50.0</v>
      </c>
      <c r="V349" s="25">
        <v>0.0</v>
      </c>
      <c r="X349" s="25">
        <v>0.0</v>
      </c>
      <c r="Z349" s="25">
        <v>0.0</v>
      </c>
      <c r="AB349" s="25">
        <v>0.0</v>
      </c>
      <c r="AC349" s="26"/>
      <c r="AD349" s="25">
        <v>0.0</v>
      </c>
      <c r="AF349" s="25">
        <v>0.0</v>
      </c>
      <c r="AH349" s="25">
        <v>0.0</v>
      </c>
      <c r="AJ349" s="59"/>
      <c r="AK349" s="26"/>
      <c r="AL349" s="24">
        <v>0.0</v>
      </c>
      <c r="AM349" s="26"/>
      <c r="AN349" s="24">
        <v>0.0</v>
      </c>
      <c r="AO349" s="26"/>
      <c r="AP349" s="24">
        <v>0.0</v>
      </c>
      <c r="AQ349" s="26"/>
      <c r="AR349" s="25">
        <v>0.0</v>
      </c>
      <c r="AT349" s="25">
        <v>0.0</v>
      </c>
      <c r="AU349" s="26"/>
      <c r="AV349" s="35">
        <f t="shared" si="1"/>
        <v>1014</v>
      </c>
      <c r="AW349" s="33">
        <f t="shared" si="2"/>
        <v>100</v>
      </c>
      <c r="AX349" s="33">
        <f t="shared" si="3"/>
        <v>0</v>
      </c>
      <c r="AY349" s="33">
        <f t="shared" si="4"/>
        <v>100</v>
      </c>
      <c r="AZ349" s="30">
        <f t="shared" si="5"/>
        <v>10.14</v>
      </c>
    </row>
    <row r="350" ht="15.75" customHeight="1">
      <c r="A350" s="31" t="s">
        <v>38</v>
      </c>
      <c r="B350" s="32">
        <f t="shared" si="6"/>
        <v>44910</v>
      </c>
      <c r="C350" s="33">
        <v>13.0</v>
      </c>
      <c r="D350" s="33" t="s">
        <v>48</v>
      </c>
      <c r="E350" s="34"/>
      <c r="F350" s="24">
        <v>0.0</v>
      </c>
      <c r="H350" s="25">
        <v>0.0</v>
      </c>
      <c r="J350" s="25">
        <v>0.0</v>
      </c>
      <c r="L350" s="25">
        <v>0.0</v>
      </c>
      <c r="N350" s="25">
        <v>0.0</v>
      </c>
      <c r="P350" s="25">
        <v>0.0</v>
      </c>
      <c r="Q350" s="26"/>
      <c r="R350" s="24">
        <v>50.0</v>
      </c>
      <c r="T350" s="25">
        <v>50.0</v>
      </c>
      <c r="V350" s="25">
        <v>0.0</v>
      </c>
      <c r="X350" s="25">
        <v>0.0</v>
      </c>
      <c r="Z350" s="25">
        <v>0.0</v>
      </c>
      <c r="AB350" s="25">
        <v>0.0</v>
      </c>
      <c r="AC350" s="26"/>
      <c r="AD350" s="25">
        <v>0.0</v>
      </c>
      <c r="AF350" s="25">
        <v>0.0</v>
      </c>
      <c r="AH350" s="25">
        <v>0.0</v>
      </c>
      <c r="AJ350" s="59"/>
      <c r="AK350" s="26"/>
      <c r="AL350" s="24">
        <v>0.0</v>
      </c>
      <c r="AM350" s="26"/>
      <c r="AN350" s="24">
        <v>0.0</v>
      </c>
      <c r="AO350" s="26"/>
      <c r="AP350" s="24">
        <v>0.0</v>
      </c>
      <c r="AQ350" s="26"/>
      <c r="AR350" s="25">
        <v>0.0</v>
      </c>
      <c r="AT350" s="25">
        <v>0.0</v>
      </c>
      <c r="AU350" s="26"/>
      <c r="AV350" s="35">
        <f t="shared" si="1"/>
        <v>1014</v>
      </c>
      <c r="AW350" s="33">
        <f t="shared" si="2"/>
        <v>100</v>
      </c>
      <c r="AX350" s="33">
        <f t="shared" si="3"/>
        <v>0</v>
      </c>
      <c r="AY350" s="33">
        <f t="shared" si="4"/>
        <v>100</v>
      </c>
      <c r="AZ350" s="30">
        <f t="shared" si="5"/>
        <v>10.14</v>
      </c>
    </row>
    <row r="351" ht="15.75" customHeight="1">
      <c r="A351" s="31" t="s">
        <v>45</v>
      </c>
      <c r="B351" s="32">
        <f t="shared" si="6"/>
        <v>44911</v>
      </c>
      <c r="C351" s="33">
        <v>13.0</v>
      </c>
      <c r="D351" s="33" t="s">
        <v>48</v>
      </c>
      <c r="E351" s="34"/>
      <c r="F351" s="24">
        <v>0.0</v>
      </c>
      <c r="H351" s="25">
        <v>0.0</v>
      </c>
      <c r="J351" s="25">
        <v>0.0</v>
      </c>
      <c r="L351" s="25">
        <v>0.0</v>
      </c>
      <c r="N351" s="25">
        <v>0.0</v>
      </c>
      <c r="P351" s="25">
        <v>0.0</v>
      </c>
      <c r="Q351" s="26"/>
      <c r="R351" s="24">
        <v>0.0</v>
      </c>
      <c r="T351" s="25">
        <v>0.0</v>
      </c>
      <c r="V351" s="25">
        <v>0.0</v>
      </c>
      <c r="X351" s="25">
        <v>0.0</v>
      </c>
      <c r="Z351" s="25">
        <v>0.0</v>
      </c>
      <c r="AB351" s="25">
        <v>0.0</v>
      </c>
      <c r="AC351" s="26"/>
      <c r="AD351" s="25">
        <v>0.0</v>
      </c>
      <c r="AF351" s="25">
        <v>0.0</v>
      </c>
      <c r="AH351" s="25">
        <v>0.0</v>
      </c>
      <c r="AJ351" s="59"/>
      <c r="AK351" s="26"/>
      <c r="AL351" s="24">
        <v>0.0</v>
      </c>
      <c r="AM351" s="26"/>
      <c r="AN351" s="24">
        <v>0.0</v>
      </c>
      <c r="AO351" s="26"/>
      <c r="AP351" s="24">
        <v>0.0</v>
      </c>
      <c r="AQ351" s="26"/>
      <c r="AR351" s="25">
        <v>0.0</v>
      </c>
      <c r="AT351" s="25">
        <v>0.0</v>
      </c>
      <c r="AU351" s="26"/>
      <c r="AV351" s="35">
        <f t="shared" si="1"/>
        <v>0</v>
      </c>
      <c r="AW351" s="33">
        <f t="shared" si="2"/>
        <v>0</v>
      </c>
      <c r="AX351" s="33">
        <f t="shared" si="3"/>
        <v>0</v>
      </c>
      <c r="AY351" s="33">
        <f t="shared" si="4"/>
        <v>0</v>
      </c>
      <c r="AZ351" s="30" t="str">
        <f t="shared" si="5"/>
        <v/>
      </c>
    </row>
    <row r="352" ht="15.75" customHeight="1">
      <c r="A352" s="44" t="s">
        <v>46</v>
      </c>
      <c r="B352" s="45">
        <f t="shared" si="6"/>
        <v>44912</v>
      </c>
      <c r="C352" s="46">
        <v>13.0</v>
      </c>
      <c r="D352" s="46" t="s">
        <v>48</v>
      </c>
      <c r="E352" s="47"/>
      <c r="F352" s="49">
        <v>0.0</v>
      </c>
      <c r="G352" s="51"/>
      <c r="H352" s="52">
        <v>0.0</v>
      </c>
      <c r="I352" s="51"/>
      <c r="J352" s="52">
        <v>0.0</v>
      </c>
      <c r="K352" s="51"/>
      <c r="L352" s="52">
        <v>0.0</v>
      </c>
      <c r="M352" s="51"/>
      <c r="N352" s="52">
        <v>0.0</v>
      </c>
      <c r="O352" s="51"/>
      <c r="P352" s="52">
        <v>0.0</v>
      </c>
      <c r="Q352" s="53"/>
      <c r="R352" s="49">
        <v>0.0</v>
      </c>
      <c r="S352" s="51"/>
      <c r="T352" s="52">
        <v>0.0</v>
      </c>
      <c r="U352" s="51"/>
      <c r="V352" s="52">
        <v>0.0</v>
      </c>
      <c r="W352" s="51"/>
      <c r="X352" s="52">
        <v>0.0</v>
      </c>
      <c r="Y352" s="51"/>
      <c r="Z352" s="52">
        <v>0.0</v>
      </c>
      <c r="AA352" s="51"/>
      <c r="AB352" s="52">
        <v>0.0</v>
      </c>
      <c r="AC352" s="53"/>
      <c r="AD352" s="52">
        <v>0.0</v>
      </c>
      <c r="AE352" s="51"/>
      <c r="AF352" s="52">
        <v>0.0</v>
      </c>
      <c r="AG352" s="51"/>
      <c r="AH352" s="52">
        <v>0.0</v>
      </c>
      <c r="AI352" s="51"/>
      <c r="AJ352" s="68"/>
      <c r="AK352" s="53"/>
      <c r="AL352" s="49">
        <v>0.0</v>
      </c>
      <c r="AM352" s="53"/>
      <c r="AN352" s="49">
        <v>0.0</v>
      </c>
      <c r="AO352" s="53"/>
      <c r="AP352" s="49">
        <v>0.0</v>
      </c>
      <c r="AQ352" s="53"/>
      <c r="AR352" s="52">
        <v>0.0</v>
      </c>
      <c r="AS352" s="51"/>
      <c r="AT352" s="52">
        <v>0.0</v>
      </c>
      <c r="AU352" s="53"/>
      <c r="AV352" s="55">
        <f t="shared" si="1"/>
        <v>0</v>
      </c>
      <c r="AW352" s="46">
        <f t="shared" si="2"/>
        <v>0</v>
      </c>
      <c r="AX352" s="46">
        <f t="shared" si="3"/>
        <v>0</v>
      </c>
      <c r="AY352" s="46">
        <f t="shared" si="4"/>
        <v>0</v>
      </c>
      <c r="AZ352" s="56" t="str">
        <f t="shared" si="5"/>
        <v/>
      </c>
    </row>
    <row r="353" ht="15.75" customHeight="1">
      <c r="A353" s="19" t="s">
        <v>30</v>
      </c>
      <c r="B353" s="57">
        <f t="shared" si="6"/>
        <v>44913</v>
      </c>
      <c r="C353" s="21">
        <v>13.0</v>
      </c>
      <c r="D353" s="21" t="s">
        <v>49</v>
      </c>
      <c r="E353" s="95"/>
      <c r="F353" s="96">
        <v>0.0</v>
      </c>
      <c r="H353" s="97">
        <v>0.0</v>
      </c>
      <c r="J353" s="97">
        <v>0.0</v>
      </c>
      <c r="L353" s="97">
        <v>0.0</v>
      </c>
      <c r="N353" s="97">
        <v>0.0</v>
      </c>
      <c r="P353" s="97">
        <v>0.0</v>
      </c>
      <c r="Q353" s="26"/>
      <c r="R353" s="96">
        <v>0.0</v>
      </c>
      <c r="T353" s="97">
        <v>0.0</v>
      </c>
      <c r="V353" s="97">
        <v>0.0</v>
      </c>
      <c r="X353" s="97">
        <v>0.0</v>
      </c>
      <c r="Z353" s="97">
        <v>0.0</v>
      </c>
      <c r="AB353" s="97">
        <v>0.0</v>
      </c>
      <c r="AC353" s="26"/>
      <c r="AD353" s="97">
        <v>0.0</v>
      </c>
      <c r="AF353" s="97">
        <v>0.0</v>
      </c>
      <c r="AH353" s="97">
        <v>0.0</v>
      </c>
      <c r="AJ353" s="59"/>
      <c r="AK353" s="26"/>
      <c r="AL353" s="96">
        <v>0.0</v>
      </c>
      <c r="AM353" s="26"/>
      <c r="AN353" s="96">
        <v>0.0</v>
      </c>
      <c r="AO353" s="26"/>
      <c r="AP353" s="96">
        <v>0.0</v>
      </c>
      <c r="AQ353" s="26"/>
      <c r="AR353" s="97">
        <v>0.0</v>
      </c>
      <c r="AT353" s="97">
        <v>0.0</v>
      </c>
      <c r="AU353" s="26"/>
      <c r="AV353" s="29">
        <f t="shared" si="1"/>
        <v>0</v>
      </c>
      <c r="AW353" s="21">
        <f t="shared" si="2"/>
        <v>0</v>
      </c>
      <c r="AX353" s="21">
        <f t="shared" si="3"/>
        <v>0</v>
      </c>
      <c r="AY353" s="21">
        <f t="shared" si="4"/>
        <v>0</v>
      </c>
      <c r="AZ353" s="58" t="str">
        <f t="shared" si="5"/>
        <v/>
      </c>
    </row>
    <row r="354" ht="15.75" customHeight="1">
      <c r="A354" s="31" t="s">
        <v>33</v>
      </c>
      <c r="B354" s="32">
        <f t="shared" si="6"/>
        <v>44914</v>
      </c>
      <c r="C354" s="33">
        <v>13.0</v>
      </c>
      <c r="D354" s="33" t="s">
        <v>49</v>
      </c>
      <c r="E354" s="98" t="s">
        <v>65</v>
      </c>
      <c r="F354" s="96">
        <v>0.0</v>
      </c>
      <c r="H354" s="97">
        <v>0.0</v>
      </c>
      <c r="J354" s="97">
        <v>0.0</v>
      </c>
      <c r="L354" s="97">
        <v>0.0</v>
      </c>
      <c r="N354" s="97">
        <v>0.0</v>
      </c>
      <c r="P354" s="97">
        <v>0.0</v>
      </c>
      <c r="Q354" s="26"/>
      <c r="R354" s="96">
        <v>0.0</v>
      </c>
      <c r="T354" s="97">
        <v>0.0</v>
      </c>
      <c r="V354" s="97">
        <v>0.0</v>
      </c>
      <c r="X354" s="97">
        <v>0.0</v>
      </c>
      <c r="Z354" s="97">
        <v>0.0</v>
      </c>
      <c r="AB354" s="97">
        <v>0.0</v>
      </c>
      <c r="AC354" s="26"/>
      <c r="AD354" s="97">
        <v>0.0</v>
      </c>
      <c r="AF354" s="97">
        <v>0.0</v>
      </c>
      <c r="AH354" s="97">
        <v>0.0</v>
      </c>
      <c r="AJ354" s="59"/>
      <c r="AK354" s="26"/>
      <c r="AL354" s="96">
        <v>0.0</v>
      </c>
      <c r="AM354" s="26"/>
      <c r="AN354" s="96">
        <v>0.0</v>
      </c>
      <c r="AO354" s="26"/>
      <c r="AP354" s="96">
        <v>0.0</v>
      </c>
      <c r="AQ354" s="26"/>
      <c r="AR354" s="97">
        <v>0.0</v>
      </c>
      <c r="AT354" s="97">
        <v>0.0</v>
      </c>
      <c r="AU354" s="26"/>
      <c r="AV354" s="35">
        <f t="shared" si="1"/>
        <v>0</v>
      </c>
      <c r="AW354" s="33">
        <f t="shared" si="2"/>
        <v>0</v>
      </c>
      <c r="AX354" s="33">
        <f t="shared" si="3"/>
        <v>0</v>
      </c>
      <c r="AY354" s="33">
        <f t="shared" si="4"/>
        <v>0</v>
      </c>
      <c r="AZ354" s="30" t="str">
        <f t="shared" si="5"/>
        <v/>
      </c>
    </row>
    <row r="355" ht="15.75" customHeight="1">
      <c r="A355" s="31" t="s">
        <v>34</v>
      </c>
      <c r="B355" s="32">
        <f t="shared" si="6"/>
        <v>44915</v>
      </c>
      <c r="C355" s="33">
        <v>13.0</v>
      </c>
      <c r="D355" s="33" t="s">
        <v>49</v>
      </c>
      <c r="E355" s="98" t="s">
        <v>79</v>
      </c>
      <c r="F355" s="96">
        <v>0.0</v>
      </c>
      <c r="H355" s="97">
        <v>0.0</v>
      </c>
      <c r="J355" s="97">
        <v>0.0</v>
      </c>
      <c r="L355" s="97">
        <v>0.0</v>
      </c>
      <c r="N355" s="97">
        <v>0.0</v>
      </c>
      <c r="P355" s="97">
        <v>0.0</v>
      </c>
      <c r="Q355" s="26"/>
      <c r="R355" s="96">
        <v>0.0</v>
      </c>
      <c r="T355" s="97">
        <v>0.0</v>
      </c>
      <c r="V355" s="97">
        <v>0.0</v>
      </c>
      <c r="X355" s="97">
        <v>0.0</v>
      </c>
      <c r="Z355" s="97">
        <v>0.0</v>
      </c>
      <c r="AB355" s="97">
        <v>0.0</v>
      </c>
      <c r="AC355" s="26"/>
      <c r="AD355" s="97">
        <v>0.0</v>
      </c>
      <c r="AF355" s="97">
        <v>0.0</v>
      </c>
      <c r="AH355" s="97">
        <v>0.0</v>
      </c>
      <c r="AJ355" s="59"/>
      <c r="AK355" s="26"/>
      <c r="AL355" s="96">
        <v>0.0</v>
      </c>
      <c r="AM355" s="26"/>
      <c r="AN355" s="96">
        <v>0.0</v>
      </c>
      <c r="AO355" s="26"/>
      <c r="AP355" s="96">
        <v>0.0</v>
      </c>
      <c r="AQ355" s="26"/>
      <c r="AR355" s="97">
        <v>0.0</v>
      </c>
      <c r="AT355" s="97">
        <v>0.0</v>
      </c>
      <c r="AU355" s="26"/>
      <c r="AV355" s="35">
        <f t="shared" si="1"/>
        <v>0</v>
      </c>
      <c r="AW355" s="33">
        <f t="shared" si="2"/>
        <v>0</v>
      </c>
      <c r="AX355" s="33">
        <f t="shared" si="3"/>
        <v>0</v>
      </c>
      <c r="AY355" s="33">
        <f t="shared" si="4"/>
        <v>0</v>
      </c>
      <c r="AZ355" s="30" t="str">
        <f t="shared" si="5"/>
        <v/>
      </c>
    </row>
    <row r="356" ht="15.75" customHeight="1">
      <c r="A356" s="31" t="s">
        <v>35</v>
      </c>
      <c r="B356" s="32">
        <f t="shared" si="6"/>
        <v>44916</v>
      </c>
      <c r="C356" s="33">
        <v>13.0</v>
      </c>
      <c r="D356" s="33" t="s">
        <v>49</v>
      </c>
      <c r="E356" s="98" t="s">
        <v>80</v>
      </c>
      <c r="F356" s="96">
        <v>0.0</v>
      </c>
      <c r="H356" s="97">
        <v>0.0</v>
      </c>
      <c r="J356" s="97">
        <v>0.0</v>
      </c>
      <c r="L356" s="97">
        <v>0.0</v>
      </c>
      <c r="N356" s="97">
        <v>0.0</v>
      </c>
      <c r="P356" s="97">
        <v>0.0</v>
      </c>
      <c r="Q356" s="26"/>
      <c r="R356" s="96">
        <v>0.0</v>
      </c>
      <c r="T356" s="97">
        <v>0.0</v>
      </c>
      <c r="V356" s="97">
        <v>0.0</v>
      </c>
      <c r="X356" s="97">
        <v>0.0</v>
      </c>
      <c r="Z356" s="97">
        <v>0.0</v>
      </c>
      <c r="AB356" s="97">
        <v>0.0</v>
      </c>
      <c r="AC356" s="26"/>
      <c r="AD356" s="97">
        <v>0.0</v>
      </c>
      <c r="AF356" s="97">
        <v>0.0</v>
      </c>
      <c r="AH356" s="97">
        <v>0.0</v>
      </c>
      <c r="AJ356" s="59"/>
      <c r="AK356" s="26"/>
      <c r="AL356" s="96">
        <v>0.0</v>
      </c>
      <c r="AM356" s="26"/>
      <c r="AN356" s="96">
        <v>0.0</v>
      </c>
      <c r="AO356" s="26"/>
      <c r="AP356" s="96">
        <v>0.0</v>
      </c>
      <c r="AQ356" s="26"/>
      <c r="AR356" s="97">
        <v>0.0</v>
      </c>
      <c r="AT356" s="97">
        <v>0.0</v>
      </c>
      <c r="AU356" s="26"/>
      <c r="AV356" s="35">
        <f t="shared" si="1"/>
        <v>0</v>
      </c>
      <c r="AW356" s="33">
        <f t="shared" si="2"/>
        <v>0</v>
      </c>
      <c r="AX356" s="33">
        <f t="shared" si="3"/>
        <v>0</v>
      </c>
      <c r="AY356" s="33">
        <f t="shared" si="4"/>
        <v>0</v>
      </c>
      <c r="AZ356" s="30" t="str">
        <f t="shared" si="5"/>
        <v/>
      </c>
    </row>
    <row r="357" ht="15.75" customHeight="1">
      <c r="A357" s="31" t="s">
        <v>38</v>
      </c>
      <c r="B357" s="32">
        <f t="shared" si="6"/>
        <v>44917</v>
      </c>
      <c r="C357" s="33">
        <v>13.0</v>
      </c>
      <c r="D357" s="33" t="s">
        <v>49</v>
      </c>
      <c r="E357" s="99"/>
      <c r="F357" s="96">
        <v>0.0</v>
      </c>
      <c r="H357" s="97">
        <v>0.0</v>
      </c>
      <c r="J357" s="97">
        <v>0.0</v>
      </c>
      <c r="L357" s="97">
        <v>0.0</v>
      </c>
      <c r="N357" s="97">
        <v>0.0</v>
      </c>
      <c r="P357" s="97">
        <v>0.0</v>
      </c>
      <c r="Q357" s="26"/>
      <c r="R357" s="96">
        <v>0.0</v>
      </c>
      <c r="T357" s="97">
        <v>0.0</v>
      </c>
      <c r="V357" s="97">
        <v>0.0</v>
      </c>
      <c r="X357" s="97">
        <v>0.0</v>
      </c>
      <c r="Z357" s="97">
        <v>0.0</v>
      </c>
      <c r="AB357" s="97">
        <v>0.0</v>
      </c>
      <c r="AC357" s="26"/>
      <c r="AD357" s="97">
        <v>0.0</v>
      </c>
      <c r="AF357" s="97">
        <v>0.0</v>
      </c>
      <c r="AH357" s="97">
        <v>0.0</v>
      </c>
      <c r="AJ357" s="59"/>
      <c r="AK357" s="26"/>
      <c r="AL357" s="96">
        <v>0.0</v>
      </c>
      <c r="AM357" s="26"/>
      <c r="AN357" s="96">
        <v>0.0</v>
      </c>
      <c r="AO357" s="26"/>
      <c r="AP357" s="96">
        <v>0.0</v>
      </c>
      <c r="AQ357" s="26"/>
      <c r="AR357" s="97">
        <v>0.0</v>
      </c>
      <c r="AT357" s="97">
        <v>0.0</v>
      </c>
      <c r="AU357" s="26"/>
      <c r="AV357" s="35">
        <f t="shared" si="1"/>
        <v>0</v>
      </c>
      <c r="AW357" s="33">
        <f t="shared" si="2"/>
        <v>0</v>
      </c>
      <c r="AX357" s="33">
        <f t="shared" si="3"/>
        <v>0</v>
      </c>
      <c r="AY357" s="33">
        <f t="shared" si="4"/>
        <v>0</v>
      </c>
      <c r="AZ357" s="30" t="str">
        <f t="shared" si="5"/>
        <v/>
      </c>
    </row>
    <row r="358" ht="15.75" customHeight="1">
      <c r="A358" s="31" t="s">
        <v>45</v>
      </c>
      <c r="B358" s="32">
        <f t="shared" si="6"/>
        <v>44918</v>
      </c>
      <c r="C358" s="33">
        <v>13.0</v>
      </c>
      <c r="D358" s="33" t="s">
        <v>49</v>
      </c>
      <c r="E358" s="99"/>
      <c r="F358" s="96">
        <v>0.0</v>
      </c>
      <c r="H358" s="97">
        <v>0.0</v>
      </c>
      <c r="J358" s="97">
        <v>0.0</v>
      </c>
      <c r="L358" s="97">
        <v>0.0</v>
      </c>
      <c r="N358" s="97">
        <v>0.0</v>
      </c>
      <c r="P358" s="97">
        <v>0.0</v>
      </c>
      <c r="Q358" s="26"/>
      <c r="R358" s="96">
        <v>0.0</v>
      </c>
      <c r="T358" s="97">
        <v>0.0</v>
      </c>
      <c r="V358" s="97">
        <v>0.0</v>
      </c>
      <c r="X358" s="97">
        <v>0.0</v>
      </c>
      <c r="Z358" s="97">
        <v>0.0</v>
      </c>
      <c r="AB358" s="97">
        <v>0.0</v>
      </c>
      <c r="AC358" s="26"/>
      <c r="AD358" s="97">
        <v>0.0</v>
      </c>
      <c r="AF358" s="97">
        <v>0.0</v>
      </c>
      <c r="AH358" s="97">
        <v>0.0</v>
      </c>
      <c r="AJ358" s="59"/>
      <c r="AK358" s="26"/>
      <c r="AL358" s="96">
        <v>0.0</v>
      </c>
      <c r="AM358" s="26"/>
      <c r="AN358" s="96">
        <v>0.0</v>
      </c>
      <c r="AO358" s="26"/>
      <c r="AP358" s="96">
        <v>0.0</v>
      </c>
      <c r="AQ358" s="26"/>
      <c r="AR358" s="97">
        <v>0.0</v>
      </c>
      <c r="AT358" s="97">
        <v>0.0</v>
      </c>
      <c r="AU358" s="26"/>
      <c r="AV358" s="35">
        <f t="shared" si="1"/>
        <v>0</v>
      </c>
      <c r="AW358" s="33">
        <f t="shared" si="2"/>
        <v>0</v>
      </c>
      <c r="AX358" s="33">
        <f t="shared" si="3"/>
        <v>0</v>
      </c>
      <c r="AY358" s="33">
        <f t="shared" si="4"/>
        <v>0</v>
      </c>
      <c r="AZ358" s="30" t="str">
        <f t="shared" si="5"/>
        <v/>
      </c>
    </row>
    <row r="359" ht="15.75" customHeight="1">
      <c r="A359" s="44" t="s">
        <v>46</v>
      </c>
      <c r="B359" s="45">
        <f t="shared" si="6"/>
        <v>44919</v>
      </c>
      <c r="C359" s="46">
        <v>13.0</v>
      </c>
      <c r="D359" s="46" t="s">
        <v>49</v>
      </c>
      <c r="E359" s="100"/>
      <c r="F359" s="101">
        <v>0.0</v>
      </c>
      <c r="G359" s="51"/>
      <c r="H359" s="102">
        <v>0.0</v>
      </c>
      <c r="I359" s="51"/>
      <c r="J359" s="102">
        <v>0.0</v>
      </c>
      <c r="K359" s="51"/>
      <c r="L359" s="102">
        <v>0.0</v>
      </c>
      <c r="M359" s="51"/>
      <c r="N359" s="102">
        <v>0.0</v>
      </c>
      <c r="O359" s="51"/>
      <c r="P359" s="102">
        <v>0.0</v>
      </c>
      <c r="Q359" s="53"/>
      <c r="R359" s="101">
        <v>0.0</v>
      </c>
      <c r="S359" s="51"/>
      <c r="T359" s="102">
        <v>0.0</v>
      </c>
      <c r="U359" s="51"/>
      <c r="V359" s="102">
        <v>0.0</v>
      </c>
      <c r="W359" s="51"/>
      <c r="X359" s="102">
        <v>0.0</v>
      </c>
      <c r="Y359" s="51"/>
      <c r="Z359" s="102">
        <v>0.0</v>
      </c>
      <c r="AA359" s="51"/>
      <c r="AB359" s="102">
        <v>0.0</v>
      </c>
      <c r="AC359" s="53"/>
      <c r="AD359" s="102">
        <v>0.0</v>
      </c>
      <c r="AE359" s="51"/>
      <c r="AF359" s="102">
        <v>0.0</v>
      </c>
      <c r="AG359" s="51"/>
      <c r="AH359" s="102">
        <v>0.0</v>
      </c>
      <c r="AI359" s="51"/>
      <c r="AJ359" s="68"/>
      <c r="AK359" s="53"/>
      <c r="AL359" s="101">
        <v>0.0</v>
      </c>
      <c r="AM359" s="53"/>
      <c r="AN359" s="101">
        <v>0.0</v>
      </c>
      <c r="AO359" s="53"/>
      <c r="AP359" s="101">
        <v>0.0</v>
      </c>
      <c r="AQ359" s="53"/>
      <c r="AR359" s="102">
        <v>0.0</v>
      </c>
      <c r="AS359" s="51"/>
      <c r="AT359" s="102">
        <v>0.0</v>
      </c>
      <c r="AU359" s="53"/>
      <c r="AV359" s="55">
        <f t="shared" si="1"/>
        <v>0</v>
      </c>
      <c r="AW359" s="46">
        <f t="shared" si="2"/>
        <v>0</v>
      </c>
      <c r="AX359" s="46">
        <f t="shared" si="3"/>
        <v>0</v>
      </c>
      <c r="AY359" s="46">
        <f t="shared" si="4"/>
        <v>0</v>
      </c>
      <c r="AZ359" s="56" t="str">
        <f t="shared" si="5"/>
        <v/>
      </c>
    </row>
    <row r="360" ht="15.75" customHeight="1">
      <c r="A360" s="82"/>
      <c r="B360" s="83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5"/>
      <c r="AK360" s="85"/>
      <c r="AL360" s="103"/>
      <c r="AM360" s="104"/>
      <c r="AN360" s="103"/>
      <c r="AO360" s="104"/>
      <c r="AP360" s="103"/>
      <c r="AQ360" s="104"/>
      <c r="AR360" s="84"/>
      <c r="AS360" s="84"/>
      <c r="AT360" s="84"/>
      <c r="AU360" s="84"/>
      <c r="AV360" s="84"/>
      <c r="AW360" s="84"/>
      <c r="AX360" s="84"/>
      <c r="AY360" s="84"/>
      <c r="AZ360" s="84"/>
    </row>
    <row r="361" ht="15.75" customHeight="1">
      <c r="A361" s="82"/>
      <c r="B361" s="83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5"/>
      <c r="AK361" s="85"/>
      <c r="AL361" s="103"/>
      <c r="AM361" s="104"/>
      <c r="AN361" s="103"/>
      <c r="AO361" s="104"/>
      <c r="AP361" s="103"/>
      <c r="AQ361" s="105"/>
      <c r="AR361" s="86"/>
      <c r="AS361" s="86"/>
      <c r="AT361" s="86"/>
      <c r="AU361" s="86"/>
      <c r="AV361" s="87">
        <f>SUM(AV3:AV359)</f>
        <v>1222544.8</v>
      </c>
      <c r="AW361" s="88" t="s">
        <v>71</v>
      </c>
      <c r="AX361" s="86"/>
      <c r="AY361" s="89">
        <f>SUM(AY3:AY359)</f>
        <v>122948.66</v>
      </c>
      <c r="AZ361" s="84"/>
    </row>
    <row r="362" ht="15.75" customHeight="1">
      <c r="A362" s="82"/>
      <c r="B362" s="83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5"/>
      <c r="AK362" s="85"/>
      <c r="AL362" s="103"/>
      <c r="AM362" s="104"/>
      <c r="AN362" s="103"/>
      <c r="AO362" s="104"/>
      <c r="AP362" s="103"/>
      <c r="AQ362" s="105"/>
      <c r="AR362" s="86"/>
      <c r="AS362" s="86"/>
      <c r="AT362" s="86"/>
      <c r="AU362" s="86"/>
      <c r="AV362" s="90">
        <v>452812.0</v>
      </c>
      <c r="AW362" s="88" t="s">
        <v>72</v>
      </c>
      <c r="AX362" s="86"/>
      <c r="AY362" s="86"/>
      <c r="AZ362" s="84"/>
    </row>
    <row r="363" ht="15.75" customHeight="1">
      <c r="A363" s="82"/>
      <c r="B363" s="83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5"/>
      <c r="AK363" s="85"/>
      <c r="AL363" s="103"/>
      <c r="AM363" s="104"/>
      <c r="AN363" s="103"/>
      <c r="AO363" s="104"/>
      <c r="AP363" s="103"/>
      <c r="AQ363" s="105"/>
      <c r="AR363" s="86"/>
      <c r="AS363" s="86"/>
      <c r="AT363" s="86"/>
      <c r="AU363" s="86"/>
      <c r="AV363" s="87">
        <f>sum(AV361:AV362)</f>
        <v>1675356.8</v>
      </c>
      <c r="AW363" s="88" t="s">
        <v>73</v>
      </c>
      <c r="AX363" s="86"/>
      <c r="AY363" s="86"/>
      <c r="AZ363" s="84"/>
    </row>
    <row r="364" ht="15.75" customHeight="1">
      <c r="A364" s="82"/>
      <c r="B364" s="83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5"/>
      <c r="AK364" s="85"/>
      <c r="AL364" s="103"/>
      <c r="AM364" s="104"/>
      <c r="AN364" s="103"/>
      <c r="AO364" s="104"/>
      <c r="AP364" s="103"/>
      <c r="AQ364" s="105"/>
      <c r="AR364" s="86"/>
      <c r="AS364" s="86"/>
      <c r="AT364" s="86"/>
      <c r="AU364" s="86"/>
      <c r="AV364" s="86"/>
      <c r="AW364" s="86"/>
      <c r="AX364" s="86"/>
      <c r="AY364" s="86"/>
      <c r="AZ364" s="84"/>
    </row>
    <row r="365" ht="15.75" customHeight="1">
      <c r="A365" s="82"/>
      <c r="B365" s="83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5"/>
      <c r="AK365" s="85"/>
      <c r="AL365" s="103"/>
      <c r="AM365" s="104"/>
      <c r="AN365" s="103"/>
      <c r="AO365" s="104"/>
      <c r="AP365" s="103"/>
      <c r="AQ365" s="105"/>
      <c r="AR365" s="86"/>
      <c r="AS365" s="86"/>
      <c r="AT365" s="86"/>
      <c r="AU365" s="91" t="s">
        <v>74</v>
      </c>
      <c r="AV365" s="92" t="s">
        <v>75</v>
      </c>
      <c r="AW365" s="92" t="s">
        <v>76</v>
      </c>
      <c r="AX365" s="92" t="s">
        <v>77</v>
      </c>
      <c r="AY365" s="88" t="s">
        <v>78</v>
      </c>
      <c r="AZ365" s="84"/>
    </row>
    <row r="366" ht="15.75" customHeight="1">
      <c r="A366" s="82"/>
      <c r="B366" s="83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5"/>
      <c r="AK366" s="85"/>
      <c r="AL366" s="103"/>
      <c r="AM366" s="104"/>
      <c r="AN366" s="103"/>
      <c r="AO366" s="104"/>
      <c r="AP366" s="103"/>
      <c r="AQ366" s="105"/>
      <c r="AR366" s="86"/>
      <c r="AS366" s="86"/>
      <c r="AT366" s="86"/>
      <c r="AU366" s="91">
        <v>1.0</v>
      </c>
      <c r="AV366" s="93">
        <f t="shared" ref="AV366:AV378" si="7">SUMIF($C$3:$C$359, AU366, $AV$3:$AV$359)</f>
        <v>40357.2</v>
      </c>
      <c r="AW366" s="91">
        <f>sum(R3:AC30)</f>
        <v>3980</v>
      </c>
      <c r="AX366" s="92">
        <v>0.0</v>
      </c>
      <c r="AY366" s="88">
        <v>0.0</v>
      </c>
      <c r="AZ366" s="84"/>
    </row>
    <row r="367" ht="15.75" customHeight="1">
      <c r="A367" s="82"/>
      <c r="B367" s="83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5"/>
      <c r="AK367" s="85"/>
      <c r="AL367" s="103"/>
      <c r="AM367" s="104"/>
      <c r="AN367" s="103"/>
      <c r="AO367" s="104"/>
      <c r="AP367" s="103"/>
      <c r="AQ367" s="105"/>
      <c r="AR367" s="86"/>
      <c r="AS367" s="86"/>
      <c r="AT367" s="86"/>
      <c r="AU367" s="91">
        <v>2.0</v>
      </c>
      <c r="AV367" s="93">
        <f t="shared" si="7"/>
        <v>196606.73</v>
      </c>
      <c r="AW367" s="91">
        <f>sum(R31:AC58)</f>
        <v>9667</v>
      </c>
      <c r="AX367" s="91">
        <f>sum(F31:Q58)</f>
        <v>4715</v>
      </c>
      <c r="AY367" s="88">
        <v>0.0</v>
      </c>
      <c r="AZ367" s="84"/>
    </row>
    <row r="368" ht="15.75" customHeight="1">
      <c r="A368" s="9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5"/>
      <c r="AK368" s="85"/>
      <c r="AL368" s="103"/>
      <c r="AM368" s="104"/>
      <c r="AN368" s="103"/>
      <c r="AO368" s="104"/>
      <c r="AP368" s="103"/>
      <c r="AQ368" s="105"/>
      <c r="AR368" s="86"/>
      <c r="AS368" s="86"/>
      <c r="AT368" s="86"/>
      <c r="AU368" s="91">
        <v>3.0</v>
      </c>
      <c r="AV368" s="93">
        <f t="shared" si="7"/>
        <v>309447.35</v>
      </c>
      <c r="AW368" s="91">
        <f>sum(R59:AC86)</f>
        <v>14915</v>
      </c>
      <c r="AX368" s="91">
        <f>sum(F59:Q86)</f>
        <v>7775</v>
      </c>
      <c r="AY368" s="88">
        <v>0.0</v>
      </c>
      <c r="AZ368" s="84"/>
    </row>
    <row r="369" ht="15.75" customHeight="1">
      <c r="A369" s="9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5"/>
      <c r="AK369" s="85"/>
      <c r="AL369" s="103"/>
      <c r="AM369" s="104"/>
      <c r="AN369" s="103"/>
      <c r="AO369" s="104"/>
      <c r="AP369" s="103"/>
      <c r="AQ369" s="105"/>
      <c r="AR369" s="86"/>
      <c r="AS369" s="86"/>
      <c r="AT369" s="86"/>
      <c r="AU369" s="91">
        <v>4.0</v>
      </c>
      <c r="AV369" s="93">
        <f t="shared" si="7"/>
        <v>95502.54</v>
      </c>
      <c r="AW369" s="91">
        <f>sum(R87:AC114)</f>
        <v>8026</v>
      </c>
      <c r="AX369" s="91">
        <v>0.0</v>
      </c>
      <c r="AY369" s="86">
        <f>sum(AD87:AI114)</f>
        <v>400</v>
      </c>
      <c r="AZ369" s="84"/>
    </row>
    <row r="370" ht="15.75" customHeight="1">
      <c r="A370" s="9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5"/>
      <c r="AK370" s="85"/>
      <c r="AL370" s="103"/>
      <c r="AM370" s="104"/>
      <c r="AN370" s="103"/>
      <c r="AO370" s="104"/>
      <c r="AP370" s="103"/>
      <c r="AQ370" s="105"/>
      <c r="AR370" s="86"/>
      <c r="AS370" s="86"/>
      <c r="AT370" s="86"/>
      <c r="AU370" s="91">
        <v>5.0</v>
      </c>
      <c r="AV370" s="93">
        <f t="shared" si="7"/>
        <v>86316.6</v>
      </c>
      <c r="AW370" s="91">
        <f>sum(R115:AC142)</f>
        <v>7440</v>
      </c>
      <c r="AX370" s="91">
        <v>0.0</v>
      </c>
      <c r="AY370" s="86">
        <f>sum(AD115:AI142)</f>
        <v>750</v>
      </c>
      <c r="AZ370" s="84"/>
    </row>
    <row r="371" ht="15.75" customHeight="1">
      <c r="A371" s="9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5"/>
      <c r="AK371" s="85"/>
      <c r="AL371" s="103"/>
      <c r="AM371" s="104"/>
      <c r="AN371" s="103"/>
      <c r="AO371" s="104"/>
      <c r="AP371" s="103"/>
      <c r="AQ371" s="105"/>
      <c r="AR371" s="86"/>
      <c r="AS371" s="86"/>
      <c r="AT371" s="86"/>
      <c r="AU371" s="91">
        <v>6.0</v>
      </c>
      <c r="AV371" s="93">
        <f t="shared" si="7"/>
        <v>90266.28</v>
      </c>
      <c r="AW371" s="91">
        <f>sum(R143:AC170)</f>
        <v>7452</v>
      </c>
      <c r="AX371" s="91">
        <v>0.0</v>
      </c>
      <c r="AY371" s="86">
        <f>sum(AD143:AI170)</f>
        <v>1014</v>
      </c>
      <c r="AZ371" s="84"/>
    </row>
    <row r="372" ht="15.75" customHeight="1">
      <c r="A372" s="9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5"/>
      <c r="AK372" s="85"/>
      <c r="AL372" s="103"/>
      <c r="AM372" s="104"/>
      <c r="AN372" s="103"/>
      <c r="AO372" s="104"/>
      <c r="AP372" s="103"/>
      <c r="AQ372" s="105"/>
      <c r="AR372" s="86"/>
      <c r="AS372" s="86"/>
      <c r="AT372" s="86"/>
      <c r="AU372" s="91">
        <v>7.0</v>
      </c>
      <c r="AV372" s="93">
        <f t="shared" si="7"/>
        <v>80067.3</v>
      </c>
      <c r="AW372" s="91">
        <f>sum(R171:AC198)</f>
        <v>6695</v>
      </c>
      <c r="AX372" s="91">
        <v>0.0</v>
      </c>
      <c r="AY372" s="86">
        <f>sum(AD171:AI198)</f>
        <v>840</v>
      </c>
      <c r="AZ372" s="84"/>
    </row>
    <row r="373" ht="15.75" customHeight="1">
      <c r="A373" s="9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5"/>
      <c r="AK373" s="85"/>
      <c r="AL373" s="103"/>
      <c r="AM373" s="104"/>
      <c r="AN373" s="103"/>
      <c r="AO373" s="104"/>
      <c r="AP373" s="103"/>
      <c r="AQ373" s="105"/>
      <c r="AR373" s="86"/>
      <c r="AS373" s="86"/>
      <c r="AT373" s="86"/>
      <c r="AU373" s="91">
        <v>8.0</v>
      </c>
      <c r="AV373" s="93">
        <f t="shared" si="7"/>
        <v>96532.64</v>
      </c>
      <c r="AW373" s="91">
        <f>sum(R199:AC226)</f>
        <v>8376</v>
      </c>
      <c r="AX373" s="91">
        <v>0.0</v>
      </c>
      <c r="AY373" s="86">
        <f>sum(AD199:AI226)</f>
        <v>800</v>
      </c>
      <c r="AZ373" s="84"/>
    </row>
    <row r="374" ht="15.75" customHeight="1">
      <c r="A374" s="9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5"/>
      <c r="AK374" s="85"/>
      <c r="AL374" s="103"/>
      <c r="AM374" s="104"/>
      <c r="AN374" s="103"/>
      <c r="AO374" s="104"/>
      <c r="AP374" s="103"/>
      <c r="AQ374" s="105"/>
      <c r="AR374" s="86"/>
      <c r="AS374" s="86"/>
      <c r="AT374" s="86"/>
      <c r="AU374" s="91">
        <v>9.0</v>
      </c>
      <c r="AV374" s="93">
        <f t="shared" si="7"/>
        <v>63694.2</v>
      </c>
      <c r="AW374" s="91">
        <f>sum(R227:AC254)</f>
        <v>4780</v>
      </c>
      <c r="AX374" s="91">
        <v>0.0</v>
      </c>
      <c r="AY374" s="86">
        <f>sum(AD227:AI254)</f>
        <v>1050</v>
      </c>
      <c r="AZ374" s="84"/>
    </row>
    <row r="375" ht="15.75" customHeight="1">
      <c r="A375" s="9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5"/>
      <c r="AK375" s="85"/>
      <c r="AL375" s="103"/>
      <c r="AM375" s="104"/>
      <c r="AN375" s="103"/>
      <c r="AO375" s="104"/>
      <c r="AP375" s="103"/>
      <c r="AQ375" s="105"/>
      <c r="AR375" s="86"/>
      <c r="AS375" s="86"/>
      <c r="AT375" s="86"/>
      <c r="AU375" s="91">
        <v>10.0</v>
      </c>
      <c r="AV375" s="93">
        <f t="shared" si="7"/>
        <v>74339.44</v>
      </c>
      <c r="AW375" s="91">
        <f>sum(R255:AC282)</f>
        <v>6996</v>
      </c>
      <c r="AX375" s="91">
        <v>0.0</v>
      </c>
      <c r="AY375" s="86">
        <f>sum(AD255:AI282)</f>
        <v>0</v>
      </c>
      <c r="AZ375" s="84"/>
    </row>
    <row r="376" ht="15.75" customHeight="1">
      <c r="A376" s="9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5"/>
      <c r="AK376" s="85"/>
      <c r="AL376" s="103"/>
      <c r="AM376" s="104"/>
      <c r="AN376" s="103"/>
      <c r="AO376" s="104"/>
      <c r="AP376" s="103"/>
      <c r="AQ376" s="105"/>
      <c r="AR376" s="86"/>
      <c r="AS376" s="86"/>
      <c r="AT376" s="86"/>
      <c r="AU376" s="91">
        <v>11.0</v>
      </c>
      <c r="AV376" s="93">
        <f t="shared" si="7"/>
        <v>52525.2</v>
      </c>
      <c r="AW376" s="91">
        <f>sum(R283:AC310)</f>
        <v>5180</v>
      </c>
      <c r="AX376" s="91">
        <v>0.0</v>
      </c>
      <c r="AY376" s="88">
        <v>0.0</v>
      </c>
      <c r="AZ376" s="84"/>
    </row>
    <row r="377" ht="15.75" customHeight="1">
      <c r="A377" s="9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5"/>
      <c r="AK377" s="85"/>
      <c r="AL377" s="103"/>
      <c r="AM377" s="104"/>
      <c r="AN377" s="103"/>
      <c r="AO377" s="104"/>
      <c r="AP377" s="103"/>
      <c r="AQ377" s="105"/>
      <c r="AR377" s="86"/>
      <c r="AS377" s="86"/>
      <c r="AT377" s="86"/>
      <c r="AU377" s="91">
        <v>12.0</v>
      </c>
      <c r="AV377" s="93">
        <f t="shared" si="7"/>
        <v>26039.52</v>
      </c>
      <c r="AW377" s="91">
        <f>sum(R311:AC338)</f>
        <v>2568</v>
      </c>
      <c r="AX377" s="91">
        <v>0.0</v>
      </c>
      <c r="AY377" s="88">
        <v>0.0</v>
      </c>
      <c r="AZ377" s="84"/>
    </row>
    <row r="378" ht="15.75" customHeight="1">
      <c r="A378" s="9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5"/>
      <c r="AK378" s="85"/>
      <c r="AL378" s="103"/>
      <c r="AM378" s="104"/>
      <c r="AN378" s="103"/>
      <c r="AO378" s="104"/>
      <c r="AP378" s="103"/>
      <c r="AQ378" s="105"/>
      <c r="AR378" s="86"/>
      <c r="AS378" s="86"/>
      <c r="AT378" s="86"/>
      <c r="AU378" s="91">
        <v>13.0</v>
      </c>
      <c r="AV378" s="93">
        <f t="shared" si="7"/>
        <v>10849.8</v>
      </c>
      <c r="AW378" s="91">
        <f>sum(R339:AC359)</f>
        <v>1070</v>
      </c>
      <c r="AX378" s="91">
        <v>0.0</v>
      </c>
      <c r="AY378" s="88">
        <v>0.0</v>
      </c>
      <c r="AZ378" s="84"/>
    </row>
    <row r="379" ht="15.75" customHeight="1">
      <c r="A379" s="9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5"/>
      <c r="AK379" s="85"/>
      <c r="AL379" s="103"/>
      <c r="AM379" s="104"/>
      <c r="AN379" s="103"/>
      <c r="AO379" s="104"/>
      <c r="AP379" s="103"/>
      <c r="AQ379" s="105"/>
      <c r="AR379" s="86"/>
      <c r="AS379" s="86"/>
      <c r="AT379" s="86"/>
      <c r="AU379" s="86"/>
      <c r="AV379" s="86"/>
      <c r="AW379" s="86"/>
      <c r="AX379" s="86"/>
      <c r="AY379" s="86"/>
      <c r="AZ379" s="84"/>
    </row>
    <row r="380" ht="15.75" customHeight="1">
      <c r="A380" s="9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5"/>
      <c r="AK380" s="85"/>
      <c r="AL380" s="103"/>
      <c r="AM380" s="104"/>
      <c r="AN380" s="103"/>
      <c r="AO380" s="104"/>
      <c r="AP380" s="103"/>
      <c r="AQ380" s="104"/>
      <c r="AR380" s="84"/>
      <c r="AS380" s="84"/>
      <c r="AT380" s="84"/>
      <c r="AU380" s="84"/>
      <c r="AV380" s="84"/>
      <c r="AW380" s="84"/>
      <c r="AX380" s="84"/>
      <c r="AY380" s="84"/>
      <c r="AZ380" s="84"/>
    </row>
    <row r="381" ht="15.75" customHeight="1">
      <c r="A381" s="9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5"/>
      <c r="AK381" s="85"/>
      <c r="AL381" s="103"/>
      <c r="AM381" s="104"/>
      <c r="AN381" s="103"/>
      <c r="AO381" s="104"/>
      <c r="AP381" s="103"/>
      <c r="AQ381" s="104"/>
      <c r="AR381" s="84"/>
      <c r="AS381" s="84"/>
      <c r="AT381" s="84"/>
      <c r="AU381" s="84"/>
      <c r="AV381" s="84"/>
      <c r="AW381" s="84"/>
      <c r="AX381" s="84"/>
      <c r="AY381" s="84"/>
      <c r="AZ381" s="84"/>
    </row>
    <row r="382" ht="15.75" customHeight="1">
      <c r="A382" s="9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5"/>
      <c r="AK382" s="85"/>
      <c r="AL382" s="103"/>
      <c r="AM382" s="104"/>
      <c r="AN382" s="103"/>
      <c r="AO382" s="104"/>
      <c r="AP382" s="103"/>
      <c r="AQ382" s="104"/>
      <c r="AR382" s="84"/>
      <c r="AS382" s="84"/>
      <c r="AT382" s="84"/>
      <c r="AU382" s="84"/>
      <c r="AV382" s="84"/>
      <c r="AW382" s="84"/>
      <c r="AX382" s="84"/>
      <c r="AY382" s="84"/>
      <c r="AZ382" s="84"/>
    </row>
    <row r="383" ht="15.75" customHeight="1">
      <c r="A383" s="9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5"/>
      <c r="AK383" s="85"/>
      <c r="AL383" s="103"/>
      <c r="AM383" s="104"/>
      <c r="AN383" s="103"/>
      <c r="AO383" s="104"/>
      <c r="AP383" s="103"/>
      <c r="AQ383" s="104"/>
      <c r="AR383" s="84"/>
      <c r="AS383" s="84"/>
      <c r="AT383" s="84"/>
      <c r="AU383" s="84"/>
      <c r="AV383" s="84"/>
      <c r="AW383" s="84"/>
      <c r="AX383" s="84"/>
      <c r="AY383" s="84"/>
      <c r="AZ383" s="84"/>
    </row>
    <row r="384" ht="15.75" customHeight="1">
      <c r="A384" s="9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5"/>
      <c r="AK384" s="85"/>
      <c r="AL384" s="103"/>
      <c r="AM384" s="104"/>
      <c r="AN384" s="103"/>
      <c r="AO384" s="104"/>
      <c r="AP384" s="103"/>
      <c r="AQ384" s="104"/>
      <c r="AR384" s="84"/>
      <c r="AS384" s="84"/>
      <c r="AT384" s="84"/>
      <c r="AU384" s="84"/>
      <c r="AV384" s="84"/>
      <c r="AW384" s="84"/>
      <c r="AX384" s="84"/>
      <c r="AY384" s="84"/>
      <c r="AZ384" s="84"/>
    </row>
    <row r="385" ht="15.75" customHeight="1">
      <c r="A385" s="9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5"/>
      <c r="AK385" s="85"/>
      <c r="AL385" s="103"/>
      <c r="AM385" s="104"/>
      <c r="AN385" s="103"/>
      <c r="AO385" s="104"/>
      <c r="AP385" s="103"/>
      <c r="AQ385" s="104"/>
      <c r="AR385" s="84"/>
      <c r="AS385" s="84"/>
      <c r="AT385" s="84"/>
      <c r="AU385" s="84"/>
      <c r="AV385" s="84"/>
      <c r="AW385" s="84"/>
      <c r="AX385" s="84"/>
      <c r="AY385" s="84"/>
      <c r="AZ385" s="84"/>
    </row>
    <row r="386" ht="15.75" customHeight="1">
      <c r="A386" s="9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5"/>
      <c r="AK386" s="85"/>
      <c r="AL386" s="103"/>
      <c r="AM386" s="104"/>
      <c r="AN386" s="103"/>
      <c r="AO386" s="104"/>
      <c r="AP386" s="103"/>
      <c r="AQ386" s="104"/>
      <c r="AR386" s="84"/>
      <c r="AS386" s="84"/>
      <c r="AT386" s="84"/>
      <c r="AU386" s="84"/>
      <c r="AV386" s="84"/>
      <c r="AW386" s="84"/>
      <c r="AX386" s="84"/>
      <c r="AY386" s="84"/>
      <c r="AZ386" s="84"/>
    </row>
    <row r="387" ht="15.75" customHeight="1">
      <c r="A387" s="9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5"/>
      <c r="AK387" s="85"/>
      <c r="AL387" s="103"/>
      <c r="AM387" s="104"/>
      <c r="AN387" s="103"/>
      <c r="AO387" s="104"/>
      <c r="AP387" s="103"/>
      <c r="AQ387" s="104"/>
      <c r="AR387" s="84"/>
      <c r="AS387" s="84"/>
      <c r="AT387" s="84"/>
      <c r="AU387" s="84"/>
      <c r="AV387" s="84"/>
      <c r="AW387" s="84"/>
      <c r="AX387" s="84"/>
      <c r="AY387" s="84"/>
      <c r="AZ387" s="84"/>
    </row>
    <row r="388" ht="15.75" customHeight="1">
      <c r="A388" s="9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5"/>
      <c r="AK388" s="85"/>
      <c r="AL388" s="103"/>
      <c r="AM388" s="104"/>
      <c r="AN388" s="103"/>
      <c r="AO388" s="104"/>
      <c r="AP388" s="103"/>
      <c r="AQ388" s="104"/>
      <c r="AR388" s="84"/>
      <c r="AS388" s="84"/>
      <c r="AT388" s="84"/>
      <c r="AU388" s="84"/>
      <c r="AV388" s="84"/>
      <c r="AW388" s="84"/>
      <c r="AX388" s="84"/>
      <c r="AY388" s="84"/>
      <c r="AZ388" s="84"/>
    </row>
    <row r="389" ht="15.75" customHeight="1">
      <c r="A389" s="9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5"/>
      <c r="AK389" s="85"/>
      <c r="AL389" s="103"/>
      <c r="AM389" s="104"/>
      <c r="AN389" s="103"/>
      <c r="AO389" s="104"/>
      <c r="AP389" s="103"/>
      <c r="AQ389" s="104"/>
      <c r="AR389" s="84"/>
      <c r="AS389" s="84"/>
      <c r="AT389" s="84"/>
      <c r="AU389" s="84"/>
      <c r="AV389" s="84"/>
      <c r="AW389" s="84"/>
      <c r="AX389" s="84"/>
      <c r="AY389" s="84"/>
      <c r="AZ389" s="84"/>
    </row>
    <row r="390" ht="15.75" customHeight="1">
      <c r="A390" s="9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5"/>
      <c r="AK390" s="85"/>
      <c r="AL390" s="103"/>
      <c r="AM390" s="104"/>
      <c r="AN390" s="103"/>
      <c r="AO390" s="104"/>
      <c r="AP390" s="103"/>
      <c r="AQ390" s="104"/>
      <c r="AR390" s="84"/>
      <c r="AS390" s="84"/>
      <c r="AT390" s="84"/>
      <c r="AU390" s="84"/>
      <c r="AV390" s="84"/>
      <c r="AW390" s="84"/>
      <c r="AX390" s="84"/>
      <c r="AY390" s="84"/>
      <c r="AZ390" s="84"/>
    </row>
    <row r="391" ht="15.75" customHeight="1">
      <c r="A391" s="9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5"/>
      <c r="AK391" s="85"/>
      <c r="AL391" s="103"/>
      <c r="AM391" s="104"/>
      <c r="AN391" s="103"/>
      <c r="AO391" s="104"/>
      <c r="AP391" s="103"/>
      <c r="AQ391" s="104"/>
      <c r="AR391" s="84"/>
      <c r="AS391" s="84"/>
      <c r="AT391" s="84"/>
      <c r="AU391" s="84"/>
      <c r="AV391" s="84"/>
      <c r="AW391" s="84"/>
      <c r="AX391" s="84"/>
      <c r="AY391" s="84"/>
      <c r="AZ391" s="84"/>
    </row>
    <row r="392" ht="15.75" customHeight="1">
      <c r="A392" s="9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5"/>
      <c r="AK392" s="85"/>
      <c r="AL392" s="103"/>
      <c r="AM392" s="104"/>
      <c r="AN392" s="103"/>
      <c r="AO392" s="104"/>
      <c r="AP392" s="103"/>
      <c r="AQ392" s="104"/>
      <c r="AR392" s="84"/>
      <c r="AS392" s="84"/>
      <c r="AT392" s="84"/>
      <c r="AU392" s="84"/>
      <c r="AV392" s="84"/>
      <c r="AW392" s="84"/>
      <c r="AX392" s="84"/>
      <c r="AY392" s="84"/>
      <c r="AZ392" s="84"/>
    </row>
    <row r="393" ht="15.75" customHeight="1">
      <c r="A393" s="9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5"/>
      <c r="AK393" s="85"/>
      <c r="AL393" s="103"/>
      <c r="AM393" s="104"/>
      <c r="AN393" s="103"/>
      <c r="AO393" s="104"/>
      <c r="AP393" s="103"/>
      <c r="AQ393" s="104"/>
      <c r="AR393" s="84"/>
      <c r="AS393" s="84"/>
      <c r="AT393" s="84"/>
      <c r="AU393" s="84"/>
      <c r="AV393" s="84"/>
      <c r="AW393" s="84"/>
      <c r="AX393" s="84"/>
      <c r="AY393" s="84"/>
      <c r="AZ393" s="84"/>
    </row>
    <row r="394" ht="15.75" customHeight="1">
      <c r="A394" s="9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5"/>
      <c r="AK394" s="85"/>
      <c r="AL394" s="103"/>
      <c r="AM394" s="104"/>
      <c r="AN394" s="103"/>
      <c r="AO394" s="104"/>
      <c r="AP394" s="103"/>
      <c r="AQ394" s="104"/>
      <c r="AR394" s="84"/>
      <c r="AS394" s="84"/>
      <c r="AT394" s="84"/>
      <c r="AU394" s="84"/>
      <c r="AV394" s="84"/>
      <c r="AW394" s="84"/>
      <c r="AX394" s="84"/>
      <c r="AY394" s="84"/>
      <c r="AZ394" s="84"/>
    </row>
    <row r="395" ht="15.75" customHeight="1">
      <c r="A395" s="9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5"/>
      <c r="AK395" s="85"/>
      <c r="AL395" s="103"/>
      <c r="AM395" s="104"/>
      <c r="AN395" s="103"/>
      <c r="AO395" s="104"/>
      <c r="AP395" s="103"/>
      <c r="AQ395" s="104"/>
      <c r="AR395" s="84"/>
      <c r="AS395" s="84"/>
      <c r="AT395" s="84"/>
      <c r="AU395" s="84"/>
      <c r="AV395" s="84"/>
      <c r="AW395" s="84"/>
      <c r="AX395" s="84"/>
      <c r="AY395" s="84"/>
      <c r="AZ395" s="84"/>
    </row>
    <row r="396" ht="15.75" customHeight="1">
      <c r="A396" s="9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5"/>
      <c r="AK396" s="85"/>
      <c r="AL396" s="103"/>
      <c r="AM396" s="104"/>
      <c r="AN396" s="103"/>
      <c r="AO396" s="104"/>
      <c r="AP396" s="103"/>
      <c r="AQ396" s="104"/>
      <c r="AR396" s="84"/>
      <c r="AS396" s="84"/>
      <c r="AT396" s="84"/>
      <c r="AU396" s="84"/>
      <c r="AV396" s="84"/>
      <c r="AW396" s="84"/>
      <c r="AX396" s="84"/>
      <c r="AY396" s="84"/>
      <c r="AZ396" s="84"/>
    </row>
    <row r="397" ht="15.75" customHeight="1">
      <c r="A397" s="9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5"/>
      <c r="AK397" s="85"/>
      <c r="AL397" s="103"/>
      <c r="AM397" s="104"/>
      <c r="AN397" s="103"/>
      <c r="AO397" s="104"/>
      <c r="AP397" s="103"/>
      <c r="AQ397" s="104"/>
      <c r="AR397" s="84"/>
      <c r="AS397" s="84"/>
      <c r="AT397" s="84"/>
      <c r="AU397" s="84"/>
      <c r="AV397" s="84"/>
      <c r="AW397" s="84"/>
      <c r="AX397" s="84"/>
      <c r="AY397" s="84"/>
      <c r="AZ397" s="84"/>
    </row>
    <row r="398" ht="15.75" customHeight="1">
      <c r="A398" s="9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5"/>
      <c r="AK398" s="85"/>
      <c r="AL398" s="103"/>
      <c r="AM398" s="104"/>
      <c r="AN398" s="103"/>
      <c r="AO398" s="104"/>
      <c r="AP398" s="103"/>
      <c r="AQ398" s="104"/>
      <c r="AR398" s="84"/>
      <c r="AS398" s="84"/>
      <c r="AT398" s="84"/>
      <c r="AU398" s="84"/>
      <c r="AV398" s="84"/>
      <c r="AW398" s="84"/>
      <c r="AX398" s="84"/>
      <c r="AY398" s="84"/>
      <c r="AZ398" s="84"/>
    </row>
    <row r="399" ht="15.75" customHeight="1">
      <c r="A399" s="9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5"/>
      <c r="AK399" s="85"/>
      <c r="AL399" s="103"/>
      <c r="AM399" s="104"/>
      <c r="AN399" s="103"/>
      <c r="AO399" s="104"/>
      <c r="AP399" s="103"/>
      <c r="AQ399" s="104"/>
      <c r="AR399" s="84"/>
      <c r="AS399" s="84"/>
      <c r="AT399" s="84"/>
      <c r="AU399" s="84"/>
      <c r="AV399" s="84"/>
      <c r="AW399" s="84"/>
      <c r="AX399" s="84"/>
      <c r="AY399" s="84"/>
      <c r="AZ399" s="84"/>
    </row>
    <row r="400" ht="15.75" customHeight="1">
      <c r="A400" s="9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5"/>
      <c r="AK400" s="85"/>
      <c r="AL400" s="103"/>
      <c r="AM400" s="104"/>
      <c r="AN400" s="103"/>
      <c r="AO400" s="104"/>
      <c r="AP400" s="103"/>
      <c r="AQ400" s="104"/>
      <c r="AR400" s="84"/>
      <c r="AS400" s="84"/>
      <c r="AT400" s="84"/>
      <c r="AU400" s="84"/>
      <c r="AV400" s="84"/>
      <c r="AW400" s="84"/>
      <c r="AX400" s="84"/>
      <c r="AY400" s="84"/>
      <c r="AZ400" s="84"/>
    </row>
    <row r="401" ht="15.75" customHeight="1">
      <c r="A401" s="9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5"/>
      <c r="AK401" s="85"/>
      <c r="AL401" s="103"/>
      <c r="AM401" s="104"/>
      <c r="AN401" s="103"/>
      <c r="AO401" s="104"/>
      <c r="AP401" s="103"/>
      <c r="AQ401" s="104"/>
      <c r="AR401" s="84"/>
      <c r="AS401" s="84"/>
      <c r="AT401" s="84"/>
      <c r="AU401" s="84"/>
      <c r="AV401" s="84"/>
      <c r="AW401" s="84"/>
      <c r="AX401" s="84"/>
      <c r="AY401" s="84"/>
      <c r="AZ401" s="84"/>
    </row>
    <row r="402" ht="15.75" customHeight="1">
      <c r="A402" s="9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5"/>
      <c r="AK402" s="85"/>
      <c r="AL402" s="103"/>
      <c r="AM402" s="104"/>
      <c r="AN402" s="103"/>
      <c r="AO402" s="104"/>
      <c r="AP402" s="103"/>
      <c r="AQ402" s="104"/>
      <c r="AR402" s="84"/>
      <c r="AS402" s="84"/>
      <c r="AT402" s="84"/>
      <c r="AU402" s="84"/>
      <c r="AV402" s="84"/>
      <c r="AW402" s="84"/>
      <c r="AX402" s="84"/>
      <c r="AY402" s="84"/>
      <c r="AZ402" s="84"/>
    </row>
    <row r="403" ht="15.75" customHeight="1">
      <c r="A403" s="9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5"/>
      <c r="AK403" s="85"/>
      <c r="AL403" s="103"/>
      <c r="AM403" s="104"/>
      <c r="AN403" s="103"/>
      <c r="AO403" s="104"/>
      <c r="AP403" s="103"/>
      <c r="AQ403" s="104"/>
      <c r="AR403" s="84"/>
      <c r="AS403" s="84"/>
      <c r="AT403" s="84"/>
      <c r="AU403" s="84"/>
      <c r="AV403" s="84"/>
      <c r="AW403" s="84"/>
      <c r="AX403" s="84"/>
      <c r="AY403" s="84"/>
      <c r="AZ403" s="84"/>
    </row>
    <row r="404" ht="15.75" customHeight="1">
      <c r="A404" s="9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5"/>
      <c r="AK404" s="85"/>
      <c r="AL404" s="103"/>
      <c r="AM404" s="104"/>
      <c r="AN404" s="103"/>
      <c r="AO404" s="104"/>
      <c r="AP404" s="103"/>
      <c r="AQ404" s="104"/>
      <c r="AR404" s="84"/>
      <c r="AS404" s="84"/>
      <c r="AT404" s="84"/>
      <c r="AU404" s="84"/>
      <c r="AV404" s="84"/>
      <c r="AW404" s="84"/>
      <c r="AX404" s="84"/>
      <c r="AY404" s="84"/>
      <c r="AZ404" s="84"/>
    </row>
    <row r="405" ht="15.75" customHeight="1">
      <c r="A405" s="9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5"/>
      <c r="AK405" s="85"/>
      <c r="AL405" s="103"/>
      <c r="AM405" s="104"/>
      <c r="AN405" s="103"/>
      <c r="AO405" s="104"/>
      <c r="AP405" s="103"/>
      <c r="AQ405" s="104"/>
      <c r="AR405" s="84"/>
      <c r="AS405" s="84"/>
      <c r="AT405" s="84"/>
      <c r="AU405" s="84"/>
      <c r="AV405" s="84"/>
      <c r="AW405" s="84"/>
      <c r="AX405" s="84"/>
      <c r="AY405" s="84"/>
      <c r="AZ405" s="84"/>
    </row>
    <row r="406" ht="15.75" customHeight="1">
      <c r="A406" s="9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5"/>
      <c r="AK406" s="85"/>
      <c r="AL406" s="103"/>
      <c r="AM406" s="104"/>
      <c r="AN406" s="103"/>
      <c r="AO406" s="104"/>
      <c r="AP406" s="103"/>
      <c r="AQ406" s="104"/>
      <c r="AR406" s="84"/>
      <c r="AS406" s="84"/>
      <c r="AT406" s="84"/>
      <c r="AU406" s="84"/>
      <c r="AV406" s="84"/>
      <c r="AW406" s="84"/>
      <c r="AX406" s="84"/>
      <c r="AY406" s="84"/>
      <c r="AZ406" s="84"/>
    </row>
    <row r="407" ht="15.75" customHeight="1">
      <c r="A407" s="9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5"/>
      <c r="AK407" s="85"/>
      <c r="AL407" s="103"/>
      <c r="AM407" s="104"/>
      <c r="AN407" s="103"/>
      <c r="AO407" s="104"/>
      <c r="AP407" s="103"/>
      <c r="AQ407" s="104"/>
      <c r="AR407" s="84"/>
      <c r="AS407" s="84"/>
      <c r="AT407" s="84"/>
      <c r="AU407" s="84"/>
      <c r="AV407" s="84"/>
      <c r="AW407" s="84"/>
      <c r="AX407" s="84"/>
      <c r="AY407" s="84"/>
      <c r="AZ407" s="84"/>
    </row>
    <row r="408" ht="15.75" customHeight="1">
      <c r="A408" s="9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5"/>
      <c r="AK408" s="85"/>
      <c r="AL408" s="103"/>
      <c r="AM408" s="104"/>
      <c r="AN408" s="103"/>
      <c r="AO408" s="104"/>
      <c r="AP408" s="103"/>
      <c r="AQ408" s="104"/>
      <c r="AR408" s="84"/>
      <c r="AS408" s="84"/>
      <c r="AT408" s="84"/>
      <c r="AU408" s="84"/>
      <c r="AV408" s="84"/>
      <c r="AW408" s="84"/>
      <c r="AX408" s="84"/>
      <c r="AY408" s="84"/>
      <c r="AZ408" s="84"/>
    </row>
    <row r="409" ht="15.75" customHeight="1">
      <c r="A409" s="9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5"/>
      <c r="AK409" s="85"/>
      <c r="AL409" s="103"/>
      <c r="AM409" s="104"/>
      <c r="AN409" s="103"/>
      <c r="AO409" s="104"/>
      <c r="AP409" s="103"/>
      <c r="AQ409" s="104"/>
      <c r="AR409" s="84"/>
      <c r="AS409" s="84"/>
      <c r="AT409" s="84"/>
      <c r="AU409" s="84"/>
      <c r="AV409" s="84"/>
      <c r="AW409" s="84"/>
      <c r="AX409" s="84"/>
      <c r="AY409" s="84"/>
      <c r="AZ409" s="84"/>
    </row>
    <row r="410" ht="15.75" customHeight="1">
      <c r="A410" s="9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5"/>
      <c r="AK410" s="85"/>
      <c r="AL410" s="103"/>
      <c r="AM410" s="104"/>
      <c r="AN410" s="103"/>
      <c r="AO410" s="104"/>
      <c r="AP410" s="103"/>
      <c r="AQ410" s="104"/>
      <c r="AR410" s="84"/>
      <c r="AS410" s="84"/>
      <c r="AT410" s="84"/>
      <c r="AU410" s="84"/>
      <c r="AV410" s="84"/>
      <c r="AW410" s="84"/>
      <c r="AX410" s="84"/>
      <c r="AY410" s="84"/>
      <c r="AZ410" s="84"/>
    </row>
    <row r="411" ht="15.75" customHeight="1">
      <c r="A411" s="9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5"/>
      <c r="AK411" s="85"/>
      <c r="AL411" s="103"/>
      <c r="AM411" s="104"/>
      <c r="AN411" s="103"/>
      <c r="AO411" s="104"/>
      <c r="AP411" s="103"/>
      <c r="AQ411" s="104"/>
      <c r="AR411" s="84"/>
      <c r="AS411" s="84"/>
      <c r="AT411" s="84"/>
      <c r="AU411" s="84"/>
      <c r="AV411" s="84"/>
      <c r="AW411" s="84"/>
      <c r="AX411" s="84"/>
      <c r="AY411" s="84"/>
      <c r="AZ411" s="84"/>
    </row>
    <row r="412" ht="15.75" customHeight="1">
      <c r="A412" s="9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5"/>
      <c r="AK412" s="85"/>
      <c r="AL412" s="103"/>
      <c r="AM412" s="104"/>
      <c r="AN412" s="103"/>
      <c r="AO412" s="104"/>
      <c r="AP412" s="103"/>
      <c r="AQ412" s="104"/>
      <c r="AR412" s="84"/>
      <c r="AS412" s="84"/>
      <c r="AT412" s="84"/>
      <c r="AU412" s="84"/>
      <c r="AV412" s="84"/>
      <c r="AW412" s="84"/>
      <c r="AX412" s="84"/>
      <c r="AY412" s="84"/>
      <c r="AZ412" s="84"/>
    </row>
    <row r="413" ht="15.75" customHeight="1">
      <c r="A413" s="9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5"/>
      <c r="AK413" s="85"/>
      <c r="AL413" s="103"/>
      <c r="AM413" s="104"/>
      <c r="AN413" s="103"/>
      <c r="AO413" s="104"/>
      <c r="AP413" s="103"/>
      <c r="AQ413" s="104"/>
      <c r="AR413" s="84"/>
      <c r="AS413" s="84"/>
      <c r="AT413" s="84"/>
      <c r="AU413" s="84"/>
      <c r="AV413" s="84"/>
      <c r="AW413" s="84"/>
      <c r="AX413" s="84"/>
      <c r="AY413" s="84"/>
      <c r="AZ413" s="84"/>
    </row>
    <row r="414" ht="15.75" customHeight="1">
      <c r="A414" s="9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5"/>
      <c r="AK414" s="85"/>
      <c r="AL414" s="103"/>
      <c r="AM414" s="104"/>
      <c r="AN414" s="103"/>
      <c r="AO414" s="104"/>
      <c r="AP414" s="103"/>
      <c r="AQ414" s="104"/>
      <c r="AR414" s="84"/>
      <c r="AS414" s="84"/>
      <c r="AT414" s="84"/>
      <c r="AU414" s="84"/>
      <c r="AV414" s="84"/>
      <c r="AW414" s="84"/>
      <c r="AX414" s="84"/>
      <c r="AY414" s="84"/>
      <c r="AZ414" s="84"/>
    </row>
    <row r="415" ht="15.75" customHeight="1">
      <c r="A415" s="9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5"/>
      <c r="AK415" s="85"/>
      <c r="AL415" s="103"/>
      <c r="AM415" s="104"/>
      <c r="AN415" s="103"/>
      <c r="AO415" s="104"/>
      <c r="AP415" s="103"/>
      <c r="AQ415" s="104"/>
      <c r="AR415" s="84"/>
      <c r="AS415" s="84"/>
      <c r="AT415" s="84"/>
      <c r="AU415" s="84"/>
      <c r="AV415" s="84"/>
      <c r="AW415" s="84"/>
      <c r="AX415" s="84"/>
      <c r="AY415" s="84"/>
      <c r="AZ415" s="84"/>
    </row>
    <row r="416" ht="15.75" customHeight="1">
      <c r="A416" s="9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5"/>
      <c r="AK416" s="85"/>
      <c r="AL416" s="103"/>
      <c r="AM416" s="104"/>
      <c r="AN416" s="103"/>
      <c r="AO416" s="104"/>
      <c r="AP416" s="103"/>
      <c r="AQ416" s="104"/>
      <c r="AR416" s="84"/>
      <c r="AS416" s="84"/>
      <c r="AT416" s="84"/>
      <c r="AU416" s="84"/>
      <c r="AV416" s="84"/>
      <c r="AW416" s="84"/>
      <c r="AX416" s="84"/>
      <c r="AY416" s="84"/>
      <c r="AZ416" s="84"/>
    </row>
    <row r="417" ht="15.75" customHeight="1">
      <c r="A417" s="9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5"/>
      <c r="AK417" s="85"/>
      <c r="AL417" s="103"/>
      <c r="AM417" s="104"/>
      <c r="AN417" s="103"/>
      <c r="AO417" s="104"/>
      <c r="AP417" s="103"/>
      <c r="AQ417" s="104"/>
      <c r="AR417" s="84"/>
      <c r="AS417" s="84"/>
      <c r="AT417" s="84"/>
      <c r="AU417" s="84"/>
      <c r="AV417" s="84"/>
      <c r="AW417" s="84"/>
      <c r="AX417" s="84"/>
      <c r="AY417" s="84"/>
      <c r="AZ417" s="84"/>
    </row>
    <row r="418" ht="15.75" customHeight="1">
      <c r="A418" s="9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5"/>
      <c r="AK418" s="85"/>
      <c r="AL418" s="103"/>
      <c r="AM418" s="104"/>
      <c r="AN418" s="103"/>
      <c r="AO418" s="104"/>
      <c r="AP418" s="103"/>
      <c r="AQ418" s="104"/>
      <c r="AR418" s="84"/>
      <c r="AS418" s="84"/>
      <c r="AT418" s="84"/>
      <c r="AU418" s="84"/>
      <c r="AV418" s="84"/>
      <c r="AW418" s="84"/>
      <c r="AX418" s="84"/>
      <c r="AY418" s="84"/>
      <c r="AZ418" s="84"/>
    </row>
    <row r="419" ht="15.75" customHeight="1">
      <c r="A419" s="9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5"/>
      <c r="AK419" s="85"/>
      <c r="AL419" s="103"/>
      <c r="AM419" s="104"/>
      <c r="AN419" s="103"/>
      <c r="AO419" s="104"/>
      <c r="AP419" s="103"/>
      <c r="AQ419" s="104"/>
      <c r="AR419" s="84"/>
      <c r="AS419" s="84"/>
      <c r="AT419" s="84"/>
      <c r="AU419" s="84"/>
      <c r="AV419" s="84"/>
      <c r="AW419" s="84"/>
      <c r="AX419" s="84"/>
      <c r="AY419" s="84"/>
      <c r="AZ419" s="84"/>
    </row>
    <row r="420" ht="15.75" customHeight="1">
      <c r="A420" s="9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5"/>
      <c r="AK420" s="85"/>
      <c r="AL420" s="103"/>
      <c r="AM420" s="104"/>
      <c r="AN420" s="103"/>
      <c r="AO420" s="104"/>
      <c r="AP420" s="103"/>
      <c r="AQ420" s="104"/>
      <c r="AR420" s="84"/>
      <c r="AS420" s="84"/>
      <c r="AT420" s="84"/>
      <c r="AU420" s="84"/>
      <c r="AV420" s="84"/>
      <c r="AW420" s="84"/>
      <c r="AX420" s="84"/>
      <c r="AY420" s="84"/>
      <c r="AZ420" s="84"/>
    </row>
    <row r="421" ht="15.75" customHeight="1">
      <c r="A421" s="9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5"/>
      <c r="AK421" s="85"/>
      <c r="AL421" s="103"/>
      <c r="AM421" s="104"/>
      <c r="AN421" s="103"/>
      <c r="AO421" s="104"/>
      <c r="AP421" s="103"/>
      <c r="AQ421" s="104"/>
      <c r="AR421" s="84"/>
      <c r="AS421" s="84"/>
      <c r="AT421" s="84"/>
      <c r="AU421" s="84"/>
      <c r="AV421" s="84"/>
      <c r="AW421" s="84"/>
      <c r="AX421" s="84"/>
      <c r="AY421" s="84"/>
      <c r="AZ421" s="84"/>
    </row>
    <row r="422" ht="15.75" customHeight="1">
      <c r="A422" s="9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5"/>
      <c r="AK422" s="85"/>
      <c r="AL422" s="103"/>
      <c r="AM422" s="104"/>
      <c r="AN422" s="103"/>
      <c r="AO422" s="104"/>
      <c r="AP422" s="103"/>
      <c r="AQ422" s="104"/>
      <c r="AR422" s="84"/>
      <c r="AS422" s="84"/>
      <c r="AT422" s="84"/>
      <c r="AU422" s="84"/>
      <c r="AV422" s="84"/>
      <c r="AW422" s="84"/>
      <c r="AX422" s="84"/>
      <c r="AY422" s="84"/>
      <c r="AZ422" s="84"/>
    </row>
    <row r="423" ht="15.75" customHeight="1">
      <c r="A423" s="9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5"/>
      <c r="AK423" s="85"/>
      <c r="AL423" s="103"/>
      <c r="AM423" s="104"/>
      <c r="AN423" s="103"/>
      <c r="AO423" s="104"/>
      <c r="AP423" s="103"/>
      <c r="AQ423" s="104"/>
      <c r="AR423" s="84"/>
      <c r="AS423" s="84"/>
      <c r="AT423" s="84"/>
      <c r="AU423" s="84"/>
      <c r="AV423" s="84"/>
      <c r="AW423" s="84"/>
      <c r="AX423" s="84"/>
      <c r="AY423" s="84"/>
      <c r="AZ423" s="84"/>
    </row>
    <row r="424" ht="15.75" customHeight="1">
      <c r="A424" s="9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5"/>
      <c r="AK424" s="85"/>
      <c r="AL424" s="103"/>
      <c r="AM424" s="104"/>
      <c r="AN424" s="103"/>
      <c r="AO424" s="104"/>
      <c r="AP424" s="103"/>
      <c r="AQ424" s="104"/>
      <c r="AR424" s="84"/>
      <c r="AS424" s="84"/>
      <c r="AT424" s="84"/>
      <c r="AU424" s="84"/>
      <c r="AV424" s="84"/>
      <c r="AW424" s="84"/>
      <c r="AX424" s="84"/>
      <c r="AY424" s="84"/>
      <c r="AZ424" s="84"/>
    </row>
    <row r="425" ht="15.75" customHeight="1">
      <c r="A425" s="9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5"/>
      <c r="AK425" s="85"/>
      <c r="AL425" s="103"/>
      <c r="AM425" s="104"/>
      <c r="AN425" s="103"/>
      <c r="AO425" s="104"/>
      <c r="AP425" s="103"/>
      <c r="AQ425" s="104"/>
      <c r="AR425" s="84"/>
      <c r="AS425" s="84"/>
      <c r="AT425" s="84"/>
      <c r="AU425" s="84"/>
      <c r="AV425" s="84"/>
      <c r="AW425" s="84"/>
      <c r="AX425" s="84"/>
      <c r="AY425" s="84"/>
      <c r="AZ425" s="84"/>
    </row>
    <row r="426" ht="15.75" customHeight="1">
      <c r="A426" s="9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5"/>
      <c r="AK426" s="85"/>
      <c r="AL426" s="103"/>
      <c r="AM426" s="104"/>
      <c r="AN426" s="103"/>
      <c r="AO426" s="104"/>
      <c r="AP426" s="103"/>
      <c r="AQ426" s="104"/>
      <c r="AR426" s="84"/>
      <c r="AS426" s="84"/>
      <c r="AT426" s="84"/>
      <c r="AU426" s="84"/>
      <c r="AV426" s="84"/>
      <c r="AW426" s="84"/>
      <c r="AX426" s="84"/>
      <c r="AY426" s="84"/>
      <c r="AZ426" s="84"/>
    </row>
    <row r="427" ht="15.75" customHeight="1">
      <c r="A427" s="9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5"/>
      <c r="AK427" s="85"/>
      <c r="AL427" s="103"/>
      <c r="AM427" s="104"/>
      <c r="AN427" s="103"/>
      <c r="AO427" s="104"/>
      <c r="AP427" s="103"/>
      <c r="AQ427" s="104"/>
      <c r="AR427" s="84"/>
      <c r="AS427" s="84"/>
      <c r="AT427" s="84"/>
      <c r="AU427" s="84"/>
      <c r="AV427" s="84"/>
      <c r="AW427" s="84"/>
      <c r="AX427" s="84"/>
      <c r="AY427" s="84"/>
      <c r="AZ427" s="84"/>
    </row>
    <row r="428" ht="15.75" customHeight="1">
      <c r="A428" s="9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5"/>
      <c r="AK428" s="85"/>
      <c r="AL428" s="103"/>
      <c r="AM428" s="104"/>
      <c r="AN428" s="103"/>
      <c r="AO428" s="104"/>
      <c r="AP428" s="103"/>
      <c r="AQ428" s="104"/>
      <c r="AR428" s="84"/>
      <c r="AS428" s="84"/>
      <c r="AT428" s="84"/>
      <c r="AU428" s="84"/>
      <c r="AV428" s="84"/>
      <c r="AW428" s="84"/>
      <c r="AX428" s="84"/>
      <c r="AY428" s="84"/>
      <c r="AZ428" s="84"/>
    </row>
    <row r="429" ht="15.75" customHeight="1">
      <c r="A429" s="9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5"/>
      <c r="AK429" s="85"/>
      <c r="AL429" s="103"/>
      <c r="AM429" s="104"/>
      <c r="AN429" s="103"/>
      <c r="AO429" s="104"/>
      <c r="AP429" s="103"/>
      <c r="AQ429" s="104"/>
      <c r="AR429" s="84"/>
      <c r="AS429" s="84"/>
      <c r="AT429" s="84"/>
      <c r="AU429" s="84"/>
      <c r="AV429" s="84"/>
      <c r="AW429" s="84"/>
      <c r="AX429" s="84"/>
      <c r="AY429" s="84"/>
      <c r="AZ429" s="84"/>
    </row>
    <row r="430" ht="15.75" customHeight="1">
      <c r="A430" s="9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5"/>
      <c r="AK430" s="85"/>
      <c r="AL430" s="103"/>
      <c r="AM430" s="104"/>
      <c r="AN430" s="103"/>
      <c r="AO430" s="104"/>
      <c r="AP430" s="103"/>
      <c r="AQ430" s="104"/>
      <c r="AR430" s="84"/>
      <c r="AS430" s="84"/>
      <c r="AT430" s="84"/>
      <c r="AU430" s="84"/>
      <c r="AV430" s="84"/>
      <c r="AW430" s="84"/>
      <c r="AX430" s="84"/>
      <c r="AY430" s="84"/>
      <c r="AZ430" s="84"/>
    </row>
    <row r="431" ht="15.75" customHeight="1">
      <c r="A431" s="9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5"/>
      <c r="AK431" s="85"/>
      <c r="AL431" s="103"/>
      <c r="AM431" s="104"/>
      <c r="AN431" s="103"/>
      <c r="AO431" s="104"/>
      <c r="AP431" s="103"/>
      <c r="AQ431" s="104"/>
      <c r="AR431" s="84"/>
      <c r="AS431" s="84"/>
      <c r="AT431" s="84"/>
      <c r="AU431" s="84"/>
      <c r="AV431" s="84"/>
      <c r="AW431" s="84"/>
      <c r="AX431" s="84"/>
      <c r="AY431" s="84"/>
      <c r="AZ431" s="84"/>
    </row>
    <row r="432" ht="15.75" customHeight="1">
      <c r="A432" s="9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5"/>
      <c r="AK432" s="85"/>
      <c r="AL432" s="103"/>
      <c r="AM432" s="104"/>
      <c r="AN432" s="103"/>
      <c r="AO432" s="104"/>
      <c r="AP432" s="103"/>
      <c r="AQ432" s="104"/>
      <c r="AR432" s="84"/>
      <c r="AS432" s="84"/>
      <c r="AT432" s="84"/>
      <c r="AU432" s="84"/>
      <c r="AV432" s="84"/>
      <c r="AW432" s="84"/>
      <c r="AX432" s="84"/>
      <c r="AY432" s="84"/>
      <c r="AZ432" s="84"/>
    </row>
    <row r="433" ht="15.75" customHeight="1">
      <c r="A433" s="9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5"/>
      <c r="AK433" s="85"/>
      <c r="AL433" s="103"/>
      <c r="AM433" s="104"/>
      <c r="AN433" s="103"/>
      <c r="AO433" s="104"/>
      <c r="AP433" s="103"/>
      <c r="AQ433" s="104"/>
      <c r="AR433" s="84"/>
      <c r="AS433" s="84"/>
      <c r="AT433" s="84"/>
      <c r="AU433" s="84"/>
      <c r="AV433" s="84"/>
      <c r="AW433" s="84"/>
      <c r="AX433" s="84"/>
      <c r="AY433" s="84"/>
      <c r="AZ433" s="84"/>
    </row>
    <row r="434" ht="15.75" customHeight="1">
      <c r="A434" s="9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5"/>
      <c r="AK434" s="85"/>
      <c r="AL434" s="103"/>
      <c r="AM434" s="104"/>
      <c r="AN434" s="103"/>
      <c r="AO434" s="104"/>
      <c r="AP434" s="103"/>
      <c r="AQ434" s="104"/>
      <c r="AR434" s="84"/>
      <c r="AS434" s="84"/>
      <c r="AT434" s="84"/>
      <c r="AU434" s="84"/>
      <c r="AV434" s="84"/>
      <c r="AW434" s="84"/>
      <c r="AX434" s="84"/>
      <c r="AY434" s="84"/>
      <c r="AZ434" s="84"/>
    </row>
    <row r="435" ht="15.75" customHeight="1">
      <c r="A435" s="9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5"/>
      <c r="AK435" s="85"/>
      <c r="AL435" s="103"/>
      <c r="AM435" s="104"/>
      <c r="AN435" s="103"/>
      <c r="AO435" s="104"/>
      <c r="AP435" s="103"/>
      <c r="AQ435" s="104"/>
      <c r="AR435" s="84"/>
      <c r="AS435" s="84"/>
      <c r="AT435" s="84"/>
      <c r="AU435" s="84"/>
      <c r="AV435" s="84"/>
      <c r="AW435" s="84"/>
      <c r="AX435" s="84"/>
      <c r="AY435" s="84"/>
      <c r="AZ435" s="84"/>
    </row>
    <row r="436" ht="15.75" customHeight="1">
      <c r="A436" s="9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5"/>
      <c r="AK436" s="85"/>
      <c r="AL436" s="103"/>
      <c r="AM436" s="104"/>
      <c r="AN436" s="103"/>
      <c r="AO436" s="104"/>
      <c r="AP436" s="103"/>
      <c r="AQ436" s="104"/>
      <c r="AR436" s="84"/>
      <c r="AS436" s="84"/>
      <c r="AT436" s="84"/>
      <c r="AU436" s="84"/>
      <c r="AV436" s="84"/>
      <c r="AW436" s="84"/>
      <c r="AX436" s="84"/>
      <c r="AY436" s="84"/>
      <c r="AZ436" s="84"/>
    </row>
    <row r="437" ht="15.75" customHeight="1">
      <c r="A437" s="9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5"/>
      <c r="AK437" s="85"/>
      <c r="AL437" s="103"/>
      <c r="AM437" s="104"/>
      <c r="AN437" s="103"/>
      <c r="AO437" s="104"/>
      <c r="AP437" s="103"/>
      <c r="AQ437" s="104"/>
      <c r="AR437" s="84"/>
      <c r="AS437" s="84"/>
      <c r="AT437" s="84"/>
      <c r="AU437" s="84"/>
      <c r="AV437" s="84"/>
      <c r="AW437" s="84"/>
      <c r="AX437" s="84"/>
      <c r="AY437" s="84"/>
      <c r="AZ437" s="84"/>
    </row>
    <row r="438" ht="15.75" customHeight="1">
      <c r="A438" s="9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5"/>
      <c r="AK438" s="85"/>
      <c r="AL438" s="103"/>
      <c r="AM438" s="104"/>
      <c r="AN438" s="103"/>
      <c r="AO438" s="104"/>
      <c r="AP438" s="103"/>
      <c r="AQ438" s="104"/>
      <c r="AR438" s="84"/>
      <c r="AS438" s="84"/>
      <c r="AT438" s="84"/>
      <c r="AU438" s="84"/>
      <c r="AV438" s="84"/>
      <c r="AW438" s="84"/>
      <c r="AX438" s="84"/>
      <c r="AY438" s="84"/>
      <c r="AZ438" s="84"/>
    </row>
    <row r="439" ht="15.75" customHeight="1">
      <c r="A439" s="9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5"/>
      <c r="AK439" s="85"/>
      <c r="AL439" s="103"/>
      <c r="AM439" s="104"/>
      <c r="AN439" s="103"/>
      <c r="AO439" s="104"/>
      <c r="AP439" s="103"/>
      <c r="AQ439" s="104"/>
      <c r="AR439" s="84"/>
      <c r="AS439" s="84"/>
      <c r="AT439" s="84"/>
      <c r="AU439" s="84"/>
      <c r="AV439" s="84"/>
      <c r="AW439" s="84"/>
      <c r="AX439" s="84"/>
      <c r="AY439" s="84"/>
      <c r="AZ439" s="84"/>
    </row>
    <row r="440" ht="15.75" customHeight="1">
      <c r="A440" s="9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5"/>
      <c r="AK440" s="85"/>
      <c r="AL440" s="103"/>
      <c r="AM440" s="104"/>
      <c r="AN440" s="103"/>
      <c r="AO440" s="104"/>
      <c r="AP440" s="103"/>
      <c r="AQ440" s="104"/>
      <c r="AR440" s="84"/>
      <c r="AS440" s="84"/>
      <c r="AT440" s="84"/>
      <c r="AU440" s="84"/>
      <c r="AV440" s="84"/>
      <c r="AW440" s="84"/>
      <c r="AX440" s="84"/>
      <c r="AY440" s="84"/>
      <c r="AZ440" s="84"/>
    </row>
    <row r="441" ht="15.75" customHeight="1">
      <c r="A441" s="9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5"/>
      <c r="AK441" s="85"/>
      <c r="AL441" s="103"/>
      <c r="AM441" s="104"/>
      <c r="AN441" s="103"/>
      <c r="AO441" s="104"/>
      <c r="AP441" s="103"/>
      <c r="AQ441" s="104"/>
      <c r="AR441" s="84"/>
      <c r="AS441" s="84"/>
      <c r="AT441" s="84"/>
      <c r="AU441" s="84"/>
      <c r="AV441" s="84"/>
      <c r="AW441" s="84"/>
      <c r="AX441" s="84"/>
      <c r="AY441" s="84"/>
      <c r="AZ441" s="84"/>
    </row>
    <row r="442" ht="15.75" customHeight="1">
      <c r="A442" s="9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5"/>
      <c r="AK442" s="85"/>
      <c r="AL442" s="103"/>
      <c r="AM442" s="104"/>
      <c r="AN442" s="103"/>
      <c r="AO442" s="104"/>
      <c r="AP442" s="103"/>
      <c r="AQ442" s="104"/>
      <c r="AR442" s="84"/>
      <c r="AS442" s="84"/>
      <c r="AT442" s="84"/>
      <c r="AU442" s="84"/>
      <c r="AV442" s="84"/>
      <c r="AW442" s="84"/>
      <c r="AX442" s="84"/>
      <c r="AY442" s="84"/>
      <c r="AZ442" s="84"/>
    </row>
    <row r="443" ht="15.75" customHeight="1">
      <c r="A443" s="9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5"/>
      <c r="AK443" s="85"/>
      <c r="AL443" s="103"/>
      <c r="AM443" s="104"/>
      <c r="AN443" s="103"/>
      <c r="AO443" s="104"/>
      <c r="AP443" s="103"/>
      <c r="AQ443" s="104"/>
      <c r="AR443" s="84"/>
      <c r="AS443" s="84"/>
      <c r="AT443" s="84"/>
      <c r="AU443" s="84"/>
      <c r="AV443" s="84"/>
      <c r="AW443" s="84"/>
      <c r="AX443" s="84"/>
      <c r="AY443" s="84"/>
      <c r="AZ443" s="84"/>
    </row>
    <row r="444" ht="15.75" customHeight="1">
      <c r="A444" s="9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5"/>
      <c r="AK444" s="85"/>
      <c r="AL444" s="103"/>
      <c r="AM444" s="104"/>
      <c r="AN444" s="103"/>
      <c r="AO444" s="104"/>
      <c r="AP444" s="103"/>
      <c r="AQ444" s="104"/>
      <c r="AR444" s="84"/>
      <c r="AS444" s="84"/>
      <c r="AT444" s="84"/>
      <c r="AU444" s="84"/>
      <c r="AV444" s="84"/>
      <c r="AW444" s="84"/>
      <c r="AX444" s="84"/>
      <c r="AY444" s="84"/>
      <c r="AZ444" s="84"/>
    </row>
    <row r="445" ht="15.75" customHeight="1">
      <c r="A445" s="9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5"/>
      <c r="AK445" s="85"/>
      <c r="AL445" s="103"/>
      <c r="AM445" s="104"/>
      <c r="AN445" s="103"/>
      <c r="AO445" s="104"/>
      <c r="AP445" s="103"/>
      <c r="AQ445" s="104"/>
      <c r="AR445" s="84"/>
      <c r="AS445" s="84"/>
      <c r="AT445" s="84"/>
      <c r="AU445" s="84"/>
      <c r="AV445" s="84"/>
      <c r="AW445" s="84"/>
      <c r="AX445" s="84"/>
      <c r="AY445" s="84"/>
      <c r="AZ445" s="84"/>
    </row>
    <row r="446" ht="15.75" customHeight="1">
      <c r="A446" s="9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5"/>
      <c r="AK446" s="85"/>
      <c r="AL446" s="103"/>
      <c r="AM446" s="104"/>
      <c r="AN446" s="103"/>
      <c r="AO446" s="104"/>
      <c r="AP446" s="103"/>
      <c r="AQ446" s="104"/>
      <c r="AR446" s="84"/>
      <c r="AS446" s="84"/>
      <c r="AT446" s="84"/>
      <c r="AU446" s="84"/>
      <c r="AV446" s="84"/>
      <c r="AW446" s="84"/>
      <c r="AX446" s="84"/>
      <c r="AY446" s="84"/>
      <c r="AZ446" s="84"/>
    </row>
    <row r="447" ht="15.75" customHeight="1">
      <c r="A447" s="9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5"/>
      <c r="AK447" s="85"/>
      <c r="AL447" s="103"/>
      <c r="AM447" s="104"/>
      <c r="AN447" s="103"/>
      <c r="AO447" s="104"/>
      <c r="AP447" s="103"/>
      <c r="AQ447" s="104"/>
      <c r="AR447" s="84"/>
      <c r="AS447" s="84"/>
      <c r="AT447" s="84"/>
      <c r="AU447" s="84"/>
      <c r="AV447" s="84"/>
      <c r="AW447" s="84"/>
      <c r="AX447" s="84"/>
      <c r="AY447" s="84"/>
      <c r="AZ447" s="84"/>
    </row>
    <row r="448" ht="15.75" customHeight="1">
      <c r="A448" s="9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5"/>
      <c r="AK448" s="85"/>
      <c r="AL448" s="103"/>
      <c r="AM448" s="104"/>
      <c r="AN448" s="103"/>
      <c r="AO448" s="104"/>
      <c r="AP448" s="103"/>
      <c r="AQ448" s="104"/>
      <c r="AR448" s="84"/>
      <c r="AS448" s="84"/>
      <c r="AT448" s="84"/>
      <c r="AU448" s="84"/>
      <c r="AV448" s="84"/>
      <c r="AW448" s="84"/>
      <c r="AX448" s="84"/>
      <c r="AY448" s="84"/>
      <c r="AZ448" s="84"/>
    </row>
    <row r="449" ht="15.75" customHeight="1">
      <c r="A449" s="9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5"/>
      <c r="AK449" s="85"/>
      <c r="AL449" s="103"/>
      <c r="AM449" s="104"/>
      <c r="AN449" s="103"/>
      <c r="AO449" s="104"/>
      <c r="AP449" s="103"/>
      <c r="AQ449" s="104"/>
      <c r="AR449" s="84"/>
      <c r="AS449" s="84"/>
      <c r="AT449" s="84"/>
      <c r="AU449" s="84"/>
      <c r="AV449" s="84"/>
      <c r="AW449" s="84"/>
      <c r="AX449" s="84"/>
      <c r="AY449" s="84"/>
      <c r="AZ449" s="84"/>
    </row>
    <row r="450" ht="15.75" customHeight="1">
      <c r="A450" s="9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5"/>
      <c r="AK450" s="85"/>
      <c r="AL450" s="103"/>
      <c r="AM450" s="104"/>
      <c r="AN450" s="103"/>
      <c r="AO450" s="104"/>
      <c r="AP450" s="103"/>
      <c r="AQ450" s="104"/>
      <c r="AR450" s="84"/>
      <c r="AS450" s="84"/>
      <c r="AT450" s="84"/>
      <c r="AU450" s="84"/>
      <c r="AV450" s="84"/>
      <c r="AW450" s="84"/>
      <c r="AX450" s="84"/>
      <c r="AY450" s="84"/>
      <c r="AZ450" s="84"/>
    </row>
    <row r="451" ht="15.75" customHeight="1">
      <c r="A451" s="9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5"/>
      <c r="AK451" s="85"/>
      <c r="AL451" s="103"/>
      <c r="AM451" s="104"/>
      <c r="AN451" s="103"/>
      <c r="AO451" s="104"/>
      <c r="AP451" s="103"/>
      <c r="AQ451" s="104"/>
      <c r="AR451" s="84"/>
      <c r="AS451" s="84"/>
      <c r="AT451" s="84"/>
      <c r="AU451" s="84"/>
      <c r="AV451" s="84"/>
      <c r="AW451" s="84"/>
      <c r="AX451" s="84"/>
      <c r="AY451" s="84"/>
      <c r="AZ451" s="84"/>
    </row>
    <row r="452" ht="15.75" customHeight="1">
      <c r="A452" s="9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5"/>
      <c r="AK452" s="85"/>
      <c r="AL452" s="103"/>
      <c r="AM452" s="104"/>
      <c r="AN452" s="103"/>
      <c r="AO452" s="104"/>
      <c r="AP452" s="103"/>
      <c r="AQ452" s="104"/>
      <c r="AR452" s="84"/>
      <c r="AS452" s="84"/>
      <c r="AT452" s="84"/>
      <c r="AU452" s="84"/>
      <c r="AV452" s="84"/>
      <c r="AW452" s="84"/>
      <c r="AX452" s="84"/>
      <c r="AY452" s="84"/>
      <c r="AZ452" s="84"/>
    </row>
    <row r="453" ht="15.75" customHeight="1">
      <c r="A453" s="9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5"/>
      <c r="AK453" s="85"/>
      <c r="AL453" s="103"/>
      <c r="AM453" s="104"/>
      <c r="AN453" s="103"/>
      <c r="AO453" s="104"/>
      <c r="AP453" s="103"/>
      <c r="AQ453" s="104"/>
      <c r="AR453" s="84"/>
      <c r="AS453" s="84"/>
      <c r="AT453" s="84"/>
      <c r="AU453" s="84"/>
      <c r="AV453" s="84"/>
      <c r="AW453" s="84"/>
      <c r="AX453" s="84"/>
      <c r="AY453" s="84"/>
      <c r="AZ453" s="84"/>
    </row>
    <row r="454" ht="15.75" customHeight="1">
      <c r="A454" s="9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5"/>
      <c r="AK454" s="85"/>
      <c r="AL454" s="103"/>
      <c r="AM454" s="104"/>
      <c r="AN454" s="103"/>
      <c r="AO454" s="104"/>
      <c r="AP454" s="103"/>
      <c r="AQ454" s="104"/>
      <c r="AR454" s="84"/>
      <c r="AS454" s="84"/>
      <c r="AT454" s="84"/>
      <c r="AU454" s="84"/>
      <c r="AV454" s="84"/>
      <c r="AW454" s="84"/>
      <c r="AX454" s="84"/>
      <c r="AY454" s="84"/>
      <c r="AZ454" s="84"/>
    </row>
    <row r="455" ht="15.75" customHeight="1">
      <c r="A455" s="9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5"/>
      <c r="AK455" s="85"/>
      <c r="AL455" s="103"/>
      <c r="AM455" s="104"/>
      <c r="AN455" s="103"/>
      <c r="AO455" s="104"/>
      <c r="AP455" s="103"/>
      <c r="AQ455" s="104"/>
      <c r="AR455" s="84"/>
      <c r="AS455" s="84"/>
      <c r="AT455" s="84"/>
      <c r="AU455" s="84"/>
      <c r="AV455" s="84"/>
      <c r="AW455" s="84"/>
      <c r="AX455" s="84"/>
      <c r="AY455" s="84"/>
      <c r="AZ455" s="84"/>
    </row>
    <row r="456" ht="15.75" customHeight="1">
      <c r="A456" s="9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5"/>
      <c r="AK456" s="85"/>
      <c r="AL456" s="103"/>
      <c r="AM456" s="104"/>
      <c r="AN456" s="103"/>
      <c r="AO456" s="104"/>
      <c r="AP456" s="103"/>
      <c r="AQ456" s="104"/>
      <c r="AR456" s="84"/>
      <c r="AS456" s="84"/>
      <c r="AT456" s="84"/>
      <c r="AU456" s="84"/>
      <c r="AV456" s="84"/>
      <c r="AW456" s="84"/>
      <c r="AX456" s="84"/>
      <c r="AY456" s="84"/>
      <c r="AZ456" s="84"/>
    </row>
    <row r="457" ht="15.75" customHeight="1">
      <c r="A457" s="9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5"/>
      <c r="AK457" s="85"/>
      <c r="AL457" s="103"/>
      <c r="AM457" s="104"/>
      <c r="AN457" s="103"/>
      <c r="AO457" s="104"/>
      <c r="AP457" s="103"/>
      <c r="AQ457" s="104"/>
      <c r="AR457" s="84"/>
      <c r="AS457" s="84"/>
      <c r="AT457" s="84"/>
      <c r="AU457" s="84"/>
      <c r="AV457" s="84"/>
      <c r="AW457" s="84"/>
      <c r="AX457" s="84"/>
      <c r="AY457" s="84"/>
      <c r="AZ457" s="84"/>
    </row>
    <row r="458" ht="15.75" customHeight="1">
      <c r="A458" s="9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5"/>
      <c r="AK458" s="85"/>
      <c r="AL458" s="103"/>
      <c r="AM458" s="104"/>
      <c r="AN458" s="103"/>
      <c r="AO458" s="104"/>
      <c r="AP458" s="103"/>
      <c r="AQ458" s="104"/>
      <c r="AR458" s="84"/>
      <c r="AS458" s="84"/>
      <c r="AT458" s="84"/>
      <c r="AU458" s="84"/>
      <c r="AV458" s="84"/>
      <c r="AW458" s="84"/>
      <c r="AX458" s="84"/>
      <c r="AY458" s="84"/>
      <c r="AZ458" s="84"/>
    </row>
    <row r="459" ht="15.75" customHeight="1">
      <c r="A459" s="9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5"/>
      <c r="AK459" s="85"/>
      <c r="AL459" s="103"/>
      <c r="AM459" s="104"/>
      <c r="AN459" s="103"/>
      <c r="AO459" s="104"/>
      <c r="AP459" s="103"/>
      <c r="AQ459" s="104"/>
      <c r="AR459" s="84"/>
      <c r="AS459" s="84"/>
      <c r="AT459" s="84"/>
      <c r="AU459" s="84"/>
      <c r="AV459" s="84"/>
      <c r="AW459" s="84"/>
      <c r="AX459" s="84"/>
      <c r="AY459" s="84"/>
      <c r="AZ459" s="84"/>
    </row>
    <row r="460" ht="15.75" customHeight="1">
      <c r="A460" s="9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5"/>
      <c r="AK460" s="85"/>
      <c r="AL460" s="103"/>
      <c r="AM460" s="104"/>
      <c r="AN460" s="103"/>
      <c r="AO460" s="104"/>
      <c r="AP460" s="103"/>
      <c r="AQ460" s="104"/>
      <c r="AR460" s="84"/>
      <c r="AS460" s="84"/>
      <c r="AT460" s="84"/>
      <c r="AU460" s="84"/>
      <c r="AV460" s="84"/>
      <c r="AW460" s="84"/>
      <c r="AX460" s="84"/>
      <c r="AY460" s="84"/>
      <c r="AZ460" s="84"/>
    </row>
    <row r="461" ht="15.75" customHeight="1">
      <c r="A461" s="9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5"/>
      <c r="AK461" s="85"/>
      <c r="AL461" s="103"/>
      <c r="AM461" s="104"/>
      <c r="AN461" s="103"/>
      <c r="AO461" s="104"/>
      <c r="AP461" s="103"/>
      <c r="AQ461" s="104"/>
      <c r="AR461" s="84"/>
      <c r="AS461" s="84"/>
      <c r="AT461" s="84"/>
      <c r="AU461" s="84"/>
      <c r="AV461" s="84"/>
      <c r="AW461" s="84"/>
      <c r="AX461" s="84"/>
      <c r="AY461" s="84"/>
      <c r="AZ461" s="84"/>
    </row>
    <row r="462" ht="15.75" customHeight="1">
      <c r="A462" s="9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5"/>
      <c r="AK462" s="85"/>
      <c r="AL462" s="103"/>
      <c r="AM462" s="104"/>
      <c r="AN462" s="103"/>
      <c r="AO462" s="104"/>
      <c r="AP462" s="103"/>
      <c r="AQ462" s="104"/>
      <c r="AR462" s="84"/>
      <c r="AS462" s="84"/>
      <c r="AT462" s="84"/>
      <c r="AU462" s="84"/>
      <c r="AV462" s="84"/>
      <c r="AW462" s="84"/>
      <c r="AX462" s="84"/>
      <c r="AY462" s="84"/>
      <c r="AZ462" s="84"/>
    </row>
    <row r="463" ht="15.75" customHeight="1">
      <c r="A463" s="9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5"/>
      <c r="AK463" s="85"/>
      <c r="AL463" s="103"/>
      <c r="AM463" s="104"/>
      <c r="AN463" s="103"/>
      <c r="AO463" s="104"/>
      <c r="AP463" s="103"/>
      <c r="AQ463" s="104"/>
      <c r="AR463" s="84"/>
      <c r="AS463" s="84"/>
      <c r="AT463" s="84"/>
      <c r="AU463" s="84"/>
      <c r="AV463" s="84"/>
      <c r="AW463" s="84"/>
      <c r="AX463" s="84"/>
      <c r="AY463" s="84"/>
      <c r="AZ463" s="84"/>
    </row>
    <row r="464" ht="15.75" customHeight="1">
      <c r="A464" s="9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5"/>
      <c r="AK464" s="85"/>
      <c r="AL464" s="103"/>
      <c r="AM464" s="104"/>
      <c r="AN464" s="103"/>
      <c r="AO464" s="104"/>
      <c r="AP464" s="103"/>
      <c r="AQ464" s="104"/>
      <c r="AR464" s="84"/>
      <c r="AS464" s="84"/>
      <c r="AT464" s="84"/>
      <c r="AU464" s="84"/>
      <c r="AV464" s="84"/>
      <c r="AW464" s="84"/>
      <c r="AX464" s="84"/>
      <c r="AY464" s="84"/>
      <c r="AZ464" s="84"/>
    </row>
    <row r="465" ht="15.75" customHeight="1">
      <c r="A465" s="9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5"/>
      <c r="AK465" s="85"/>
      <c r="AL465" s="103"/>
      <c r="AM465" s="104"/>
      <c r="AN465" s="103"/>
      <c r="AO465" s="104"/>
      <c r="AP465" s="103"/>
      <c r="AQ465" s="104"/>
      <c r="AR465" s="84"/>
      <c r="AS465" s="84"/>
      <c r="AT465" s="84"/>
      <c r="AU465" s="84"/>
      <c r="AV465" s="84"/>
      <c r="AW465" s="84"/>
      <c r="AX465" s="84"/>
      <c r="AY465" s="84"/>
      <c r="AZ465" s="84"/>
    </row>
    <row r="466" ht="15.75" customHeight="1">
      <c r="A466" s="9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5"/>
      <c r="AK466" s="85"/>
      <c r="AL466" s="103"/>
      <c r="AM466" s="104"/>
      <c r="AN466" s="103"/>
      <c r="AO466" s="104"/>
      <c r="AP466" s="103"/>
      <c r="AQ466" s="104"/>
      <c r="AR466" s="84"/>
      <c r="AS466" s="84"/>
      <c r="AT466" s="84"/>
      <c r="AU466" s="84"/>
      <c r="AV466" s="84"/>
      <c r="AW466" s="84"/>
      <c r="AX466" s="84"/>
      <c r="AY466" s="84"/>
      <c r="AZ466" s="84"/>
    </row>
    <row r="467" ht="15.75" customHeight="1">
      <c r="A467" s="9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5"/>
      <c r="AK467" s="85"/>
      <c r="AL467" s="103"/>
      <c r="AM467" s="104"/>
      <c r="AN467" s="103"/>
      <c r="AO467" s="104"/>
      <c r="AP467" s="103"/>
      <c r="AQ467" s="104"/>
      <c r="AR467" s="84"/>
      <c r="AS467" s="84"/>
      <c r="AT467" s="84"/>
      <c r="AU467" s="84"/>
      <c r="AV467" s="84"/>
      <c r="AW467" s="84"/>
      <c r="AX467" s="84"/>
      <c r="AY467" s="84"/>
      <c r="AZ467" s="84"/>
    </row>
    <row r="468" ht="15.75" customHeight="1">
      <c r="A468" s="9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5"/>
      <c r="AK468" s="85"/>
      <c r="AL468" s="103"/>
      <c r="AM468" s="104"/>
      <c r="AN468" s="103"/>
      <c r="AO468" s="104"/>
      <c r="AP468" s="103"/>
      <c r="AQ468" s="104"/>
      <c r="AR468" s="84"/>
      <c r="AS468" s="84"/>
      <c r="AT468" s="84"/>
      <c r="AU468" s="84"/>
      <c r="AV468" s="84"/>
      <c r="AW468" s="84"/>
      <c r="AX468" s="84"/>
      <c r="AY468" s="84"/>
      <c r="AZ468" s="84"/>
    </row>
    <row r="469" ht="15.75" customHeight="1">
      <c r="A469" s="9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5"/>
      <c r="AK469" s="85"/>
      <c r="AL469" s="103"/>
      <c r="AM469" s="104"/>
      <c r="AN469" s="103"/>
      <c r="AO469" s="104"/>
      <c r="AP469" s="103"/>
      <c r="AQ469" s="104"/>
      <c r="AR469" s="84"/>
      <c r="AS469" s="84"/>
      <c r="AT469" s="84"/>
      <c r="AU469" s="84"/>
      <c r="AV469" s="84"/>
      <c r="AW469" s="84"/>
      <c r="AX469" s="84"/>
      <c r="AY469" s="84"/>
      <c r="AZ469" s="84"/>
    </row>
    <row r="470" ht="15.75" customHeight="1">
      <c r="A470" s="9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5"/>
      <c r="AK470" s="85"/>
      <c r="AL470" s="103"/>
      <c r="AM470" s="104"/>
      <c r="AN470" s="103"/>
      <c r="AO470" s="104"/>
      <c r="AP470" s="103"/>
      <c r="AQ470" s="104"/>
      <c r="AR470" s="84"/>
      <c r="AS470" s="84"/>
      <c r="AT470" s="84"/>
      <c r="AU470" s="84"/>
      <c r="AV470" s="84"/>
      <c r="AW470" s="84"/>
      <c r="AX470" s="84"/>
      <c r="AY470" s="84"/>
      <c r="AZ470" s="84"/>
    </row>
    <row r="471" ht="15.75" customHeight="1">
      <c r="A471" s="9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5"/>
      <c r="AK471" s="85"/>
      <c r="AL471" s="103"/>
      <c r="AM471" s="104"/>
      <c r="AN471" s="103"/>
      <c r="AO471" s="104"/>
      <c r="AP471" s="103"/>
      <c r="AQ471" s="104"/>
      <c r="AR471" s="84"/>
      <c r="AS471" s="84"/>
      <c r="AT471" s="84"/>
      <c r="AU471" s="84"/>
      <c r="AV471" s="84"/>
      <c r="AW471" s="84"/>
      <c r="AX471" s="84"/>
      <c r="AY471" s="84"/>
      <c r="AZ471" s="84"/>
    </row>
    <row r="472" ht="15.75" customHeight="1">
      <c r="A472" s="9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5"/>
      <c r="AK472" s="85"/>
      <c r="AL472" s="103"/>
      <c r="AM472" s="104"/>
      <c r="AN472" s="103"/>
      <c r="AO472" s="104"/>
      <c r="AP472" s="103"/>
      <c r="AQ472" s="104"/>
      <c r="AR472" s="84"/>
      <c r="AS472" s="84"/>
      <c r="AT472" s="84"/>
      <c r="AU472" s="84"/>
      <c r="AV472" s="84"/>
      <c r="AW472" s="84"/>
      <c r="AX472" s="84"/>
      <c r="AY472" s="84"/>
      <c r="AZ472" s="84"/>
    </row>
    <row r="473" ht="15.75" customHeight="1">
      <c r="A473" s="9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5"/>
      <c r="AK473" s="85"/>
      <c r="AL473" s="103"/>
      <c r="AM473" s="104"/>
      <c r="AN473" s="103"/>
      <c r="AO473" s="104"/>
      <c r="AP473" s="103"/>
      <c r="AQ473" s="104"/>
      <c r="AR473" s="84"/>
      <c r="AS473" s="84"/>
      <c r="AT473" s="84"/>
      <c r="AU473" s="84"/>
      <c r="AV473" s="84"/>
      <c r="AW473" s="84"/>
      <c r="AX473" s="84"/>
      <c r="AY473" s="84"/>
      <c r="AZ473" s="84"/>
    </row>
    <row r="474" ht="15.75" customHeight="1">
      <c r="A474" s="9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5"/>
      <c r="AK474" s="85"/>
      <c r="AL474" s="103"/>
      <c r="AM474" s="104"/>
      <c r="AN474" s="103"/>
      <c r="AO474" s="104"/>
      <c r="AP474" s="103"/>
      <c r="AQ474" s="104"/>
      <c r="AR474" s="84"/>
      <c r="AS474" s="84"/>
      <c r="AT474" s="84"/>
      <c r="AU474" s="84"/>
      <c r="AV474" s="84"/>
      <c r="AW474" s="84"/>
      <c r="AX474" s="84"/>
      <c r="AY474" s="84"/>
      <c r="AZ474" s="84"/>
    </row>
    <row r="475" ht="15.75" customHeight="1">
      <c r="A475" s="9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5"/>
      <c r="AK475" s="85"/>
      <c r="AL475" s="103"/>
      <c r="AM475" s="104"/>
      <c r="AN475" s="103"/>
      <c r="AO475" s="104"/>
      <c r="AP475" s="103"/>
      <c r="AQ475" s="104"/>
      <c r="AR475" s="84"/>
      <c r="AS475" s="84"/>
      <c r="AT475" s="84"/>
      <c r="AU475" s="84"/>
      <c r="AV475" s="84"/>
      <c r="AW475" s="84"/>
      <c r="AX475" s="84"/>
      <c r="AY475" s="84"/>
      <c r="AZ475" s="84"/>
    </row>
    <row r="476" ht="15.75" customHeight="1">
      <c r="A476" s="9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5"/>
      <c r="AK476" s="85"/>
      <c r="AL476" s="103"/>
      <c r="AM476" s="104"/>
      <c r="AN476" s="103"/>
      <c r="AO476" s="104"/>
      <c r="AP476" s="103"/>
      <c r="AQ476" s="104"/>
      <c r="AR476" s="84"/>
      <c r="AS476" s="84"/>
      <c r="AT476" s="84"/>
      <c r="AU476" s="84"/>
      <c r="AV476" s="84"/>
      <c r="AW476" s="84"/>
      <c r="AX476" s="84"/>
      <c r="AY476" s="84"/>
      <c r="AZ476" s="84"/>
    </row>
    <row r="477" ht="15.75" customHeight="1">
      <c r="A477" s="9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5"/>
      <c r="AK477" s="85"/>
      <c r="AL477" s="103"/>
      <c r="AM477" s="104"/>
      <c r="AN477" s="103"/>
      <c r="AO477" s="104"/>
      <c r="AP477" s="103"/>
      <c r="AQ477" s="104"/>
      <c r="AR477" s="84"/>
      <c r="AS477" s="84"/>
      <c r="AT477" s="84"/>
      <c r="AU477" s="84"/>
      <c r="AV477" s="84"/>
      <c r="AW477" s="84"/>
      <c r="AX477" s="84"/>
      <c r="AY477" s="84"/>
      <c r="AZ477" s="84"/>
    </row>
    <row r="478" ht="15.75" customHeight="1">
      <c r="A478" s="9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5"/>
      <c r="AK478" s="85"/>
      <c r="AL478" s="103"/>
      <c r="AM478" s="104"/>
      <c r="AN478" s="103"/>
      <c r="AO478" s="104"/>
      <c r="AP478" s="103"/>
      <c r="AQ478" s="104"/>
      <c r="AR478" s="84"/>
      <c r="AS478" s="84"/>
      <c r="AT478" s="84"/>
      <c r="AU478" s="84"/>
      <c r="AV478" s="84"/>
      <c r="AW478" s="84"/>
      <c r="AX478" s="84"/>
      <c r="AY478" s="84"/>
      <c r="AZ478" s="84"/>
    </row>
    <row r="479" ht="15.75" customHeight="1">
      <c r="A479" s="9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5"/>
      <c r="AK479" s="85"/>
      <c r="AL479" s="103"/>
      <c r="AM479" s="104"/>
      <c r="AN479" s="103"/>
      <c r="AO479" s="104"/>
      <c r="AP479" s="103"/>
      <c r="AQ479" s="104"/>
      <c r="AR479" s="84"/>
      <c r="AS479" s="84"/>
      <c r="AT479" s="84"/>
      <c r="AU479" s="84"/>
      <c r="AV479" s="84"/>
      <c r="AW479" s="84"/>
      <c r="AX479" s="84"/>
      <c r="AY479" s="84"/>
      <c r="AZ479" s="84"/>
    </row>
    <row r="480" ht="15.75" customHeight="1">
      <c r="A480" s="9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5"/>
      <c r="AK480" s="85"/>
      <c r="AL480" s="103"/>
      <c r="AM480" s="104"/>
      <c r="AN480" s="103"/>
      <c r="AO480" s="104"/>
      <c r="AP480" s="103"/>
      <c r="AQ480" s="104"/>
      <c r="AR480" s="84"/>
      <c r="AS480" s="84"/>
      <c r="AT480" s="84"/>
      <c r="AU480" s="84"/>
      <c r="AV480" s="84"/>
      <c r="AW480" s="84"/>
      <c r="AX480" s="84"/>
      <c r="AY480" s="84"/>
      <c r="AZ480" s="84"/>
    </row>
    <row r="481" ht="15.75" customHeight="1">
      <c r="A481" s="9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5"/>
      <c r="AK481" s="85"/>
      <c r="AL481" s="103"/>
      <c r="AM481" s="104"/>
      <c r="AN481" s="103"/>
      <c r="AO481" s="104"/>
      <c r="AP481" s="103"/>
      <c r="AQ481" s="104"/>
      <c r="AR481" s="84"/>
      <c r="AS481" s="84"/>
      <c r="AT481" s="84"/>
      <c r="AU481" s="84"/>
      <c r="AV481" s="84"/>
      <c r="AW481" s="84"/>
      <c r="AX481" s="84"/>
      <c r="AY481" s="84"/>
      <c r="AZ481" s="84"/>
    </row>
    <row r="482" ht="15.75" customHeight="1">
      <c r="A482" s="9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5"/>
      <c r="AK482" s="85"/>
      <c r="AL482" s="103"/>
      <c r="AM482" s="104"/>
      <c r="AN482" s="103"/>
      <c r="AO482" s="104"/>
      <c r="AP482" s="103"/>
      <c r="AQ482" s="104"/>
      <c r="AR482" s="84"/>
      <c r="AS482" s="84"/>
      <c r="AT482" s="84"/>
      <c r="AU482" s="84"/>
      <c r="AV482" s="84"/>
      <c r="AW482" s="84"/>
      <c r="AX482" s="84"/>
      <c r="AY482" s="84"/>
      <c r="AZ482" s="84"/>
    </row>
    <row r="483" ht="15.75" customHeight="1">
      <c r="A483" s="9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5"/>
      <c r="AK483" s="85"/>
      <c r="AL483" s="103"/>
      <c r="AM483" s="104"/>
      <c r="AN483" s="103"/>
      <c r="AO483" s="104"/>
      <c r="AP483" s="103"/>
      <c r="AQ483" s="104"/>
      <c r="AR483" s="84"/>
      <c r="AS483" s="84"/>
      <c r="AT483" s="84"/>
      <c r="AU483" s="84"/>
      <c r="AV483" s="84"/>
      <c r="AW483" s="84"/>
      <c r="AX483" s="84"/>
      <c r="AY483" s="84"/>
      <c r="AZ483" s="84"/>
    </row>
    <row r="484" ht="15.75" customHeight="1">
      <c r="A484" s="9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5"/>
      <c r="AK484" s="85"/>
      <c r="AL484" s="103"/>
      <c r="AM484" s="104"/>
      <c r="AN484" s="103"/>
      <c r="AO484" s="104"/>
      <c r="AP484" s="103"/>
      <c r="AQ484" s="104"/>
      <c r="AR484" s="84"/>
      <c r="AS484" s="84"/>
      <c r="AT484" s="84"/>
      <c r="AU484" s="84"/>
      <c r="AV484" s="84"/>
      <c r="AW484" s="84"/>
      <c r="AX484" s="84"/>
      <c r="AY484" s="84"/>
      <c r="AZ484" s="84"/>
    </row>
    <row r="485" ht="15.75" customHeight="1">
      <c r="A485" s="9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5"/>
      <c r="AK485" s="85"/>
      <c r="AL485" s="103"/>
      <c r="AM485" s="104"/>
      <c r="AN485" s="103"/>
      <c r="AO485" s="104"/>
      <c r="AP485" s="103"/>
      <c r="AQ485" s="104"/>
      <c r="AR485" s="84"/>
      <c r="AS485" s="84"/>
      <c r="AT485" s="84"/>
      <c r="AU485" s="84"/>
      <c r="AV485" s="84"/>
      <c r="AW485" s="84"/>
      <c r="AX485" s="84"/>
      <c r="AY485" s="84"/>
      <c r="AZ485" s="84"/>
    </row>
    <row r="486" ht="15.75" customHeight="1">
      <c r="A486" s="9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5"/>
      <c r="AK486" s="85"/>
      <c r="AL486" s="103"/>
      <c r="AM486" s="104"/>
      <c r="AN486" s="103"/>
      <c r="AO486" s="104"/>
      <c r="AP486" s="103"/>
      <c r="AQ486" s="104"/>
      <c r="AR486" s="84"/>
      <c r="AS486" s="84"/>
      <c r="AT486" s="84"/>
      <c r="AU486" s="84"/>
      <c r="AV486" s="84"/>
      <c r="AW486" s="84"/>
      <c r="AX486" s="84"/>
      <c r="AY486" s="84"/>
      <c r="AZ486" s="84"/>
    </row>
    <row r="487" ht="15.75" customHeight="1">
      <c r="A487" s="9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5"/>
      <c r="AK487" s="85"/>
      <c r="AL487" s="103"/>
      <c r="AM487" s="104"/>
      <c r="AN487" s="103"/>
      <c r="AO487" s="104"/>
      <c r="AP487" s="103"/>
      <c r="AQ487" s="104"/>
      <c r="AR487" s="84"/>
      <c r="AS487" s="84"/>
      <c r="AT487" s="84"/>
      <c r="AU487" s="84"/>
      <c r="AV487" s="84"/>
      <c r="AW487" s="84"/>
      <c r="AX487" s="84"/>
      <c r="AY487" s="84"/>
      <c r="AZ487" s="84"/>
    </row>
    <row r="488" ht="15.75" customHeight="1">
      <c r="A488" s="9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5"/>
      <c r="AK488" s="85"/>
      <c r="AL488" s="103"/>
      <c r="AM488" s="104"/>
      <c r="AN488" s="103"/>
      <c r="AO488" s="104"/>
      <c r="AP488" s="103"/>
      <c r="AQ488" s="104"/>
      <c r="AR488" s="84"/>
      <c r="AS488" s="84"/>
      <c r="AT488" s="84"/>
      <c r="AU488" s="84"/>
      <c r="AV488" s="84"/>
      <c r="AW488" s="84"/>
      <c r="AX488" s="84"/>
      <c r="AY488" s="84"/>
      <c r="AZ488" s="84"/>
    </row>
    <row r="489" ht="15.75" customHeight="1">
      <c r="A489" s="9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5"/>
      <c r="AK489" s="85"/>
      <c r="AL489" s="103"/>
      <c r="AM489" s="104"/>
      <c r="AN489" s="103"/>
      <c r="AO489" s="104"/>
      <c r="AP489" s="103"/>
      <c r="AQ489" s="104"/>
      <c r="AR489" s="84"/>
      <c r="AS489" s="84"/>
      <c r="AT489" s="84"/>
      <c r="AU489" s="84"/>
      <c r="AV489" s="84"/>
      <c r="AW489" s="84"/>
      <c r="AX489" s="84"/>
      <c r="AY489" s="84"/>
      <c r="AZ489" s="84"/>
    </row>
    <row r="490" ht="15.75" customHeight="1">
      <c r="A490" s="9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5"/>
      <c r="AK490" s="85"/>
      <c r="AL490" s="103"/>
      <c r="AM490" s="104"/>
      <c r="AN490" s="103"/>
      <c r="AO490" s="104"/>
      <c r="AP490" s="103"/>
      <c r="AQ490" s="104"/>
      <c r="AR490" s="84"/>
      <c r="AS490" s="84"/>
      <c r="AT490" s="84"/>
      <c r="AU490" s="84"/>
      <c r="AV490" s="84"/>
      <c r="AW490" s="84"/>
      <c r="AX490" s="84"/>
      <c r="AY490" s="84"/>
      <c r="AZ490" s="84"/>
    </row>
    <row r="491" ht="15.75" customHeight="1">
      <c r="A491" s="9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5"/>
      <c r="AK491" s="85"/>
      <c r="AL491" s="103"/>
      <c r="AM491" s="104"/>
      <c r="AN491" s="103"/>
      <c r="AO491" s="104"/>
      <c r="AP491" s="103"/>
      <c r="AQ491" s="104"/>
      <c r="AR491" s="84"/>
      <c r="AS491" s="84"/>
      <c r="AT491" s="84"/>
      <c r="AU491" s="84"/>
      <c r="AV491" s="84"/>
      <c r="AW491" s="84"/>
      <c r="AX491" s="84"/>
      <c r="AY491" s="84"/>
      <c r="AZ491" s="84"/>
    </row>
    <row r="492" ht="15.75" customHeight="1">
      <c r="A492" s="9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5"/>
      <c r="AK492" s="85"/>
      <c r="AL492" s="103"/>
      <c r="AM492" s="104"/>
      <c r="AN492" s="103"/>
      <c r="AO492" s="104"/>
      <c r="AP492" s="103"/>
      <c r="AQ492" s="104"/>
      <c r="AR492" s="84"/>
      <c r="AS492" s="84"/>
      <c r="AT492" s="84"/>
      <c r="AU492" s="84"/>
      <c r="AV492" s="84"/>
      <c r="AW492" s="84"/>
      <c r="AX492" s="84"/>
      <c r="AY492" s="84"/>
      <c r="AZ492" s="84"/>
    </row>
    <row r="493" ht="15.75" customHeight="1">
      <c r="A493" s="9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5"/>
      <c r="AK493" s="85"/>
      <c r="AL493" s="103"/>
      <c r="AM493" s="104"/>
      <c r="AN493" s="103"/>
      <c r="AO493" s="104"/>
      <c r="AP493" s="103"/>
      <c r="AQ493" s="104"/>
      <c r="AR493" s="84"/>
      <c r="AS493" s="84"/>
      <c r="AT493" s="84"/>
      <c r="AU493" s="84"/>
      <c r="AV493" s="84"/>
      <c r="AW493" s="84"/>
      <c r="AX493" s="84"/>
      <c r="AY493" s="84"/>
      <c r="AZ493" s="84"/>
    </row>
    <row r="494" ht="15.75" customHeight="1">
      <c r="A494" s="9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5"/>
      <c r="AK494" s="85"/>
      <c r="AL494" s="103"/>
      <c r="AM494" s="104"/>
      <c r="AN494" s="103"/>
      <c r="AO494" s="104"/>
      <c r="AP494" s="103"/>
      <c r="AQ494" s="104"/>
      <c r="AR494" s="84"/>
      <c r="AS494" s="84"/>
      <c r="AT494" s="84"/>
      <c r="AU494" s="84"/>
      <c r="AV494" s="84"/>
      <c r="AW494" s="84"/>
      <c r="AX494" s="84"/>
      <c r="AY494" s="84"/>
      <c r="AZ494" s="84"/>
    </row>
    <row r="495" ht="15.75" customHeight="1">
      <c r="A495" s="9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5"/>
      <c r="AK495" s="85"/>
      <c r="AL495" s="103"/>
      <c r="AM495" s="104"/>
      <c r="AN495" s="103"/>
      <c r="AO495" s="104"/>
      <c r="AP495" s="103"/>
      <c r="AQ495" s="104"/>
      <c r="AR495" s="84"/>
      <c r="AS495" s="84"/>
      <c r="AT495" s="84"/>
      <c r="AU495" s="84"/>
      <c r="AV495" s="84"/>
      <c r="AW495" s="84"/>
      <c r="AX495" s="84"/>
      <c r="AY495" s="84"/>
      <c r="AZ495" s="84"/>
    </row>
    <row r="496" ht="15.75" customHeight="1">
      <c r="A496" s="9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5"/>
      <c r="AK496" s="85"/>
      <c r="AL496" s="103"/>
      <c r="AM496" s="104"/>
      <c r="AN496" s="103"/>
      <c r="AO496" s="104"/>
      <c r="AP496" s="103"/>
      <c r="AQ496" s="104"/>
      <c r="AR496" s="84"/>
      <c r="AS496" s="84"/>
      <c r="AT496" s="84"/>
      <c r="AU496" s="84"/>
      <c r="AV496" s="84"/>
      <c r="AW496" s="84"/>
      <c r="AX496" s="84"/>
      <c r="AY496" s="84"/>
      <c r="AZ496" s="84"/>
    </row>
    <row r="497" ht="15.75" customHeight="1">
      <c r="A497" s="9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5"/>
      <c r="AK497" s="85"/>
      <c r="AL497" s="103"/>
      <c r="AM497" s="104"/>
      <c r="AN497" s="103"/>
      <c r="AO497" s="104"/>
      <c r="AP497" s="103"/>
      <c r="AQ497" s="104"/>
      <c r="AR497" s="84"/>
      <c r="AS497" s="84"/>
      <c r="AT497" s="84"/>
      <c r="AU497" s="84"/>
      <c r="AV497" s="84"/>
      <c r="AW497" s="84"/>
      <c r="AX497" s="84"/>
      <c r="AY497" s="84"/>
      <c r="AZ497" s="84"/>
    </row>
    <row r="498" ht="15.75" customHeight="1">
      <c r="A498" s="9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5"/>
      <c r="AK498" s="85"/>
      <c r="AL498" s="103"/>
      <c r="AM498" s="104"/>
      <c r="AN498" s="103"/>
      <c r="AO498" s="104"/>
      <c r="AP498" s="103"/>
      <c r="AQ498" s="104"/>
      <c r="AR498" s="84"/>
      <c r="AS498" s="84"/>
      <c r="AT498" s="84"/>
      <c r="AU498" s="84"/>
      <c r="AV498" s="84"/>
      <c r="AW498" s="84"/>
      <c r="AX498" s="84"/>
      <c r="AY498" s="84"/>
      <c r="AZ498" s="84"/>
    </row>
    <row r="499" ht="15.75" customHeight="1">
      <c r="A499" s="9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5"/>
      <c r="AK499" s="85"/>
      <c r="AL499" s="103"/>
      <c r="AM499" s="104"/>
      <c r="AN499" s="103"/>
      <c r="AO499" s="104"/>
      <c r="AP499" s="103"/>
      <c r="AQ499" s="104"/>
      <c r="AR499" s="84"/>
      <c r="AS499" s="84"/>
      <c r="AT499" s="84"/>
      <c r="AU499" s="84"/>
      <c r="AV499" s="84"/>
      <c r="AW499" s="84"/>
      <c r="AX499" s="84"/>
      <c r="AY499" s="84"/>
      <c r="AZ499" s="84"/>
    </row>
    <row r="500" ht="15.75" customHeight="1">
      <c r="A500" s="9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5"/>
      <c r="AK500" s="85"/>
      <c r="AL500" s="103"/>
      <c r="AM500" s="104"/>
      <c r="AN500" s="103"/>
      <c r="AO500" s="104"/>
      <c r="AP500" s="103"/>
      <c r="AQ500" s="104"/>
      <c r="AR500" s="84"/>
      <c r="AS500" s="84"/>
      <c r="AT500" s="84"/>
      <c r="AU500" s="84"/>
      <c r="AV500" s="84"/>
      <c r="AW500" s="84"/>
      <c r="AX500" s="84"/>
      <c r="AY500" s="84"/>
      <c r="AZ500" s="84"/>
    </row>
    <row r="501" ht="15.75" customHeight="1">
      <c r="A501" s="9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5"/>
      <c r="AK501" s="85"/>
      <c r="AL501" s="103"/>
      <c r="AM501" s="104"/>
      <c r="AN501" s="103"/>
      <c r="AO501" s="104"/>
      <c r="AP501" s="103"/>
      <c r="AQ501" s="104"/>
      <c r="AR501" s="84"/>
      <c r="AS501" s="84"/>
      <c r="AT501" s="84"/>
      <c r="AU501" s="84"/>
      <c r="AV501" s="84"/>
      <c r="AW501" s="84"/>
      <c r="AX501" s="84"/>
      <c r="AY501" s="84"/>
      <c r="AZ501" s="84"/>
    </row>
    <row r="502" ht="15.75" customHeight="1">
      <c r="A502" s="9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5"/>
      <c r="AK502" s="85"/>
      <c r="AL502" s="103"/>
      <c r="AM502" s="104"/>
      <c r="AN502" s="103"/>
      <c r="AO502" s="104"/>
      <c r="AP502" s="103"/>
      <c r="AQ502" s="104"/>
      <c r="AR502" s="84"/>
      <c r="AS502" s="84"/>
      <c r="AT502" s="84"/>
      <c r="AU502" s="84"/>
      <c r="AV502" s="84"/>
      <c r="AW502" s="84"/>
      <c r="AX502" s="84"/>
      <c r="AY502" s="84"/>
      <c r="AZ502" s="84"/>
    </row>
    <row r="503" ht="15.75" customHeight="1">
      <c r="A503" s="9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5"/>
      <c r="AK503" s="85"/>
      <c r="AL503" s="103"/>
      <c r="AM503" s="104"/>
      <c r="AN503" s="103"/>
      <c r="AO503" s="104"/>
      <c r="AP503" s="103"/>
      <c r="AQ503" s="104"/>
      <c r="AR503" s="84"/>
      <c r="AS503" s="84"/>
      <c r="AT503" s="84"/>
      <c r="AU503" s="84"/>
      <c r="AV503" s="84"/>
      <c r="AW503" s="84"/>
      <c r="AX503" s="84"/>
      <c r="AY503" s="84"/>
      <c r="AZ503" s="84"/>
    </row>
    <row r="504" ht="15.75" customHeight="1">
      <c r="A504" s="9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5"/>
      <c r="AK504" s="85"/>
      <c r="AL504" s="103"/>
      <c r="AM504" s="104"/>
      <c r="AN504" s="103"/>
      <c r="AO504" s="104"/>
      <c r="AP504" s="103"/>
      <c r="AQ504" s="104"/>
      <c r="AR504" s="84"/>
      <c r="AS504" s="84"/>
      <c r="AT504" s="84"/>
      <c r="AU504" s="84"/>
      <c r="AV504" s="84"/>
      <c r="AW504" s="84"/>
      <c r="AX504" s="84"/>
      <c r="AY504" s="84"/>
      <c r="AZ504" s="84"/>
    </row>
    <row r="505" ht="15.75" customHeight="1">
      <c r="A505" s="9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5"/>
      <c r="AK505" s="85"/>
      <c r="AL505" s="103"/>
      <c r="AM505" s="104"/>
      <c r="AN505" s="103"/>
      <c r="AO505" s="104"/>
      <c r="AP505" s="103"/>
      <c r="AQ505" s="104"/>
      <c r="AR505" s="84"/>
      <c r="AS505" s="84"/>
      <c r="AT505" s="84"/>
      <c r="AU505" s="84"/>
      <c r="AV505" s="84"/>
      <c r="AW505" s="84"/>
      <c r="AX505" s="84"/>
      <c r="AY505" s="84"/>
      <c r="AZ505" s="84"/>
    </row>
    <row r="506" ht="15.75" customHeight="1">
      <c r="A506" s="9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5"/>
      <c r="AK506" s="85"/>
      <c r="AL506" s="103"/>
      <c r="AM506" s="104"/>
      <c r="AN506" s="103"/>
      <c r="AO506" s="104"/>
      <c r="AP506" s="103"/>
      <c r="AQ506" s="104"/>
      <c r="AR506" s="84"/>
      <c r="AS506" s="84"/>
      <c r="AT506" s="84"/>
      <c r="AU506" s="84"/>
      <c r="AV506" s="84"/>
      <c r="AW506" s="84"/>
      <c r="AX506" s="84"/>
      <c r="AY506" s="84"/>
      <c r="AZ506" s="84"/>
    </row>
    <row r="507" ht="15.75" customHeight="1">
      <c r="A507" s="9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5"/>
      <c r="AK507" s="85"/>
      <c r="AL507" s="103"/>
      <c r="AM507" s="104"/>
      <c r="AN507" s="103"/>
      <c r="AO507" s="104"/>
      <c r="AP507" s="103"/>
      <c r="AQ507" s="104"/>
      <c r="AR507" s="84"/>
      <c r="AS507" s="84"/>
      <c r="AT507" s="84"/>
      <c r="AU507" s="84"/>
      <c r="AV507" s="84"/>
      <c r="AW507" s="84"/>
      <c r="AX507" s="84"/>
      <c r="AY507" s="84"/>
      <c r="AZ507" s="84"/>
    </row>
    <row r="508" ht="15.75" customHeight="1">
      <c r="A508" s="9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5"/>
      <c r="AK508" s="85"/>
      <c r="AL508" s="103"/>
      <c r="AM508" s="104"/>
      <c r="AN508" s="103"/>
      <c r="AO508" s="104"/>
      <c r="AP508" s="103"/>
      <c r="AQ508" s="104"/>
      <c r="AR508" s="84"/>
      <c r="AS508" s="84"/>
      <c r="AT508" s="84"/>
      <c r="AU508" s="84"/>
      <c r="AV508" s="84"/>
      <c r="AW508" s="84"/>
      <c r="AX508" s="84"/>
      <c r="AY508" s="84"/>
      <c r="AZ508" s="84"/>
    </row>
    <row r="509" ht="15.75" customHeight="1">
      <c r="A509" s="9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5"/>
      <c r="AK509" s="85"/>
      <c r="AL509" s="103"/>
      <c r="AM509" s="104"/>
      <c r="AN509" s="103"/>
      <c r="AO509" s="104"/>
      <c r="AP509" s="103"/>
      <c r="AQ509" s="104"/>
      <c r="AR509" s="84"/>
      <c r="AS509" s="84"/>
      <c r="AT509" s="84"/>
      <c r="AU509" s="84"/>
      <c r="AV509" s="84"/>
      <c r="AW509" s="84"/>
      <c r="AX509" s="84"/>
      <c r="AY509" s="84"/>
      <c r="AZ509" s="84"/>
    </row>
    <row r="510" ht="15.75" customHeight="1">
      <c r="A510" s="9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5"/>
      <c r="AK510" s="85"/>
      <c r="AL510" s="103"/>
      <c r="AM510" s="104"/>
      <c r="AN510" s="103"/>
      <c r="AO510" s="104"/>
      <c r="AP510" s="103"/>
      <c r="AQ510" s="104"/>
      <c r="AR510" s="84"/>
      <c r="AS510" s="84"/>
      <c r="AT510" s="84"/>
      <c r="AU510" s="84"/>
      <c r="AV510" s="84"/>
      <c r="AW510" s="84"/>
      <c r="AX510" s="84"/>
      <c r="AY510" s="84"/>
      <c r="AZ510" s="84"/>
    </row>
    <row r="511" ht="15.75" customHeight="1">
      <c r="A511" s="9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5"/>
      <c r="AK511" s="85"/>
      <c r="AL511" s="103"/>
      <c r="AM511" s="104"/>
      <c r="AN511" s="103"/>
      <c r="AO511" s="104"/>
      <c r="AP511" s="103"/>
      <c r="AQ511" s="104"/>
      <c r="AR511" s="84"/>
      <c r="AS511" s="84"/>
      <c r="AT511" s="84"/>
      <c r="AU511" s="84"/>
      <c r="AV511" s="84"/>
      <c r="AW511" s="84"/>
      <c r="AX511" s="84"/>
      <c r="AY511" s="84"/>
      <c r="AZ511" s="84"/>
    </row>
    <row r="512" ht="15.75" customHeight="1">
      <c r="A512" s="9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5"/>
      <c r="AK512" s="85"/>
      <c r="AL512" s="103"/>
      <c r="AM512" s="104"/>
      <c r="AN512" s="103"/>
      <c r="AO512" s="104"/>
      <c r="AP512" s="103"/>
      <c r="AQ512" s="104"/>
      <c r="AR512" s="84"/>
      <c r="AS512" s="84"/>
      <c r="AT512" s="84"/>
      <c r="AU512" s="84"/>
      <c r="AV512" s="84"/>
      <c r="AW512" s="84"/>
      <c r="AX512" s="84"/>
      <c r="AY512" s="84"/>
      <c r="AZ512" s="84"/>
    </row>
    <row r="513" ht="15.75" customHeight="1">
      <c r="A513" s="9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5"/>
      <c r="AK513" s="85"/>
      <c r="AL513" s="103"/>
      <c r="AM513" s="104"/>
      <c r="AN513" s="103"/>
      <c r="AO513" s="104"/>
      <c r="AP513" s="103"/>
      <c r="AQ513" s="104"/>
      <c r="AR513" s="84"/>
      <c r="AS513" s="84"/>
      <c r="AT513" s="84"/>
      <c r="AU513" s="84"/>
      <c r="AV513" s="84"/>
      <c r="AW513" s="84"/>
      <c r="AX513" s="84"/>
      <c r="AY513" s="84"/>
      <c r="AZ513" s="84"/>
    </row>
    <row r="514" ht="15.75" customHeight="1">
      <c r="A514" s="9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5"/>
      <c r="AK514" s="85"/>
      <c r="AL514" s="103"/>
      <c r="AM514" s="104"/>
      <c r="AN514" s="103"/>
      <c r="AO514" s="104"/>
      <c r="AP514" s="103"/>
      <c r="AQ514" s="104"/>
      <c r="AR514" s="84"/>
      <c r="AS514" s="84"/>
      <c r="AT514" s="84"/>
      <c r="AU514" s="84"/>
      <c r="AV514" s="84"/>
      <c r="AW514" s="84"/>
      <c r="AX514" s="84"/>
      <c r="AY514" s="84"/>
      <c r="AZ514" s="84"/>
    </row>
    <row r="515" ht="15.75" customHeight="1">
      <c r="A515" s="9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5"/>
      <c r="AK515" s="85"/>
      <c r="AL515" s="103"/>
      <c r="AM515" s="104"/>
      <c r="AN515" s="103"/>
      <c r="AO515" s="104"/>
      <c r="AP515" s="103"/>
      <c r="AQ515" s="104"/>
      <c r="AR515" s="84"/>
      <c r="AS515" s="84"/>
      <c r="AT515" s="84"/>
      <c r="AU515" s="84"/>
      <c r="AV515" s="84"/>
      <c r="AW515" s="84"/>
      <c r="AX515" s="84"/>
      <c r="AY515" s="84"/>
      <c r="AZ515" s="84"/>
    </row>
    <row r="516" ht="15.75" customHeight="1">
      <c r="A516" s="9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5"/>
      <c r="AK516" s="85"/>
      <c r="AL516" s="103"/>
      <c r="AM516" s="104"/>
      <c r="AN516" s="103"/>
      <c r="AO516" s="104"/>
      <c r="AP516" s="103"/>
      <c r="AQ516" s="104"/>
      <c r="AR516" s="84"/>
      <c r="AS516" s="84"/>
      <c r="AT516" s="84"/>
      <c r="AU516" s="84"/>
      <c r="AV516" s="84"/>
      <c r="AW516" s="84"/>
      <c r="AX516" s="84"/>
      <c r="AY516" s="84"/>
      <c r="AZ516" s="84"/>
    </row>
    <row r="517" ht="15.75" customHeight="1">
      <c r="A517" s="9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5"/>
      <c r="AK517" s="85"/>
      <c r="AL517" s="103"/>
      <c r="AM517" s="104"/>
      <c r="AN517" s="103"/>
      <c r="AO517" s="104"/>
      <c r="AP517" s="103"/>
      <c r="AQ517" s="104"/>
      <c r="AR517" s="84"/>
      <c r="AS517" s="84"/>
      <c r="AT517" s="84"/>
      <c r="AU517" s="84"/>
      <c r="AV517" s="84"/>
      <c r="AW517" s="84"/>
      <c r="AX517" s="84"/>
      <c r="AY517" s="84"/>
      <c r="AZ517" s="84"/>
    </row>
    <row r="518" ht="15.75" customHeight="1">
      <c r="A518" s="9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5"/>
      <c r="AK518" s="85"/>
      <c r="AL518" s="103"/>
      <c r="AM518" s="104"/>
      <c r="AN518" s="103"/>
      <c r="AO518" s="104"/>
      <c r="AP518" s="103"/>
      <c r="AQ518" s="104"/>
      <c r="AR518" s="84"/>
      <c r="AS518" s="84"/>
      <c r="AT518" s="84"/>
      <c r="AU518" s="84"/>
      <c r="AV518" s="84"/>
      <c r="AW518" s="84"/>
      <c r="AX518" s="84"/>
      <c r="AY518" s="84"/>
      <c r="AZ518" s="84"/>
    </row>
    <row r="519" ht="15.75" customHeight="1">
      <c r="A519" s="9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5"/>
      <c r="AK519" s="85"/>
      <c r="AL519" s="103"/>
      <c r="AM519" s="104"/>
      <c r="AN519" s="103"/>
      <c r="AO519" s="104"/>
      <c r="AP519" s="103"/>
      <c r="AQ519" s="104"/>
      <c r="AR519" s="84"/>
      <c r="AS519" s="84"/>
      <c r="AT519" s="84"/>
      <c r="AU519" s="84"/>
      <c r="AV519" s="84"/>
      <c r="AW519" s="84"/>
      <c r="AX519" s="84"/>
      <c r="AY519" s="84"/>
      <c r="AZ519" s="84"/>
    </row>
    <row r="520" ht="15.75" customHeight="1">
      <c r="A520" s="9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5"/>
      <c r="AK520" s="85"/>
      <c r="AL520" s="103"/>
      <c r="AM520" s="104"/>
      <c r="AN520" s="103"/>
      <c r="AO520" s="104"/>
      <c r="AP520" s="103"/>
      <c r="AQ520" s="104"/>
      <c r="AR520" s="84"/>
      <c r="AS520" s="84"/>
      <c r="AT520" s="84"/>
      <c r="AU520" s="84"/>
      <c r="AV520" s="84"/>
      <c r="AW520" s="84"/>
      <c r="AX520" s="84"/>
      <c r="AY520" s="84"/>
      <c r="AZ520" s="84"/>
    </row>
    <row r="521" ht="15.75" customHeight="1">
      <c r="A521" s="9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5"/>
      <c r="AK521" s="85"/>
      <c r="AL521" s="103"/>
      <c r="AM521" s="104"/>
      <c r="AN521" s="103"/>
      <c r="AO521" s="104"/>
      <c r="AP521" s="103"/>
      <c r="AQ521" s="104"/>
      <c r="AR521" s="84"/>
      <c r="AS521" s="84"/>
      <c r="AT521" s="84"/>
      <c r="AU521" s="84"/>
      <c r="AV521" s="84"/>
      <c r="AW521" s="84"/>
      <c r="AX521" s="84"/>
      <c r="AY521" s="84"/>
      <c r="AZ521" s="84"/>
    </row>
    <row r="522" ht="15.75" customHeight="1">
      <c r="A522" s="9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5"/>
      <c r="AK522" s="85"/>
      <c r="AL522" s="103"/>
      <c r="AM522" s="104"/>
      <c r="AN522" s="103"/>
      <c r="AO522" s="104"/>
      <c r="AP522" s="103"/>
      <c r="AQ522" s="104"/>
      <c r="AR522" s="84"/>
      <c r="AS522" s="84"/>
      <c r="AT522" s="84"/>
      <c r="AU522" s="84"/>
      <c r="AV522" s="84"/>
      <c r="AW522" s="84"/>
      <c r="AX522" s="84"/>
      <c r="AY522" s="84"/>
      <c r="AZ522" s="84"/>
    </row>
    <row r="523" ht="15.75" customHeight="1">
      <c r="A523" s="9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5"/>
      <c r="AK523" s="85"/>
      <c r="AL523" s="103"/>
      <c r="AM523" s="104"/>
      <c r="AN523" s="103"/>
      <c r="AO523" s="104"/>
      <c r="AP523" s="103"/>
      <c r="AQ523" s="104"/>
      <c r="AR523" s="84"/>
      <c r="AS523" s="84"/>
      <c r="AT523" s="84"/>
      <c r="AU523" s="84"/>
      <c r="AV523" s="84"/>
      <c r="AW523" s="84"/>
      <c r="AX523" s="84"/>
      <c r="AY523" s="84"/>
      <c r="AZ523" s="84"/>
    </row>
    <row r="524" ht="15.75" customHeight="1">
      <c r="A524" s="9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5"/>
      <c r="AK524" s="85"/>
      <c r="AL524" s="103"/>
      <c r="AM524" s="104"/>
      <c r="AN524" s="103"/>
      <c r="AO524" s="104"/>
      <c r="AP524" s="103"/>
      <c r="AQ524" s="104"/>
      <c r="AR524" s="84"/>
      <c r="AS524" s="84"/>
      <c r="AT524" s="84"/>
      <c r="AU524" s="84"/>
      <c r="AV524" s="84"/>
      <c r="AW524" s="84"/>
      <c r="AX524" s="84"/>
      <c r="AY524" s="84"/>
      <c r="AZ524" s="84"/>
    </row>
    <row r="525" ht="15.75" customHeight="1">
      <c r="A525" s="9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5"/>
      <c r="AK525" s="85"/>
      <c r="AL525" s="103"/>
      <c r="AM525" s="104"/>
      <c r="AN525" s="103"/>
      <c r="AO525" s="104"/>
      <c r="AP525" s="103"/>
      <c r="AQ525" s="104"/>
      <c r="AR525" s="84"/>
      <c r="AS525" s="84"/>
      <c r="AT525" s="84"/>
      <c r="AU525" s="84"/>
      <c r="AV525" s="84"/>
      <c r="AW525" s="84"/>
      <c r="AX525" s="84"/>
      <c r="AY525" s="84"/>
      <c r="AZ525" s="84"/>
    </row>
    <row r="526" ht="15.75" customHeight="1">
      <c r="A526" s="9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5"/>
      <c r="AK526" s="85"/>
      <c r="AL526" s="103"/>
      <c r="AM526" s="104"/>
      <c r="AN526" s="103"/>
      <c r="AO526" s="104"/>
      <c r="AP526" s="103"/>
      <c r="AQ526" s="104"/>
      <c r="AR526" s="84"/>
      <c r="AS526" s="84"/>
      <c r="AT526" s="84"/>
      <c r="AU526" s="84"/>
      <c r="AV526" s="84"/>
      <c r="AW526" s="84"/>
      <c r="AX526" s="84"/>
      <c r="AY526" s="84"/>
      <c r="AZ526" s="84"/>
    </row>
    <row r="527" ht="15.75" customHeight="1">
      <c r="A527" s="9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5"/>
      <c r="AK527" s="85"/>
      <c r="AL527" s="103"/>
      <c r="AM527" s="104"/>
      <c r="AN527" s="103"/>
      <c r="AO527" s="104"/>
      <c r="AP527" s="103"/>
      <c r="AQ527" s="104"/>
      <c r="AR527" s="84"/>
      <c r="AS527" s="84"/>
      <c r="AT527" s="84"/>
      <c r="AU527" s="84"/>
      <c r="AV527" s="84"/>
      <c r="AW527" s="84"/>
      <c r="AX527" s="84"/>
      <c r="AY527" s="84"/>
      <c r="AZ527" s="84"/>
    </row>
    <row r="528" ht="15.75" customHeight="1">
      <c r="A528" s="9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5"/>
      <c r="AK528" s="85"/>
      <c r="AL528" s="103"/>
      <c r="AM528" s="104"/>
      <c r="AN528" s="103"/>
      <c r="AO528" s="104"/>
      <c r="AP528" s="103"/>
      <c r="AQ528" s="104"/>
      <c r="AR528" s="84"/>
      <c r="AS528" s="84"/>
      <c r="AT528" s="84"/>
      <c r="AU528" s="84"/>
      <c r="AV528" s="84"/>
      <c r="AW528" s="84"/>
      <c r="AX528" s="84"/>
      <c r="AY528" s="84"/>
      <c r="AZ528" s="84"/>
    </row>
    <row r="529" ht="15.75" customHeight="1">
      <c r="A529" s="9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5"/>
      <c r="AK529" s="85"/>
      <c r="AL529" s="103"/>
      <c r="AM529" s="104"/>
      <c r="AN529" s="103"/>
      <c r="AO529" s="104"/>
      <c r="AP529" s="103"/>
      <c r="AQ529" s="104"/>
      <c r="AR529" s="84"/>
      <c r="AS529" s="84"/>
      <c r="AT529" s="84"/>
      <c r="AU529" s="84"/>
      <c r="AV529" s="84"/>
      <c r="AW529" s="84"/>
      <c r="AX529" s="84"/>
      <c r="AY529" s="84"/>
      <c r="AZ529" s="84"/>
    </row>
    <row r="530" ht="15.75" customHeight="1">
      <c r="A530" s="9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5"/>
      <c r="AK530" s="85"/>
      <c r="AL530" s="103"/>
      <c r="AM530" s="104"/>
      <c r="AN530" s="103"/>
      <c r="AO530" s="104"/>
      <c r="AP530" s="103"/>
      <c r="AQ530" s="104"/>
      <c r="AR530" s="84"/>
      <c r="AS530" s="84"/>
      <c r="AT530" s="84"/>
      <c r="AU530" s="84"/>
      <c r="AV530" s="84"/>
      <c r="AW530" s="84"/>
      <c r="AX530" s="84"/>
      <c r="AY530" s="84"/>
      <c r="AZ530" s="84"/>
    </row>
    <row r="531" ht="15.75" customHeight="1">
      <c r="A531" s="9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5"/>
      <c r="AK531" s="85"/>
      <c r="AL531" s="103"/>
      <c r="AM531" s="104"/>
      <c r="AN531" s="103"/>
      <c r="AO531" s="104"/>
      <c r="AP531" s="103"/>
      <c r="AQ531" s="104"/>
      <c r="AR531" s="84"/>
      <c r="AS531" s="84"/>
      <c r="AT531" s="84"/>
      <c r="AU531" s="84"/>
      <c r="AV531" s="84"/>
      <c r="AW531" s="84"/>
      <c r="AX531" s="84"/>
      <c r="AY531" s="84"/>
      <c r="AZ531" s="84"/>
    </row>
    <row r="532" ht="15.75" customHeight="1">
      <c r="A532" s="9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5"/>
      <c r="AK532" s="85"/>
      <c r="AL532" s="103"/>
      <c r="AM532" s="104"/>
      <c r="AN532" s="103"/>
      <c r="AO532" s="104"/>
      <c r="AP532" s="103"/>
      <c r="AQ532" s="104"/>
      <c r="AR532" s="84"/>
      <c r="AS532" s="84"/>
      <c r="AT532" s="84"/>
      <c r="AU532" s="84"/>
      <c r="AV532" s="84"/>
      <c r="AW532" s="84"/>
      <c r="AX532" s="84"/>
      <c r="AY532" s="84"/>
      <c r="AZ532" s="84"/>
    </row>
    <row r="533" ht="15.75" customHeight="1">
      <c r="A533" s="9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5"/>
      <c r="AK533" s="85"/>
      <c r="AL533" s="103"/>
      <c r="AM533" s="104"/>
      <c r="AN533" s="103"/>
      <c r="AO533" s="104"/>
      <c r="AP533" s="103"/>
      <c r="AQ533" s="104"/>
      <c r="AR533" s="84"/>
      <c r="AS533" s="84"/>
      <c r="AT533" s="84"/>
      <c r="AU533" s="84"/>
      <c r="AV533" s="84"/>
      <c r="AW533" s="84"/>
      <c r="AX533" s="84"/>
      <c r="AY533" s="84"/>
      <c r="AZ533" s="84"/>
    </row>
    <row r="534" ht="15.75" customHeight="1">
      <c r="A534" s="9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5"/>
      <c r="AK534" s="85"/>
      <c r="AL534" s="103"/>
      <c r="AM534" s="104"/>
      <c r="AN534" s="103"/>
      <c r="AO534" s="104"/>
      <c r="AP534" s="103"/>
      <c r="AQ534" s="104"/>
      <c r="AR534" s="84"/>
      <c r="AS534" s="84"/>
      <c r="AT534" s="84"/>
      <c r="AU534" s="84"/>
      <c r="AV534" s="84"/>
      <c r="AW534" s="84"/>
      <c r="AX534" s="84"/>
      <c r="AY534" s="84"/>
      <c r="AZ534" s="84"/>
    </row>
    <row r="535" ht="15.75" customHeight="1">
      <c r="A535" s="9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5"/>
      <c r="AK535" s="85"/>
      <c r="AL535" s="103"/>
      <c r="AM535" s="104"/>
      <c r="AN535" s="103"/>
      <c r="AO535" s="104"/>
      <c r="AP535" s="103"/>
      <c r="AQ535" s="104"/>
      <c r="AR535" s="84"/>
      <c r="AS535" s="84"/>
      <c r="AT535" s="84"/>
      <c r="AU535" s="84"/>
      <c r="AV535" s="84"/>
      <c r="AW535" s="84"/>
      <c r="AX535" s="84"/>
      <c r="AY535" s="84"/>
      <c r="AZ535" s="84"/>
    </row>
    <row r="536" ht="15.75" customHeight="1">
      <c r="A536" s="9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5"/>
      <c r="AK536" s="85"/>
      <c r="AL536" s="103"/>
      <c r="AM536" s="104"/>
      <c r="AN536" s="103"/>
      <c r="AO536" s="104"/>
      <c r="AP536" s="103"/>
      <c r="AQ536" s="104"/>
      <c r="AR536" s="84"/>
      <c r="AS536" s="84"/>
      <c r="AT536" s="84"/>
      <c r="AU536" s="84"/>
      <c r="AV536" s="84"/>
      <c r="AW536" s="84"/>
      <c r="AX536" s="84"/>
      <c r="AY536" s="84"/>
      <c r="AZ536" s="84"/>
    </row>
    <row r="537" ht="15.75" customHeight="1">
      <c r="A537" s="9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5"/>
      <c r="AK537" s="85"/>
      <c r="AL537" s="103"/>
      <c r="AM537" s="104"/>
      <c r="AN537" s="103"/>
      <c r="AO537" s="104"/>
      <c r="AP537" s="103"/>
      <c r="AQ537" s="104"/>
      <c r="AR537" s="84"/>
      <c r="AS537" s="84"/>
      <c r="AT537" s="84"/>
      <c r="AU537" s="84"/>
      <c r="AV537" s="84"/>
      <c r="AW537" s="84"/>
      <c r="AX537" s="84"/>
      <c r="AY537" s="84"/>
      <c r="AZ537" s="84"/>
    </row>
    <row r="538" ht="15.75" customHeight="1">
      <c r="A538" s="9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5"/>
      <c r="AK538" s="85"/>
      <c r="AL538" s="103"/>
      <c r="AM538" s="104"/>
      <c r="AN538" s="103"/>
      <c r="AO538" s="104"/>
      <c r="AP538" s="103"/>
      <c r="AQ538" s="104"/>
      <c r="AR538" s="84"/>
      <c r="AS538" s="84"/>
      <c r="AT538" s="84"/>
      <c r="AU538" s="84"/>
      <c r="AV538" s="84"/>
      <c r="AW538" s="84"/>
      <c r="AX538" s="84"/>
      <c r="AY538" s="84"/>
      <c r="AZ538" s="84"/>
    </row>
    <row r="539" ht="15.75" customHeight="1">
      <c r="A539" s="9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5"/>
      <c r="AK539" s="85"/>
      <c r="AL539" s="103"/>
      <c r="AM539" s="104"/>
      <c r="AN539" s="103"/>
      <c r="AO539" s="104"/>
      <c r="AP539" s="103"/>
      <c r="AQ539" s="104"/>
      <c r="AR539" s="84"/>
      <c r="AS539" s="84"/>
      <c r="AT539" s="84"/>
      <c r="AU539" s="84"/>
      <c r="AV539" s="84"/>
      <c r="AW539" s="84"/>
      <c r="AX539" s="84"/>
      <c r="AY539" s="84"/>
      <c r="AZ539" s="84"/>
    </row>
    <row r="540" ht="15.75" customHeight="1">
      <c r="A540" s="9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5"/>
      <c r="AK540" s="85"/>
      <c r="AL540" s="103"/>
      <c r="AM540" s="104"/>
      <c r="AN540" s="103"/>
      <c r="AO540" s="104"/>
      <c r="AP540" s="103"/>
      <c r="AQ540" s="104"/>
      <c r="AR540" s="84"/>
      <c r="AS540" s="84"/>
      <c r="AT540" s="84"/>
      <c r="AU540" s="84"/>
      <c r="AV540" s="84"/>
      <c r="AW540" s="84"/>
      <c r="AX540" s="84"/>
      <c r="AY540" s="84"/>
      <c r="AZ540" s="84"/>
    </row>
    <row r="541" ht="15.75" customHeight="1">
      <c r="A541" s="9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5"/>
      <c r="AK541" s="85"/>
      <c r="AL541" s="103"/>
      <c r="AM541" s="104"/>
      <c r="AN541" s="103"/>
      <c r="AO541" s="104"/>
      <c r="AP541" s="103"/>
      <c r="AQ541" s="104"/>
      <c r="AR541" s="84"/>
      <c r="AS541" s="84"/>
      <c r="AT541" s="84"/>
      <c r="AU541" s="84"/>
      <c r="AV541" s="84"/>
      <c r="AW541" s="84"/>
      <c r="AX541" s="84"/>
      <c r="AY541" s="84"/>
      <c r="AZ541" s="84"/>
    </row>
    <row r="542" ht="15.75" customHeight="1">
      <c r="A542" s="9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5"/>
      <c r="AK542" s="85"/>
      <c r="AL542" s="103"/>
      <c r="AM542" s="104"/>
      <c r="AN542" s="103"/>
      <c r="AO542" s="104"/>
      <c r="AP542" s="103"/>
      <c r="AQ542" s="104"/>
      <c r="AR542" s="84"/>
      <c r="AS542" s="84"/>
      <c r="AT542" s="84"/>
      <c r="AU542" s="84"/>
      <c r="AV542" s="84"/>
      <c r="AW542" s="84"/>
      <c r="AX542" s="84"/>
      <c r="AY542" s="84"/>
      <c r="AZ542" s="84"/>
    </row>
    <row r="543" ht="15.75" customHeight="1">
      <c r="A543" s="9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5"/>
      <c r="AK543" s="85"/>
      <c r="AL543" s="103"/>
      <c r="AM543" s="104"/>
      <c r="AN543" s="103"/>
      <c r="AO543" s="104"/>
      <c r="AP543" s="103"/>
      <c r="AQ543" s="104"/>
      <c r="AR543" s="84"/>
      <c r="AS543" s="84"/>
      <c r="AT543" s="84"/>
      <c r="AU543" s="84"/>
      <c r="AV543" s="84"/>
      <c r="AW543" s="84"/>
      <c r="AX543" s="84"/>
      <c r="AY543" s="84"/>
      <c r="AZ543" s="84"/>
    </row>
    <row r="544" ht="15.75" customHeight="1">
      <c r="A544" s="9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5"/>
      <c r="AK544" s="85"/>
      <c r="AL544" s="103"/>
      <c r="AM544" s="104"/>
      <c r="AN544" s="103"/>
      <c r="AO544" s="104"/>
      <c r="AP544" s="103"/>
      <c r="AQ544" s="104"/>
      <c r="AR544" s="84"/>
      <c r="AS544" s="84"/>
      <c r="AT544" s="84"/>
      <c r="AU544" s="84"/>
      <c r="AV544" s="84"/>
      <c r="AW544" s="84"/>
      <c r="AX544" s="84"/>
      <c r="AY544" s="84"/>
      <c r="AZ544" s="84"/>
    </row>
    <row r="545" ht="15.75" customHeight="1">
      <c r="A545" s="9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5"/>
      <c r="AK545" s="85"/>
      <c r="AL545" s="103"/>
      <c r="AM545" s="104"/>
      <c r="AN545" s="103"/>
      <c r="AO545" s="104"/>
      <c r="AP545" s="103"/>
      <c r="AQ545" s="104"/>
      <c r="AR545" s="84"/>
      <c r="AS545" s="84"/>
      <c r="AT545" s="84"/>
      <c r="AU545" s="84"/>
      <c r="AV545" s="84"/>
      <c r="AW545" s="84"/>
      <c r="AX545" s="84"/>
      <c r="AY545" s="84"/>
      <c r="AZ545" s="84"/>
    </row>
    <row r="546" ht="15.75" customHeight="1">
      <c r="A546" s="9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5"/>
      <c r="AK546" s="85"/>
      <c r="AL546" s="103"/>
      <c r="AM546" s="104"/>
      <c r="AN546" s="103"/>
      <c r="AO546" s="104"/>
      <c r="AP546" s="103"/>
      <c r="AQ546" s="104"/>
      <c r="AR546" s="84"/>
      <c r="AS546" s="84"/>
      <c r="AT546" s="84"/>
      <c r="AU546" s="84"/>
      <c r="AV546" s="84"/>
      <c r="AW546" s="84"/>
      <c r="AX546" s="84"/>
      <c r="AY546" s="84"/>
      <c r="AZ546" s="84"/>
    </row>
    <row r="547" ht="15.75" customHeight="1">
      <c r="A547" s="9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5"/>
      <c r="AK547" s="85"/>
      <c r="AL547" s="103"/>
      <c r="AM547" s="104"/>
      <c r="AN547" s="103"/>
      <c r="AO547" s="104"/>
      <c r="AP547" s="103"/>
      <c r="AQ547" s="104"/>
      <c r="AR547" s="84"/>
      <c r="AS547" s="84"/>
      <c r="AT547" s="84"/>
      <c r="AU547" s="84"/>
      <c r="AV547" s="84"/>
      <c r="AW547" s="84"/>
      <c r="AX547" s="84"/>
      <c r="AY547" s="84"/>
      <c r="AZ547" s="84"/>
    </row>
    <row r="548" ht="15.75" customHeight="1">
      <c r="A548" s="9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5"/>
      <c r="AK548" s="85"/>
      <c r="AL548" s="103"/>
      <c r="AM548" s="104"/>
      <c r="AN548" s="103"/>
      <c r="AO548" s="104"/>
      <c r="AP548" s="103"/>
      <c r="AQ548" s="104"/>
      <c r="AR548" s="84"/>
      <c r="AS548" s="84"/>
      <c r="AT548" s="84"/>
      <c r="AU548" s="84"/>
      <c r="AV548" s="84"/>
      <c r="AW548" s="84"/>
      <c r="AX548" s="84"/>
      <c r="AY548" s="84"/>
      <c r="AZ548" s="84"/>
    </row>
    <row r="549" ht="15.75" customHeight="1">
      <c r="A549" s="9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5"/>
      <c r="AK549" s="85"/>
      <c r="AL549" s="103"/>
      <c r="AM549" s="104"/>
      <c r="AN549" s="103"/>
      <c r="AO549" s="104"/>
      <c r="AP549" s="103"/>
      <c r="AQ549" s="104"/>
      <c r="AR549" s="84"/>
      <c r="AS549" s="84"/>
      <c r="AT549" s="84"/>
      <c r="AU549" s="84"/>
      <c r="AV549" s="84"/>
      <c r="AW549" s="84"/>
      <c r="AX549" s="84"/>
      <c r="AY549" s="84"/>
      <c r="AZ549" s="84"/>
    </row>
    <row r="550" ht="15.75" customHeight="1">
      <c r="A550" s="9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5"/>
      <c r="AK550" s="85"/>
      <c r="AL550" s="103"/>
      <c r="AM550" s="104"/>
      <c r="AN550" s="103"/>
      <c r="AO550" s="104"/>
      <c r="AP550" s="103"/>
      <c r="AQ550" s="104"/>
      <c r="AR550" s="84"/>
      <c r="AS550" s="84"/>
      <c r="AT550" s="84"/>
      <c r="AU550" s="84"/>
      <c r="AV550" s="84"/>
      <c r="AW550" s="84"/>
      <c r="AX550" s="84"/>
      <c r="AY550" s="84"/>
      <c r="AZ550" s="84"/>
    </row>
    <row r="551" ht="15.75" customHeight="1">
      <c r="A551" s="9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5"/>
      <c r="AK551" s="85"/>
      <c r="AL551" s="103"/>
      <c r="AM551" s="104"/>
      <c r="AN551" s="103"/>
      <c r="AO551" s="104"/>
      <c r="AP551" s="103"/>
      <c r="AQ551" s="104"/>
      <c r="AR551" s="84"/>
      <c r="AS551" s="84"/>
      <c r="AT551" s="84"/>
      <c r="AU551" s="84"/>
      <c r="AV551" s="84"/>
      <c r="AW551" s="84"/>
      <c r="AX551" s="84"/>
      <c r="AY551" s="84"/>
      <c r="AZ551" s="84"/>
    </row>
    <row r="552" ht="15.75" customHeight="1">
      <c r="A552" s="9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5"/>
      <c r="AK552" s="85"/>
      <c r="AL552" s="103"/>
      <c r="AM552" s="104"/>
      <c r="AN552" s="103"/>
      <c r="AO552" s="104"/>
      <c r="AP552" s="103"/>
      <c r="AQ552" s="104"/>
      <c r="AR552" s="84"/>
      <c r="AS552" s="84"/>
      <c r="AT552" s="84"/>
      <c r="AU552" s="84"/>
      <c r="AV552" s="84"/>
      <c r="AW552" s="84"/>
      <c r="AX552" s="84"/>
      <c r="AY552" s="84"/>
      <c r="AZ552" s="84"/>
    </row>
    <row r="553" ht="15.75" customHeight="1">
      <c r="A553" s="9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5"/>
      <c r="AK553" s="85"/>
      <c r="AL553" s="103"/>
      <c r="AM553" s="104"/>
      <c r="AN553" s="103"/>
      <c r="AO553" s="104"/>
      <c r="AP553" s="103"/>
      <c r="AQ553" s="104"/>
      <c r="AR553" s="84"/>
      <c r="AS553" s="84"/>
      <c r="AT553" s="84"/>
      <c r="AU553" s="84"/>
      <c r="AV553" s="84"/>
      <c r="AW553" s="84"/>
      <c r="AX553" s="84"/>
      <c r="AY553" s="84"/>
      <c r="AZ553" s="84"/>
    </row>
    <row r="554" ht="15.75" customHeight="1">
      <c r="A554" s="9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5"/>
      <c r="AK554" s="85"/>
      <c r="AL554" s="103"/>
      <c r="AM554" s="104"/>
      <c r="AN554" s="103"/>
      <c r="AO554" s="104"/>
      <c r="AP554" s="103"/>
      <c r="AQ554" s="104"/>
      <c r="AR554" s="84"/>
      <c r="AS554" s="84"/>
      <c r="AT554" s="84"/>
      <c r="AU554" s="84"/>
      <c r="AV554" s="84"/>
      <c r="AW554" s="84"/>
      <c r="AX554" s="84"/>
      <c r="AY554" s="84"/>
      <c r="AZ554" s="84"/>
    </row>
    <row r="555" ht="15.75" customHeight="1">
      <c r="A555" s="9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5"/>
      <c r="AK555" s="85"/>
      <c r="AL555" s="103"/>
      <c r="AM555" s="104"/>
      <c r="AN555" s="103"/>
      <c r="AO555" s="104"/>
      <c r="AP555" s="103"/>
      <c r="AQ555" s="104"/>
      <c r="AR555" s="84"/>
      <c r="AS555" s="84"/>
      <c r="AT555" s="84"/>
      <c r="AU555" s="84"/>
      <c r="AV555" s="84"/>
      <c r="AW555" s="84"/>
      <c r="AX555" s="84"/>
      <c r="AY555" s="84"/>
      <c r="AZ555" s="84"/>
    </row>
    <row r="556" ht="15.75" customHeight="1">
      <c r="A556" s="9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5"/>
      <c r="AK556" s="85"/>
      <c r="AL556" s="103"/>
      <c r="AM556" s="104"/>
      <c r="AN556" s="103"/>
      <c r="AO556" s="104"/>
      <c r="AP556" s="103"/>
      <c r="AQ556" s="104"/>
      <c r="AR556" s="84"/>
      <c r="AS556" s="84"/>
      <c r="AT556" s="84"/>
      <c r="AU556" s="84"/>
      <c r="AV556" s="84"/>
      <c r="AW556" s="84"/>
      <c r="AX556" s="84"/>
      <c r="AY556" s="84"/>
      <c r="AZ556" s="84"/>
    </row>
    <row r="557" ht="15.75" customHeight="1">
      <c r="A557" s="9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5"/>
      <c r="AK557" s="85"/>
      <c r="AL557" s="103"/>
      <c r="AM557" s="104"/>
      <c r="AN557" s="103"/>
      <c r="AO557" s="104"/>
      <c r="AP557" s="103"/>
      <c r="AQ557" s="104"/>
      <c r="AR557" s="84"/>
      <c r="AS557" s="84"/>
      <c r="AT557" s="84"/>
      <c r="AU557" s="84"/>
      <c r="AV557" s="84"/>
      <c r="AW557" s="84"/>
      <c r="AX557" s="84"/>
      <c r="AY557" s="84"/>
      <c r="AZ557" s="84"/>
    </row>
    <row r="558" ht="15.75" customHeight="1">
      <c r="A558" s="9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5"/>
      <c r="AK558" s="85"/>
      <c r="AL558" s="103"/>
      <c r="AM558" s="104"/>
      <c r="AN558" s="103"/>
      <c r="AO558" s="104"/>
      <c r="AP558" s="103"/>
      <c r="AQ558" s="104"/>
      <c r="AR558" s="84"/>
      <c r="AS558" s="84"/>
      <c r="AT558" s="84"/>
      <c r="AU558" s="84"/>
      <c r="AV558" s="84"/>
      <c r="AW558" s="84"/>
      <c r="AX558" s="84"/>
      <c r="AY558" s="84"/>
      <c r="AZ558" s="84"/>
    </row>
    <row r="559" ht="15.75" customHeight="1">
      <c r="A559" s="9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5"/>
      <c r="AK559" s="85"/>
      <c r="AL559" s="103"/>
      <c r="AM559" s="104"/>
      <c r="AN559" s="103"/>
      <c r="AO559" s="104"/>
      <c r="AP559" s="103"/>
      <c r="AQ559" s="104"/>
      <c r="AR559" s="84"/>
      <c r="AS559" s="84"/>
      <c r="AT559" s="84"/>
      <c r="AU559" s="84"/>
      <c r="AV559" s="84"/>
      <c r="AW559" s="84"/>
      <c r="AX559" s="84"/>
      <c r="AY559" s="84"/>
      <c r="AZ559" s="84"/>
    </row>
    <row r="560" ht="15.75" customHeight="1">
      <c r="A560" s="9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5"/>
      <c r="AK560" s="85"/>
      <c r="AL560" s="103"/>
      <c r="AM560" s="104"/>
      <c r="AN560" s="103"/>
      <c r="AO560" s="104"/>
      <c r="AP560" s="103"/>
      <c r="AQ560" s="104"/>
      <c r="AR560" s="84"/>
      <c r="AS560" s="84"/>
      <c r="AT560" s="84"/>
      <c r="AU560" s="84"/>
      <c r="AV560" s="84"/>
      <c r="AW560" s="84"/>
      <c r="AX560" s="84"/>
      <c r="AY560" s="84"/>
      <c r="AZ560" s="84"/>
    </row>
    <row r="561" ht="15.75" customHeight="1">
      <c r="A561" s="9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5"/>
      <c r="AK561" s="85"/>
      <c r="AL561" s="103"/>
      <c r="AM561" s="104"/>
      <c r="AN561" s="103"/>
      <c r="AO561" s="104"/>
      <c r="AP561" s="103"/>
      <c r="AQ561" s="104"/>
      <c r="AR561" s="84"/>
      <c r="AS561" s="84"/>
      <c r="AT561" s="84"/>
      <c r="AU561" s="84"/>
      <c r="AV561" s="84"/>
      <c r="AW561" s="84"/>
      <c r="AX561" s="84"/>
      <c r="AY561" s="84"/>
      <c r="AZ561" s="84"/>
    </row>
    <row r="562" ht="15.75" customHeight="1">
      <c r="A562" s="9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5"/>
      <c r="AK562" s="85"/>
      <c r="AL562" s="103"/>
      <c r="AM562" s="104"/>
      <c r="AN562" s="103"/>
      <c r="AO562" s="104"/>
      <c r="AP562" s="103"/>
      <c r="AQ562" s="104"/>
      <c r="AR562" s="84"/>
      <c r="AS562" s="84"/>
      <c r="AT562" s="84"/>
      <c r="AU562" s="84"/>
      <c r="AV562" s="84"/>
      <c r="AW562" s="84"/>
      <c r="AX562" s="84"/>
      <c r="AY562" s="84"/>
      <c r="AZ562" s="84"/>
    </row>
    <row r="563" ht="15.75" customHeight="1">
      <c r="A563" s="9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5"/>
      <c r="AK563" s="85"/>
      <c r="AL563" s="103"/>
      <c r="AM563" s="104"/>
      <c r="AN563" s="103"/>
      <c r="AO563" s="104"/>
      <c r="AP563" s="103"/>
      <c r="AQ563" s="104"/>
      <c r="AR563" s="84"/>
      <c r="AS563" s="84"/>
      <c r="AT563" s="84"/>
      <c r="AU563" s="84"/>
      <c r="AV563" s="84"/>
      <c r="AW563" s="84"/>
      <c r="AX563" s="84"/>
      <c r="AY563" s="84"/>
      <c r="AZ563" s="84"/>
    </row>
    <row r="564" ht="15.75" customHeight="1">
      <c r="A564" s="9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5"/>
      <c r="AK564" s="85"/>
      <c r="AL564" s="103"/>
      <c r="AM564" s="104"/>
      <c r="AN564" s="103"/>
      <c r="AO564" s="104"/>
      <c r="AP564" s="103"/>
      <c r="AQ564" s="104"/>
      <c r="AR564" s="84"/>
      <c r="AS564" s="84"/>
      <c r="AT564" s="84"/>
      <c r="AU564" s="84"/>
      <c r="AV564" s="84"/>
      <c r="AW564" s="84"/>
      <c r="AX564" s="84"/>
      <c r="AY564" s="84"/>
      <c r="AZ564" s="84"/>
    </row>
    <row r="565" ht="15.75" customHeight="1">
      <c r="A565" s="9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5"/>
      <c r="AK565" s="85"/>
      <c r="AL565" s="103"/>
      <c r="AM565" s="104"/>
      <c r="AN565" s="103"/>
      <c r="AO565" s="104"/>
      <c r="AP565" s="103"/>
      <c r="AQ565" s="104"/>
      <c r="AR565" s="84"/>
      <c r="AS565" s="84"/>
      <c r="AT565" s="84"/>
      <c r="AU565" s="84"/>
      <c r="AV565" s="84"/>
      <c r="AW565" s="84"/>
      <c r="AX565" s="84"/>
      <c r="AY565" s="84"/>
      <c r="AZ565" s="84"/>
    </row>
    <row r="566" ht="15.75" customHeight="1">
      <c r="A566" s="9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5"/>
      <c r="AK566" s="85"/>
      <c r="AL566" s="103"/>
      <c r="AM566" s="104"/>
      <c r="AN566" s="103"/>
      <c r="AO566" s="104"/>
      <c r="AP566" s="103"/>
      <c r="AQ566" s="104"/>
      <c r="AR566" s="84"/>
      <c r="AS566" s="84"/>
      <c r="AT566" s="84"/>
      <c r="AU566" s="84"/>
      <c r="AV566" s="84"/>
      <c r="AW566" s="84"/>
      <c r="AX566" s="84"/>
      <c r="AY566" s="84"/>
      <c r="AZ566" s="84"/>
    </row>
    <row r="567" ht="15.75" customHeight="1">
      <c r="A567" s="9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5"/>
      <c r="AK567" s="85"/>
      <c r="AL567" s="103"/>
      <c r="AM567" s="104"/>
      <c r="AN567" s="103"/>
      <c r="AO567" s="104"/>
      <c r="AP567" s="103"/>
      <c r="AQ567" s="104"/>
      <c r="AR567" s="84"/>
      <c r="AS567" s="84"/>
      <c r="AT567" s="84"/>
      <c r="AU567" s="84"/>
      <c r="AV567" s="84"/>
      <c r="AW567" s="84"/>
      <c r="AX567" s="84"/>
      <c r="AY567" s="84"/>
      <c r="AZ567" s="84"/>
    </row>
    <row r="568" ht="15.75" customHeight="1">
      <c r="A568" s="9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5"/>
      <c r="AK568" s="85"/>
      <c r="AL568" s="103"/>
      <c r="AM568" s="104"/>
      <c r="AN568" s="103"/>
      <c r="AO568" s="104"/>
      <c r="AP568" s="103"/>
      <c r="AQ568" s="104"/>
      <c r="AR568" s="84"/>
      <c r="AS568" s="84"/>
      <c r="AT568" s="84"/>
      <c r="AU568" s="84"/>
      <c r="AV568" s="84"/>
      <c r="AW568" s="84"/>
      <c r="AX568" s="84"/>
      <c r="AY568" s="84"/>
      <c r="AZ568" s="84"/>
    </row>
    <row r="569" ht="15.75" customHeight="1">
      <c r="A569" s="9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5"/>
      <c r="AK569" s="85"/>
      <c r="AL569" s="103"/>
      <c r="AM569" s="104"/>
      <c r="AN569" s="103"/>
      <c r="AO569" s="104"/>
      <c r="AP569" s="103"/>
      <c r="AQ569" s="104"/>
      <c r="AR569" s="84"/>
      <c r="AS569" s="84"/>
      <c r="AT569" s="84"/>
      <c r="AU569" s="84"/>
      <c r="AV569" s="84"/>
      <c r="AW569" s="84"/>
      <c r="AX569" s="84"/>
      <c r="AY569" s="84"/>
      <c r="AZ569" s="84"/>
    </row>
    <row r="570" ht="15.75" customHeight="1">
      <c r="A570" s="9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5"/>
      <c r="AK570" s="85"/>
      <c r="AL570" s="103"/>
      <c r="AM570" s="104"/>
      <c r="AN570" s="103"/>
      <c r="AO570" s="104"/>
      <c r="AP570" s="103"/>
      <c r="AQ570" s="104"/>
      <c r="AR570" s="84"/>
      <c r="AS570" s="84"/>
      <c r="AT570" s="84"/>
      <c r="AU570" s="84"/>
      <c r="AV570" s="84"/>
      <c r="AW570" s="84"/>
      <c r="AX570" s="84"/>
      <c r="AY570" s="84"/>
      <c r="AZ570" s="84"/>
    </row>
    <row r="571" ht="15.75" customHeight="1">
      <c r="A571" s="9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5"/>
      <c r="AK571" s="85"/>
      <c r="AL571" s="103"/>
      <c r="AM571" s="104"/>
      <c r="AN571" s="103"/>
      <c r="AO571" s="104"/>
      <c r="AP571" s="103"/>
      <c r="AQ571" s="104"/>
      <c r="AR571" s="84"/>
      <c r="AS571" s="84"/>
      <c r="AT571" s="84"/>
      <c r="AU571" s="84"/>
      <c r="AV571" s="84"/>
      <c r="AW571" s="84"/>
      <c r="AX571" s="84"/>
      <c r="AY571" s="84"/>
      <c r="AZ571" s="84"/>
    </row>
    <row r="572" ht="15.75" customHeight="1">
      <c r="A572" s="9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5"/>
      <c r="AK572" s="85"/>
      <c r="AL572" s="103"/>
      <c r="AM572" s="104"/>
      <c r="AN572" s="103"/>
      <c r="AO572" s="104"/>
      <c r="AP572" s="103"/>
      <c r="AQ572" s="104"/>
      <c r="AR572" s="84"/>
      <c r="AS572" s="84"/>
      <c r="AT572" s="84"/>
      <c r="AU572" s="84"/>
      <c r="AV572" s="84"/>
      <c r="AW572" s="84"/>
      <c r="AX572" s="84"/>
      <c r="AY572" s="84"/>
      <c r="AZ572" s="84"/>
    </row>
    <row r="573" ht="15.75" customHeight="1">
      <c r="A573" s="9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5"/>
      <c r="AK573" s="85"/>
      <c r="AL573" s="103"/>
      <c r="AM573" s="104"/>
      <c r="AN573" s="103"/>
      <c r="AO573" s="104"/>
      <c r="AP573" s="103"/>
      <c r="AQ573" s="104"/>
      <c r="AR573" s="84"/>
      <c r="AS573" s="84"/>
      <c r="AT573" s="84"/>
      <c r="AU573" s="84"/>
      <c r="AV573" s="84"/>
      <c r="AW573" s="84"/>
      <c r="AX573" s="84"/>
      <c r="AY573" s="84"/>
      <c r="AZ573" s="84"/>
    </row>
    <row r="574" ht="15.75" customHeight="1">
      <c r="A574" s="9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5"/>
      <c r="AK574" s="85"/>
      <c r="AL574" s="103"/>
      <c r="AM574" s="104"/>
      <c r="AN574" s="103"/>
      <c r="AO574" s="104"/>
      <c r="AP574" s="103"/>
      <c r="AQ574" s="104"/>
      <c r="AR574" s="84"/>
      <c r="AS574" s="84"/>
      <c r="AT574" s="84"/>
      <c r="AU574" s="84"/>
      <c r="AV574" s="84"/>
      <c r="AW574" s="84"/>
      <c r="AX574" s="84"/>
      <c r="AY574" s="84"/>
      <c r="AZ574" s="84"/>
    </row>
    <row r="575" ht="15.75" customHeight="1">
      <c r="A575" s="9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5"/>
      <c r="AK575" s="85"/>
      <c r="AL575" s="103"/>
      <c r="AM575" s="104"/>
      <c r="AN575" s="103"/>
      <c r="AO575" s="104"/>
      <c r="AP575" s="103"/>
      <c r="AQ575" s="104"/>
      <c r="AR575" s="84"/>
      <c r="AS575" s="84"/>
      <c r="AT575" s="84"/>
      <c r="AU575" s="84"/>
      <c r="AV575" s="84"/>
      <c r="AW575" s="84"/>
      <c r="AX575" s="84"/>
      <c r="AY575" s="84"/>
      <c r="AZ575" s="84"/>
    </row>
    <row r="576" ht="15.75" customHeight="1">
      <c r="A576" s="9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5"/>
      <c r="AK576" s="85"/>
      <c r="AL576" s="103"/>
      <c r="AM576" s="104"/>
      <c r="AN576" s="103"/>
      <c r="AO576" s="104"/>
      <c r="AP576" s="103"/>
      <c r="AQ576" s="104"/>
      <c r="AR576" s="84"/>
      <c r="AS576" s="84"/>
      <c r="AT576" s="84"/>
      <c r="AU576" s="84"/>
      <c r="AV576" s="84"/>
      <c r="AW576" s="84"/>
      <c r="AX576" s="84"/>
      <c r="AY576" s="84"/>
      <c r="AZ576" s="84"/>
    </row>
    <row r="577" ht="15.75" customHeight="1">
      <c r="A577" s="9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5"/>
      <c r="AK577" s="85"/>
      <c r="AL577" s="103"/>
      <c r="AM577" s="104"/>
      <c r="AN577" s="103"/>
      <c r="AO577" s="104"/>
      <c r="AP577" s="103"/>
      <c r="AQ577" s="104"/>
      <c r="AR577" s="84"/>
      <c r="AS577" s="84"/>
      <c r="AT577" s="84"/>
      <c r="AU577" s="84"/>
      <c r="AV577" s="84"/>
      <c r="AW577" s="84"/>
      <c r="AX577" s="84"/>
      <c r="AY577" s="84"/>
      <c r="AZ577" s="84"/>
    </row>
    <row r="578" ht="15.75" customHeight="1">
      <c r="A578" s="9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5"/>
      <c r="AK578" s="85"/>
      <c r="AL578" s="103"/>
      <c r="AM578" s="104"/>
      <c r="AN578" s="103"/>
      <c r="AO578" s="104"/>
      <c r="AP578" s="103"/>
      <c r="AQ578" s="104"/>
      <c r="AR578" s="84"/>
      <c r="AS578" s="84"/>
      <c r="AT578" s="84"/>
      <c r="AU578" s="84"/>
      <c r="AV578" s="84"/>
      <c r="AW578" s="84"/>
      <c r="AX578" s="84"/>
      <c r="AY578" s="84"/>
      <c r="AZ578" s="84"/>
    </row>
    <row r="579" ht="15.75" customHeight="1">
      <c r="A579" s="9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5"/>
      <c r="AK579" s="85"/>
      <c r="AL579" s="103"/>
      <c r="AM579" s="104"/>
      <c r="AN579" s="103"/>
      <c r="AO579" s="104"/>
      <c r="AP579" s="103"/>
      <c r="AQ579" s="104"/>
      <c r="AR579" s="84"/>
      <c r="AS579" s="84"/>
      <c r="AT579" s="84"/>
      <c r="AU579" s="84"/>
      <c r="AV579" s="84"/>
      <c r="AW579" s="84"/>
      <c r="AX579" s="84"/>
      <c r="AY579" s="84"/>
      <c r="AZ579" s="84"/>
    </row>
    <row r="580" ht="15.75" customHeight="1">
      <c r="A580" s="9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5"/>
      <c r="AK580" s="85"/>
      <c r="AL580" s="103"/>
      <c r="AM580" s="104"/>
      <c r="AN580" s="103"/>
      <c r="AO580" s="104"/>
      <c r="AP580" s="103"/>
      <c r="AQ580" s="104"/>
      <c r="AR580" s="84"/>
      <c r="AS580" s="84"/>
      <c r="AT580" s="84"/>
      <c r="AU580" s="84"/>
      <c r="AV580" s="84"/>
      <c r="AW580" s="84"/>
      <c r="AX580" s="84"/>
      <c r="AY580" s="84"/>
      <c r="AZ580" s="84"/>
    </row>
    <row r="581" ht="15.75" customHeight="1">
      <c r="A581" s="9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5"/>
      <c r="AK581" s="85"/>
      <c r="AL581" s="103"/>
      <c r="AM581" s="104"/>
      <c r="AN581" s="103"/>
      <c r="AO581" s="104"/>
      <c r="AP581" s="103"/>
      <c r="AQ581" s="104"/>
      <c r="AR581" s="84"/>
      <c r="AS581" s="84"/>
      <c r="AT581" s="84"/>
      <c r="AU581" s="84"/>
      <c r="AV581" s="84"/>
      <c r="AW581" s="84"/>
      <c r="AX581" s="84"/>
      <c r="AY581" s="84"/>
      <c r="AZ581" s="84"/>
    </row>
    <row r="582" ht="15.75" customHeight="1">
      <c r="A582" s="9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5"/>
      <c r="AK582" s="85"/>
      <c r="AL582" s="103"/>
      <c r="AM582" s="104"/>
      <c r="AN582" s="103"/>
      <c r="AO582" s="104"/>
      <c r="AP582" s="103"/>
      <c r="AQ582" s="104"/>
      <c r="AR582" s="84"/>
      <c r="AS582" s="84"/>
      <c r="AT582" s="84"/>
      <c r="AU582" s="84"/>
      <c r="AV582" s="84"/>
      <c r="AW582" s="84"/>
      <c r="AX582" s="84"/>
      <c r="AY582" s="84"/>
      <c r="AZ582" s="84"/>
    </row>
    <row r="583" ht="15.75" customHeight="1">
      <c r="A583" s="9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5"/>
      <c r="AK583" s="85"/>
      <c r="AL583" s="103"/>
      <c r="AM583" s="104"/>
      <c r="AN583" s="103"/>
      <c r="AO583" s="104"/>
      <c r="AP583" s="103"/>
      <c r="AQ583" s="104"/>
      <c r="AR583" s="84"/>
      <c r="AS583" s="84"/>
      <c r="AT583" s="84"/>
      <c r="AU583" s="84"/>
      <c r="AV583" s="84"/>
      <c r="AW583" s="84"/>
      <c r="AX583" s="84"/>
      <c r="AY583" s="84"/>
      <c r="AZ583" s="84"/>
    </row>
    <row r="584" ht="15.75" customHeight="1">
      <c r="A584" s="9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5"/>
      <c r="AK584" s="85"/>
      <c r="AL584" s="103"/>
      <c r="AM584" s="104"/>
      <c r="AN584" s="103"/>
      <c r="AO584" s="104"/>
      <c r="AP584" s="103"/>
      <c r="AQ584" s="104"/>
      <c r="AR584" s="84"/>
      <c r="AS584" s="84"/>
      <c r="AT584" s="84"/>
      <c r="AU584" s="84"/>
      <c r="AV584" s="84"/>
      <c r="AW584" s="84"/>
      <c r="AX584" s="84"/>
      <c r="AY584" s="84"/>
      <c r="AZ584" s="84"/>
    </row>
    <row r="585" ht="15.75" customHeight="1">
      <c r="A585" s="9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5"/>
      <c r="AK585" s="85"/>
      <c r="AL585" s="103"/>
      <c r="AM585" s="104"/>
      <c r="AN585" s="103"/>
      <c r="AO585" s="104"/>
      <c r="AP585" s="103"/>
      <c r="AQ585" s="104"/>
      <c r="AR585" s="84"/>
      <c r="AS585" s="84"/>
      <c r="AT585" s="84"/>
      <c r="AU585" s="84"/>
      <c r="AV585" s="84"/>
      <c r="AW585" s="84"/>
      <c r="AX585" s="84"/>
      <c r="AY585" s="84"/>
      <c r="AZ585" s="84"/>
    </row>
    <row r="586" ht="15.75" customHeight="1">
      <c r="A586" s="9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5"/>
      <c r="AK586" s="85"/>
      <c r="AL586" s="103"/>
      <c r="AM586" s="104"/>
      <c r="AN586" s="103"/>
      <c r="AO586" s="104"/>
      <c r="AP586" s="103"/>
      <c r="AQ586" s="104"/>
      <c r="AR586" s="84"/>
      <c r="AS586" s="84"/>
      <c r="AT586" s="84"/>
      <c r="AU586" s="84"/>
      <c r="AV586" s="84"/>
      <c r="AW586" s="84"/>
      <c r="AX586" s="84"/>
      <c r="AY586" s="84"/>
      <c r="AZ586" s="84"/>
    </row>
    <row r="587" ht="15.75" customHeight="1">
      <c r="A587" s="9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5"/>
      <c r="AK587" s="85"/>
      <c r="AL587" s="103"/>
      <c r="AM587" s="104"/>
      <c r="AN587" s="103"/>
      <c r="AO587" s="104"/>
      <c r="AP587" s="103"/>
      <c r="AQ587" s="104"/>
      <c r="AR587" s="84"/>
      <c r="AS587" s="84"/>
      <c r="AT587" s="84"/>
      <c r="AU587" s="84"/>
      <c r="AV587" s="84"/>
      <c r="AW587" s="84"/>
      <c r="AX587" s="84"/>
      <c r="AY587" s="84"/>
      <c r="AZ587" s="84"/>
    </row>
    <row r="588" ht="15.75" customHeight="1">
      <c r="A588" s="9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5"/>
      <c r="AK588" s="85"/>
      <c r="AL588" s="103"/>
      <c r="AM588" s="104"/>
      <c r="AN588" s="103"/>
      <c r="AO588" s="104"/>
      <c r="AP588" s="103"/>
      <c r="AQ588" s="104"/>
      <c r="AR588" s="84"/>
      <c r="AS588" s="84"/>
      <c r="AT588" s="84"/>
      <c r="AU588" s="84"/>
      <c r="AV588" s="84"/>
      <c r="AW588" s="84"/>
      <c r="AX588" s="84"/>
      <c r="AY588" s="84"/>
      <c r="AZ588" s="84"/>
    </row>
    <row r="589" ht="15.75" customHeight="1">
      <c r="A589" s="9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5"/>
      <c r="AK589" s="85"/>
      <c r="AL589" s="103"/>
      <c r="AM589" s="104"/>
      <c r="AN589" s="103"/>
      <c r="AO589" s="104"/>
      <c r="AP589" s="103"/>
      <c r="AQ589" s="104"/>
      <c r="AR589" s="84"/>
      <c r="AS589" s="84"/>
      <c r="AT589" s="84"/>
      <c r="AU589" s="84"/>
      <c r="AV589" s="84"/>
      <c r="AW589" s="84"/>
      <c r="AX589" s="84"/>
      <c r="AY589" s="84"/>
      <c r="AZ589" s="84"/>
    </row>
    <row r="590" ht="15.75" customHeight="1">
      <c r="A590" s="9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5"/>
      <c r="AK590" s="85"/>
      <c r="AL590" s="103"/>
      <c r="AM590" s="104"/>
      <c r="AN590" s="103"/>
      <c r="AO590" s="104"/>
      <c r="AP590" s="103"/>
      <c r="AQ590" s="104"/>
      <c r="AR590" s="84"/>
      <c r="AS590" s="84"/>
      <c r="AT590" s="84"/>
      <c r="AU590" s="84"/>
      <c r="AV590" s="84"/>
      <c r="AW590" s="84"/>
      <c r="AX590" s="84"/>
      <c r="AY590" s="84"/>
      <c r="AZ590" s="84"/>
    </row>
    <row r="591" ht="15.75" customHeight="1">
      <c r="A591" s="9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5"/>
      <c r="AK591" s="85"/>
      <c r="AL591" s="103"/>
      <c r="AM591" s="104"/>
      <c r="AN591" s="103"/>
      <c r="AO591" s="104"/>
      <c r="AP591" s="103"/>
      <c r="AQ591" s="104"/>
      <c r="AR591" s="84"/>
      <c r="AS591" s="84"/>
      <c r="AT591" s="84"/>
      <c r="AU591" s="84"/>
      <c r="AV591" s="84"/>
      <c r="AW591" s="84"/>
      <c r="AX591" s="84"/>
      <c r="AY591" s="84"/>
      <c r="AZ591" s="84"/>
    </row>
    <row r="592" ht="15.75" customHeight="1">
      <c r="A592" s="9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5"/>
      <c r="AK592" s="85"/>
      <c r="AL592" s="103"/>
      <c r="AM592" s="104"/>
      <c r="AN592" s="103"/>
      <c r="AO592" s="104"/>
      <c r="AP592" s="103"/>
      <c r="AQ592" s="104"/>
      <c r="AR592" s="84"/>
      <c r="AS592" s="84"/>
      <c r="AT592" s="84"/>
      <c r="AU592" s="84"/>
      <c r="AV592" s="84"/>
      <c r="AW592" s="84"/>
      <c r="AX592" s="84"/>
      <c r="AY592" s="84"/>
      <c r="AZ592" s="84"/>
    </row>
    <row r="593" ht="15.75" customHeight="1">
      <c r="A593" s="9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5"/>
      <c r="AK593" s="85"/>
      <c r="AL593" s="103"/>
      <c r="AM593" s="104"/>
      <c r="AN593" s="103"/>
      <c r="AO593" s="104"/>
      <c r="AP593" s="103"/>
      <c r="AQ593" s="104"/>
      <c r="AR593" s="84"/>
      <c r="AS593" s="84"/>
      <c r="AT593" s="84"/>
      <c r="AU593" s="84"/>
      <c r="AV593" s="84"/>
      <c r="AW593" s="84"/>
      <c r="AX593" s="84"/>
      <c r="AY593" s="84"/>
      <c r="AZ593" s="84"/>
    </row>
    <row r="594" ht="15.75" customHeight="1">
      <c r="A594" s="9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5"/>
      <c r="AK594" s="85"/>
      <c r="AL594" s="103"/>
      <c r="AM594" s="104"/>
      <c r="AN594" s="103"/>
      <c r="AO594" s="104"/>
      <c r="AP594" s="103"/>
      <c r="AQ594" s="104"/>
      <c r="AR594" s="84"/>
      <c r="AS594" s="84"/>
      <c r="AT594" s="84"/>
      <c r="AU594" s="84"/>
      <c r="AV594" s="84"/>
      <c r="AW594" s="84"/>
      <c r="AX594" s="84"/>
      <c r="AY594" s="84"/>
      <c r="AZ594" s="84"/>
    </row>
    <row r="595" ht="15.75" customHeight="1">
      <c r="A595" s="9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5"/>
      <c r="AK595" s="85"/>
      <c r="AL595" s="103"/>
      <c r="AM595" s="104"/>
      <c r="AN595" s="103"/>
      <c r="AO595" s="104"/>
      <c r="AP595" s="103"/>
      <c r="AQ595" s="104"/>
      <c r="AR595" s="84"/>
      <c r="AS595" s="84"/>
      <c r="AT595" s="84"/>
      <c r="AU595" s="84"/>
      <c r="AV595" s="84"/>
      <c r="AW595" s="84"/>
      <c r="AX595" s="84"/>
      <c r="AY595" s="84"/>
      <c r="AZ595" s="84"/>
    </row>
    <row r="596" ht="15.75" customHeight="1">
      <c r="A596" s="9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5"/>
      <c r="AK596" s="85"/>
      <c r="AL596" s="103"/>
      <c r="AM596" s="104"/>
      <c r="AN596" s="103"/>
      <c r="AO596" s="104"/>
      <c r="AP596" s="103"/>
      <c r="AQ596" s="104"/>
      <c r="AR596" s="84"/>
      <c r="AS596" s="84"/>
      <c r="AT596" s="84"/>
      <c r="AU596" s="84"/>
      <c r="AV596" s="84"/>
      <c r="AW596" s="84"/>
      <c r="AX596" s="84"/>
      <c r="AY596" s="84"/>
      <c r="AZ596" s="84"/>
    </row>
    <row r="597" ht="15.75" customHeight="1">
      <c r="A597" s="9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5"/>
      <c r="AK597" s="85"/>
      <c r="AL597" s="103"/>
      <c r="AM597" s="104"/>
      <c r="AN597" s="103"/>
      <c r="AO597" s="104"/>
      <c r="AP597" s="103"/>
      <c r="AQ597" s="104"/>
      <c r="AR597" s="84"/>
      <c r="AS597" s="84"/>
      <c r="AT597" s="84"/>
      <c r="AU597" s="84"/>
      <c r="AV597" s="84"/>
      <c r="AW597" s="84"/>
      <c r="AX597" s="84"/>
      <c r="AY597" s="84"/>
      <c r="AZ597" s="84"/>
    </row>
    <row r="598" ht="15.75" customHeight="1">
      <c r="A598" s="9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5"/>
      <c r="AK598" s="85"/>
      <c r="AL598" s="103"/>
      <c r="AM598" s="104"/>
      <c r="AN598" s="103"/>
      <c r="AO598" s="104"/>
      <c r="AP598" s="103"/>
      <c r="AQ598" s="104"/>
      <c r="AR598" s="84"/>
      <c r="AS598" s="84"/>
      <c r="AT598" s="84"/>
      <c r="AU598" s="84"/>
      <c r="AV598" s="84"/>
      <c r="AW598" s="84"/>
      <c r="AX598" s="84"/>
      <c r="AY598" s="84"/>
      <c r="AZ598" s="84"/>
    </row>
    <row r="599" ht="15.75" customHeight="1">
      <c r="A599" s="9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5"/>
      <c r="AK599" s="85"/>
      <c r="AL599" s="103"/>
      <c r="AM599" s="104"/>
      <c r="AN599" s="103"/>
      <c r="AO599" s="104"/>
      <c r="AP599" s="103"/>
      <c r="AQ599" s="104"/>
      <c r="AR599" s="84"/>
      <c r="AS599" s="84"/>
      <c r="AT599" s="84"/>
      <c r="AU599" s="84"/>
      <c r="AV599" s="84"/>
      <c r="AW599" s="84"/>
      <c r="AX599" s="84"/>
      <c r="AY599" s="84"/>
      <c r="AZ599" s="84"/>
    </row>
    <row r="600" ht="15.75" customHeight="1">
      <c r="A600" s="9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5"/>
      <c r="AK600" s="85"/>
      <c r="AL600" s="103"/>
      <c r="AM600" s="104"/>
      <c r="AN600" s="103"/>
      <c r="AO600" s="104"/>
      <c r="AP600" s="103"/>
      <c r="AQ600" s="104"/>
      <c r="AR600" s="84"/>
      <c r="AS600" s="84"/>
      <c r="AT600" s="84"/>
      <c r="AU600" s="84"/>
      <c r="AV600" s="84"/>
      <c r="AW600" s="84"/>
      <c r="AX600" s="84"/>
      <c r="AY600" s="84"/>
      <c r="AZ600" s="84"/>
    </row>
    <row r="601" ht="15.75" customHeight="1">
      <c r="A601" s="9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5"/>
      <c r="AK601" s="85"/>
      <c r="AL601" s="103"/>
      <c r="AM601" s="104"/>
      <c r="AN601" s="103"/>
      <c r="AO601" s="104"/>
      <c r="AP601" s="103"/>
      <c r="AQ601" s="104"/>
      <c r="AR601" s="84"/>
      <c r="AS601" s="84"/>
      <c r="AT601" s="84"/>
      <c r="AU601" s="84"/>
      <c r="AV601" s="84"/>
      <c r="AW601" s="84"/>
      <c r="AX601" s="84"/>
      <c r="AY601" s="84"/>
      <c r="AZ601" s="84"/>
    </row>
    <row r="602" ht="15.75" customHeight="1">
      <c r="A602" s="9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5"/>
      <c r="AK602" s="85"/>
      <c r="AL602" s="103"/>
      <c r="AM602" s="104"/>
      <c r="AN602" s="103"/>
      <c r="AO602" s="104"/>
      <c r="AP602" s="103"/>
      <c r="AQ602" s="104"/>
      <c r="AR602" s="84"/>
      <c r="AS602" s="84"/>
      <c r="AT602" s="84"/>
      <c r="AU602" s="84"/>
      <c r="AV602" s="84"/>
      <c r="AW602" s="84"/>
      <c r="AX602" s="84"/>
      <c r="AY602" s="84"/>
      <c r="AZ602" s="84"/>
    </row>
    <row r="603" ht="15.75" customHeight="1">
      <c r="A603" s="9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5"/>
      <c r="AK603" s="85"/>
      <c r="AL603" s="103"/>
      <c r="AM603" s="104"/>
      <c r="AN603" s="103"/>
      <c r="AO603" s="104"/>
      <c r="AP603" s="103"/>
      <c r="AQ603" s="104"/>
      <c r="AR603" s="84"/>
      <c r="AS603" s="84"/>
      <c r="AT603" s="84"/>
      <c r="AU603" s="84"/>
      <c r="AV603" s="84"/>
      <c r="AW603" s="84"/>
      <c r="AX603" s="84"/>
      <c r="AY603" s="84"/>
      <c r="AZ603" s="84"/>
    </row>
    <row r="604" ht="15.75" customHeight="1">
      <c r="A604" s="9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5"/>
      <c r="AK604" s="85"/>
      <c r="AL604" s="103"/>
      <c r="AM604" s="104"/>
      <c r="AN604" s="103"/>
      <c r="AO604" s="104"/>
      <c r="AP604" s="103"/>
      <c r="AQ604" s="104"/>
      <c r="AR604" s="84"/>
      <c r="AS604" s="84"/>
      <c r="AT604" s="84"/>
      <c r="AU604" s="84"/>
      <c r="AV604" s="84"/>
      <c r="AW604" s="84"/>
      <c r="AX604" s="84"/>
      <c r="AY604" s="84"/>
      <c r="AZ604" s="84"/>
    </row>
    <row r="605" ht="15.75" customHeight="1">
      <c r="A605" s="9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5"/>
      <c r="AK605" s="85"/>
      <c r="AL605" s="103"/>
      <c r="AM605" s="104"/>
      <c r="AN605" s="103"/>
      <c r="AO605" s="104"/>
      <c r="AP605" s="103"/>
      <c r="AQ605" s="104"/>
      <c r="AR605" s="84"/>
      <c r="AS605" s="84"/>
      <c r="AT605" s="84"/>
      <c r="AU605" s="84"/>
      <c r="AV605" s="84"/>
      <c r="AW605" s="84"/>
      <c r="AX605" s="84"/>
      <c r="AY605" s="84"/>
      <c r="AZ605" s="84"/>
    </row>
    <row r="606" ht="15.75" customHeight="1">
      <c r="A606" s="9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5"/>
      <c r="AK606" s="85"/>
      <c r="AL606" s="103"/>
      <c r="AM606" s="104"/>
      <c r="AN606" s="103"/>
      <c r="AO606" s="104"/>
      <c r="AP606" s="103"/>
      <c r="AQ606" s="104"/>
      <c r="AR606" s="84"/>
      <c r="AS606" s="84"/>
      <c r="AT606" s="84"/>
      <c r="AU606" s="84"/>
      <c r="AV606" s="84"/>
      <c r="AW606" s="84"/>
      <c r="AX606" s="84"/>
      <c r="AY606" s="84"/>
      <c r="AZ606" s="84"/>
    </row>
    <row r="607" ht="15.75" customHeight="1">
      <c r="A607" s="9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5"/>
      <c r="AK607" s="85"/>
      <c r="AL607" s="103"/>
      <c r="AM607" s="104"/>
      <c r="AN607" s="103"/>
      <c r="AO607" s="104"/>
      <c r="AP607" s="103"/>
      <c r="AQ607" s="104"/>
      <c r="AR607" s="84"/>
      <c r="AS607" s="84"/>
      <c r="AT607" s="84"/>
      <c r="AU607" s="84"/>
      <c r="AV607" s="84"/>
      <c r="AW607" s="84"/>
      <c r="AX607" s="84"/>
      <c r="AY607" s="84"/>
      <c r="AZ607" s="84"/>
    </row>
    <row r="608" ht="15.75" customHeight="1">
      <c r="A608" s="9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5"/>
      <c r="AK608" s="85"/>
      <c r="AL608" s="103"/>
      <c r="AM608" s="104"/>
      <c r="AN608" s="103"/>
      <c r="AO608" s="104"/>
      <c r="AP608" s="103"/>
      <c r="AQ608" s="104"/>
      <c r="AR608" s="84"/>
      <c r="AS608" s="84"/>
      <c r="AT608" s="84"/>
      <c r="AU608" s="84"/>
      <c r="AV608" s="84"/>
      <c r="AW608" s="84"/>
      <c r="AX608" s="84"/>
      <c r="AY608" s="84"/>
      <c r="AZ608" s="84"/>
    </row>
    <row r="609" ht="15.75" customHeight="1">
      <c r="A609" s="9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5"/>
      <c r="AK609" s="85"/>
      <c r="AL609" s="103"/>
      <c r="AM609" s="104"/>
      <c r="AN609" s="103"/>
      <c r="AO609" s="104"/>
      <c r="AP609" s="103"/>
      <c r="AQ609" s="104"/>
      <c r="AR609" s="84"/>
      <c r="AS609" s="84"/>
      <c r="AT609" s="84"/>
      <c r="AU609" s="84"/>
      <c r="AV609" s="84"/>
      <c r="AW609" s="84"/>
      <c r="AX609" s="84"/>
      <c r="AY609" s="84"/>
      <c r="AZ609" s="84"/>
    </row>
    <row r="610" ht="15.75" customHeight="1">
      <c r="A610" s="9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5"/>
      <c r="AK610" s="85"/>
      <c r="AL610" s="103"/>
      <c r="AM610" s="104"/>
      <c r="AN610" s="103"/>
      <c r="AO610" s="104"/>
      <c r="AP610" s="103"/>
      <c r="AQ610" s="104"/>
      <c r="AR610" s="84"/>
      <c r="AS610" s="84"/>
      <c r="AT610" s="84"/>
      <c r="AU610" s="84"/>
      <c r="AV610" s="84"/>
      <c r="AW610" s="84"/>
      <c r="AX610" s="84"/>
      <c r="AY610" s="84"/>
      <c r="AZ610" s="84"/>
    </row>
    <row r="611" ht="15.75" customHeight="1">
      <c r="A611" s="9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5"/>
      <c r="AK611" s="85"/>
      <c r="AL611" s="103"/>
      <c r="AM611" s="104"/>
      <c r="AN611" s="103"/>
      <c r="AO611" s="104"/>
      <c r="AP611" s="103"/>
      <c r="AQ611" s="104"/>
      <c r="AR611" s="84"/>
      <c r="AS611" s="84"/>
      <c r="AT611" s="84"/>
      <c r="AU611" s="84"/>
      <c r="AV611" s="84"/>
      <c r="AW611" s="84"/>
      <c r="AX611" s="84"/>
      <c r="AY611" s="84"/>
      <c r="AZ611" s="84"/>
    </row>
    <row r="612" ht="15.75" customHeight="1">
      <c r="A612" s="9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5"/>
      <c r="AK612" s="85"/>
      <c r="AL612" s="103"/>
      <c r="AM612" s="104"/>
      <c r="AN612" s="103"/>
      <c r="AO612" s="104"/>
      <c r="AP612" s="103"/>
      <c r="AQ612" s="104"/>
      <c r="AR612" s="84"/>
      <c r="AS612" s="84"/>
      <c r="AT612" s="84"/>
      <c r="AU612" s="84"/>
      <c r="AV612" s="84"/>
      <c r="AW612" s="84"/>
      <c r="AX612" s="84"/>
      <c r="AY612" s="84"/>
      <c r="AZ612" s="84"/>
    </row>
    <row r="613" ht="15.75" customHeight="1">
      <c r="A613" s="9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5"/>
      <c r="AK613" s="85"/>
      <c r="AL613" s="103"/>
      <c r="AM613" s="104"/>
      <c r="AN613" s="103"/>
      <c r="AO613" s="104"/>
      <c r="AP613" s="103"/>
      <c r="AQ613" s="104"/>
      <c r="AR613" s="84"/>
      <c r="AS613" s="84"/>
      <c r="AT613" s="84"/>
      <c r="AU613" s="84"/>
      <c r="AV613" s="84"/>
      <c r="AW613" s="84"/>
      <c r="AX613" s="84"/>
      <c r="AY613" s="84"/>
      <c r="AZ613" s="84"/>
    </row>
    <row r="614" ht="15.75" customHeight="1">
      <c r="A614" s="9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5"/>
      <c r="AK614" s="85"/>
      <c r="AL614" s="103"/>
      <c r="AM614" s="104"/>
      <c r="AN614" s="103"/>
      <c r="AO614" s="104"/>
      <c r="AP614" s="103"/>
      <c r="AQ614" s="104"/>
      <c r="AR614" s="84"/>
      <c r="AS614" s="84"/>
      <c r="AT614" s="84"/>
      <c r="AU614" s="84"/>
      <c r="AV614" s="84"/>
      <c r="AW614" s="84"/>
      <c r="AX614" s="84"/>
      <c r="AY614" s="84"/>
      <c r="AZ614" s="84"/>
    </row>
    <row r="615" ht="15.75" customHeight="1">
      <c r="A615" s="9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5"/>
      <c r="AK615" s="85"/>
      <c r="AL615" s="103"/>
      <c r="AM615" s="104"/>
      <c r="AN615" s="103"/>
      <c r="AO615" s="104"/>
      <c r="AP615" s="103"/>
      <c r="AQ615" s="104"/>
      <c r="AR615" s="84"/>
      <c r="AS615" s="84"/>
      <c r="AT615" s="84"/>
      <c r="AU615" s="84"/>
      <c r="AV615" s="84"/>
      <c r="AW615" s="84"/>
      <c r="AX615" s="84"/>
      <c r="AY615" s="84"/>
      <c r="AZ615" s="84"/>
    </row>
    <row r="616" ht="15.75" customHeight="1">
      <c r="A616" s="9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5"/>
      <c r="AK616" s="85"/>
      <c r="AL616" s="103"/>
      <c r="AM616" s="104"/>
      <c r="AN616" s="103"/>
      <c r="AO616" s="104"/>
      <c r="AP616" s="103"/>
      <c r="AQ616" s="104"/>
      <c r="AR616" s="84"/>
      <c r="AS616" s="84"/>
      <c r="AT616" s="84"/>
      <c r="AU616" s="84"/>
      <c r="AV616" s="84"/>
      <c r="AW616" s="84"/>
      <c r="AX616" s="84"/>
      <c r="AY616" s="84"/>
      <c r="AZ616" s="84"/>
    </row>
    <row r="617" ht="15.75" customHeight="1">
      <c r="A617" s="9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5"/>
      <c r="AK617" s="85"/>
      <c r="AL617" s="103"/>
      <c r="AM617" s="104"/>
      <c r="AN617" s="103"/>
      <c r="AO617" s="104"/>
      <c r="AP617" s="103"/>
      <c r="AQ617" s="104"/>
      <c r="AR617" s="84"/>
      <c r="AS617" s="84"/>
      <c r="AT617" s="84"/>
      <c r="AU617" s="84"/>
      <c r="AV617" s="84"/>
      <c r="AW617" s="84"/>
      <c r="AX617" s="84"/>
      <c r="AY617" s="84"/>
      <c r="AZ617" s="84"/>
    </row>
    <row r="618" ht="15.75" customHeight="1">
      <c r="A618" s="9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5"/>
      <c r="AK618" s="85"/>
      <c r="AL618" s="103"/>
      <c r="AM618" s="104"/>
      <c r="AN618" s="103"/>
      <c r="AO618" s="104"/>
      <c r="AP618" s="103"/>
      <c r="AQ618" s="104"/>
      <c r="AR618" s="84"/>
      <c r="AS618" s="84"/>
      <c r="AT618" s="84"/>
      <c r="AU618" s="84"/>
      <c r="AV618" s="84"/>
      <c r="AW618" s="84"/>
      <c r="AX618" s="84"/>
      <c r="AY618" s="84"/>
      <c r="AZ618" s="84"/>
    </row>
    <row r="619" ht="15.75" customHeight="1">
      <c r="A619" s="9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5"/>
      <c r="AK619" s="85"/>
      <c r="AL619" s="103"/>
      <c r="AM619" s="104"/>
      <c r="AN619" s="103"/>
      <c r="AO619" s="104"/>
      <c r="AP619" s="103"/>
      <c r="AQ619" s="104"/>
      <c r="AR619" s="84"/>
      <c r="AS619" s="84"/>
      <c r="AT619" s="84"/>
      <c r="AU619" s="84"/>
      <c r="AV619" s="84"/>
      <c r="AW619" s="84"/>
      <c r="AX619" s="84"/>
      <c r="AY619" s="84"/>
      <c r="AZ619" s="84"/>
    </row>
    <row r="620" ht="15.75" customHeight="1">
      <c r="A620" s="9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5"/>
      <c r="AK620" s="85"/>
      <c r="AL620" s="103"/>
      <c r="AM620" s="104"/>
      <c r="AN620" s="103"/>
      <c r="AO620" s="104"/>
      <c r="AP620" s="103"/>
      <c r="AQ620" s="104"/>
      <c r="AR620" s="84"/>
      <c r="AS620" s="84"/>
      <c r="AT620" s="84"/>
      <c r="AU620" s="84"/>
      <c r="AV620" s="84"/>
      <c r="AW620" s="84"/>
      <c r="AX620" s="84"/>
      <c r="AY620" s="84"/>
      <c r="AZ620" s="84"/>
    </row>
    <row r="621" ht="15.75" customHeight="1">
      <c r="A621" s="9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5"/>
      <c r="AK621" s="85"/>
      <c r="AL621" s="103"/>
      <c r="AM621" s="104"/>
      <c r="AN621" s="103"/>
      <c r="AO621" s="104"/>
      <c r="AP621" s="103"/>
      <c r="AQ621" s="104"/>
      <c r="AR621" s="84"/>
      <c r="AS621" s="84"/>
      <c r="AT621" s="84"/>
      <c r="AU621" s="84"/>
      <c r="AV621" s="84"/>
      <c r="AW621" s="84"/>
      <c r="AX621" s="84"/>
      <c r="AY621" s="84"/>
      <c r="AZ621" s="84"/>
    </row>
    <row r="622" ht="15.75" customHeight="1">
      <c r="A622" s="9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5"/>
      <c r="AK622" s="85"/>
      <c r="AL622" s="103"/>
      <c r="AM622" s="104"/>
      <c r="AN622" s="103"/>
      <c r="AO622" s="104"/>
      <c r="AP622" s="103"/>
      <c r="AQ622" s="104"/>
      <c r="AR622" s="84"/>
      <c r="AS622" s="84"/>
      <c r="AT622" s="84"/>
      <c r="AU622" s="84"/>
      <c r="AV622" s="84"/>
      <c r="AW622" s="84"/>
      <c r="AX622" s="84"/>
      <c r="AY622" s="84"/>
      <c r="AZ622" s="84"/>
    </row>
    <row r="623" ht="15.75" customHeight="1">
      <c r="A623" s="9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5"/>
      <c r="AK623" s="85"/>
      <c r="AL623" s="103"/>
      <c r="AM623" s="104"/>
      <c r="AN623" s="103"/>
      <c r="AO623" s="104"/>
      <c r="AP623" s="103"/>
      <c r="AQ623" s="104"/>
      <c r="AR623" s="84"/>
      <c r="AS623" s="84"/>
      <c r="AT623" s="84"/>
      <c r="AU623" s="84"/>
      <c r="AV623" s="84"/>
      <c r="AW623" s="84"/>
      <c r="AX623" s="84"/>
      <c r="AY623" s="84"/>
      <c r="AZ623" s="84"/>
    </row>
    <row r="624" ht="15.75" customHeight="1">
      <c r="A624" s="9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5"/>
      <c r="AK624" s="85"/>
      <c r="AL624" s="103"/>
      <c r="AM624" s="104"/>
      <c r="AN624" s="103"/>
      <c r="AO624" s="104"/>
      <c r="AP624" s="103"/>
      <c r="AQ624" s="104"/>
      <c r="AR624" s="84"/>
      <c r="AS624" s="84"/>
      <c r="AT624" s="84"/>
      <c r="AU624" s="84"/>
      <c r="AV624" s="84"/>
      <c r="AW624" s="84"/>
      <c r="AX624" s="84"/>
      <c r="AY624" s="84"/>
      <c r="AZ624" s="84"/>
    </row>
    <row r="625" ht="15.75" customHeight="1">
      <c r="A625" s="9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5"/>
      <c r="AK625" s="85"/>
      <c r="AL625" s="103"/>
      <c r="AM625" s="104"/>
      <c r="AN625" s="103"/>
      <c r="AO625" s="104"/>
      <c r="AP625" s="103"/>
      <c r="AQ625" s="104"/>
      <c r="AR625" s="84"/>
      <c r="AS625" s="84"/>
      <c r="AT625" s="84"/>
      <c r="AU625" s="84"/>
      <c r="AV625" s="84"/>
      <c r="AW625" s="84"/>
      <c r="AX625" s="84"/>
      <c r="AY625" s="84"/>
      <c r="AZ625" s="84"/>
    </row>
    <row r="626" ht="15.75" customHeight="1">
      <c r="A626" s="9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5"/>
      <c r="AK626" s="85"/>
      <c r="AL626" s="103"/>
      <c r="AM626" s="104"/>
      <c r="AN626" s="103"/>
      <c r="AO626" s="104"/>
      <c r="AP626" s="103"/>
      <c r="AQ626" s="104"/>
      <c r="AR626" s="84"/>
      <c r="AS626" s="84"/>
      <c r="AT626" s="84"/>
      <c r="AU626" s="84"/>
      <c r="AV626" s="84"/>
      <c r="AW626" s="84"/>
      <c r="AX626" s="84"/>
      <c r="AY626" s="84"/>
      <c r="AZ626" s="84"/>
    </row>
    <row r="627" ht="15.75" customHeight="1">
      <c r="A627" s="9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5"/>
      <c r="AK627" s="85"/>
      <c r="AL627" s="103"/>
      <c r="AM627" s="104"/>
      <c r="AN627" s="103"/>
      <c r="AO627" s="104"/>
      <c r="AP627" s="103"/>
      <c r="AQ627" s="104"/>
      <c r="AR627" s="84"/>
      <c r="AS627" s="84"/>
      <c r="AT627" s="84"/>
      <c r="AU627" s="84"/>
      <c r="AV627" s="84"/>
      <c r="AW627" s="84"/>
      <c r="AX627" s="84"/>
      <c r="AY627" s="84"/>
      <c r="AZ627" s="84"/>
    </row>
    <row r="628" ht="15.75" customHeight="1">
      <c r="A628" s="9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5"/>
      <c r="AK628" s="85"/>
      <c r="AL628" s="103"/>
      <c r="AM628" s="104"/>
      <c r="AN628" s="103"/>
      <c r="AO628" s="104"/>
      <c r="AP628" s="103"/>
      <c r="AQ628" s="104"/>
      <c r="AR628" s="84"/>
      <c r="AS628" s="84"/>
      <c r="AT628" s="84"/>
      <c r="AU628" s="84"/>
      <c r="AV628" s="84"/>
      <c r="AW628" s="84"/>
      <c r="AX628" s="84"/>
      <c r="AY628" s="84"/>
      <c r="AZ628" s="84"/>
    </row>
    <row r="629" ht="15.75" customHeight="1">
      <c r="A629" s="9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5"/>
      <c r="AK629" s="85"/>
      <c r="AL629" s="103"/>
      <c r="AM629" s="104"/>
      <c r="AN629" s="103"/>
      <c r="AO629" s="104"/>
      <c r="AP629" s="103"/>
      <c r="AQ629" s="104"/>
      <c r="AR629" s="84"/>
      <c r="AS629" s="84"/>
      <c r="AT629" s="84"/>
      <c r="AU629" s="84"/>
      <c r="AV629" s="84"/>
      <c r="AW629" s="84"/>
      <c r="AX629" s="84"/>
      <c r="AY629" s="84"/>
      <c r="AZ629" s="84"/>
    </row>
    <row r="630" ht="15.75" customHeight="1">
      <c r="A630" s="9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5"/>
      <c r="AK630" s="85"/>
      <c r="AL630" s="103"/>
      <c r="AM630" s="104"/>
      <c r="AN630" s="103"/>
      <c r="AO630" s="104"/>
      <c r="AP630" s="103"/>
      <c r="AQ630" s="104"/>
      <c r="AR630" s="84"/>
      <c r="AS630" s="84"/>
      <c r="AT630" s="84"/>
      <c r="AU630" s="84"/>
      <c r="AV630" s="84"/>
      <c r="AW630" s="84"/>
      <c r="AX630" s="84"/>
      <c r="AY630" s="84"/>
      <c r="AZ630" s="84"/>
    </row>
    <row r="631" ht="15.75" customHeight="1">
      <c r="A631" s="9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5"/>
      <c r="AK631" s="85"/>
      <c r="AL631" s="103"/>
      <c r="AM631" s="104"/>
      <c r="AN631" s="103"/>
      <c r="AO631" s="104"/>
      <c r="AP631" s="103"/>
      <c r="AQ631" s="104"/>
      <c r="AR631" s="84"/>
      <c r="AS631" s="84"/>
      <c r="AT631" s="84"/>
      <c r="AU631" s="84"/>
      <c r="AV631" s="84"/>
      <c r="AW631" s="84"/>
      <c r="AX631" s="84"/>
      <c r="AY631" s="84"/>
      <c r="AZ631" s="84"/>
    </row>
    <row r="632" ht="15.75" customHeight="1">
      <c r="A632" s="9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5"/>
      <c r="AK632" s="85"/>
      <c r="AL632" s="103"/>
      <c r="AM632" s="104"/>
      <c r="AN632" s="103"/>
      <c r="AO632" s="104"/>
      <c r="AP632" s="103"/>
      <c r="AQ632" s="104"/>
      <c r="AR632" s="84"/>
      <c r="AS632" s="84"/>
      <c r="AT632" s="84"/>
      <c r="AU632" s="84"/>
      <c r="AV632" s="84"/>
      <c r="AW632" s="84"/>
      <c r="AX632" s="84"/>
      <c r="AY632" s="84"/>
      <c r="AZ632" s="84"/>
    </row>
    <row r="633" ht="15.75" customHeight="1">
      <c r="A633" s="9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5"/>
      <c r="AK633" s="85"/>
      <c r="AL633" s="103"/>
      <c r="AM633" s="104"/>
      <c r="AN633" s="103"/>
      <c r="AO633" s="104"/>
      <c r="AP633" s="103"/>
      <c r="AQ633" s="104"/>
      <c r="AR633" s="84"/>
      <c r="AS633" s="84"/>
      <c r="AT633" s="84"/>
      <c r="AU633" s="84"/>
      <c r="AV633" s="84"/>
      <c r="AW633" s="84"/>
      <c r="AX633" s="84"/>
      <c r="AY633" s="84"/>
      <c r="AZ633" s="84"/>
    </row>
    <row r="634" ht="15.75" customHeight="1">
      <c r="A634" s="9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5"/>
      <c r="AK634" s="85"/>
      <c r="AL634" s="103"/>
      <c r="AM634" s="104"/>
      <c r="AN634" s="103"/>
      <c r="AO634" s="104"/>
      <c r="AP634" s="103"/>
      <c r="AQ634" s="104"/>
      <c r="AR634" s="84"/>
      <c r="AS634" s="84"/>
      <c r="AT634" s="84"/>
      <c r="AU634" s="84"/>
      <c r="AV634" s="84"/>
      <c r="AW634" s="84"/>
      <c r="AX634" s="84"/>
      <c r="AY634" s="84"/>
      <c r="AZ634" s="84"/>
    </row>
    <row r="635" ht="15.75" customHeight="1">
      <c r="A635" s="9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5"/>
      <c r="AK635" s="85"/>
      <c r="AL635" s="103"/>
      <c r="AM635" s="104"/>
      <c r="AN635" s="103"/>
      <c r="AO635" s="104"/>
      <c r="AP635" s="103"/>
      <c r="AQ635" s="104"/>
      <c r="AR635" s="84"/>
      <c r="AS635" s="84"/>
      <c r="AT635" s="84"/>
      <c r="AU635" s="84"/>
      <c r="AV635" s="84"/>
      <c r="AW635" s="84"/>
      <c r="AX635" s="84"/>
      <c r="AY635" s="84"/>
      <c r="AZ635" s="84"/>
    </row>
    <row r="636" ht="15.75" customHeight="1">
      <c r="A636" s="9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5"/>
      <c r="AK636" s="85"/>
      <c r="AL636" s="103"/>
      <c r="AM636" s="104"/>
      <c r="AN636" s="103"/>
      <c r="AO636" s="104"/>
      <c r="AP636" s="103"/>
      <c r="AQ636" s="104"/>
      <c r="AR636" s="84"/>
      <c r="AS636" s="84"/>
      <c r="AT636" s="84"/>
      <c r="AU636" s="84"/>
      <c r="AV636" s="84"/>
      <c r="AW636" s="84"/>
      <c r="AX636" s="84"/>
      <c r="AY636" s="84"/>
      <c r="AZ636" s="84"/>
    </row>
    <row r="637" ht="15.75" customHeight="1">
      <c r="A637" s="9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5"/>
      <c r="AK637" s="85"/>
      <c r="AL637" s="103"/>
      <c r="AM637" s="104"/>
      <c r="AN637" s="103"/>
      <c r="AO637" s="104"/>
      <c r="AP637" s="103"/>
      <c r="AQ637" s="104"/>
      <c r="AR637" s="84"/>
      <c r="AS637" s="84"/>
      <c r="AT637" s="84"/>
      <c r="AU637" s="84"/>
      <c r="AV637" s="84"/>
      <c r="AW637" s="84"/>
      <c r="AX637" s="84"/>
      <c r="AY637" s="84"/>
      <c r="AZ637" s="84"/>
    </row>
    <row r="638" ht="15.75" customHeight="1">
      <c r="A638" s="9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5"/>
      <c r="AK638" s="85"/>
      <c r="AL638" s="103"/>
      <c r="AM638" s="104"/>
      <c r="AN638" s="103"/>
      <c r="AO638" s="104"/>
      <c r="AP638" s="103"/>
      <c r="AQ638" s="104"/>
      <c r="AR638" s="84"/>
      <c r="AS638" s="84"/>
      <c r="AT638" s="84"/>
      <c r="AU638" s="84"/>
      <c r="AV638" s="84"/>
      <c r="AW638" s="84"/>
      <c r="AX638" s="84"/>
      <c r="AY638" s="84"/>
      <c r="AZ638" s="84"/>
    </row>
    <row r="639" ht="15.75" customHeight="1">
      <c r="A639" s="9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5"/>
      <c r="AK639" s="85"/>
      <c r="AL639" s="103"/>
      <c r="AM639" s="104"/>
      <c r="AN639" s="103"/>
      <c r="AO639" s="104"/>
      <c r="AP639" s="103"/>
      <c r="AQ639" s="104"/>
      <c r="AR639" s="84"/>
      <c r="AS639" s="84"/>
      <c r="AT639" s="84"/>
      <c r="AU639" s="84"/>
      <c r="AV639" s="84"/>
      <c r="AW639" s="84"/>
      <c r="AX639" s="84"/>
      <c r="AY639" s="84"/>
      <c r="AZ639" s="84"/>
    </row>
    <row r="640" ht="15.75" customHeight="1">
      <c r="A640" s="9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5"/>
      <c r="AK640" s="85"/>
      <c r="AL640" s="103"/>
      <c r="AM640" s="104"/>
      <c r="AN640" s="103"/>
      <c r="AO640" s="104"/>
      <c r="AP640" s="103"/>
      <c r="AQ640" s="104"/>
      <c r="AR640" s="84"/>
      <c r="AS640" s="84"/>
      <c r="AT640" s="84"/>
      <c r="AU640" s="84"/>
      <c r="AV640" s="84"/>
      <c r="AW640" s="84"/>
      <c r="AX640" s="84"/>
      <c r="AY640" s="84"/>
      <c r="AZ640" s="84"/>
    </row>
    <row r="641" ht="15.75" customHeight="1">
      <c r="A641" s="9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5"/>
      <c r="AK641" s="85"/>
      <c r="AL641" s="103"/>
      <c r="AM641" s="104"/>
      <c r="AN641" s="103"/>
      <c r="AO641" s="104"/>
      <c r="AP641" s="103"/>
      <c r="AQ641" s="104"/>
      <c r="AR641" s="84"/>
      <c r="AS641" s="84"/>
      <c r="AT641" s="84"/>
      <c r="AU641" s="84"/>
      <c r="AV641" s="84"/>
      <c r="AW641" s="84"/>
      <c r="AX641" s="84"/>
      <c r="AY641" s="84"/>
      <c r="AZ641" s="84"/>
    </row>
    <row r="642" ht="15.75" customHeight="1">
      <c r="A642" s="9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5"/>
      <c r="AK642" s="85"/>
      <c r="AL642" s="103"/>
      <c r="AM642" s="104"/>
      <c r="AN642" s="103"/>
      <c r="AO642" s="104"/>
      <c r="AP642" s="103"/>
      <c r="AQ642" s="104"/>
      <c r="AR642" s="84"/>
      <c r="AS642" s="84"/>
      <c r="AT642" s="84"/>
      <c r="AU642" s="84"/>
      <c r="AV642" s="84"/>
      <c r="AW642" s="84"/>
      <c r="AX642" s="84"/>
      <c r="AY642" s="84"/>
      <c r="AZ642" s="84"/>
    </row>
    <row r="643" ht="15.75" customHeight="1">
      <c r="A643" s="9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5"/>
      <c r="AK643" s="85"/>
      <c r="AL643" s="103"/>
      <c r="AM643" s="104"/>
      <c r="AN643" s="103"/>
      <c r="AO643" s="104"/>
      <c r="AP643" s="103"/>
      <c r="AQ643" s="104"/>
      <c r="AR643" s="84"/>
      <c r="AS643" s="84"/>
      <c r="AT643" s="84"/>
      <c r="AU643" s="84"/>
      <c r="AV643" s="84"/>
      <c r="AW643" s="84"/>
      <c r="AX643" s="84"/>
      <c r="AY643" s="84"/>
      <c r="AZ643" s="84"/>
    </row>
    <row r="644" ht="15.75" customHeight="1">
      <c r="A644" s="9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5"/>
      <c r="AK644" s="85"/>
      <c r="AL644" s="103"/>
      <c r="AM644" s="104"/>
      <c r="AN644" s="103"/>
      <c r="AO644" s="104"/>
      <c r="AP644" s="103"/>
      <c r="AQ644" s="104"/>
      <c r="AR644" s="84"/>
      <c r="AS644" s="84"/>
      <c r="AT644" s="84"/>
      <c r="AU644" s="84"/>
      <c r="AV644" s="84"/>
      <c r="AW644" s="84"/>
      <c r="AX644" s="84"/>
      <c r="AY644" s="84"/>
      <c r="AZ644" s="84"/>
    </row>
    <row r="645" ht="15.75" customHeight="1">
      <c r="A645" s="9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5"/>
      <c r="AK645" s="85"/>
      <c r="AL645" s="103"/>
      <c r="AM645" s="104"/>
      <c r="AN645" s="103"/>
      <c r="AO645" s="104"/>
      <c r="AP645" s="103"/>
      <c r="AQ645" s="104"/>
      <c r="AR645" s="84"/>
      <c r="AS645" s="84"/>
      <c r="AT645" s="84"/>
      <c r="AU645" s="84"/>
      <c r="AV645" s="84"/>
      <c r="AW645" s="84"/>
      <c r="AX645" s="84"/>
      <c r="AY645" s="84"/>
      <c r="AZ645" s="84"/>
    </row>
    <row r="646" ht="15.75" customHeight="1">
      <c r="A646" s="9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5"/>
      <c r="AK646" s="85"/>
      <c r="AL646" s="103"/>
      <c r="AM646" s="104"/>
      <c r="AN646" s="103"/>
      <c r="AO646" s="104"/>
      <c r="AP646" s="103"/>
      <c r="AQ646" s="104"/>
      <c r="AR646" s="84"/>
      <c r="AS646" s="84"/>
      <c r="AT646" s="84"/>
      <c r="AU646" s="84"/>
      <c r="AV646" s="84"/>
      <c r="AW646" s="84"/>
      <c r="AX646" s="84"/>
      <c r="AY646" s="84"/>
      <c r="AZ646" s="84"/>
    </row>
    <row r="647" ht="15.75" customHeight="1">
      <c r="A647" s="9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5"/>
      <c r="AK647" s="85"/>
      <c r="AL647" s="103"/>
      <c r="AM647" s="104"/>
      <c r="AN647" s="103"/>
      <c r="AO647" s="104"/>
      <c r="AP647" s="103"/>
      <c r="AQ647" s="104"/>
      <c r="AR647" s="84"/>
      <c r="AS647" s="84"/>
      <c r="AT647" s="84"/>
      <c r="AU647" s="84"/>
      <c r="AV647" s="84"/>
      <c r="AW647" s="84"/>
      <c r="AX647" s="84"/>
      <c r="AY647" s="84"/>
      <c r="AZ647" s="84"/>
    </row>
    <row r="648" ht="15.75" customHeight="1">
      <c r="A648" s="9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5"/>
      <c r="AK648" s="85"/>
      <c r="AL648" s="103"/>
      <c r="AM648" s="104"/>
      <c r="AN648" s="103"/>
      <c r="AO648" s="104"/>
      <c r="AP648" s="103"/>
      <c r="AQ648" s="104"/>
      <c r="AR648" s="84"/>
      <c r="AS648" s="84"/>
      <c r="AT648" s="84"/>
      <c r="AU648" s="84"/>
      <c r="AV648" s="84"/>
      <c r="AW648" s="84"/>
      <c r="AX648" s="84"/>
      <c r="AY648" s="84"/>
      <c r="AZ648" s="84"/>
    </row>
    <row r="649" ht="15.75" customHeight="1">
      <c r="A649" s="9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5"/>
      <c r="AK649" s="85"/>
      <c r="AL649" s="103"/>
      <c r="AM649" s="104"/>
      <c r="AN649" s="103"/>
      <c r="AO649" s="104"/>
      <c r="AP649" s="103"/>
      <c r="AQ649" s="104"/>
      <c r="AR649" s="84"/>
      <c r="AS649" s="84"/>
      <c r="AT649" s="84"/>
      <c r="AU649" s="84"/>
      <c r="AV649" s="84"/>
      <c r="AW649" s="84"/>
      <c r="AX649" s="84"/>
      <c r="AY649" s="84"/>
      <c r="AZ649" s="84"/>
    </row>
    <row r="650" ht="15.75" customHeight="1">
      <c r="A650" s="9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5"/>
      <c r="AK650" s="85"/>
      <c r="AL650" s="103"/>
      <c r="AM650" s="104"/>
      <c r="AN650" s="103"/>
      <c r="AO650" s="104"/>
      <c r="AP650" s="103"/>
      <c r="AQ650" s="104"/>
      <c r="AR650" s="84"/>
      <c r="AS650" s="84"/>
      <c r="AT650" s="84"/>
      <c r="AU650" s="84"/>
      <c r="AV650" s="84"/>
      <c r="AW650" s="84"/>
      <c r="AX650" s="84"/>
      <c r="AY650" s="84"/>
      <c r="AZ650" s="84"/>
    </row>
    <row r="651" ht="15.75" customHeight="1">
      <c r="A651" s="9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5"/>
      <c r="AK651" s="85"/>
      <c r="AL651" s="103"/>
      <c r="AM651" s="104"/>
      <c r="AN651" s="103"/>
      <c r="AO651" s="104"/>
      <c r="AP651" s="103"/>
      <c r="AQ651" s="104"/>
      <c r="AR651" s="84"/>
      <c r="AS651" s="84"/>
      <c r="AT651" s="84"/>
      <c r="AU651" s="84"/>
      <c r="AV651" s="84"/>
      <c r="AW651" s="84"/>
      <c r="AX651" s="84"/>
      <c r="AY651" s="84"/>
      <c r="AZ651" s="84"/>
    </row>
    <row r="652" ht="15.75" customHeight="1">
      <c r="A652" s="9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5"/>
      <c r="AK652" s="85"/>
      <c r="AL652" s="103"/>
      <c r="AM652" s="104"/>
      <c r="AN652" s="103"/>
      <c r="AO652" s="104"/>
      <c r="AP652" s="103"/>
      <c r="AQ652" s="104"/>
      <c r="AR652" s="84"/>
      <c r="AS652" s="84"/>
      <c r="AT652" s="84"/>
      <c r="AU652" s="84"/>
      <c r="AV652" s="84"/>
      <c r="AW652" s="84"/>
      <c r="AX652" s="84"/>
      <c r="AY652" s="84"/>
      <c r="AZ652" s="84"/>
    </row>
    <row r="653" ht="15.75" customHeight="1">
      <c r="A653" s="9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5"/>
      <c r="AK653" s="85"/>
      <c r="AL653" s="103"/>
      <c r="AM653" s="104"/>
      <c r="AN653" s="103"/>
      <c r="AO653" s="104"/>
      <c r="AP653" s="103"/>
      <c r="AQ653" s="104"/>
      <c r="AR653" s="84"/>
      <c r="AS653" s="84"/>
      <c r="AT653" s="84"/>
      <c r="AU653" s="84"/>
      <c r="AV653" s="84"/>
      <c r="AW653" s="84"/>
      <c r="AX653" s="84"/>
      <c r="AY653" s="84"/>
      <c r="AZ653" s="84"/>
    </row>
    <row r="654" ht="15.75" customHeight="1">
      <c r="A654" s="9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5"/>
      <c r="AK654" s="85"/>
      <c r="AL654" s="103"/>
      <c r="AM654" s="104"/>
      <c r="AN654" s="103"/>
      <c r="AO654" s="104"/>
      <c r="AP654" s="103"/>
      <c r="AQ654" s="104"/>
      <c r="AR654" s="84"/>
      <c r="AS654" s="84"/>
      <c r="AT654" s="84"/>
      <c r="AU654" s="84"/>
      <c r="AV654" s="84"/>
      <c r="AW654" s="84"/>
      <c r="AX654" s="84"/>
      <c r="AY654" s="84"/>
      <c r="AZ654" s="84"/>
    </row>
    <row r="655" ht="15.75" customHeight="1">
      <c r="A655" s="9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5"/>
      <c r="AK655" s="85"/>
      <c r="AL655" s="103"/>
      <c r="AM655" s="104"/>
      <c r="AN655" s="103"/>
      <c r="AO655" s="104"/>
      <c r="AP655" s="103"/>
      <c r="AQ655" s="104"/>
      <c r="AR655" s="84"/>
      <c r="AS655" s="84"/>
      <c r="AT655" s="84"/>
      <c r="AU655" s="84"/>
      <c r="AV655" s="84"/>
      <c r="AW655" s="84"/>
      <c r="AX655" s="84"/>
      <c r="AY655" s="84"/>
      <c r="AZ655" s="84"/>
    </row>
    <row r="656" ht="15.75" customHeight="1">
      <c r="A656" s="9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5"/>
      <c r="AK656" s="85"/>
      <c r="AL656" s="103"/>
      <c r="AM656" s="104"/>
      <c r="AN656" s="103"/>
      <c r="AO656" s="104"/>
      <c r="AP656" s="103"/>
      <c r="AQ656" s="104"/>
      <c r="AR656" s="84"/>
      <c r="AS656" s="84"/>
      <c r="AT656" s="84"/>
      <c r="AU656" s="84"/>
      <c r="AV656" s="84"/>
      <c r="AW656" s="84"/>
      <c r="AX656" s="84"/>
      <c r="AY656" s="84"/>
      <c r="AZ656" s="84"/>
    </row>
    <row r="657" ht="15.75" customHeight="1">
      <c r="A657" s="9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5"/>
      <c r="AK657" s="85"/>
      <c r="AL657" s="103"/>
      <c r="AM657" s="104"/>
      <c r="AN657" s="103"/>
      <c r="AO657" s="104"/>
      <c r="AP657" s="103"/>
      <c r="AQ657" s="104"/>
      <c r="AR657" s="84"/>
      <c r="AS657" s="84"/>
      <c r="AT657" s="84"/>
      <c r="AU657" s="84"/>
      <c r="AV657" s="84"/>
      <c r="AW657" s="84"/>
      <c r="AX657" s="84"/>
      <c r="AY657" s="84"/>
      <c r="AZ657" s="84"/>
    </row>
    <row r="658" ht="15.75" customHeight="1">
      <c r="A658" s="9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5"/>
      <c r="AK658" s="85"/>
      <c r="AL658" s="103"/>
      <c r="AM658" s="104"/>
      <c r="AN658" s="103"/>
      <c r="AO658" s="104"/>
      <c r="AP658" s="103"/>
      <c r="AQ658" s="104"/>
      <c r="AR658" s="84"/>
      <c r="AS658" s="84"/>
      <c r="AT658" s="84"/>
      <c r="AU658" s="84"/>
      <c r="AV658" s="84"/>
      <c r="AW658" s="84"/>
      <c r="AX658" s="84"/>
      <c r="AY658" s="84"/>
      <c r="AZ658" s="84"/>
    </row>
    <row r="659" ht="15.75" customHeight="1">
      <c r="A659" s="9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5"/>
      <c r="AK659" s="85"/>
      <c r="AL659" s="103"/>
      <c r="AM659" s="104"/>
      <c r="AN659" s="103"/>
      <c r="AO659" s="104"/>
      <c r="AP659" s="103"/>
      <c r="AQ659" s="104"/>
      <c r="AR659" s="84"/>
      <c r="AS659" s="84"/>
      <c r="AT659" s="84"/>
      <c r="AU659" s="84"/>
      <c r="AV659" s="84"/>
      <c r="AW659" s="84"/>
      <c r="AX659" s="84"/>
      <c r="AY659" s="84"/>
      <c r="AZ659" s="84"/>
    </row>
    <row r="660" ht="15.75" customHeight="1">
      <c r="A660" s="9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5"/>
      <c r="AK660" s="85"/>
      <c r="AL660" s="103"/>
      <c r="AM660" s="104"/>
      <c r="AN660" s="103"/>
      <c r="AO660" s="104"/>
      <c r="AP660" s="103"/>
      <c r="AQ660" s="104"/>
      <c r="AR660" s="84"/>
      <c r="AS660" s="84"/>
      <c r="AT660" s="84"/>
      <c r="AU660" s="84"/>
      <c r="AV660" s="84"/>
      <c r="AW660" s="84"/>
      <c r="AX660" s="84"/>
      <c r="AY660" s="84"/>
      <c r="AZ660" s="84"/>
    </row>
    <row r="661" ht="15.75" customHeight="1">
      <c r="A661" s="9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5"/>
      <c r="AK661" s="85"/>
      <c r="AL661" s="103"/>
      <c r="AM661" s="104"/>
      <c r="AN661" s="103"/>
      <c r="AO661" s="104"/>
      <c r="AP661" s="103"/>
      <c r="AQ661" s="104"/>
      <c r="AR661" s="84"/>
      <c r="AS661" s="84"/>
      <c r="AT661" s="84"/>
      <c r="AU661" s="84"/>
      <c r="AV661" s="84"/>
      <c r="AW661" s="84"/>
      <c r="AX661" s="84"/>
      <c r="AY661" s="84"/>
      <c r="AZ661" s="84"/>
    </row>
    <row r="662" ht="15.75" customHeight="1">
      <c r="A662" s="9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5"/>
      <c r="AK662" s="85"/>
      <c r="AL662" s="103"/>
      <c r="AM662" s="104"/>
      <c r="AN662" s="103"/>
      <c r="AO662" s="104"/>
      <c r="AP662" s="103"/>
      <c r="AQ662" s="104"/>
      <c r="AR662" s="84"/>
      <c r="AS662" s="84"/>
      <c r="AT662" s="84"/>
      <c r="AU662" s="84"/>
      <c r="AV662" s="84"/>
      <c r="AW662" s="84"/>
      <c r="AX662" s="84"/>
      <c r="AY662" s="84"/>
      <c r="AZ662" s="84"/>
    </row>
    <row r="663" ht="15.75" customHeight="1">
      <c r="A663" s="9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5"/>
      <c r="AK663" s="85"/>
      <c r="AL663" s="103"/>
      <c r="AM663" s="104"/>
      <c r="AN663" s="103"/>
      <c r="AO663" s="104"/>
      <c r="AP663" s="103"/>
      <c r="AQ663" s="104"/>
      <c r="AR663" s="84"/>
      <c r="AS663" s="84"/>
      <c r="AT663" s="84"/>
      <c r="AU663" s="84"/>
      <c r="AV663" s="84"/>
      <c r="AW663" s="84"/>
      <c r="AX663" s="84"/>
      <c r="AY663" s="84"/>
      <c r="AZ663" s="84"/>
    </row>
    <row r="664" ht="15.75" customHeight="1">
      <c r="A664" s="9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5"/>
      <c r="AK664" s="85"/>
      <c r="AL664" s="103"/>
      <c r="AM664" s="104"/>
      <c r="AN664" s="103"/>
      <c r="AO664" s="104"/>
      <c r="AP664" s="103"/>
      <c r="AQ664" s="104"/>
      <c r="AR664" s="84"/>
      <c r="AS664" s="84"/>
      <c r="AT664" s="84"/>
      <c r="AU664" s="84"/>
      <c r="AV664" s="84"/>
      <c r="AW664" s="84"/>
      <c r="AX664" s="84"/>
      <c r="AY664" s="84"/>
      <c r="AZ664" s="84"/>
    </row>
    <row r="665" ht="15.75" customHeight="1">
      <c r="A665" s="9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5"/>
      <c r="AK665" s="85"/>
      <c r="AL665" s="103"/>
      <c r="AM665" s="104"/>
      <c r="AN665" s="103"/>
      <c r="AO665" s="104"/>
      <c r="AP665" s="103"/>
      <c r="AQ665" s="104"/>
      <c r="AR665" s="84"/>
      <c r="AS665" s="84"/>
      <c r="AT665" s="84"/>
      <c r="AU665" s="84"/>
      <c r="AV665" s="84"/>
      <c r="AW665" s="84"/>
      <c r="AX665" s="84"/>
      <c r="AY665" s="84"/>
      <c r="AZ665" s="84"/>
    </row>
    <row r="666" ht="15.75" customHeight="1">
      <c r="A666" s="9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5"/>
      <c r="AK666" s="85"/>
      <c r="AL666" s="103"/>
      <c r="AM666" s="104"/>
      <c r="AN666" s="103"/>
      <c r="AO666" s="104"/>
      <c r="AP666" s="103"/>
      <c r="AQ666" s="104"/>
      <c r="AR666" s="84"/>
      <c r="AS666" s="84"/>
      <c r="AT666" s="84"/>
      <c r="AU666" s="84"/>
      <c r="AV666" s="84"/>
      <c r="AW666" s="84"/>
      <c r="AX666" s="84"/>
      <c r="AY666" s="84"/>
      <c r="AZ666" s="84"/>
    </row>
    <row r="667" ht="15.75" customHeight="1">
      <c r="A667" s="9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5"/>
      <c r="AK667" s="85"/>
      <c r="AL667" s="103"/>
      <c r="AM667" s="104"/>
      <c r="AN667" s="103"/>
      <c r="AO667" s="104"/>
      <c r="AP667" s="103"/>
      <c r="AQ667" s="104"/>
      <c r="AR667" s="84"/>
      <c r="AS667" s="84"/>
      <c r="AT667" s="84"/>
      <c r="AU667" s="84"/>
      <c r="AV667" s="84"/>
      <c r="AW667" s="84"/>
      <c r="AX667" s="84"/>
      <c r="AY667" s="84"/>
      <c r="AZ667" s="84"/>
    </row>
    <row r="668" ht="15.75" customHeight="1">
      <c r="A668" s="9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5"/>
      <c r="AK668" s="85"/>
      <c r="AL668" s="103"/>
      <c r="AM668" s="104"/>
      <c r="AN668" s="103"/>
      <c r="AO668" s="104"/>
      <c r="AP668" s="103"/>
      <c r="AQ668" s="104"/>
      <c r="AR668" s="84"/>
      <c r="AS668" s="84"/>
      <c r="AT668" s="84"/>
      <c r="AU668" s="84"/>
      <c r="AV668" s="84"/>
      <c r="AW668" s="84"/>
      <c r="AX668" s="84"/>
      <c r="AY668" s="84"/>
      <c r="AZ668" s="84"/>
    </row>
    <row r="669" ht="15.75" customHeight="1">
      <c r="A669" s="9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5"/>
      <c r="AK669" s="85"/>
      <c r="AL669" s="103"/>
      <c r="AM669" s="104"/>
      <c r="AN669" s="103"/>
      <c r="AO669" s="104"/>
      <c r="AP669" s="103"/>
      <c r="AQ669" s="104"/>
      <c r="AR669" s="84"/>
      <c r="AS669" s="84"/>
      <c r="AT669" s="84"/>
      <c r="AU669" s="84"/>
      <c r="AV669" s="84"/>
      <c r="AW669" s="84"/>
      <c r="AX669" s="84"/>
      <c r="AY669" s="84"/>
      <c r="AZ669" s="84"/>
    </row>
    <row r="670" ht="15.75" customHeight="1">
      <c r="A670" s="9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5"/>
      <c r="AK670" s="85"/>
      <c r="AL670" s="103"/>
      <c r="AM670" s="104"/>
      <c r="AN670" s="103"/>
      <c r="AO670" s="104"/>
      <c r="AP670" s="103"/>
      <c r="AQ670" s="104"/>
      <c r="AR670" s="84"/>
      <c r="AS670" s="84"/>
      <c r="AT670" s="84"/>
      <c r="AU670" s="84"/>
      <c r="AV670" s="84"/>
      <c r="AW670" s="84"/>
      <c r="AX670" s="84"/>
      <c r="AY670" s="84"/>
      <c r="AZ670" s="84"/>
    </row>
    <row r="671" ht="15.75" customHeight="1">
      <c r="A671" s="9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5"/>
      <c r="AK671" s="85"/>
      <c r="AL671" s="103"/>
      <c r="AM671" s="104"/>
      <c r="AN671" s="103"/>
      <c r="AO671" s="104"/>
      <c r="AP671" s="103"/>
      <c r="AQ671" s="104"/>
      <c r="AR671" s="84"/>
      <c r="AS671" s="84"/>
      <c r="AT671" s="84"/>
      <c r="AU671" s="84"/>
      <c r="AV671" s="84"/>
      <c r="AW671" s="84"/>
      <c r="AX671" s="84"/>
      <c r="AY671" s="84"/>
      <c r="AZ671" s="84"/>
    </row>
    <row r="672" ht="15.75" customHeight="1">
      <c r="A672" s="9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5"/>
      <c r="AK672" s="85"/>
      <c r="AL672" s="103"/>
      <c r="AM672" s="104"/>
      <c r="AN672" s="103"/>
      <c r="AO672" s="104"/>
      <c r="AP672" s="103"/>
      <c r="AQ672" s="104"/>
      <c r="AR672" s="84"/>
      <c r="AS672" s="84"/>
      <c r="AT672" s="84"/>
      <c r="AU672" s="84"/>
      <c r="AV672" s="84"/>
      <c r="AW672" s="84"/>
      <c r="AX672" s="84"/>
      <c r="AY672" s="84"/>
      <c r="AZ672" s="84"/>
    </row>
    <row r="673" ht="15.75" customHeight="1">
      <c r="A673" s="9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5"/>
      <c r="AK673" s="85"/>
      <c r="AL673" s="103"/>
      <c r="AM673" s="104"/>
      <c r="AN673" s="103"/>
      <c r="AO673" s="104"/>
      <c r="AP673" s="103"/>
      <c r="AQ673" s="104"/>
      <c r="AR673" s="84"/>
      <c r="AS673" s="84"/>
      <c r="AT673" s="84"/>
      <c r="AU673" s="84"/>
      <c r="AV673" s="84"/>
      <c r="AW673" s="84"/>
      <c r="AX673" s="84"/>
      <c r="AY673" s="84"/>
      <c r="AZ673" s="84"/>
    </row>
    <row r="674" ht="15.75" customHeight="1">
      <c r="A674" s="9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5"/>
      <c r="AK674" s="85"/>
      <c r="AL674" s="103"/>
      <c r="AM674" s="104"/>
      <c r="AN674" s="103"/>
      <c r="AO674" s="104"/>
      <c r="AP674" s="103"/>
      <c r="AQ674" s="104"/>
      <c r="AR674" s="84"/>
      <c r="AS674" s="84"/>
      <c r="AT674" s="84"/>
      <c r="AU674" s="84"/>
      <c r="AV674" s="84"/>
      <c r="AW674" s="84"/>
      <c r="AX674" s="84"/>
      <c r="AY674" s="84"/>
      <c r="AZ674" s="84"/>
    </row>
    <row r="675" ht="15.75" customHeight="1">
      <c r="A675" s="9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5"/>
      <c r="AK675" s="85"/>
      <c r="AL675" s="103"/>
      <c r="AM675" s="104"/>
      <c r="AN675" s="103"/>
      <c r="AO675" s="104"/>
      <c r="AP675" s="103"/>
      <c r="AQ675" s="104"/>
      <c r="AR675" s="84"/>
      <c r="AS675" s="84"/>
      <c r="AT675" s="84"/>
      <c r="AU675" s="84"/>
      <c r="AV675" s="84"/>
      <c r="AW675" s="84"/>
      <c r="AX675" s="84"/>
      <c r="AY675" s="84"/>
      <c r="AZ675" s="84"/>
    </row>
    <row r="676" ht="15.75" customHeight="1">
      <c r="A676" s="9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5"/>
      <c r="AK676" s="85"/>
      <c r="AL676" s="103"/>
      <c r="AM676" s="104"/>
      <c r="AN676" s="103"/>
      <c r="AO676" s="104"/>
      <c r="AP676" s="103"/>
      <c r="AQ676" s="104"/>
      <c r="AR676" s="84"/>
      <c r="AS676" s="84"/>
      <c r="AT676" s="84"/>
      <c r="AU676" s="84"/>
      <c r="AV676" s="84"/>
      <c r="AW676" s="84"/>
      <c r="AX676" s="84"/>
      <c r="AY676" s="84"/>
      <c r="AZ676" s="84"/>
    </row>
    <row r="677" ht="15.75" customHeight="1">
      <c r="A677" s="9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5"/>
      <c r="AK677" s="85"/>
      <c r="AL677" s="103"/>
      <c r="AM677" s="104"/>
      <c r="AN677" s="103"/>
      <c r="AO677" s="104"/>
      <c r="AP677" s="103"/>
      <c r="AQ677" s="104"/>
      <c r="AR677" s="84"/>
      <c r="AS677" s="84"/>
      <c r="AT677" s="84"/>
      <c r="AU677" s="84"/>
      <c r="AV677" s="84"/>
      <c r="AW677" s="84"/>
      <c r="AX677" s="84"/>
      <c r="AY677" s="84"/>
      <c r="AZ677" s="84"/>
    </row>
    <row r="678" ht="15.75" customHeight="1">
      <c r="A678" s="9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5"/>
      <c r="AK678" s="85"/>
      <c r="AL678" s="103"/>
      <c r="AM678" s="104"/>
      <c r="AN678" s="103"/>
      <c r="AO678" s="104"/>
      <c r="AP678" s="103"/>
      <c r="AQ678" s="104"/>
      <c r="AR678" s="84"/>
      <c r="AS678" s="84"/>
      <c r="AT678" s="84"/>
      <c r="AU678" s="84"/>
      <c r="AV678" s="84"/>
      <c r="AW678" s="84"/>
      <c r="AX678" s="84"/>
      <c r="AY678" s="84"/>
      <c r="AZ678" s="84"/>
    </row>
    <row r="679" ht="15.75" customHeight="1">
      <c r="A679" s="9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5"/>
      <c r="AK679" s="85"/>
      <c r="AL679" s="103"/>
      <c r="AM679" s="104"/>
      <c r="AN679" s="103"/>
      <c r="AO679" s="104"/>
      <c r="AP679" s="103"/>
      <c r="AQ679" s="104"/>
      <c r="AR679" s="84"/>
      <c r="AS679" s="84"/>
      <c r="AT679" s="84"/>
      <c r="AU679" s="84"/>
      <c r="AV679" s="84"/>
      <c r="AW679" s="84"/>
      <c r="AX679" s="84"/>
      <c r="AY679" s="84"/>
      <c r="AZ679" s="84"/>
    </row>
    <row r="680" ht="15.75" customHeight="1">
      <c r="A680" s="9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5"/>
      <c r="AK680" s="85"/>
      <c r="AL680" s="103"/>
      <c r="AM680" s="104"/>
      <c r="AN680" s="103"/>
      <c r="AO680" s="104"/>
      <c r="AP680" s="103"/>
      <c r="AQ680" s="104"/>
      <c r="AR680" s="84"/>
      <c r="AS680" s="84"/>
      <c r="AT680" s="84"/>
      <c r="AU680" s="84"/>
      <c r="AV680" s="84"/>
      <c r="AW680" s="84"/>
      <c r="AX680" s="84"/>
      <c r="AY680" s="84"/>
      <c r="AZ680" s="84"/>
    </row>
    <row r="681" ht="15.75" customHeight="1">
      <c r="A681" s="9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5"/>
      <c r="AK681" s="85"/>
      <c r="AL681" s="103"/>
      <c r="AM681" s="104"/>
      <c r="AN681" s="103"/>
      <c r="AO681" s="104"/>
      <c r="AP681" s="103"/>
      <c r="AQ681" s="104"/>
      <c r="AR681" s="84"/>
      <c r="AS681" s="84"/>
      <c r="AT681" s="84"/>
      <c r="AU681" s="84"/>
      <c r="AV681" s="84"/>
      <c r="AW681" s="84"/>
      <c r="AX681" s="84"/>
      <c r="AY681" s="84"/>
      <c r="AZ681" s="84"/>
    </row>
    <row r="682" ht="15.75" customHeight="1">
      <c r="A682" s="9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5"/>
      <c r="AK682" s="85"/>
      <c r="AL682" s="103"/>
      <c r="AM682" s="104"/>
      <c r="AN682" s="103"/>
      <c r="AO682" s="104"/>
      <c r="AP682" s="103"/>
      <c r="AQ682" s="104"/>
      <c r="AR682" s="84"/>
      <c r="AS682" s="84"/>
      <c r="AT682" s="84"/>
      <c r="AU682" s="84"/>
      <c r="AV682" s="84"/>
      <c r="AW682" s="84"/>
      <c r="AX682" s="84"/>
      <c r="AY682" s="84"/>
      <c r="AZ682" s="84"/>
    </row>
    <row r="683" ht="15.75" customHeight="1">
      <c r="A683" s="9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5"/>
      <c r="AK683" s="85"/>
      <c r="AL683" s="103"/>
      <c r="AM683" s="104"/>
      <c r="AN683" s="103"/>
      <c r="AO683" s="104"/>
      <c r="AP683" s="103"/>
      <c r="AQ683" s="104"/>
      <c r="AR683" s="84"/>
      <c r="AS683" s="84"/>
      <c r="AT683" s="84"/>
      <c r="AU683" s="84"/>
      <c r="AV683" s="84"/>
      <c r="AW683" s="84"/>
      <c r="AX683" s="84"/>
      <c r="AY683" s="84"/>
      <c r="AZ683" s="84"/>
    </row>
    <row r="684" ht="15.75" customHeight="1">
      <c r="A684" s="9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5"/>
      <c r="AK684" s="85"/>
      <c r="AL684" s="103"/>
      <c r="AM684" s="104"/>
      <c r="AN684" s="103"/>
      <c r="AO684" s="104"/>
      <c r="AP684" s="103"/>
      <c r="AQ684" s="104"/>
      <c r="AR684" s="84"/>
      <c r="AS684" s="84"/>
      <c r="AT684" s="84"/>
      <c r="AU684" s="84"/>
      <c r="AV684" s="84"/>
      <c r="AW684" s="84"/>
      <c r="AX684" s="84"/>
      <c r="AY684" s="84"/>
      <c r="AZ684" s="84"/>
    </row>
    <row r="685" ht="15.75" customHeight="1">
      <c r="A685" s="9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5"/>
      <c r="AK685" s="85"/>
      <c r="AL685" s="103"/>
      <c r="AM685" s="104"/>
      <c r="AN685" s="103"/>
      <c r="AO685" s="104"/>
      <c r="AP685" s="103"/>
      <c r="AQ685" s="104"/>
      <c r="AR685" s="84"/>
      <c r="AS685" s="84"/>
      <c r="AT685" s="84"/>
      <c r="AU685" s="84"/>
      <c r="AV685" s="84"/>
      <c r="AW685" s="84"/>
      <c r="AX685" s="84"/>
      <c r="AY685" s="84"/>
      <c r="AZ685" s="84"/>
    </row>
    <row r="686" ht="15.75" customHeight="1">
      <c r="A686" s="9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5"/>
      <c r="AK686" s="85"/>
      <c r="AL686" s="103"/>
      <c r="AM686" s="104"/>
      <c r="AN686" s="103"/>
      <c r="AO686" s="104"/>
      <c r="AP686" s="103"/>
      <c r="AQ686" s="104"/>
      <c r="AR686" s="84"/>
      <c r="AS686" s="84"/>
      <c r="AT686" s="84"/>
      <c r="AU686" s="84"/>
      <c r="AV686" s="84"/>
      <c r="AW686" s="84"/>
      <c r="AX686" s="84"/>
      <c r="AY686" s="84"/>
      <c r="AZ686" s="84"/>
    </row>
    <row r="687" ht="15.75" customHeight="1">
      <c r="A687" s="9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5"/>
      <c r="AK687" s="85"/>
      <c r="AL687" s="103"/>
      <c r="AM687" s="104"/>
      <c r="AN687" s="103"/>
      <c r="AO687" s="104"/>
      <c r="AP687" s="103"/>
      <c r="AQ687" s="104"/>
      <c r="AR687" s="84"/>
      <c r="AS687" s="84"/>
      <c r="AT687" s="84"/>
      <c r="AU687" s="84"/>
      <c r="AV687" s="84"/>
      <c r="AW687" s="84"/>
      <c r="AX687" s="84"/>
      <c r="AY687" s="84"/>
      <c r="AZ687" s="84"/>
    </row>
    <row r="688" ht="15.75" customHeight="1">
      <c r="A688" s="9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5"/>
      <c r="AK688" s="85"/>
      <c r="AL688" s="103"/>
      <c r="AM688" s="104"/>
      <c r="AN688" s="103"/>
      <c r="AO688" s="104"/>
      <c r="AP688" s="103"/>
      <c r="AQ688" s="104"/>
      <c r="AR688" s="84"/>
      <c r="AS688" s="84"/>
      <c r="AT688" s="84"/>
      <c r="AU688" s="84"/>
      <c r="AV688" s="84"/>
      <c r="AW688" s="84"/>
      <c r="AX688" s="84"/>
      <c r="AY688" s="84"/>
      <c r="AZ688" s="84"/>
    </row>
    <row r="689" ht="15.75" customHeight="1">
      <c r="A689" s="9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5"/>
      <c r="AK689" s="85"/>
      <c r="AL689" s="103"/>
      <c r="AM689" s="104"/>
      <c r="AN689" s="103"/>
      <c r="AO689" s="104"/>
      <c r="AP689" s="103"/>
      <c r="AQ689" s="104"/>
      <c r="AR689" s="84"/>
      <c r="AS689" s="84"/>
      <c r="AT689" s="84"/>
      <c r="AU689" s="84"/>
      <c r="AV689" s="84"/>
      <c r="AW689" s="84"/>
      <c r="AX689" s="84"/>
      <c r="AY689" s="84"/>
      <c r="AZ689" s="84"/>
    </row>
    <row r="690" ht="15.75" customHeight="1">
      <c r="A690" s="9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5"/>
      <c r="AK690" s="85"/>
      <c r="AL690" s="103"/>
      <c r="AM690" s="104"/>
      <c r="AN690" s="103"/>
      <c r="AO690" s="104"/>
      <c r="AP690" s="103"/>
      <c r="AQ690" s="104"/>
      <c r="AR690" s="84"/>
      <c r="AS690" s="84"/>
      <c r="AT690" s="84"/>
      <c r="AU690" s="84"/>
      <c r="AV690" s="84"/>
      <c r="AW690" s="84"/>
      <c r="AX690" s="84"/>
      <c r="AY690" s="84"/>
      <c r="AZ690" s="84"/>
    </row>
    <row r="691" ht="15.75" customHeight="1">
      <c r="A691" s="9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5"/>
      <c r="AK691" s="85"/>
      <c r="AL691" s="103"/>
      <c r="AM691" s="104"/>
      <c r="AN691" s="103"/>
      <c r="AO691" s="104"/>
      <c r="AP691" s="103"/>
      <c r="AQ691" s="104"/>
      <c r="AR691" s="84"/>
      <c r="AS691" s="84"/>
      <c r="AT691" s="84"/>
      <c r="AU691" s="84"/>
      <c r="AV691" s="84"/>
      <c r="AW691" s="84"/>
      <c r="AX691" s="84"/>
      <c r="AY691" s="84"/>
      <c r="AZ691" s="84"/>
    </row>
    <row r="692" ht="15.75" customHeight="1">
      <c r="A692" s="9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5"/>
      <c r="AK692" s="85"/>
      <c r="AL692" s="103"/>
      <c r="AM692" s="104"/>
      <c r="AN692" s="103"/>
      <c r="AO692" s="104"/>
      <c r="AP692" s="103"/>
      <c r="AQ692" s="104"/>
      <c r="AR692" s="84"/>
      <c r="AS692" s="84"/>
      <c r="AT692" s="84"/>
      <c r="AU692" s="84"/>
      <c r="AV692" s="84"/>
      <c r="AW692" s="84"/>
      <c r="AX692" s="84"/>
      <c r="AY692" s="84"/>
      <c r="AZ692" s="84"/>
    </row>
    <row r="693" ht="15.75" customHeight="1">
      <c r="A693" s="9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5"/>
      <c r="AK693" s="85"/>
      <c r="AL693" s="103"/>
      <c r="AM693" s="104"/>
      <c r="AN693" s="103"/>
      <c r="AO693" s="104"/>
      <c r="AP693" s="103"/>
      <c r="AQ693" s="104"/>
      <c r="AR693" s="84"/>
      <c r="AS693" s="84"/>
      <c r="AT693" s="84"/>
      <c r="AU693" s="84"/>
      <c r="AV693" s="84"/>
      <c r="AW693" s="84"/>
      <c r="AX693" s="84"/>
      <c r="AY693" s="84"/>
      <c r="AZ693" s="84"/>
    </row>
    <row r="694" ht="15.75" customHeight="1">
      <c r="A694" s="9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5"/>
      <c r="AK694" s="85"/>
      <c r="AL694" s="103"/>
      <c r="AM694" s="104"/>
      <c r="AN694" s="103"/>
      <c r="AO694" s="104"/>
      <c r="AP694" s="103"/>
      <c r="AQ694" s="104"/>
      <c r="AR694" s="84"/>
      <c r="AS694" s="84"/>
      <c r="AT694" s="84"/>
      <c r="AU694" s="84"/>
      <c r="AV694" s="84"/>
      <c r="AW694" s="84"/>
      <c r="AX694" s="84"/>
      <c r="AY694" s="84"/>
      <c r="AZ694" s="84"/>
    </row>
    <row r="695" ht="15.75" customHeight="1">
      <c r="A695" s="9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5"/>
      <c r="AK695" s="85"/>
      <c r="AL695" s="103"/>
      <c r="AM695" s="104"/>
      <c r="AN695" s="103"/>
      <c r="AO695" s="104"/>
      <c r="AP695" s="103"/>
      <c r="AQ695" s="104"/>
      <c r="AR695" s="84"/>
      <c r="AS695" s="84"/>
      <c r="AT695" s="84"/>
      <c r="AU695" s="84"/>
      <c r="AV695" s="84"/>
      <c r="AW695" s="84"/>
      <c r="AX695" s="84"/>
      <c r="AY695" s="84"/>
      <c r="AZ695" s="84"/>
    </row>
    <row r="696" ht="15.75" customHeight="1">
      <c r="A696" s="9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5"/>
      <c r="AK696" s="85"/>
      <c r="AL696" s="103"/>
      <c r="AM696" s="104"/>
      <c r="AN696" s="103"/>
      <c r="AO696" s="104"/>
      <c r="AP696" s="103"/>
      <c r="AQ696" s="104"/>
      <c r="AR696" s="84"/>
      <c r="AS696" s="84"/>
      <c r="AT696" s="84"/>
      <c r="AU696" s="84"/>
      <c r="AV696" s="84"/>
      <c r="AW696" s="84"/>
      <c r="AX696" s="84"/>
      <c r="AY696" s="84"/>
      <c r="AZ696" s="84"/>
    </row>
    <row r="697" ht="15.75" customHeight="1">
      <c r="A697" s="9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5"/>
      <c r="AK697" s="85"/>
      <c r="AL697" s="103"/>
      <c r="AM697" s="104"/>
      <c r="AN697" s="103"/>
      <c r="AO697" s="104"/>
      <c r="AP697" s="103"/>
      <c r="AQ697" s="104"/>
      <c r="AR697" s="84"/>
      <c r="AS697" s="84"/>
      <c r="AT697" s="84"/>
      <c r="AU697" s="84"/>
      <c r="AV697" s="84"/>
      <c r="AW697" s="84"/>
      <c r="AX697" s="84"/>
      <c r="AY697" s="84"/>
      <c r="AZ697" s="84"/>
    </row>
    <row r="698" ht="15.75" customHeight="1">
      <c r="A698" s="9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5"/>
      <c r="AK698" s="85"/>
      <c r="AL698" s="103"/>
      <c r="AM698" s="104"/>
      <c r="AN698" s="103"/>
      <c r="AO698" s="104"/>
      <c r="AP698" s="103"/>
      <c r="AQ698" s="104"/>
      <c r="AR698" s="84"/>
      <c r="AS698" s="84"/>
      <c r="AT698" s="84"/>
      <c r="AU698" s="84"/>
      <c r="AV698" s="84"/>
      <c r="AW698" s="84"/>
      <c r="AX698" s="84"/>
      <c r="AY698" s="84"/>
      <c r="AZ698" s="84"/>
    </row>
    <row r="699" ht="15.75" customHeight="1">
      <c r="A699" s="9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5"/>
      <c r="AK699" s="85"/>
      <c r="AL699" s="103"/>
      <c r="AM699" s="104"/>
      <c r="AN699" s="103"/>
      <c r="AO699" s="104"/>
      <c r="AP699" s="103"/>
      <c r="AQ699" s="104"/>
      <c r="AR699" s="84"/>
      <c r="AS699" s="84"/>
      <c r="AT699" s="84"/>
      <c r="AU699" s="84"/>
      <c r="AV699" s="84"/>
      <c r="AW699" s="84"/>
      <c r="AX699" s="84"/>
      <c r="AY699" s="84"/>
      <c r="AZ699" s="84"/>
    </row>
    <row r="700" ht="15.75" customHeight="1">
      <c r="A700" s="9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5"/>
      <c r="AK700" s="85"/>
      <c r="AL700" s="103"/>
      <c r="AM700" s="104"/>
      <c r="AN700" s="103"/>
      <c r="AO700" s="104"/>
      <c r="AP700" s="103"/>
      <c r="AQ700" s="104"/>
      <c r="AR700" s="84"/>
      <c r="AS700" s="84"/>
      <c r="AT700" s="84"/>
      <c r="AU700" s="84"/>
      <c r="AV700" s="84"/>
      <c r="AW700" s="84"/>
      <c r="AX700" s="84"/>
      <c r="AY700" s="84"/>
      <c r="AZ700" s="84"/>
    </row>
    <row r="701" ht="15.75" customHeight="1">
      <c r="A701" s="9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5"/>
      <c r="AK701" s="85"/>
      <c r="AL701" s="103"/>
      <c r="AM701" s="104"/>
      <c r="AN701" s="103"/>
      <c r="AO701" s="104"/>
      <c r="AP701" s="103"/>
      <c r="AQ701" s="104"/>
      <c r="AR701" s="84"/>
      <c r="AS701" s="84"/>
      <c r="AT701" s="84"/>
      <c r="AU701" s="84"/>
      <c r="AV701" s="84"/>
      <c r="AW701" s="84"/>
      <c r="AX701" s="84"/>
      <c r="AY701" s="84"/>
      <c r="AZ701" s="84"/>
    </row>
    <row r="702" ht="15.75" customHeight="1">
      <c r="A702" s="9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5"/>
      <c r="AK702" s="85"/>
      <c r="AL702" s="103"/>
      <c r="AM702" s="104"/>
      <c r="AN702" s="103"/>
      <c r="AO702" s="104"/>
      <c r="AP702" s="103"/>
      <c r="AQ702" s="104"/>
      <c r="AR702" s="84"/>
      <c r="AS702" s="84"/>
      <c r="AT702" s="84"/>
      <c r="AU702" s="84"/>
      <c r="AV702" s="84"/>
      <c r="AW702" s="84"/>
      <c r="AX702" s="84"/>
      <c r="AY702" s="84"/>
      <c r="AZ702" s="84"/>
    </row>
    <row r="703" ht="15.75" customHeight="1">
      <c r="A703" s="9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5"/>
      <c r="AK703" s="85"/>
      <c r="AL703" s="103"/>
      <c r="AM703" s="104"/>
      <c r="AN703" s="103"/>
      <c r="AO703" s="104"/>
      <c r="AP703" s="103"/>
      <c r="AQ703" s="104"/>
      <c r="AR703" s="84"/>
      <c r="AS703" s="84"/>
      <c r="AT703" s="84"/>
      <c r="AU703" s="84"/>
      <c r="AV703" s="84"/>
      <c r="AW703" s="84"/>
      <c r="AX703" s="84"/>
      <c r="AY703" s="84"/>
      <c r="AZ703" s="84"/>
    </row>
    <row r="704" ht="15.75" customHeight="1">
      <c r="A704" s="9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5"/>
      <c r="AK704" s="85"/>
      <c r="AL704" s="103"/>
      <c r="AM704" s="104"/>
      <c r="AN704" s="103"/>
      <c r="AO704" s="104"/>
      <c r="AP704" s="103"/>
      <c r="AQ704" s="104"/>
      <c r="AR704" s="84"/>
      <c r="AS704" s="84"/>
      <c r="AT704" s="84"/>
      <c r="AU704" s="84"/>
      <c r="AV704" s="84"/>
      <c r="AW704" s="84"/>
      <c r="AX704" s="84"/>
      <c r="AY704" s="84"/>
      <c r="AZ704" s="84"/>
    </row>
    <row r="705" ht="15.75" customHeight="1">
      <c r="A705" s="9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5"/>
      <c r="AK705" s="85"/>
      <c r="AL705" s="103"/>
      <c r="AM705" s="104"/>
      <c r="AN705" s="103"/>
      <c r="AO705" s="104"/>
      <c r="AP705" s="103"/>
      <c r="AQ705" s="104"/>
      <c r="AR705" s="84"/>
      <c r="AS705" s="84"/>
      <c r="AT705" s="84"/>
      <c r="AU705" s="84"/>
      <c r="AV705" s="84"/>
      <c r="AW705" s="84"/>
      <c r="AX705" s="84"/>
      <c r="AY705" s="84"/>
      <c r="AZ705" s="84"/>
    </row>
    <row r="706" ht="15.75" customHeight="1">
      <c r="A706" s="9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5"/>
      <c r="AK706" s="85"/>
      <c r="AL706" s="103"/>
      <c r="AM706" s="104"/>
      <c r="AN706" s="103"/>
      <c r="AO706" s="104"/>
      <c r="AP706" s="103"/>
      <c r="AQ706" s="104"/>
      <c r="AR706" s="84"/>
      <c r="AS706" s="84"/>
      <c r="AT706" s="84"/>
      <c r="AU706" s="84"/>
      <c r="AV706" s="84"/>
      <c r="AW706" s="84"/>
      <c r="AX706" s="84"/>
      <c r="AY706" s="84"/>
      <c r="AZ706" s="84"/>
    </row>
    <row r="707" ht="15.75" customHeight="1">
      <c r="A707" s="9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5"/>
      <c r="AK707" s="85"/>
      <c r="AL707" s="103"/>
      <c r="AM707" s="104"/>
      <c r="AN707" s="103"/>
      <c r="AO707" s="104"/>
      <c r="AP707" s="103"/>
      <c r="AQ707" s="104"/>
      <c r="AR707" s="84"/>
      <c r="AS707" s="84"/>
      <c r="AT707" s="84"/>
      <c r="AU707" s="84"/>
      <c r="AV707" s="84"/>
      <c r="AW707" s="84"/>
      <c r="AX707" s="84"/>
      <c r="AY707" s="84"/>
      <c r="AZ707" s="84"/>
    </row>
    <row r="708" ht="15.75" customHeight="1">
      <c r="A708" s="9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5"/>
      <c r="AK708" s="85"/>
      <c r="AL708" s="103"/>
      <c r="AM708" s="104"/>
      <c r="AN708" s="103"/>
      <c r="AO708" s="104"/>
      <c r="AP708" s="103"/>
      <c r="AQ708" s="104"/>
      <c r="AR708" s="84"/>
      <c r="AS708" s="84"/>
      <c r="AT708" s="84"/>
      <c r="AU708" s="84"/>
      <c r="AV708" s="84"/>
      <c r="AW708" s="84"/>
      <c r="AX708" s="84"/>
      <c r="AY708" s="84"/>
      <c r="AZ708" s="84"/>
    </row>
    <row r="709" ht="15.75" customHeight="1">
      <c r="A709" s="9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5"/>
      <c r="AK709" s="85"/>
      <c r="AL709" s="103"/>
      <c r="AM709" s="104"/>
      <c r="AN709" s="103"/>
      <c r="AO709" s="104"/>
      <c r="AP709" s="103"/>
      <c r="AQ709" s="104"/>
      <c r="AR709" s="84"/>
      <c r="AS709" s="84"/>
      <c r="AT709" s="84"/>
      <c r="AU709" s="84"/>
      <c r="AV709" s="84"/>
      <c r="AW709" s="84"/>
      <c r="AX709" s="84"/>
      <c r="AY709" s="84"/>
      <c r="AZ709" s="84"/>
    </row>
    <row r="710" ht="15.75" customHeight="1">
      <c r="A710" s="9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5"/>
      <c r="AK710" s="85"/>
      <c r="AL710" s="103"/>
      <c r="AM710" s="104"/>
      <c r="AN710" s="103"/>
      <c r="AO710" s="104"/>
      <c r="AP710" s="103"/>
      <c r="AQ710" s="104"/>
      <c r="AR710" s="84"/>
      <c r="AS710" s="84"/>
      <c r="AT710" s="84"/>
      <c r="AU710" s="84"/>
      <c r="AV710" s="84"/>
      <c r="AW710" s="84"/>
      <c r="AX710" s="84"/>
      <c r="AY710" s="84"/>
      <c r="AZ710" s="84"/>
    </row>
    <row r="711" ht="15.75" customHeight="1">
      <c r="A711" s="9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5"/>
      <c r="AK711" s="85"/>
      <c r="AL711" s="103"/>
      <c r="AM711" s="104"/>
      <c r="AN711" s="103"/>
      <c r="AO711" s="104"/>
      <c r="AP711" s="103"/>
      <c r="AQ711" s="104"/>
      <c r="AR711" s="84"/>
      <c r="AS711" s="84"/>
      <c r="AT711" s="84"/>
      <c r="AU711" s="84"/>
      <c r="AV711" s="84"/>
      <c r="AW711" s="84"/>
      <c r="AX711" s="84"/>
      <c r="AY711" s="84"/>
      <c r="AZ711" s="84"/>
    </row>
    <row r="712" ht="15.75" customHeight="1">
      <c r="A712" s="9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5"/>
      <c r="AK712" s="85"/>
      <c r="AL712" s="103"/>
      <c r="AM712" s="104"/>
      <c r="AN712" s="103"/>
      <c r="AO712" s="104"/>
      <c r="AP712" s="103"/>
      <c r="AQ712" s="104"/>
      <c r="AR712" s="84"/>
      <c r="AS712" s="84"/>
      <c r="AT712" s="84"/>
      <c r="AU712" s="84"/>
      <c r="AV712" s="84"/>
      <c r="AW712" s="84"/>
      <c r="AX712" s="84"/>
      <c r="AY712" s="84"/>
      <c r="AZ712" s="84"/>
    </row>
    <row r="713" ht="15.75" customHeight="1">
      <c r="A713" s="9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5"/>
      <c r="AK713" s="85"/>
      <c r="AL713" s="103"/>
      <c r="AM713" s="104"/>
      <c r="AN713" s="103"/>
      <c r="AO713" s="104"/>
      <c r="AP713" s="103"/>
      <c r="AQ713" s="104"/>
      <c r="AR713" s="84"/>
      <c r="AS713" s="84"/>
      <c r="AT713" s="84"/>
      <c r="AU713" s="84"/>
      <c r="AV713" s="84"/>
      <c r="AW713" s="84"/>
      <c r="AX713" s="84"/>
      <c r="AY713" s="84"/>
      <c r="AZ713" s="84"/>
    </row>
    <row r="714" ht="15.75" customHeight="1">
      <c r="A714" s="9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5"/>
      <c r="AK714" s="85"/>
      <c r="AL714" s="103"/>
      <c r="AM714" s="104"/>
      <c r="AN714" s="103"/>
      <c r="AO714" s="104"/>
      <c r="AP714" s="103"/>
      <c r="AQ714" s="104"/>
      <c r="AR714" s="84"/>
      <c r="AS714" s="84"/>
      <c r="AT714" s="84"/>
      <c r="AU714" s="84"/>
      <c r="AV714" s="84"/>
      <c r="AW714" s="84"/>
      <c r="AX714" s="84"/>
      <c r="AY714" s="84"/>
      <c r="AZ714" s="84"/>
    </row>
    <row r="715" ht="15.75" customHeight="1">
      <c r="A715" s="9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5"/>
      <c r="AK715" s="85"/>
      <c r="AL715" s="103"/>
      <c r="AM715" s="104"/>
      <c r="AN715" s="103"/>
      <c r="AO715" s="104"/>
      <c r="AP715" s="103"/>
      <c r="AQ715" s="104"/>
      <c r="AR715" s="84"/>
      <c r="AS715" s="84"/>
      <c r="AT715" s="84"/>
      <c r="AU715" s="84"/>
      <c r="AV715" s="84"/>
      <c r="AW715" s="84"/>
      <c r="AX715" s="84"/>
      <c r="AY715" s="84"/>
      <c r="AZ715" s="84"/>
    </row>
    <row r="716" ht="15.75" customHeight="1">
      <c r="A716" s="9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5"/>
      <c r="AK716" s="85"/>
      <c r="AL716" s="103"/>
      <c r="AM716" s="104"/>
      <c r="AN716" s="103"/>
      <c r="AO716" s="104"/>
      <c r="AP716" s="103"/>
      <c r="AQ716" s="104"/>
      <c r="AR716" s="84"/>
      <c r="AS716" s="84"/>
      <c r="AT716" s="84"/>
      <c r="AU716" s="84"/>
      <c r="AV716" s="84"/>
      <c r="AW716" s="84"/>
      <c r="AX716" s="84"/>
      <c r="AY716" s="84"/>
      <c r="AZ716" s="84"/>
    </row>
    <row r="717" ht="15.75" customHeight="1">
      <c r="A717" s="9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5"/>
      <c r="AK717" s="85"/>
      <c r="AL717" s="103"/>
      <c r="AM717" s="104"/>
      <c r="AN717" s="103"/>
      <c r="AO717" s="104"/>
      <c r="AP717" s="103"/>
      <c r="AQ717" s="104"/>
      <c r="AR717" s="84"/>
      <c r="AS717" s="84"/>
      <c r="AT717" s="84"/>
      <c r="AU717" s="84"/>
      <c r="AV717" s="84"/>
      <c r="AW717" s="84"/>
      <c r="AX717" s="84"/>
      <c r="AY717" s="84"/>
      <c r="AZ717" s="84"/>
    </row>
    <row r="718" ht="15.75" customHeight="1">
      <c r="A718" s="9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5"/>
      <c r="AK718" s="85"/>
      <c r="AL718" s="103"/>
      <c r="AM718" s="104"/>
      <c r="AN718" s="103"/>
      <c r="AO718" s="104"/>
      <c r="AP718" s="103"/>
      <c r="AQ718" s="104"/>
      <c r="AR718" s="84"/>
      <c r="AS718" s="84"/>
      <c r="AT718" s="84"/>
      <c r="AU718" s="84"/>
      <c r="AV718" s="84"/>
      <c r="AW718" s="84"/>
      <c r="AX718" s="84"/>
      <c r="AY718" s="84"/>
      <c r="AZ718" s="84"/>
    </row>
    <row r="719" ht="15.75" customHeight="1">
      <c r="A719" s="9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5"/>
      <c r="AK719" s="85"/>
      <c r="AL719" s="103"/>
      <c r="AM719" s="104"/>
      <c r="AN719" s="103"/>
      <c r="AO719" s="104"/>
      <c r="AP719" s="103"/>
      <c r="AQ719" s="104"/>
      <c r="AR719" s="84"/>
      <c r="AS719" s="84"/>
      <c r="AT719" s="84"/>
      <c r="AU719" s="84"/>
      <c r="AV719" s="84"/>
      <c r="AW719" s="84"/>
      <c r="AX719" s="84"/>
      <c r="AY719" s="84"/>
      <c r="AZ719" s="84"/>
    </row>
    <row r="720" ht="15.75" customHeight="1">
      <c r="A720" s="9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5"/>
      <c r="AK720" s="85"/>
      <c r="AL720" s="103"/>
      <c r="AM720" s="104"/>
      <c r="AN720" s="103"/>
      <c r="AO720" s="104"/>
      <c r="AP720" s="103"/>
      <c r="AQ720" s="104"/>
      <c r="AR720" s="84"/>
      <c r="AS720" s="84"/>
      <c r="AT720" s="84"/>
      <c r="AU720" s="84"/>
      <c r="AV720" s="84"/>
      <c r="AW720" s="84"/>
      <c r="AX720" s="84"/>
      <c r="AY720" s="84"/>
      <c r="AZ720" s="84"/>
    </row>
    <row r="721" ht="15.75" customHeight="1">
      <c r="A721" s="9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5"/>
      <c r="AK721" s="85"/>
      <c r="AL721" s="103"/>
      <c r="AM721" s="104"/>
      <c r="AN721" s="103"/>
      <c r="AO721" s="104"/>
      <c r="AP721" s="103"/>
      <c r="AQ721" s="104"/>
      <c r="AR721" s="84"/>
      <c r="AS721" s="84"/>
      <c r="AT721" s="84"/>
      <c r="AU721" s="84"/>
      <c r="AV721" s="84"/>
      <c r="AW721" s="84"/>
      <c r="AX721" s="84"/>
      <c r="AY721" s="84"/>
      <c r="AZ721" s="84"/>
    </row>
    <row r="722" ht="15.75" customHeight="1">
      <c r="A722" s="9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5"/>
      <c r="AK722" s="85"/>
      <c r="AL722" s="103"/>
      <c r="AM722" s="104"/>
      <c r="AN722" s="103"/>
      <c r="AO722" s="104"/>
      <c r="AP722" s="103"/>
      <c r="AQ722" s="104"/>
      <c r="AR722" s="84"/>
      <c r="AS722" s="84"/>
      <c r="AT722" s="84"/>
      <c r="AU722" s="84"/>
      <c r="AV722" s="84"/>
      <c r="AW722" s="84"/>
      <c r="AX722" s="84"/>
      <c r="AY722" s="84"/>
      <c r="AZ722" s="84"/>
    </row>
    <row r="723" ht="15.75" customHeight="1">
      <c r="A723" s="9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5"/>
      <c r="AK723" s="85"/>
      <c r="AL723" s="103"/>
      <c r="AM723" s="104"/>
      <c r="AN723" s="103"/>
      <c r="AO723" s="104"/>
      <c r="AP723" s="103"/>
      <c r="AQ723" s="104"/>
      <c r="AR723" s="84"/>
      <c r="AS723" s="84"/>
      <c r="AT723" s="84"/>
      <c r="AU723" s="84"/>
      <c r="AV723" s="84"/>
      <c r="AW723" s="84"/>
      <c r="AX723" s="84"/>
      <c r="AY723" s="84"/>
      <c r="AZ723" s="84"/>
    </row>
    <row r="724" ht="15.75" customHeight="1">
      <c r="A724" s="9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5"/>
      <c r="AK724" s="85"/>
      <c r="AL724" s="103"/>
      <c r="AM724" s="104"/>
      <c r="AN724" s="103"/>
      <c r="AO724" s="104"/>
      <c r="AP724" s="103"/>
      <c r="AQ724" s="104"/>
      <c r="AR724" s="84"/>
      <c r="AS724" s="84"/>
      <c r="AT724" s="84"/>
      <c r="AU724" s="84"/>
      <c r="AV724" s="84"/>
      <c r="AW724" s="84"/>
      <c r="AX724" s="84"/>
      <c r="AY724" s="84"/>
      <c r="AZ724" s="84"/>
    </row>
    <row r="725" ht="15.75" customHeight="1">
      <c r="A725" s="9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5"/>
      <c r="AK725" s="85"/>
      <c r="AL725" s="103"/>
      <c r="AM725" s="104"/>
      <c r="AN725" s="103"/>
      <c r="AO725" s="104"/>
      <c r="AP725" s="103"/>
      <c r="AQ725" s="104"/>
      <c r="AR725" s="84"/>
      <c r="AS725" s="84"/>
      <c r="AT725" s="84"/>
      <c r="AU725" s="84"/>
      <c r="AV725" s="84"/>
      <c r="AW725" s="84"/>
      <c r="AX725" s="84"/>
      <c r="AY725" s="84"/>
      <c r="AZ725" s="84"/>
    </row>
    <row r="726" ht="15.75" customHeight="1">
      <c r="A726" s="9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5"/>
      <c r="AK726" s="85"/>
      <c r="AL726" s="103"/>
      <c r="AM726" s="104"/>
      <c r="AN726" s="103"/>
      <c r="AO726" s="104"/>
      <c r="AP726" s="103"/>
      <c r="AQ726" s="104"/>
      <c r="AR726" s="84"/>
      <c r="AS726" s="84"/>
      <c r="AT726" s="84"/>
      <c r="AU726" s="84"/>
      <c r="AV726" s="84"/>
      <c r="AW726" s="84"/>
      <c r="AX726" s="84"/>
      <c r="AY726" s="84"/>
      <c r="AZ726" s="84"/>
    </row>
    <row r="727" ht="15.75" customHeight="1">
      <c r="A727" s="9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5"/>
      <c r="AK727" s="85"/>
      <c r="AL727" s="103"/>
      <c r="AM727" s="104"/>
      <c r="AN727" s="103"/>
      <c r="AO727" s="104"/>
      <c r="AP727" s="103"/>
      <c r="AQ727" s="104"/>
      <c r="AR727" s="84"/>
      <c r="AS727" s="84"/>
      <c r="AT727" s="84"/>
      <c r="AU727" s="84"/>
      <c r="AV727" s="84"/>
      <c r="AW727" s="84"/>
      <c r="AX727" s="84"/>
      <c r="AY727" s="84"/>
      <c r="AZ727" s="84"/>
    </row>
    <row r="728" ht="15.75" customHeight="1">
      <c r="A728" s="9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5"/>
      <c r="AK728" s="85"/>
      <c r="AL728" s="103"/>
      <c r="AM728" s="104"/>
      <c r="AN728" s="103"/>
      <c r="AO728" s="104"/>
      <c r="AP728" s="103"/>
      <c r="AQ728" s="104"/>
      <c r="AR728" s="84"/>
      <c r="AS728" s="84"/>
      <c r="AT728" s="84"/>
      <c r="AU728" s="84"/>
      <c r="AV728" s="84"/>
      <c r="AW728" s="84"/>
      <c r="AX728" s="84"/>
      <c r="AY728" s="84"/>
      <c r="AZ728" s="84"/>
    </row>
    <row r="729" ht="15.75" customHeight="1">
      <c r="A729" s="9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5"/>
      <c r="AK729" s="85"/>
      <c r="AL729" s="103"/>
      <c r="AM729" s="104"/>
      <c r="AN729" s="103"/>
      <c r="AO729" s="104"/>
      <c r="AP729" s="103"/>
      <c r="AQ729" s="104"/>
      <c r="AR729" s="84"/>
      <c r="AS729" s="84"/>
      <c r="AT729" s="84"/>
      <c r="AU729" s="84"/>
      <c r="AV729" s="84"/>
      <c r="AW729" s="84"/>
      <c r="AX729" s="84"/>
      <c r="AY729" s="84"/>
      <c r="AZ729" s="84"/>
    </row>
    <row r="730" ht="15.75" customHeight="1">
      <c r="A730" s="9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5"/>
      <c r="AK730" s="85"/>
      <c r="AL730" s="103"/>
      <c r="AM730" s="104"/>
      <c r="AN730" s="103"/>
      <c r="AO730" s="104"/>
      <c r="AP730" s="103"/>
      <c r="AQ730" s="104"/>
      <c r="AR730" s="84"/>
      <c r="AS730" s="84"/>
      <c r="AT730" s="84"/>
      <c r="AU730" s="84"/>
      <c r="AV730" s="84"/>
      <c r="AW730" s="84"/>
      <c r="AX730" s="84"/>
      <c r="AY730" s="84"/>
      <c r="AZ730" s="84"/>
    </row>
    <row r="731" ht="15.75" customHeight="1">
      <c r="A731" s="9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5"/>
      <c r="AK731" s="85"/>
      <c r="AL731" s="103"/>
      <c r="AM731" s="104"/>
      <c r="AN731" s="103"/>
      <c r="AO731" s="104"/>
      <c r="AP731" s="103"/>
      <c r="AQ731" s="104"/>
      <c r="AR731" s="84"/>
      <c r="AS731" s="84"/>
      <c r="AT731" s="84"/>
      <c r="AU731" s="84"/>
      <c r="AV731" s="84"/>
      <c r="AW731" s="84"/>
      <c r="AX731" s="84"/>
      <c r="AY731" s="84"/>
      <c r="AZ731" s="84"/>
    </row>
    <row r="732" ht="15.75" customHeight="1">
      <c r="A732" s="9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5"/>
      <c r="AK732" s="85"/>
      <c r="AL732" s="103"/>
      <c r="AM732" s="104"/>
      <c r="AN732" s="103"/>
      <c r="AO732" s="104"/>
      <c r="AP732" s="103"/>
      <c r="AQ732" s="104"/>
      <c r="AR732" s="84"/>
      <c r="AS732" s="84"/>
      <c r="AT732" s="84"/>
      <c r="AU732" s="84"/>
      <c r="AV732" s="84"/>
      <c r="AW732" s="84"/>
      <c r="AX732" s="84"/>
      <c r="AY732" s="84"/>
      <c r="AZ732" s="84"/>
    </row>
    <row r="733" ht="15.75" customHeight="1">
      <c r="A733" s="9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5"/>
      <c r="AK733" s="85"/>
      <c r="AL733" s="103"/>
      <c r="AM733" s="104"/>
      <c r="AN733" s="103"/>
      <c r="AO733" s="104"/>
      <c r="AP733" s="103"/>
      <c r="AQ733" s="104"/>
      <c r="AR733" s="84"/>
      <c r="AS733" s="84"/>
      <c r="AT733" s="84"/>
      <c r="AU733" s="84"/>
      <c r="AV733" s="84"/>
      <c r="AW733" s="84"/>
      <c r="AX733" s="84"/>
      <c r="AY733" s="84"/>
      <c r="AZ733" s="84"/>
    </row>
    <row r="734" ht="15.75" customHeight="1">
      <c r="A734" s="9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5"/>
      <c r="AK734" s="85"/>
      <c r="AL734" s="103"/>
      <c r="AM734" s="104"/>
      <c r="AN734" s="103"/>
      <c r="AO734" s="104"/>
      <c r="AP734" s="103"/>
      <c r="AQ734" s="104"/>
      <c r="AR734" s="84"/>
      <c r="AS734" s="84"/>
      <c r="AT734" s="84"/>
      <c r="AU734" s="84"/>
      <c r="AV734" s="84"/>
      <c r="AW734" s="84"/>
      <c r="AX734" s="84"/>
      <c r="AY734" s="84"/>
      <c r="AZ734" s="84"/>
    </row>
    <row r="735" ht="15.75" customHeight="1">
      <c r="A735" s="9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5"/>
      <c r="AK735" s="85"/>
      <c r="AL735" s="103"/>
      <c r="AM735" s="104"/>
      <c r="AN735" s="103"/>
      <c r="AO735" s="104"/>
      <c r="AP735" s="103"/>
      <c r="AQ735" s="104"/>
      <c r="AR735" s="84"/>
      <c r="AS735" s="84"/>
      <c r="AT735" s="84"/>
      <c r="AU735" s="84"/>
      <c r="AV735" s="84"/>
      <c r="AW735" s="84"/>
      <c r="AX735" s="84"/>
      <c r="AY735" s="84"/>
      <c r="AZ735" s="84"/>
    </row>
    <row r="736" ht="15.75" customHeight="1">
      <c r="A736" s="9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5"/>
      <c r="AK736" s="85"/>
      <c r="AL736" s="103"/>
      <c r="AM736" s="104"/>
      <c r="AN736" s="103"/>
      <c r="AO736" s="104"/>
      <c r="AP736" s="103"/>
      <c r="AQ736" s="104"/>
      <c r="AR736" s="84"/>
      <c r="AS736" s="84"/>
      <c r="AT736" s="84"/>
      <c r="AU736" s="84"/>
      <c r="AV736" s="84"/>
      <c r="AW736" s="84"/>
      <c r="AX736" s="84"/>
      <c r="AY736" s="84"/>
      <c r="AZ736" s="84"/>
    </row>
    <row r="737" ht="15.75" customHeight="1">
      <c r="A737" s="9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5"/>
      <c r="AK737" s="85"/>
      <c r="AL737" s="103"/>
      <c r="AM737" s="104"/>
      <c r="AN737" s="103"/>
      <c r="AO737" s="104"/>
      <c r="AP737" s="103"/>
      <c r="AQ737" s="104"/>
      <c r="AR737" s="84"/>
      <c r="AS737" s="84"/>
      <c r="AT737" s="84"/>
      <c r="AU737" s="84"/>
      <c r="AV737" s="84"/>
      <c r="AW737" s="84"/>
      <c r="AX737" s="84"/>
      <c r="AY737" s="84"/>
      <c r="AZ737" s="84"/>
    </row>
    <row r="738" ht="15.75" customHeight="1">
      <c r="A738" s="9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5"/>
      <c r="AK738" s="85"/>
      <c r="AL738" s="103"/>
      <c r="AM738" s="104"/>
      <c r="AN738" s="103"/>
      <c r="AO738" s="104"/>
      <c r="AP738" s="103"/>
      <c r="AQ738" s="104"/>
      <c r="AR738" s="84"/>
      <c r="AS738" s="84"/>
      <c r="AT738" s="84"/>
      <c r="AU738" s="84"/>
      <c r="AV738" s="84"/>
      <c r="AW738" s="84"/>
      <c r="AX738" s="84"/>
      <c r="AY738" s="84"/>
      <c r="AZ738" s="84"/>
    </row>
    <row r="739" ht="15.75" customHeight="1">
      <c r="A739" s="9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5"/>
      <c r="AK739" s="85"/>
      <c r="AL739" s="103"/>
      <c r="AM739" s="104"/>
      <c r="AN739" s="103"/>
      <c r="AO739" s="104"/>
      <c r="AP739" s="103"/>
      <c r="AQ739" s="104"/>
      <c r="AR739" s="84"/>
      <c r="AS739" s="84"/>
      <c r="AT739" s="84"/>
      <c r="AU739" s="84"/>
      <c r="AV739" s="84"/>
      <c r="AW739" s="84"/>
      <c r="AX739" s="84"/>
      <c r="AY739" s="84"/>
      <c r="AZ739" s="84"/>
    </row>
    <row r="740" ht="15.75" customHeight="1">
      <c r="A740" s="9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5"/>
      <c r="AK740" s="85"/>
      <c r="AL740" s="103"/>
      <c r="AM740" s="104"/>
      <c r="AN740" s="103"/>
      <c r="AO740" s="104"/>
      <c r="AP740" s="103"/>
      <c r="AQ740" s="104"/>
      <c r="AR740" s="84"/>
      <c r="AS740" s="84"/>
      <c r="AT740" s="84"/>
      <c r="AU740" s="84"/>
      <c r="AV740" s="84"/>
      <c r="AW740" s="84"/>
      <c r="AX740" s="84"/>
      <c r="AY740" s="84"/>
      <c r="AZ740" s="84"/>
    </row>
    <row r="741" ht="15.75" customHeight="1">
      <c r="A741" s="9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5"/>
      <c r="AK741" s="85"/>
      <c r="AL741" s="103"/>
      <c r="AM741" s="104"/>
      <c r="AN741" s="103"/>
      <c r="AO741" s="104"/>
      <c r="AP741" s="103"/>
      <c r="AQ741" s="104"/>
      <c r="AR741" s="84"/>
      <c r="AS741" s="84"/>
      <c r="AT741" s="84"/>
      <c r="AU741" s="84"/>
      <c r="AV741" s="84"/>
      <c r="AW741" s="84"/>
      <c r="AX741" s="84"/>
      <c r="AY741" s="84"/>
      <c r="AZ741" s="84"/>
    </row>
    <row r="742" ht="15.75" customHeight="1">
      <c r="A742" s="9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5"/>
      <c r="AK742" s="85"/>
      <c r="AL742" s="103"/>
      <c r="AM742" s="104"/>
      <c r="AN742" s="103"/>
      <c r="AO742" s="104"/>
      <c r="AP742" s="103"/>
      <c r="AQ742" s="104"/>
      <c r="AR742" s="84"/>
      <c r="AS742" s="84"/>
      <c r="AT742" s="84"/>
      <c r="AU742" s="84"/>
      <c r="AV742" s="84"/>
      <c r="AW742" s="84"/>
      <c r="AX742" s="84"/>
      <c r="AY742" s="84"/>
      <c r="AZ742" s="84"/>
    </row>
    <row r="743" ht="15.75" customHeight="1">
      <c r="A743" s="9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5"/>
      <c r="AK743" s="85"/>
      <c r="AL743" s="103"/>
      <c r="AM743" s="104"/>
      <c r="AN743" s="103"/>
      <c r="AO743" s="104"/>
      <c r="AP743" s="103"/>
      <c r="AQ743" s="104"/>
      <c r="AR743" s="84"/>
      <c r="AS743" s="84"/>
      <c r="AT743" s="84"/>
      <c r="AU743" s="84"/>
      <c r="AV743" s="84"/>
      <c r="AW743" s="84"/>
      <c r="AX743" s="84"/>
      <c r="AY743" s="84"/>
      <c r="AZ743" s="84"/>
    </row>
    <row r="744" ht="15.75" customHeight="1">
      <c r="A744" s="9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5"/>
      <c r="AK744" s="85"/>
      <c r="AL744" s="103"/>
      <c r="AM744" s="104"/>
      <c r="AN744" s="103"/>
      <c r="AO744" s="104"/>
      <c r="AP744" s="103"/>
      <c r="AQ744" s="104"/>
      <c r="AR744" s="84"/>
      <c r="AS744" s="84"/>
      <c r="AT744" s="84"/>
      <c r="AU744" s="84"/>
      <c r="AV744" s="84"/>
      <c r="AW744" s="84"/>
      <c r="AX744" s="84"/>
      <c r="AY744" s="84"/>
      <c r="AZ744" s="84"/>
    </row>
    <row r="745" ht="15.75" customHeight="1">
      <c r="A745" s="9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5"/>
      <c r="AK745" s="85"/>
      <c r="AL745" s="103"/>
      <c r="AM745" s="104"/>
      <c r="AN745" s="103"/>
      <c r="AO745" s="104"/>
      <c r="AP745" s="103"/>
      <c r="AQ745" s="104"/>
      <c r="AR745" s="84"/>
      <c r="AS745" s="84"/>
      <c r="AT745" s="84"/>
      <c r="AU745" s="84"/>
      <c r="AV745" s="84"/>
      <c r="AW745" s="84"/>
      <c r="AX745" s="84"/>
      <c r="AY745" s="84"/>
      <c r="AZ745" s="84"/>
    </row>
    <row r="746" ht="15.75" customHeight="1">
      <c r="A746" s="9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5"/>
      <c r="AK746" s="85"/>
      <c r="AL746" s="103"/>
      <c r="AM746" s="104"/>
      <c r="AN746" s="103"/>
      <c r="AO746" s="104"/>
      <c r="AP746" s="103"/>
      <c r="AQ746" s="104"/>
      <c r="AR746" s="84"/>
      <c r="AS746" s="84"/>
      <c r="AT746" s="84"/>
      <c r="AU746" s="84"/>
      <c r="AV746" s="84"/>
      <c r="AW746" s="84"/>
      <c r="AX746" s="84"/>
      <c r="AY746" s="84"/>
      <c r="AZ746" s="84"/>
    </row>
    <row r="747" ht="15.75" customHeight="1">
      <c r="A747" s="9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5"/>
      <c r="AK747" s="85"/>
      <c r="AL747" s="103"/>
      <c r="AM747" s="104"/>
      <c r="AN747" s="103"/>
      <c r="AO747" s="104"/>
      <c r="AP747" s="103"/>
      <c r="AQ747" s="104"/>
      <c r="AR747" s="84"/>
      <c r="AS747" s="84"/>
      <c r="AT747" s="84"/>
      <c r="AU747" s="84"/>
      <c r="AV747" s="84"/>
      <c r="AW747" s="84"/>
      <c r="AX747" s="84"/>
      <c r="AY747" s="84"/>
      <c r="AZ747" s="84"/>
    </row>
    <row r="748" ht="15.75" customHeight="1">
      <c r="A748" s="9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5"/>
      <c r="AK748" s="85"/>
      <c r="AL748" s="103"/>
      <c r="AM748" s="104"/>
      <c r="AN748" s="103"/>
      <c r="AO748" s="104"/>
      <c r="AP748" s="103"/>
      <c r="AQ748" s="104"/>
      <c r="AR748" s="84"/>
      <c r="AS748" s="84"/>
      <c r="AT748" s="84"/>
      <c r="AU748" s="84"/>
      <c r="AV748" s="84"/>
      <c r="AW748" s="84"/>
      <c r="AX748" s="84"/>
      <c r="AY748" s="84"/>
      <c r="AZ748" s="84"/>
    </row>
    <row r="749" ht="15.75" customHeight="1">
      <c r="A749" s="9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5"/>
      <c r="AK749" s="85"/>
      <c r="AL749" s="103"/>
      <c r="AM749" s="104"/>
      <c r="AN749" s="103"/>
      <c r="AO749" s="104"/>
      <c r="AP749" s="103"/>
      <c r="AQ749" s="104"/>
      <c r="AR749" s="84"/>
      <c r="AS749" s="84"/>
      <c r="AT749" s="84"/>
      <c r="AU749" s="84"/>
      <c r="AV749" s="84"/>
      <c r="AW749" s="84"/>
      <c r="AX749" s="84"/>
      <c r="AY749" s="84"/>
      <c r="AZ749" s="84"/>
    </row>
    <row r="750" ht="15.75" customHeight="1">
      <c r="A750" s="9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5"/>
      <c r="AK750" s="85"/>
      <c r="AL750" s="103"/>
      <c r="AM750" s="104"/>
      <c r="AN750" s="103"/>
      <c r="AO750" s="104"/>
      <c r="AP750" s="103"/>
      <c r="AQ750" s="104"/>
      <c r="AR750" s="84"/>
      <c r="AS750" s="84"/>
      <c r="AT750" s="84"/>
      <c r="AU750" s="84"/>
      <c r="AV750" s="84"/>
      <c r="AW750" s="84"/>
      <c r="AX750" s="84"/>
      <c r="AY750" s="84"/>
      <c r="AZ750" s="84"/>
    </row>
    <row r="751" ht="15.75" customHeight="1">
      <c r="A751" s="9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5"/>
      <c r="AK751" s="85"/>
      <c r="AL751" s="103"/>
      <c r="AM751" s="104"/>
      <c r="AN751" s="103"/>
      <c r="AO751" s="104"/>
      <c r="AP751" s="103"/>
      <c r="AQ751" s="104"/>
      <c r="AR751" s="84"/>
      <c r="AS751" s="84"/>
      <c r="AT751" s="84"/>
      <c r="AU751" s="84"/>
      <c r="AV751" s="84"/>
      <c r="AW751" s="84"/>
      <c r="AX751" s="84"/>
      <c r="AY751" s="84"/>
      <c r="AZ751" s="84"/>
    </row>
    <row r="752" ht="15.75" customHeight="1">
      <c r="A752" s="9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5"/>
      <c r="AK752" s="85"/>
      <c r="AL752" s="103"/>
      <c r="AM752" s="104"/>
      <c r="AN752" s="103"/>
      <c r="AO752" s="104"/>
      <c r="AP752" s="103"/>
      <c r="AQ752" s="104"/>
      <c r="AR752" s="84"/>
      <c r="AS752" s="84"/>
      <c r="AT752" s="84"/>
      <c r="AU752" s="84"/>
      <c r="AV752" s="84"/>
      <c r="AW752" s="84"/>
      <c r="AX752" s="84"/>
      <c r="AY752" s="84"/>
      <c r="AZ752" s="84"/>
    </row>
    <row r="753" ht="15.75" customHeight="1">
      <c r="A753" s="9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5"/>
      <c r="AK753" s="85"/>
      <c r="AL753" s="103"/>
      <c r="AM753" s="104"/>
      <c r="AN753" s="103"/>
      <c r="AO753" s="104"/>
      <c r="AP753" s="103"/>
      <c r="AQ753" s="104"/>
      <c r="AR753" s="84"/>
      <c r="AS753" s="84"/>
      <c r="AT753" s="84"/>
      <c r="AU753" s="84"/>
      <c r="AV753" s="84"/>
      <c r="AW753" s="84"/>
      <c r="AX753" s="84"/>
      <c r="AY753" s="84"/>
      <c r="AZ753" s="84"/>
    </row>
    <row r="754" ht="15.75" customHeight="1">
      <c r="A754" s="9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5"/>
      <c r="AK754" s="85"/>
      <c r="AL754" s="103"/>
      <c r="AM754" s="104"/>
      <c r="AN754" s="103"/>
      <c r="AO754" s="104"/>
      <c r="AP754" s="103"/>
      <c r="AQ754" s="104"/>
      <c r="AR754" s="84"/>
      <c r="AS754" s="84"/>
      <c r="AT754" s="84"/>
      <c r="AU754" s="84"/>
      <c r="AV754" s="84"/>
      <c r="AW754" s="84"/>
      <c r="AX754" s="84"/>
      <c r="AY754" s="84"/>
      <c r="AZ754" s="84"/>
    </row>
    <row r="755" ht="15.75" customHeight="1">
      <c r="A755" s="9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5"/>
      <c r="AK755" s="85"/>
      <c r="AL755" s="103"/>
      <c r="AM755" s="104"/>
      <c r="AN755" s="103"/>
      <c r="AO755" s="104"/>
      <c r="AP755" s="103"/>
      <c r="AQ755" s="104"/>
      <c r="AR755" s="84"/>
      <c r="AS755" s="84"/>
      <c r="AT755" s="84"/>
      <c r="AU755" s="84"/>
      <c r="AV755" s="84"/>
      <c r="AW755" s="84"/>
      <c r="AX755" s="84"/>
      <c r="AY755" s="84"/>
      <c r="AZ755" s="84"/>
    </row>
    <row r="756" ht="15.75" customHeight="1">
      <c r="A756" s="9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5"/>
      <c r="AK756" s="85"/>
      <c r="AL756" s="103"/>
      <c r="AM756" s="104"/>
      <c r="AN756" s="103"/>
      <c r="AO756" s="104"/>
      <c r="AP756" s="103"/>
      <c r="AQ756" s="104"/>
      <c r="AR756" s="84"/>
      <c r="AS756" s="84"/>
      <c r="AT756" s="84"/>
      <c r="AU756" s="84"/>
      <c r="AV756" s="84"/>
      <c r="AW756" s="84"/>
      <c r="AX756" s="84"/>
      <c r="AY756" s="84"/>
      <c r="AZ756" s="84"/>
    </row>
    <row r="757" ht="15.75" customHeight="1">
      <c r="A757" s="9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5"/>
      <c r="AK757" s="85"/>
      <c r="AL757" s="103"/>
      <c r="AM757" s="104"/>
      <c r="AN757" s="103"/>
      <c r="AO757" s="104"/>
      <c r="AP757" s="103"/>
      <c r="AQ757" s="104"/>
      <c r="AR757" s="84"/>
      <c r="AS757" s="84"/>
      <c r="AT757" s="84"/>
      <c r="AU757" s="84"/>
      <c r="AV757" s="84"/>
      <c r="AW757" s="84"/>
      <c r="AX757" s="84"/>
      <c r="AY757" s="84"/>
      <c r="AZ757" s="84"/>
    </row>
    <row r="758" ht="15.75" customHeight="1">
      <c r="A758" s="9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5"/>
      <c r="AK758" s="85"/>
      <c r="AL758" s="103"/>
      <c r="AM758" s="104"/>
      <c r="AN758" s="103"/>
      <c r="AO758" s="104"/>
      <c r="AP758" s="103"/>
      <c r="AQ758" s="104"/>
      <c r="AR758" s="84"/>
      <c r="AS758" s="84"/>
      <c r="AT758" s="84"/>
      <c r="AU758" s="84"/>
      <c r="AV758" s="84"/>
      <c r="AW758" s="84"/>
      <c r="AX758" s="84"/>
      <c r="AY758" s="84"/>
      <c r="AZ758" s="84"/>
    </row>
    <row r="759" ht="15.75" customHeight="1">
      <c r="A759" s="9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5"/>
      <c r="AK759" s="85"/>
      <c r="AL759" s="103"/>
      <c r="AM759" s="104"/>
      <c r="AN759" s="103"/>
      <c r="AO759" s="104"/>
      <c r="AP759" s="103"/>
      <c r="AQ759" s="104"/>
      <c r="AR759" s="84"/>
      <c r="AS759" s="84"/>
      <c r="AT759" s="84"/>
      <c r="AU759" s="84"/>
      <c r="AV759" s="84"/>
      <c r="AW759" s="84"/>
      <c r="AX759" s="84"/>
      <c r="AY759" s="84"/>
      <c r="AZ759" s="84"/>
    </row>
    <row r="760" ht="15.75" customHeight="1">
      <c r="A760" s="9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5"/>
      <c r="AK760" s="85"/>
      <c r="AL760" s="103"/>
      <c r="AM760" s="104"/>
      <c r="AN760" s="103"/>
      <c r="AO760" s="104"/>
      <c r="AP760" s="103"/>
      <c r="AQ760" s="104"/>
      <c r="AR760" s="84"/>
      <c r="AS760" s="84"/>
      <c r="AT760" s="84"/>
      <c r="AU760" s="84"/>
      <c r="AV760" s="84"/>
      <c r="AW760" s="84"/>
      <c r="AX760" s="84"/>
      <c r="AY760" s="84"/>
      <c r="AZ760" s="84"/>
    </row>
    <row r="761" ht="15.75" customHeight="1">
      <c r="A761" s="9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5"/>
      <c r="AK761" s="85"/>
      <c r="AL761" s="103"/>
      <c r="AM761" s="104"/>
      <c r="AN761" s="103"/>
      <c r="AO761" s="104"/>
      <c r="AP761" s="103"/>
      <c r="AQ761" s="104"/>
      <c r="AR761" s="84"/>
      <c r="AS761" s="84"/>
      <c r="AT761" s="84"/>
      <c r="AU761" s="84"/>
      <c r="AV761" s="84"/>
      <c r="AW761" s="84"/>
      <c r="AX761" s="84"/>
      <c r="AY761" s="84"/>
      <c r="AZ761" s="84"/>
    </row>
    <row r="762" ht="15.75" customHeight="1">
      <c r="A762" s="9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5"/>
      <c r="AK762" s="85"/>
      <c r="AL762" s="103"/>
      <c r="AM762" s="104"/>
      <c r="AN762" s="103"/>
      <c r="AO762" s="104"/>
      <c r="AP762" s="103"/>
      <c r="AQ762" s="104"/>
      <c r="AR762" s="84"/>
      <c r="AS762" s="84"/>
      <c r="AT762" s="84"/>
      <c r="AU762" s="84"/>
      <c r="AV762" s="84"/>
      <c r="AW762" s="84"/>
      <c r="AX762" s="84"/>
      <c r="AY762" s="84"/>
      <c r="AZ762" s="84"/>
    </row>
    <row r="763" ht="15.75" customHeight="1">
      <c r="A763" s="9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5"/>
      <c r="AK763" s="85"/>
      <c r="AL763" s="103"/>
      <c r="AM763" s="104"/>
      <c r="AN763" s="103"/>
      <c r="AO763" s="104"/>
      <c r="AP763" s="103"/>
      <c r="AQ763" s="104"/>
      <c r="AR763" s="84"/>
      <c r="AS763" s="84"/>
      <c r="AT763" s="84"/>
      <c r="AU763" s="84"/>
      <c r="AV763" s="84"/>
      <c r="AW763" s="84"/>
      <c r="AX763" s="84"/>
      <c r="AY763" s="84"/>
      <c r="AZ763" s="84"/>
    </row>
    <row r="764" ht="15.75" customHeight="1">
      <c r="A764" s="9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5"/>
      <c r="AK764" s="85"/>
      <c r="AL764" s="103"/>
      <c r="AM764" s="104"/>
      <c r="AN764" s="103"/>
      <c r="AO764" s="104"/>
      <c r="AP764" s="103"/>
      <c r="AQ764" s="104"/>
      <c r="AR764" s="84"/>
      <c r="AS764" s="84"/>
      <c r="AT764" s="84"/>
      <c r="AU764" s="84"/>
      <c r="AV764" s="84"/>
      <c r="AW764" s="84"/>
      <c r="AX764" s="84"/>
      <c r="AY764" s="84"/>
      <c r="AZ764" s="84"/>
    </row>
    <row r="765" ht="15.75" customHeight="1">
      <c r="A765" s="9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5"/>
      <c r="AK765" s="85"/>
      <c r="AL765" s="103"/>
      <c r="AM765" s="104"/>
      <c r="AN765" s="103"/>
      <c r="AO765" s="104"/>
      <c r="AP765" s="103"/>
      <c r="AQ765" s="104"/>
      <c r="AR765" s="84"/>
      <c r="AS765" s="84"/>
      <c r="AT765" s="84"/>
      <c r="AU765" s="84"/>
      <c r="AV765" s="84"/>
      <c r="AW765" s="84"/>
      <c r="AX765" s="84"/>
      <c r="AY765" s="84"/>
      <c r="AZ765" s="84"/>
    </row>
    <row r="766" ht="15.75" customHeight="1">
      <c r="A766" s="9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5"/>
      <c r="AK766" s="85"/>
      <c r="AL766" s="103"/>
      <c r="AM766" s="104"/>
      <c r="AN766" s="103"/>
      <c r="AO766" s="104"/>
      <c r="AP766" s="103"/>
      <c r="AQ766" s="104"/>
      <c r="AR766" s="84"/>
      <c r="AS766" s="84"/>
      <c r="AT766" s="84"/>
      <c r="AU766" s="84"/>
      <c r="AV766" s="84"/>
      <c r="AW766" s="84"/>
      <c r="AX766" s="84"/>
      <c r="AY766" s="84"/>
      <c r="AZ766" s="84"/>
    </row>
    <row r="767" ht="15.75" customHeight="1">
      <c r="A767" s="9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5"/>
      <c r="AK767" s="85"/>
      <c r="AL767" s="103"/>
      <c r="AM767" s="104"/>
      <c r="AN767" s="103"/>
      <c r="AO767" s="104"/>
      <c r="AP767" s="103"/>
      <c r="AQ767" s="104"/>
      <c r="AR767" s="84"/>
      <c r="AS767" s="84"/>
      <c r="AT767" s="84"/>
      <c r="AU767" s="84"/>
      <c r="AV767" s="84"/>
      <c r="AW767" s="84"/>
      <c r="AX767" s="84"/>
      <c r="AY767" s="84"/>
      <c r="AZ767" s="84"/>
    </row>
    <row r="768" ht="15.75" customHeight="1">
      <c r="A768" s="9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5"/>
      <c r="AK768" s="85"/>
      <c r="AL768" s="103"/>
      <c r="AM768" s="104"/>
      <c r="AN768" s="103"/>
      <c r="AO768" s="104"/>
      <c r="AP768" s="103"/>
      <c r="AQ768" s="104"/>
      <c r="AR768" s="84"/>
      <c r="AS768" s="84"/>
      <c r="AT768" s="84"/>
      <c r="AU768" s="84"/>
      <c r="AV768" s="84"/>
      <c r="AW768" s="84"/>
      <c r="AX768" s="84"/>
      <c r="AY768" s="84"/>
      <c r="AZ768" s="84"/>
    </row>
    <row r="769" ht="15.75" customHeight="1">
      <c r="A769" s="9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5"/>
      <c r="AK769" s="85"/>
      <c r="AL769" s="103"/>
      <c r="AM769" s="104"/>
      <c r="AN769" s="103"/>
      <c r="AO769" s="104"/>
      <c r="AP769" s="103"/>
      <c r="AQ769" s="104"/>
      <c r="AR769" s="84"/>
      <c r="AS769" s="84"/>
      <c r="AT769" s="84"/>
      <c r="AU769" s="84"/>
      <c r="AV769" s="84"/>
      <c r="AW769" s="84"/>
      <c r="AX769" s="84"/>
      <c r="AY769" s="84"/>
      <c r="AZ769" s="84"/>
    </row>
    <row r="770" ht="15.75" customHeight="1">
      <c r="A770" s="9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5"/>
      <c r="AK770" s="85"/>
      <c r="AL770" s="103"/>
      <c r="AM770" s="104"/>
      <c r="AN770" s="103"/>
      <c r="AO770" s="104"/>
      <c r="AP770" s="103"/>
      <c r="AQ770" s="104"/>
      <c r="AR770" s="84"/>
      <c r="AS770" s="84"/>
      <c r="AT770" s="84"/>
      <c r="AU770" s="84"/>
      <c r="AV770" s="84"/>
      <c r="AW770" s="84"/>
      <c r="AX770" s="84"/>
      <c r="AY770" s="84"/>
      <c r="AZ770" s="84"/>
    </row>
    <row r="771" ht="15.75" customHeight="1">
      <c r="A771" s="9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5"/>
      <c r="AK771" s="85"/>
      <c r="AL771" s="103"/>
      <c r="AM771" s="104"/>
      <c r="AN771" s="103"/>
      <c r="AO771" s="104"/>
      <c r="AP771" s="103"/>
      <c r="AQ771" s="104"/>
      <c r="AR771" s="84"/>
      <c r="AS771" s="84"/>
      <c r="AT771" s="84"/>
      <c r="AU771" s="84"/>
      <c r="AV771" s="84"/>
      <c r="AW771" s="84"/>
      <c r="AX771" s="84"/>
      <c r="AY771" s="84"/>
      <c r="AZ771" s="84"/>
    </row>
    <row r="772" ht="15.75" customHeight="1">
      <c r="A772" s="9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5"/>
      <c r="AK772" s="85"/>
      <c r="AL772" s="103"/>
      <c r="AM772" s="104"/>
      <c r="AN772" s="103"/>
      <c r="AO772" s="104"/>
      <c r="AP772" s="103"/>
      <c r="AQ772" s="104"/>
      <c r="AR772" s="84"/>
      <c r="AS772" s="84"/>
      <c r="AT772" s="84"/>
      <c r="AU772" s="84"/>
      <c r="AV772" s="84"/>
      <c r="AW772" s="84"/>
      <c r="AX772" s="84"/>
      <c r="AY772" s="84"/>
      <c r="AZ772" s="84"/>
    </row>
    <row r="773" ht="15.75" customHeight="1">
      <c r="A773" s="9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5"/>
      <c r="AK773" s="85"/>
      <c r="AL773" s="103"/>
      <c r="AM773" s="104"/>
      <c r="AN773" s="103"/>
      <c r="AO773" s="104"/>
      <c r="AP773" s="103"/>
      <c r="AQ773" s="104"/>
      <c r="AR773" s="84"/>
      <c r="AS773" s="84"/>
      <c r="AT773" s="84"/>
      <c r="AU773" s="84"/>
      <c r="AV773" s="84"/>
      <c r="AW773" s="84"/>
      <c r="AX773" s="84"/>
      <c r="AY773" s="84"/>
      <c r="AZ773" s="84"/>
    </row>
    <row r="774" ht="15.75" customHeight="1">
      <c r="A774" s="9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5"/>
      <c r="AK774" s="85"/>
      <c r="AL774" s="103"/>
      <c r="AM774" s="104"/>
      <c r="AN774" s="103"/>
      <c r="AO774" s="104"/>
      <c r="AP774" s="103"/>
      <c r="AQ774" s="104"/>
      <c r="AR774" s="84"/>
      <c r="AS774" s="84"/>
      <c r="AT774" s="84"/>
      <c r="AU774" s="84"/>
      <c r="AV774" s="84"/>
      <c r="AW774" s="84"/>
      <c r="AX774" s="84"/>
      <c r="AY774" s="84"/>
      <c r="AZ774" s="84"/>
    </row>
    <row r="775" ht="15.75" customHeight="1">
      <c r="A775" s="9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5"/>
      <c r="AK775" s="85"/>
      <c r="AL775" s="103"/>
      <c r="AM775" s="104"/>
      <c r="AN775" s="103"/>
      <c r="AO775" s="104"/>
      <c r="AP775" s="103"/>
      <c r="AQ775" s="104"/>
      <c r="AR775" s="84"/>
      <c r="AS775" s="84"/>
      <c r="AT775" s="84"/>
      <c r="AU775" s="84"/>
      <c r="AV775" s="84"/>
      <c r="AW775" s="84"/>
      <c r="AX775" s="84"/>
      <c r="AY775" s="84"/>
      <c r="AZ775" s="84"/>
    </row>
    <row r="776" ht="15.75" customHeight="1">
      <c r="A776" s="9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5"/>
      <c r="AK776" s="85"/>
      <c r="AL776" s="103"/>
      <c r="AM776" s="104"/>
      <c r="AN776" s="103"/>
      <c r="AO776" s="104"/>
      <c r="AP776" s="103"/>
      <c r="AQ776" s="104"/>
      <c r="AR776" s="84"/>
      <c r="AS776" s="84"/>
      <c r="AT776" s="84"/>
      <c r="AU776" s="84"/>
      <c r="AV776" s="84"/>
      <c r="AW776" s="84"/>
      <c r="AX776" s="84"/>
      <c r="AY776" s="84"/>
      <c r="AZ776" s="84"/>
    </row>
    <row r="777" ht="15.75" customHeight="1">
      <c r="A777" s="9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5"/>
      <c r="AK777" s="85"/>
      <c r="AL777" s="103"/>
      <c r="AM777" s="104"/>
      <c r="AN777" s="103"/>
      <c r="AO777" s="104"/>
      <c r="AP777" s="103"/>
      <c r="AQ777" s="104"/>
      <c r="AR777" s="84"/>
      <c r="AS777" s="84"/>
      <c r="AT777" s="84"/>
      <c r="AU777" s="84"/>
      <c r="AV777" s="84"/>
      <c r="AW777" s="84"/>
      <c r="AX777" s="84"/>
      <c r="AY777" s="84"/>
      <c r="AZ777" s="84"/>
    </row>
    <row r="778" ht="15.75" customHeight="1">
      <c r="A778" s="9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5"/>
      <c r="AK778" s="85"/>
      <c r="AL778" s="103"/>
      <c r="AM778" s="104"/>
      <c r="AN778" s="103"/>
      <c r="AO778" s="104"/>
      <c r="AP778" s="103"/>
      <c r="AQ778" s="104"/>
      <c r="AR778" s="84"/>
      <c r="AS778" s="84"/>
      <c r="AT778" s="84"/>
      <c r="AU778" s="84"/>
      <c r="AV778" s="84"/>
      <c r="AW778" s="84"/>
      <c r="AX778" s="84"/>
      <c r="AY778" s="84"/>
      <c r="AZ778" s="84"/>
    </row>
    <row r="779" ht="15.75" customHeight="1">
      <c r="A779" s="9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5"/>
      <c r="AK779" s="85"/>
      <c r="AL779" s="103"/>
      <c r="AM779" s="104"/>
      <c r="AN779" s="103"/>
      <c r="AO779" s="104"/>
      <c r="AP779" s="103"/>
      <c r="AQ779" s="104"/>
      <c r="AR779" s="84"/>
      <c r="AS779" s="84"/>
      <c r="AT779" s="84"/>
      <c r="AU779" s="84"/>
      <c r="AV779" s="84"/>
      <c r="AW779" s="84"/>
      <c r="AX779" s="84"/>
      <c r="AY779" s="84"/>
      <c r="AZ779" s="84"/>
    </row>
    <row r="780" ht="15.75" customHeight="1">
      <c r="A780" s="9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5"/>
      <c r="AK780" s="85"/>
      <c r="AL780" s="103"/>
      <c r="AM780" s="104"/>
      <c r="AN780" s="103"/>
      <c r="AO780" s="104"/>
      <c r="AP780" s="103"/>
      <c r="AQ780" s="104"/>
      <c r="AR780" s="84"/>
      <c r="AS780" s="84"/>
      <c r="AT780" s="84"/>
      <c r="AU780" s="84"/>
      <c r="AV780" s="84"/>
      <c r="AW780" s="84"/>
      <c r="AX780" s="84"/>
      <c r="AY780" s="84"/>
      <c r="AZ780" s="84"/>
    </row>
    <row r="781" ht="15.75" customHeight="1">
      <c r="A781" s="9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5"/>
      <c r="AK781" s="85"/>
      <c r="AL781" s="103"/>
      <c r="AM781" s="104"/>
      <c r="AN781" s="103"/>
      <c r="AO781" s="104"/>
      <c r="AP781" s="103"/>
      <c r="AQ781" s="104"/>
      <c r="AR781" s="84"/>
      <c r="AS781" s="84"/>
      <c r="AT781" s="84"/>
      <c r="AU781" s="84"/>
      <c r="AV781" s="84"/>
      <c r="AW781" s="84"/>
      <c r="AX781" s="84"/>
      <c r="AY781" s="84"/>
      <c r="AZ781" s="84"/>
    </row>
    <row r="782" ht="15.75" customHeight="1">
      <c r="A782" s="9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5"/>
      <c r="AK782" s="85"/>
      <c r="AL782" s="103"/>
      <c r="AM782" s="104"/>
      <c r="AN782" s="103"/>
      <c r="AO782" s="104"/>
      <c r="AP782" s="103"/>
      <c r="AQ782" s="104"/>
      <c r="AR782" s="84"/>
      <c r="AS782" s="84"/>
      <c r="AT782" s="84"/>
      <c r="AU782" s="84"/>
      <c r="AV782" s="84"/>
      <c r="AW782" s="84"/>
      <c r="AX782" s="84"/>
      <c r="AY782" s="84"/>
      <c r="AZ782" s="84"/>
    </row>
    <row r="783" ht="15.75" customHeight="1">
      <c r="A783" s="9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5"/>
      <c r="AK783" s="85"/>
      <c r="AL783" s="103"/>
      <c r="AM783" s="104"/>
      <c r="AN783" s="103"/>
      <c r="AO783" s="104"/>
      <c r="AP783" s="103"/>
      <c r="AQ783" s="104"/>
      <c r="AR783" s="84"/>
      <c r="AS783" s="84"/>
      <c r="AT783" s="84"/>
      <c r="AU783" s="84"/>
      <c r="AV783" s="84"/>
      <c r="AW783" s="84"/>
      <c r="AX783" s="84"/>
      <c r="AY783" s="84"/>
      <c r="AZ783" s="84"/>
    </row>
    <row r="784" ht="15.75" customHeight="1">
      <c r="A784" s="9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5"/>
      <c r="AK784" s="85"/>
      <c r="AL784" s="103"/>
      <c r="AM784" s="104"/>
      <c r="AN784" s="103"/>
      <c r="AO784" s="104"/>
      <c r="AP784" s="103"/>
      <c r="AQ784" s="104"/>
      <c r="AR784" s="84"/>
      <c r="AS784" s="84"/>
      <c r="AT784" s="84"/>
      <c r="AU784" s="84"/>
      <c r="AV784" s="84"/>
      <c r="AW784" s="84"/>
      <c r="AX784" s="84"/>
      <c r="AY784" s="84"/>
      <c r="AZ784" s="84"/>
    </row>
    <row r="785" ht="15.75" customHeight="1">
      <c r="A785" s="9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5"/>
      <c r="AK785" s="85"/>
      <c r="AL785" s="103"/>
      <c r="AM785" s="104"/>
      <c r="AN785" s="103"/>
      <c r="AO785" s="104"/>
      <c r="AP785" s="103"/>
      <c r="AQ785" s="104"/>
      <c r="AR785" s="84"/>
      <c r="AS785" s="84"/>
      <c r="AT785" s="84"/>
      <c r="AU785" s="84"/>
      <c r="AV785" s="84"/>
      <c r="AW785" s="84"/>
      <c r="AX785" s="84"/>
      <c r="AY785" s="84"/>
      <c r="AZ785" s="84"/>
    </row>
    <row r="786" ht="15.75" customHeight="1">
      <c r="A786" s="9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5"/>
      <c r="AK786" s="85"/>
      <c r="AL786" s="103"/>
      <c r="AM786" s="104"/>
      <c r="AN786" s="103"/>
      <c r="AO786" s="104"/>
      <c r="AP786" s="103"/>
      <c r="AQ786" s="104"/>
      <c r="AR786" s="84"/>
      <c r="AS786" s="84"/>
      <c r="AT786" s="84"/>
      <c r="AU786" s="84"/>
      <c r="AV786" s="84"/>
      <c r="AW786" s="84"/>
      <c r="AX786" s="84"/>
      <c r="AY786" s="84"/>
      <c r="AZ786" s="84"/>
    </row>
    <row r="787" ht="15.75" customHeight="1">
      <c r="A787" s="9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5"/>
      <c r="AK787" s="85"/>
      <c r="AL787" s="103"/>
      <c r="AM787" s="104"/>
      <c r="AN787" s="103"/>
      <c r="AO787" s="104"/>
      <c r="AP787" s="103"/>
      <c r="AQ787" s="104"/>
      <c r="AR787" s="84"/>
      <c r="AS787" s="84"/>
      <c r="AT787" s="84"/>
      <c r="AU787" s="84"/>
      <c r="AV787" s="84"/>
      <c r="AW787" s="84"/>
      <c r="AX787" s="84"/>
      <c r="AY787" s="84"/>
      <c r="AZ787" s="84"/>
    </row>
    <row r="788" ht="15.75" customHeight="1">
      <c r="A788" s="9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5"/>
      <c r="AK788" s="85"/>
      <c r="AL788" s="103"/>
      <c r="AM788" s="104"/>
      <c r="AN788" s="103"/>
      <c r="AO788" s="104"/>
      <c r="AP788" s="103"/>
      <c r="AQ788" s="104"/>
      <c r="AR788" s="84"/>
      <c r="AS788" s="84"/>
      <c r="AT788" s="84"/>
      <c r="AU788" s="84"/>
      <c r="AV788" s="84"/>
      <c r="AW788" s="84"/>
      <c r="AX788" s="84"/>
      <c r="AY788" s="84"/>
      <c r="AZ788" s="84"/>
    </row>
    <row r="789" ht="15.75" customHeight="1">
      <c r="A789" s="9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5"/>
      <c r="AK789" s="85"/>
      <c r="AL789" s="103"/>
      <c r="AM789" s="104"/>
      <c r="AN789" s="103"/>
      <c r="AO789" s="104"/>
      <c r="AP789" s="103"/>
      <c r="AQ789" s="104"/>
      <c r="AR789" s="84"/>
      <c r="AS789" s="84"/>
      <c r="AT789" s="84"/>
      <c r="AU789" s="84"/>
      <c r="AV789" s="84"/>
      <c r="AW789" s="84"/>
      <c r="AX789" s="84"/>
      <c r="AY789" s="84"/>
      <c r="AZ789" s="84"/>
    </row>
    <row r="790" ht="15.75" customHeight="1">
      <c r="A790" s="9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5"/>
      <c r="AK790" s="85"/>
      <c r="AL790" s="103"/>
      <c r="AM790" s="104"/>
      <c r="AN790" s="103"/>
      <c r="AO790" s="104"/>
      <c r="AP790" s="103"/>
      <c r="AQ790" s="104"/>
      <c r="AR790" s="84"/>
      <c r="AS790" s="84"/>
      <c r="AT790" s="84"/>
      <c r="AU790" s="84"/>
      <c r="AV790" s="84"/>
      <c r="AW790" s="84"/>
      <c r="AX790" s="84"/>
      <c r="AY790" s="84"/>
      <c r="AZ790" s="84"/>
    </row>
    <row r="791" ht="15.75" customHeight="1">
      <c r="A791" s="9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5"/>
      <c r="AK791" s="85"/>
      <c r="AL791" s="103"/>
      <c r="AM791" s="104"/>
      <c r="AN791" s="103"/>
      <c r="AO791" s="104"/>
      <c r="AP791" s="103"/>
      <c r="AQ791" s="104"/>
      <c r="AR791" s="84"/>
      <c r="AS791" s="84"/>
      <c r="AT791" s="84"/>
      <c r="AU791" s="84"/>
      <c r="AV791" s="84"/>
      <c r="AW791" s="84"/>
      <c r="AX791" s="84"/>
      <c r="AY791" s="84"/>
      <c r="AZ791" s="84"/>
    </row>
    <row r="792" ht="15.75" customHeight="1">
      <c r="A792" s="9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5"/>
      <c r="AK792" s="85"/>
      <c r="AL792" s="103"/>
      <c r="AM792" s="104"/>
      <c r="AN792" s="103"/>
      <c r="AO792" s="104"/>
      <c r="AP792" s="103"/>
      <c r="AQ792" s="104"/>
      <c r="AR792" s="84"/>
      <c r="AS792" s="84"/>
      <c r="AT792" s="84"/>
      <c r="AU792" s="84"/>
      <c r="AV792" s="84"/>
      <c r="AW792" s="84"/>
      <c r="AX792" s="84"/>
      <c r="AY792" s="84"/>
      <c r="AZ792" s="84"/>
    </row>
    <row r="793" ht="15.75" customHeight="1">
      <c r="A793" s="9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5"/>
      <c r="AK793" s="85"/>
      <c r="AL793" s="103"/>
      <c r="AM793" s="104"/>
      <c r="AN793" s="103"/>
      <c r="AO793" s="104"/>
      <c r="AP793" s="103"/>
      <c r="AQ793" s="104"/>
      <c r="AR793" s="84"/>
      <c r="AS793" s="84"/>
      <c r="AT793" s="84"/>
      <c r="AU793" s="84"/>
      <c r="AV793" s="84"/>
      <c r="AW793" s="84"/>
      <c r="AX793" s="84"/>
      <c r="AY793" s="84"/>
      <c r="AZ793" s="84"/>
    </row>
    <row r="794" ht="15.75" customHeight="1">
      <c r="A794" s="9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5"/>
      <c r="AK794" s="85"/>
      <c r="AL794" s="103"/>
      <c r="AM794" s="104"/>
      <c r="AN794" s="103"/>
      <c r="AO794" s="104"/>
      <c r="AP794" s="103"/>
      <c r="AQ794" s="104"/>
      <c r="AR794" s="84"/>
      <c r="AS794" s="84"/>
      <c r="AT794" s="84"/>
      <c r="AU794" s="84"/>
      <c r="AV794" s="84"/>
      <c r="AW794" s="84"/>
      <c r="AX794" s="84"/>
      <c r="AY794" s="84"/>
      <c r="AZ794" s="84"/>
    </row>
    <row r="795" ht="15.75" customHeight="1">
      <c r="A795" s="9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5"/>
      <c r="AK795" s="85"/>
      <c r="AL795" s="103"/>
      <c r="AM795" s="104"/>
      <c r="AN795" s="103"/>
      <c r="AO795" s="104"/>
      <c r="AP795" s="103"/>
      <c r="AQ795" s="104"/>
      <c r="AR795" s="84"/>
      <c r="AS795" s="84"/>
      <c r="AT795" s="84"/>
      <c r="AU795" s="84"/>
      <c r="AV795" s="84"/>
      <c r="AW795" s="84"/>
      <c r="AX795" s="84"/>
      <c r="AY795" s="84"/>
      <c r="AZ795" s="84"/>
    </row>
    <row r="796" ht="15.75" customHeight="1">
      <c r="A796" s="9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5"/>
      <c r="AK796" s="85"/>
      <c r="AL796" s="103"/>
      <c r="AM796" s="104"/>
      <c r="AN796" s="103"/>
      <c r="AO796" s="104"/>
      <c r="AP796" s="103"/>
      <c r="AQ796" s="104"/>
      <c r="AR796" s="84"/>
      <c r="AS796" s="84"/>
      <c r="AT796" s="84"/>
      <c r="AU796" s="84"/>
      <c r="AV796" s="84"/>
      <c r="AW796" s="84"/>
      <c r="AX796" s="84"/>
      <c r="AY796" s="84"/>
      <c r="AZ796" s="84"/>
    </row>
    <row r="797" ht="15.75" customHeight="1">
      <c r="A797" s="9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5"/>
      <c r="AK797" s="85"/>
      <c r="AL797" s="103"/>
      <c r="AM797" s="104"/>
      <c r="AN797" s="103"/>
      <c r="AO797" s="104"/>
      <c r="AP797" s="103"/>
      <c r="AQ797" s="104"/>
      <c r="AR797" s="84"/>
      <c r="AS797" s="84"/>
      <c r="AT797" s="84"/>
      <c r="AU797" s="84"/>
      <c r="AV797" s="84"/>
      <c r="AW797" s="84"/>
      <c r="AX797" s="84"/>
      <c r="AY797" s="84"/>
      <c r="AZ797" s="84"/>
    </row>
    <row r="798" ht="15.75" customHeight="1">
      <c r="A798" s="9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5"/>
      <c r="AK798" s="85"/>
      <c r="AL798" s="103"/>
      <c r="AM798" s="104"/>
      <c r="AN798" s="103"/>
      <c r="AO798" s="104"/>
      <c r="AP798" s="103"/>
      <c r="AQ798" s="104"/>
      <c r="AR798" s="84"/>
      <c r="AS798" s="84"/>
      <c r="AT798" s="84"/>
      <c r="AU798" s="84"/>
      <c r="AV798" s="84"/>
      <c r="AW798" s="84"/>
      <c r="AX798" s="84"/>
      <c r="AY798" s="84"/>
      <c r="AZ798" s="84"/>
    </row>
    <row r="799" ht="15.75" customHeight="1">
      <c r="A799" s="9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5"/>
      <c r="AK799" s="85"/>
      <c r="AL799" s="103"/>
      <c r="AM799" s="104"/>
      <c r="AN799" s="103"/>
      <c r="AO799" s="104"/>
      <c r="AP799" s="103"/>
      <c r="AQ799" s="104"/>
      <c r="AR799" s="84"/>
      <c r="AS799" s="84"/>
      <c r="AT799" s="84"/>
      <c r="AU799" s="84"/>
      <c r="AV799" s="84"/>
      <c r="AW799" s="84"/>
      <c r="AX799" s="84"/>
      <c r="AY799" s="84"/>
      <c r="AZ799" s="84"/>
    </row>
    <row r="800" ht="15.75" customHeight="1">
      <c r="A800" s="9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5"/>
      <c r="AK800" s="85"/>
      <c r="AL800" s="103"/>
      <c r="AM800" s="104"/>
      <c r="AN800" s="103"/>
      <c r="AO800" s="104"/>
      <c r="AP800" s="103"/>
      <c r="AQ800" s="104"/>
      <c r="AR800" s="84"/>
      <c r="AS800" s="84"/>
      <c r="AT800" s="84"/>
      <c r="AU800" s="84"/>
      <c r="AV800" s="84"/>
      <c r="AW800" s="84"/>
      <c r="AX800" s="84"/>
      <c r="AY800" s="84"/>
      <c r="AZ800" s="84"/>
    </row>
    <row r="801" ht="15.75" customHeight="1">
      <c r="A801" s="9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5"/>
      <c r="AK801" s="85"/>
      <c r="AL801" s="103"/>
      <c r="AM801" s="104"/>
      <c r="AN801" s="103"/>
      <c r="AO801" s="104"/>
      <c r="AP801" s="103"/>
      <c r="AQ801" s="104"/>
      <c r="AR801" s="84"/>
      <c r="AS801" s="84"/>
      <c r="AT801" s="84"/>
      <c r="AU801" s="84"/>
      <c r="AV801" s="84"/>
      <c r="AW801" s="84"/>
      <c r="AX801" s="84"/>
      <c r="AY801" s="84"/>
      <c r="AZ801" s="84"/>
    </row>
    <row r="802" ht="15.75" customHeight="1">
      <c r="A802" s="9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5"/>
      <c r="AK802" s="85"/>
      <c r="AL802" s="103"/>
      <c r="AM802" s="104"/>
      <c r="AN802" s="103"/>
      <c r="AO802" s="104"/>
      <c r="AP802" s="103"/>
      <c r="AQ802" s="104"/>
      <c r="AR802" s="84"/>
      <c r="AS802" s="84"/>
      <c r="AT802" s="84"/>
      <c r="AU802" s="84"/>
      <c r="AV802" s="84"/>
      <c r="AW802" s="84"/>
      <c r="AX802" s="84"/>
      <c r="AY802" s="84"/>
      <c r="AZ802" s="84"/>
    </row>
    <row r="803" ht="15.75" customHeight="1">
      <c r="A803" s="9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5"/>
      <c r="AK803" s="85"/>
      <c r="AL803" s="103"/>
      <c r="AM803" s="104"/>
      <c r="AN803" s="103"/>
      <c r="AO803" s="104"/>
      <c r="AP803" s="103"/>
      <c r="AQ803" s="104"/>
      <c r="AR803" s="84"/>
      <c r="AS803" s="84"/>
      <c r="AT803" s="84"/>
      <c r="AU803" s="84"/>
      <c r="AV803" s="84"/>
      <c r="AW803" s="84"/>
      <c r="AX803" s="84"/>
      <c r="AY803" s="84"/>
      <c r="AZ803" s="84"/>
    </row>
    <row r="804" ht="15.75" customHeight="1">
      <c r="A804" s="9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5"/>
      <c r="AK804" s="85"/>
      <c r="AL804" s="103"/>
      <c r="AM804" s="104"/>
      <c r="AN804" s="103"/>
      <c r="AO804" s="104"/>
      <c r="AP804" s="103"/>
      <c r="AQ804" s="104"/>
      <c r="AR804" s="84"/>
      <c r="AS804" s="84"/>
      <c r="AT804" s="84"/>
      <c r="AU804" s="84"/>
      <c r="AV804" s="84"/>
      <c r="AW804" s="84"/>
      <c r="AX804" s="84"/>
      <c r="AY804" s="84"/>
      <c r="AZ804" s="84"/>
    </row>
    <row r="805" ht="15.75" customHeight="1">
      <c r="A805" s="9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5"/>
      <c r="AK805" s="85"/>
      <c r="AL805" s="103"/>
      <c r="AM805" s="104"/>
      <c r="AN805" s="103"/>
      <c r="AO805" s="104"/>
      <c r="AP805" s="103"/>
      <c r="AQ805" s="104"/>
      <c r="AR805" s="84"/>
      <c r="AS805" s="84"/>
      <c r="AT805" s="84"/>
      <c r="AU805" s="84"/>
      <c r="AV805" s="84"/>
      <c r="AW805" s="84"/>
      <c r="AX805" s="84"/>
      <c r="AY805" s="84"/>
      <c r="AZ805" s="84"/>
    </row>
    <row r="806" ht="15.75" customHeight="1">
      <c r="A806" s="9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5"/>
      <c r="AK806" s="85"/>
      <c r="AL806" s="103"/>
      <c r="AM806" s="104"/>
      <c r="AN806" s="103"/>
      <c r="AO806" s="104"/>
      <c r="AP806" s="103"/>
      <c r="AQ806" s="104"/>
      <c r="AR806" s="84"/>
      <c r="AS806" s="84"/>
      <c r="AT806" s="84"/>
      <c r="AU806" s="84"/>
      <c r="AV806" s="84"/>
      <c r="AW806" s="84"/>
      <c r="AX806" s="84"/>
      <c r="AY806" s="84"/>
      <c r="AZ806" s="84"/>
    </row>
    <row r="807" ht="15.75" customHeight="1">
      <c r="A807" s="9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5"/>
      <c r="AK807" s="85"/>
      <c r="AL807" s="103"/>
      <c r="AM807" s="104"/>
      <c r="AN807" s="103"/>
      <c r="AO807" s="104"/>
      <c r="AP807" s="103"/>
      <c r="AQ807" s="104"/>
      <c r="AR807" s="84"/>
      <c r="AS807" s="84"/>
      <c r="AT807" s="84"/>
      <c r="AU807" s="84"/>
      <c r="AV807" s="84"/>
      <c r="AW807" s="84"/>
      <c r="AX807" s="84"/>
      <c r="AY807" s="84"/>
      <c r="AZ807" s="84"/>
    </row>
    <row r="808" ht="15.75" customHeight="1">
      <c r="A808" s="9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5"/>
      <c r="AK808" s="85"/>
      <c r="AL808" s="103"/>
      <c r="AM808" s="104"/>
      <c r="AN808" s="103"/>
      <c r="AO808" s="104"/>
      <c r="AP808" s="103"/>
      <c r="AQ808" s="104"/>
      <c r="AR808" s="84"/>
      <c r="AS808" s="84"/>
      <c r="AT808" s="84"/>
      <c r="AU808" s="84"/>
      <c r="AV808" s="84"/>
      <c r="AW808" s="84"/>
      <c r="AX808" s="84"/>
      <c r="AY808" s="84"/>
      <c r="AZ808" s="84"/>
    </row>
    <row r="809" ht="15.75" customHeight="1">
      <c r="A809" s="9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5"/>
      <c r="AK809" s="85"/>
      <c r="AL809" s="103"/>
      <c r="AM809" s="104"/>
      <c r="AN809" s="103"/>
      <c r="AO809" s="104"/>
      <c r="AP809" s="103"/>
      <c r="AQ809" s="104"/>
      <c r="AR809" s="84"/>
      <c r="AS809" s="84"/>
      <c r="AT809" s="84"/>
      <c r="AU809" s="84"/>
      <c r="AV809" s="84"/>
      <c r="AW809" s="84"/>
      <c r="AX809" s="84"/>
      <c r="AY809" s="84"/>
      <c r="AZ809" s="84"/>
    </row>
    <row r="810" ht="15.75" customHeight="1">
      <c r="A810" s="9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5"/>
      <c r="AK810" s="85"/>
      <c r="AL810" s="103"/>
      <c r="AM810" s="104"/>
      <c r="AN810" s="103"/>
      <c r="AO810" s="104"/>
      <c r="AP810" s="103"/>
      <c r="AQ810" s="104"/>
      <c r="AR810" s="84"/>
      <c r="AS810" s="84"/>
      <c r="AT810" s="84"/>
      <c r="AU810" s="84"/>
      <c r="AV810" s="84"/>
      <c r="AW810" s="84"/>
      <c r="AX810" s="84"/>
      <c r="AY810" s="84"/>
      <c r="AZ810" s="84"/>
    </row>
    <row r="811" ht="15.75" customHeight="1">
      <c r="A811" s="9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5"/>
      <c r="AK811" s="85"/>
      <c r="AL811" s="103"/>
      <c r="AM811" s="104"/>
      <c r="AN811" s="103"/>
      <c r="AO811" s="104"/>
      <c r="AP811" s="103"/>
      <c r="AQ811" s="104"/>
      <c r="AR811" s="84"/>
      <c r="AS811" s="84"/>
      <c r="AT811" s="84"/>
      <c r="AU811" s="84"/>
      <c r="AV811" s="84"/>
      <c r="AW811" s="84"/>
      <c r="AX811" s="84"/>
      <c r="AY811" s="84"/>
      <c r="AZ811" s="84"/>
    </row>
    <row r="812" ht="15.75" customHeight="1">
      <c r="A812" s="9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5"/>
      <c r="AK812" s="85"/>
      <c r="AL812" s="103"/>
      <c r="AM812" s="104"/>
      <c r="AN812" s="103"/>
      <c r="AO812" s="104"/>
      <c r="AP812" s="103"/>
      <c r="AQ812" s="104"/>
      <c r="AR812" s="84"/>
      <c r="AS812" s="84"/>
      <c r="AT812" s="84"/>
      <c r="AU812" s="84"/>
      <c r="AV812" s="84"/>
      <c r="AW812" s="84"/>
      <c r="AX812" s="84"/>
      <c r="AY812" s="84"/>
      <c r="AZ812" s="84"/>
    </row>
    <row r="813" ht="15.75" customHeight="1">
      <c r="A813" s="9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5"/>
      <c r="AK813" s="85"/>
      <c r="AL813" s="103"/>
      <c r="AM813" s="104"/>
      <c r="AN813" s="103"/>
      <c r="AO813" s="104"/>
      <c r="AP813" s="103"/>
      <c r="AQ813" s="104"/>
      <c r="AR813" s="84"/>
      <c r="AS813" s="84"/>
      <c r="AT813" s="84"/>
      <c r="AU813" s="84"/>
      <c r="AV813" s="84"/>
      <c r="AW813" s="84"/>
      <c r="AX813" s="84"/>
      <c r="AY813" s="84"/>
      <c r="AZ813" s="84"/>
    </row>
    <row r="814" ht="15.75" customHeight="1">
      <c r="A814" s="9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5"/>
      <c r="AK814" s="85"/>
      <c r="AL814" s="103"/>
      <c r="AM814" s="104"/>
      <c r="AN814" s="103"/>
      <c r="AO814" s="104"/>
      <c r="AP814" s="103"/>
      <c r="AQ814" s="104"/>
      <c r="AR814" s="84"/>
      <c r="AS814" s="84"/>
      <c r="AT814" s="84"/>
      <c r="AU814" s="84"/>
      <c r="AV814" s="84"/>
      <c r="AW814" s="84"/>
      <c r="AX814" s="84"/>
      <c r="AY814" s="84"/>
      <c r="AZ814" s="84"/>
    </row>
    <row r="815" ht="15.75" customHeight="1">
      <c r="A815" s="9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5"/>
      <c r="AK815" s="85"/>
      <c r="AL815" s="103"/>
      <c r="AM815" s="104"/>
      <c r="AN815" s="103"/>
      <c r="AO815" s="104"/>
      <c r="AP815" s="103"/>
      <c r="AQ815" s="104"/>
      <c r="AR815" s="84"/>
      <c r="AS815" s="84"/>
      <c r="AT815" s="84"/>
      <c r="AU815" s="84"/>
      <c r="AV815" s="84"/>
      <c r="AW815" s="84"/>
      <c r="AX815" s="84"/>
      <c r="AY815" s="84"/>
      <c r="AZ815" s="84"/>
    </row>
    <row r="816" ht="15.75" customHeight="1">
      <c r="A816" s="9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5"/>
      <c r="AK816" s="85"/>
      <c r="AL816" s="103"/>
      <c r="AM816" s="104"/>
      <c r="AN816" s="103"/>
      <c r="AO816" s="104"/>
      <c r="AP816" s="103"/>
      <c r="AQ816" s="104"/>
      <c r="AR816" s="84"/>
      <c r="AS816" s="84"/>
      <c r="AT816" s="84"/>
      <c r="AU816" s="84"/>
      <c r="AV816" s="84"/>
      <c r="AW816" s="84"/>
      <c r="AX816" s="84"/>
      <c r="AY816" s="84"/>
      <c r="AZ816" s="84"/>
    </row>
    <row r="817" ht="15.75" customHeight="1">
      <c r="A817" s="9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5"/>
      <c r="AK817" s="85"/>
      <c r="AL817" s="103"/>
      <c r="AM817" s="104"/>
      <c r="AN817" s="103"/>
      <c r="AO817" s="104"/>
      <c r="AP817" s="103"/>
      <c r="AQ817" s="104"/>
      <c r="AR817" s="84"/>
      <c r="AS817" s="84"/>
      <c r="AT817" s="84"/>
      <c r="AU817" s="84"/>
      <c r="AV817" s="84"/>
      <c r="AW817" s="84"/>
      <c r="AX817" s="84"/>
      <c r="AY817" s="84"/>
      <c r="AZ817" s="84"/>
    </row>
    <row r="818" ht="15.75" customHeight="1">
      <c r="A818" s="9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5"/>
      <c r="AK818" s="85"/>
      <c r="AL818" s="103"/>
      <c r="AM818" s="104"/>
      <c r="AN818" s="103"/>
      <c r="AO818" s="104"/>
      <c r="AP818" s="103"/>
      <c r="AQ818" s="104"/>
      <c r="AR818" s="84"/>
      <c r="AS818" s="84"/>
      <c r="AT818" s="84"/>
      <c r="AU818" s="84"/>
      <c r="AV818" s="84"/>
      <c r="AW818" s="84"/>
      <c r="AX818" s="84"/>
      <c r="AY818" s="84"/>
      <c r="AZ818" s="84"/>
    </row>
    <row r="819" ht="15.75" customHeight="1">
      <c r="A819" s="9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5"/>
      <c r="AK819" s="85"/>
      <c r="AL819" s="103"/>
      <c r="AM819" s="104"/>
      <c r="AN819" s="103"/>
      <c r="AO819" s="104"/>
      <c r="AP819" s="103"/>
      <c r="AQ819" s="104"/>
      <c r="AR819" s="84"/>
      <c r="AS819" s="84"/>
      <c r="AT819" s="84"/>
      <c r="AU819" s="84"/>
      <c r="AV819" s="84"/>
      <c r="AW819" s="84"/>
      <c r="AX819" s="84"/>
      <c r="AY819" s="84"/>
      <c r="AZ819" s="84"/>
    </row>
    <row r="820" ht="15.75" customHeight="1">
      <c r="A820" s="9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5"/>
      <c r="AK820" s="85"/>
      <c r="AL820" s="103"/>
      <c r="AM820" s="104"/>
      <c r="AN820" s="103"/>
      <c r="AO820" s="104"/>
      <c r="AP820" s="103"/>
      <c r="AQ820" s="104"/>
      <c r="AR820" s="84"/>
      <c r="AS820" s="84"/>
      <c r="AT820" s="84"/>
      <c r="AU820" s="84"/>
      <c r="AV820" s="84"/>
      <c r="AW820" s="84"/>
      <c r="AX820" s="84"/>
      <c r="AY820" s="84"/>
      <c r="AZ820" s="84"/>
    </row>
    <row r="821" ht="15.75" customHeight="1">
      <c r="A821" s="9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5"/>
      <c r="AK821" s="85"/>
      <c r="AL821" s="103"/>
      <c r="AM821" s="104"/>
      <c r="AN821" s="103"/>
      <c r="AO821" s="104"/>
      <c r="AP821" s="103"/>
      <c r="AQ821" s="104"/>
      <c r="AR821" s="84"/>
      <c r="AS821" s="84"/>
      <c r="AT821" s="84"/>
      <c r="AU821" s="84"/>
      <c r="AV821" s="84"/>
      <c r="AW821" s="84"/>
      <c r="AX821" s="84"/>
      <c r="AY821" s="84"/>
      <c r="AZ821" s="84"/>
    </row>
    <row r="822" ht="15.75" customHeight="1">
      <c r="A822" s="9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5"/>
      <c r="AK822" s="85"/>
      <c r="AL822" s="103"/>
      <c r="AM822" s="104"/>
      <c r="AN822" s="103"/>
      <c r="AO822" s="104"/>
      <c r="AP822" s="103"/>
      <c r="AQ822" s="104"/>
      <c r="AR822" s="84"/>
      <c r="AS822" s="84"/>
      <c r="AT822" s="84"/>
      <c r="AU822" s="84"/>
      <c r="AV822" s="84"/>
      <c r="AW822" s="84"/>
      <c r="AX822" s="84"/>
      <c r="AY822" s="84"/>
      <c r="AZ822" s="84"/>
    </row>
    <row r="823" ht="15.75" customHeight="1">
      <c r="A823" s="9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5"/>
      <c r="AK823" s="85"/>
      <c r="AL823" s="103"/>
      <c r="AM823" s="104"/>
      <c r="AN823" s="103"/>
      <c r="AO823" s="104"/>
      <c r="AP823" s="103"/>
      <c r="AQ823" s="104"/>
      <c r="AR823" s="84"/>
      <c r="AS823" s="84"/>
      <c r="AT823" s="84"/>
      <c r="AU823" s="84"/>
      <c r="AV823" s="84"/>
      <c r="AW823" s="84"/>
      <c r="AX823" s="84"/>
      <c r="AY823" s="84"/>
      <c r="AZ823" s="84"/>
    </row>
    <row r="824" ht="15.75" customHeight="1">
      <c r="A824" s="9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5"/>
      <c r="AK824" s="85"/>
      <c r="AL824" s="103"/>
      <c r="AM824" s="104"/>
      <c r="AN824" s="103"/>
      <c r="AO824" s="104"/>
      <c r="AP824" s="103"/>
      <c r="AQ824" s="104"/>
      <c r="AR824" s="84"/>
      <c r="AS824" s="84"/>
      <c r="AT824" s="84"/>
      <c r="AU824" s="84"/>
      <c r="AV824" s="84"/>
      <c r="AW824" s="84"/>
      <c r="AX824" s="84"/>
      <c r="AY824" s="84"/>
      <c r="AZ824" s="84"/>
    </row>
    <row r="825" ht="15.75" customHeight="1">
      <c r="A825" s="9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5"/>
      <c r="AK825" s="85"/>
      <c r="AL825" s="103"/>
      <c r="AM825" s="104"/>
      <c r="AN825" s="103"/>
      <c r="AO825" s="104"/>
      <c r="AP825" s="103"/>
      <c r="AQ825" s="104"/>
      <c r="AR825" s="84"/>
      <c r="AS825" s="84"/>
      <c r="AT825" s="84"/>
      <c r="AU825" s="84"/>
      <c r="AV825" s="84"/>
      <c r="AW825" s="84"/>
      <c r="AX825" s="84"/>
      <c r="AY825" s="84"/>
      <c r="AZ825" s="84"/>
    </row>
    <row r="826" ht="15.75" customHeight="1">
      <c r="A826" s="9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5"/>
      <c r="AK826" s="85"/>
      <c r="AL826" s="103"/>
      <c r="AM826" s="104"/>
      <c r="AN826" s="103"/>
      <c r="AO826" s="104"/>
      <c r="AP826" s="103"/>
      <c r="AQ826" s="104"/>
      <c r="AR826" s="84"/>
      <c r="AS826" s="84"/>
      <c r="AT826" s="84"/>
      <c r="AU826" s="84"/>
      <c r="AV826" s="84"/>
      <c r="AW826" s="84"/>
      <c r="AX826" s="84"/>
      <c r="AY826" s="84"/>
      <c r="AZ826" s="84"/>
    </row>
    <row r="827" ht="15.75" customHeight="1">
      <c r="A827" s="9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5"/>
      <c r="AK827" s="85"/>
      <c r="AL827" s="103"/>
      <c r="AM827" s="104"/>
      <c r="AN827" s="103"/>
      <c r="AO827" s="104"/>
      <c r="AP827" s="103"/>
      <c r="AQ827" s="104"/>
      <c r="AR827" s="84"/>
      <c r="AS827" s="84"/>
      <c r="AT827" s="84"/>
      <c r="AU827" s="84"/>
      <c r="AV827" s="84"/>
      <c r="AW827" s="84"/>
      <c r="AX827" s="84"/>
      <c r="AY827" s="84"/>
      <c r="AZ827" s="84"/>
    </row>
    <row r="828" ht="15.75" customHeight="1">
      <c r="A828" s="9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5"/>
      <c r="AK828" s="85"/>
      <c r="AL828" s="103"/>
      <c r="AM828" s="104"/>
      <c r="AN828" s="103"/>
      <c r="AO828" s="104"/>
      <c r="AP828" s="103"/>
      <c r="AQ828" s="104"/>
      <c r="AR828" s="84"/>
      <c r="AS828" s="84"/>
      <c r="AT828" s="84"/>
      <c r="AU828" s="84"/>
      <c r="AV828" s="84"/>
      <c r="AW828" s="84"/>
      <c r="AX828" s="84"/>
      <c r="AY828" s="84"/>
      <c r="AZ828" s="84"/>
    </row>
    <row r="829" ht="15.75" customHeight="1">
      <c r="A829" s="9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5"/>
      <c r="AK829" s="85"/>
      <c r="AL829" s="103"/>
      <c r="AM829" s="104"/>
      <c r="AN829" s="103"/>
      <c r="AO829" s="104"/>
      <c r="AP829" s="103"/>
      <c r="AQ829" s="104"/>
      <c r="AR829" s="84"/>
      <c r="AS829" s="84"/>
      <c r="AT829" s="84"/>
      <c r="AU829" s="84"/>
      <c r="AV829" s="84"/>
      <c r="AW829" s="84"/>
      <c r="AX829" s="84"/>
      <c r="AY829" s="84"/>
      <c r="AZ829" s="84"/>
    </row>
    <row r="830" ht="15.75" customHeight="1">
      <c r="A830" s="9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5"/>
      <c r="AK830" s="85"/>
      <c r="AL830" s="103"/>
      <c r="AM830" s="104"/>
      <c r="AN830" s="103"/>
      <c r="AO830" s="104"/>
      <c r="AP830" s="103"/>
      <c r="AQ830" s="104"/>
      <c r="AR830" s="84"/>
      <c r="AS830" s="84"/>
      <c r="AT830" s="84"/>
      <c r="AU830" s="84"/>
      <c r="AV830" s="84"/>
      <c r="AW830" s="84"/>
      <c r="AX830" s="84"/>
      <c r="AY830" s="84"/>
      <c r="AZ830" s="84"/>
    </row>
    <row r="831" ht="15.75" customHeight="1">
      <c r="A831" s="9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5"/>
      <c r="AK831" s="85"/>
      <c r="AL831" s="103"/>
      <c r="AM831" s="104"/>
      <c r="AN831" s="103"/>
      <c r="AO831" s="104"/>
      <c r="AP831" s="103"/>
      <c r="AQ831" s="104"/>
      <c r="AR831" s="84"/>
      <c r="AS831" s="84"/>
      <c r="AT831" s="84"/>
      <c r="AU831" s="84"/>
      <c r="AV831" s="84"/>
      <c r="AW831" s="84"/>
      <c r="AX831" s="84"/>
      <c r="AY831" s="84"/>
      <c r="AZ831" s="84"/>
    </row>
    <row r="832" ht="15.75" customHeight="1">
      <c r="A832" s="9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5"/>
      <c r="AK832" s="85"/>
      <c r="AL832" s="103"/>
      <c r="AM832" s="104"/>
      <c r="AN832" s="103"/>
      <c r="AO832" s="104"/>
      <c r="AP832" s="103"/>
      <c r="AQ832" s="104"/>
      <c r="AR832" s="84"/>
      <c r="AS832" s="84"/>
      <c r="AT832" s="84"/>
      <c r="AU832" s="84"/>
      <c r="AV832" s="84"/>
      <c r="AW832" s="84"/>
      <c r="AX832" s="84"/>
      <c r="AY832" s="84"/>
      <c r="AZ832" s="84"/>
    </row>
    <row r="833" ht="15.75" customHeight="1">
      <c r="A833" s="9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5"/>
      <c r="AK833" s="85"/>
      <c r="AL833" s="103"/>
      <c r="AM833" s="104"/>
      <c r="AN833" s="103"/>
      <c r="AO833" s="104"/>
      <c r="AP833" s="103"/>
      <c r="AQ833" s="104"/>
      <c r="AR833" s="84"/>
      <c r="AS833" s="84"/>
      <c r="AT833" s="84"/>
      <c r="AU833" s="84"/>
      <c r="AV833" s="84"/>
      <c r="AW833" s="84"/>
      <c r="AX833" s="84"/>
      <c r="AY833" s="84"/>
      <c r="AZ833" s="84"/>
    </row>
    <row r="834" ht="15.75" customHeight="1">
      <c r="A834" s="9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5"/>
      <c r="AK834" s="85"/>
      <c r="AL834" s="103"/>
      <c r="AM834" s="104"/>
      <c r="AN834" s="103"/>
      <c r="AO834" s="104"/>
      <c r="AP834" s="103"/>
      <c r="AQ834" s="104"/>
      <c r="AR834" s="84"/>
      <c r="AS834" s="84"/>
      <c r="AT834" s="84"/>
      <c r="AU834" s="84"/>
      <c r="AV834" s="84"/>
      <c r="AW834" s="84"/>
      <c r="AX834" s="84"/>
      <c r="AY834" s="84"/>
      <c r="AZ834" s="84"/>
    </row>
    <row r="835" ht="15.75" customHeight="1">
      <c r="A835" s="9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5"/>
      <c r="AK835" s="85"/>
      <c r="AL835" s="103"/>
      <c r="AM835" s="104"/>
      <c r="AN835" s="103"/>
      <c r="AO835" s="104"/>
      <c r="AP835" s="103"/>
      <c r="AQ835" s="104"/>
      <c r="AR835" s="84"/>
      <c r="AS835" s="84"/>
      <c r="AT835" s="84"/>
      <c r="AU835" s="84"/>
      <c r="AV835" s="84"/>
      <c r="AW835" s="84"/>
      <c r="AX835" s="84"/>
      <c r="AY835" s="84"/>
      <c r="AZ835" s="84"/>
    </row>
    <row r="836" ht="15.75" customHeight="1">
      <c r="A836" s="9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5"/>
      <c r="AK836" s="85"/>
      <c r="AL836" s="103"/>
      <c r="AM836" s="104"/>
      <c r="AN836" s="103"/>
      <c r="AO836" s="104"/>
      <c r="AP836" s="103"/>
      <c r="AQ836" s="104"/>
      <c r="AR836" s="84"/>
      <c r="AS836" s="84"/>
      <c r="AT836" s="84"/>
      <c r="AU836" s="84"/>
      <c r="AV836" s="84"/>
      <c r="AW836" s="84"/>
      <c r="AX836" s="84"/>
      <c r="AY836" s="84"/>
      <c r="AZ836" s="84"/>
    </row>
    <row r="837" ht="15.75" customHeight="1">
      <c r="A837" s="9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5"/>
      <c r="AK837" s="85"/>
      <c r="AL837" s="103"/>
      <c r="AM837" s="104"/>
      <c r="AN837" s="103"/>
      <c r="AO837" s="104"/>
      <c r="AP837" s="103"/>
      <c r="AQ837" s="104"/>
      <c r="AR837" s="84"/>
      <c r="AS837" s="84"/>
      <c r="AT837" s="84"/>
      <c r="AU837" s="84"/>
      <c r="AV837" s="84"/>
      <c r="AW837" s="84"/>
      <c r="AX837" s="84"/>
      <c r="AY837" s="84"/>
      <c r="AZ837" s="84"/>
    </row>
    <row r="838" ht="15.75" customHeight="1">
      <c r="A838" s="9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5"/>
      <c r="AK838" s="85"/>
      <c r="AL838" s="103"/>
      <c r="AM838" s="104"/>
      <c r="AN838" s="103"/>
      <c r="AO838" s="104"/>
      <c r="AP838" s="103"/>
      <c r="AQ838" s="104"/>
      <c r="AR838" s="84"/>
      <c r="AS838" s="84"/>
      <c r="AT838" s="84"/>
      <c r="AU838" s="84"/>
      <c r="AV838" s="84"/>
      <c r="AW838" s="84"/>
      <c r="AX838" s="84"/>
      <c r="AY838" s="84"/>
      <c r="AZ838" s="84"/>
    </row>
    <row r="839" ht="15.75" customHeight="1">
      <c r="A839" s="9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5"/>
      <c r="AK839" s="85"/>
      <c r="AL839" s="103"/>
      <c r="AM839" s="104"/>
      <c r="AN839" s="103"/>
      <c r="AO839" s="104"/>
      <c r="AP839" s="103"/>
      <c r="AQ839" s="104"/>
      <c r="AR839" s="84"/>
      <c r="AS839" s="84"/>
      <c r="AT839" s="84"/>
      <c r="AU839" s="84"/>
      <c r="AV839" s="84"/>
      <c r="AW839" s="84"/>
      <c r="AX839" s="84"/>
      <c r="AY839" s="84"/>
      <c r="AZ839" s="84"/>
    </row>
    <row r="840" ht="15.75" customHeight="1">
      <c r="A840" s="9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5"/>
      <c r="AK840" s="85"/>
      <c r="AL840" s="103"/>
      <c r="AM840" s="104"/>
      <c r="AN840" s="103"/>
      <c r="AO840" s="104"/>
      <c r="AP840" s="103"/>
      <c r="AQ840" s="104"/>
      <c r="AR840" s="84"/>
      <c r="AS840" s="84"/>
      <c r="AT840" s="84"/>
      <c r="AU840" s="84"/>
      <c r="AV840" s="84"/>
      <c r="AW840" s="84"/>
      <c r="AX840" s="84"/>
      <c r="AY840" s="84"/>
      <c r="AZ840" s="84"/>
    </row>
    <row r="841" ht="15.75" customHeight="1">
      <c r="A841" s="9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5"/>
      <c r="AK841" s="85"/>
      <c r="AL841" s="103"/>
      <c r="AM841" s="104"/>
      <c r="AN841" s="103"/>
      <c r="AO841" s="104"/>
      <c r="AP841" s="103"/>
      <c r="AQ841" s="104"/>
      <c r="AR841" s="84"/>
      <c r="AS841" s="84"/>
      <c r="AT841" s="84"/>
      <c r="AU841" s="84"/>
      <c r="AV841" s="84"/>
      <c r="AW841" s="84"/>
      <c r="AX841" s="84"/>
      <c r="AY841" s="84"/>
      <c r="AZ841" s="84"/>
    </row>
    <row r="842" ht="15.75" customHeight="1">
      <c r="A842" s="9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5"/>
      <c r="AK842" s="85"/>
      <c r="AL842" s="103"/>
      <c r="AM842" s="104"/>
      <c r="AN842" s="103"/>
      <c r="AO842" s="104"/>
      <c r="AP842" s="103"/>
      <c r="AQ842" s="104"/>
      <c r="AR842" s="84"/>
      <c r="AS842" s="84"/>
      <c r="AT842" s="84"/>
      <c r="AU842" s="84"/>
      <c r="AV842" s="84"/>
      <c r="AW842" s="84"/>
      <c r="AX842" s="84"/>
      <c r="AY842" s="84"/>
      <c r="AZ842" s="84"/>
    </row>
    <row r="843" ht="15.75" customHeight="1">
      <c r="A843" s="9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5"/>
      <c r="AK843" s="85"/>
      <c r="AL843" s="103"/>
      <c r="AM843" s="104"/>
      <c r="AN843" s="103"/>
      <c r="AO843" s="104"/>
      <c r="AP843" s="103"/>
      <c r="AQ843" s="104"/>
      <c r="AR843" s="84"/>
      <c r="AS843" s="84"/>
      <c r="AT843" s="84"/>
      <c r="AU843" s="84"/>
      <c r="AV843" s="84"/>
      <c r="AW843" s="84"/>
      <c r="AX843" s="84"/>
      <c r="AY843" s="84"/>
      <c r="AZ843" s="84"/>
    </row>
    <row r="844" ht="15.75" customHeight="1">
      <c r="A844" s="9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5"/>
      <c r="AK844" s="85"/>
      <c r="AL844" s="103"/>
      <c r="AM844" s="104"/>
      <c r="AN844" s="103"/>
      <c r="AO844" s="104"/>
      <c r="AP844" s="103"/>
      <c r="AQ844" s="104"/>
      <c r="AR844" s="84"/>
      <c r="AS844" s="84"/>
      <c r="AT844" s="84"/>
      <c r="AU844" s="84"/>
      <c r="AV844" s="84"/>
      <c r="AW844" s="84"/>
      <c r="AX844" s="84"/>
      <c r="AY844" s="84"/>
      <c r="AZ844" s="84"/>
    </row>
    <row r="845" ht="15.75" customHeight="1">
      <c r="A845" s="9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5"/>
      <c r="AK845" s="85"/>
      <c r="AL845" s="103"/>
      <c r="AM845" s="104"/>
      <c r="AN845" s="103"/>
      <c r="AO845" s="104"/>
      <c r="AP845" s="103"/>
      <c r="AQ845" s="104"/>
      <c r="AR845" s="84"/>
      <c r="AS845" s="84"/>
      <c r="AT845" s="84"/>
      <c r="AU845" s="84"/>
      <c r="AV845" s="84"/>
      <c r="AW845" s="84"/>
      <c r="AX845" s="84"/>
      <c r="AY845" s="84"/>
      <c r="AZ845" s="84"/>
    </row>
    <row r="846" ht="15.75" customHeight="1">
      <c r="A846" s="9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5"/>
      <c r="AK846" s="85"/>
      <c r="AL846" s="103"/>
      <c r="AM846" s="104"/>
      <c r="AN846" s="103"/>
      <c r="AO846" s="104"/>
      <c r="AP846" s="103"/>
      <c r="AQ846" s="104"/>
      <c r="AR846" s="84"/>
      <c r="AS846" s="84"/>
      <c r="AT846" s="84"/>
      <c r="AU846" s="84"/>
      <c r="AV846" s="84"/>
      <c r="AW846" s="84"/>
      <c r="AX846" s="84"/>
      <c r="AY846" s="84"/>
      <c r="AZ846" s="84"/>
    </row>
    <row r="847" ht="15.75" customHeight="1">
      <c r="A847" s="9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5"/>
      <c r="AK847" s="85"/>
      <c r="AL847" s="103"/>
      <c r="AM847" s="104"/>
      <c r="AN847" s="103"/>
      <c r="AO847" s="104"/>
      <c r="AP847" s="103"/>
      <c r="AQ847" s="104"/>
      <c r="AR847" s="84"/>
      <c r="AS847" s="84"/>
      <c r="AT847" s="84"/>
      <c r="AU847" s="84"/>
      <c r="AV847" s="84"/>
      <c r="AW847" s="84"/>
      <c r="AX847" s="84"/>
      <c r="AY847" s="84"/>
      <c r="AZ847" s="84"/>
    </row>
    <row r="848" ht="15.75" customHeight="1">
      <c r="A848" s="9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5"/>
      <c r="AK848" s="85"/>
      <c r="AL848" s="103"/>
      <c r="AM848" s="104"/>
      <c r="AN848" s="103"/>
      <c r="AO848" s="104"/>
      <c r="AP848" s="103"/>
      <c r="AQ848" s="104"/>
      <c r="AR848" s="84"/>
      <c r="AS848" s="84"/>
      <c r="AT848" s="84"/>
      <c r="AU848" s="84"/>
      <c r="AV848" s="84"/>
      <c r="AW848" s="84"/>
      <c r="AX848" s="84"/>
      <c r="AY848" s="84"/>
      <c r="AZ848" s="84"/>
    </row>
    <row r="849" ht="15.75" customHeight="1">
      <c r="A849" s="9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5"/>
      <c r="AK849" s="85"/>
      <c r="AL849" s="103"/>
      <c r="AM849" s="104"/>
      <c r="AN849" s="103"/>
      <c r="AO849" s="104"/>
      <c r="AP849" s="103"/>
      <c r="AQ849" s="104"/>
      <c r="AR849" s="84"/>
      <c r="AS849" s="84"/>
      <c r="AT849" s="84"/>
      <c r="AU849" s="84"/>
      <c r="AV849" s="84"/>
      <c r="AW849" s="84"/>
      <c r="AX849" s="84"/>
      <c r="AY849" s="84"/>
      <c r="AZ849" s="84"/>
    </row>
    <row r="850" ht="15.75" customHeight="1">
      <c r="A850" s="9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5"/>
      <c r="AK850" s="85"/>
      <c r="AL850" s="103"/>
      <c r="AM850" s="104"/>
      <c r="AN850" s="103"/>
      <c r="AO850" s="104"/>
      <c r="AP850" s="103"/>
      <c r="AQ850" s="104"/>
      <c r="AR850" s="84"/>
      <c r="AS850" s="84"/>
      <c r="AT850" s="84"/>
      <c r="AU850" s="84"/>
      <c r="AV850" s="84"/>
      <c r="AW850" s="84"/>
      <c r="AX850" s="84"/>
      <c r="AY850" s="84"/>
      <c r="AZ850" s="84"/>
    </row>
    <row r="851" ht="15.75" customHeight="1">
      <c r="A851" s="9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5"/>
      <c r="AK851" s="85"/>
      <c r="AL851" s="103"/>
      <c r="AM851" s="104"/>
      <c r="AN851" s="103"/>
      <c r="AO851" s="104"/>
      <c r="AP851" s="103"/>
      <c r="AQ851" s="104"/>
      <c r="AR851" s="84"/>
      <c r="AS851" s="84"/>
      <c r="AT851" s="84"/>
      <c r="AU851" s="84"/>
      <c r="AV851" s="84"/>
      <c r="AW851" s="84"/>
      <c r="AX851" s="84"/>
      <c r="AY851" s="84"/>
      <c r="AZ851" s="84"/>
    </row>
    <row r="852" ht="15.75" customHeight="1">
      <c r="A852" s="9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5"/>
      <c r="AK852" s="85"/>
      <c r="AL852" s="103"/>
      <c r="AM852" s="104"/>
      <c r="AN852" s="103"/>
      <c r="AO852" s="104"/>
      <c r="AP852" s="103"/>
      <c r="AQ852" s="104"/>
      <c r="AR852" s="84"/>
      <c r="AS852" s="84"/>
      <c r="AT852" s="84"/>
      <c r="AU852" s="84"/>
      <c r="AV852" s="84"/>
      <c r="AW852" s="84"/>
      <c r="AX852" s="84"/>
      <c r="AY852" s="84"/>
      <c r="AZ852" s="84"/>
    </row>
    <row r="853" ht="15.75" customHeight="1">
      <c r="A853" s="9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5"/>
      <c r="AK853" s="85"/>
      <c r="AL853" s="103"/>
      <c r="AM853" s="104"/>
      <c r="AN853" s="103"/>
      <c r="AO853" s="104"/>
      <c r="AP853" s="103"/>
      <c r="AQ853" s="104"/>
      <c r="AR853" s="84"/>
      <c r="AS853" s="84"/>
      <c r="AT853" s="84"/>
      <c r="AU853" s="84"/>
      <c r="AV853" s="84"/>
      <c r="AW853" s="84"/>
      <c r="AX853" s="84"/>
      <c r="AY853" s="84"/>
      <c r="AZ853" s="84"/>
    </row>
    <row r="854" ht="15.75" customHeight="1">
      <c r="A854" s="9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5"/>
      <c r="AK854" s="85"/>
      <c r="AL854" s="103"/>
      <c r="AM854" s="104"/>
      <c r="AN854" s="103"/>
      <c r="AO854" s="104"/>
      <c r="AP854" s="103"/>
      <c r="AQ854" s="104"/>
      <c r="AR854" s="84"/>
      <c r="AS854" s="84"/>
      <c r="AT854" s="84"/>
      <c r="AU854" s="84"/>
      <c r="AV854" s="84"/>
      <c r="AW854" s="84"/>
      <c r="AX854" s="84"/>
      <c r="AY854" s="84"/>
      <c r="AZ854" s="84"/>
    </row>
    <row r="855" ht="15.75" customHeight="1">
      <c r="A855" s="9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5"/>
      <c r="AK855" s="85"/>
      <c r="AL855" s="103"/>
      <c r="AM855" s="104"/>
      <c r="AN855" s="103"/>
      <c r="AO855" s="104"/>
      <c r="AP855" s="103"/>
      <c r="AQ855" s="104"/>
      <c r="AR855" s="84"/>
      <c r="AS855" s="84"/>
      <c r="AT855" s="84"/>
      <c r="AU855" s="84"/>
      <c r="AV855" s="84"/>
      <c r="AW855" s="84"/>
      <c r="AX855" s="84"/>
      <c r="AY855" s="84"/>
      <c r="AZ855" s="84"/>
    </row>
    <row r="856" ht="15.75" customHeight="1">
      <c r="A856" s="9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5"/>
      <c r="AK856" s="85"/>
      <c r="AL856" s="103"/>
      <c r="AM856" s="104"/>
      <c r="AN856" s="103"/>
      <c r="AO856" s="104"/>
      <c r="AP856" s="103"/>
      <c r="AQ856" s="104"/>
      <c r="AR856" s="84"/>
      <c r="AS856" s="84"/>
      <c r="AT856" s="84"/>
      <c r="AU856" s="84"/>
      <c r="AV856" s="84"/>
      <c r="AW856" s="84"/>
      <c r="AX856" s="84"/>
      <c r="AY856" s="84"/>
      <c r="AZ856" s="84"/>
    </row>
    <row r="857" ht="15.75" customHeight="1">
      <c r="A857" s="9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5"/>
      <c r="AK857" s="85"/>
      <c r="AL857" s="103"/>
      <c r="AM857" s="104"/>
      <c r="AN857" s="103"/>
      <c r="AO857" s="104"/>
      <c r="AP857" s="103"/>
      <c r="AQ857" s="104"/>
      <c r="AR857" s="84"/>
      <c r="AS857" s="84"/>
      <c r="AT857" s="84"/>
      <c r="AU857" s="84"/>
      <c r="AV857" s="84"/>
      <c r="AW857" s="84"/>
      <c r="AX857" s="84"/>
      <c r="AY857" s="84"/>
      <c r="AZ857" s="84"/>
    </row>
    <row r="858" ht="15.75" customHeight="1">
      <c r="A858" s="9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5"/>
      <c r="AK858" s="85"/>
      <c r="AL858" s="103"/>
      <c r="AM858" s="104"/>
      <c r="AN858" s="103"/>
      <c r="AO858" s="104"/>
      <c r="AP858" s="103"/>
      <c r="AQ858" s="104"/>
      <c r="AR858" s="84"/>
      <c r="AS858" s="84"/>
      <c r="AT858" s="84"/>
      <c r="AU858" s="84"/>
      <c r="AV858" s="84"/>
      <c r="AW858" s="84"/>
      <c r="AX858" s="84"/>
      <c r="AY858" s="84"/>
      <c r="AZ858" s="84"/>
    </row>
    <row r="859" ht="15.75" customHeight="1">
      <c r="A859" s="9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5"/>
      <c r="AK859" s="85"/>
      <c r="AL859" s="103"/>
      <c r="AM859" s="104"/>
      <c r="AN859" s="103"/>
      <c r="AO859" s="104"/>
      <c r="AP859" s="103"/>
      <c r="AQ859" s="104"/>
      <c r="AR859" s="84"/>
      <c r="AS859" s="84"/>
      <c r="AT859" s="84"/>
      <c r="AU859" s="84"/>
      <c r="AV859" s="84"/>
      <c r="AW859" s="84"/>
      <c r="AX859" s="84"/>
      <c r="AY859" s="84"/>
      <c r="AZ859" s="84"/>
    </row>
    <row r="860" ht="15.75" customHeight="1">
      <c r="A860" s="9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5"/>
      <c r="AK860" s="85"/>
      <c r="AL860" s="103"/>
      <c r="AM860" s="104"/>
      <c r="AN860" s="103"/>
      <c r="AO860" s="104"/>
      <c r="AP860" s="103"/>
      <c r="AQ860" s="104"/>
      <c r="AR860" s="84"/>
      <c r="AS860" s="84"/>
      <c r="AT860" s="84"/>
      <c r="AU860" s="84"/>
      <c r="AV860" s="84"/>
      <c r="AW860" s="84"/>
      <c r="AX860" s="84"/>
      <c r="AY860" s="84"/>
      <c r="AZ860" s="84"/>
    </row>
    <row r="861" ht="15.75" customHeight="1">
      <c r="A861" s="9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5"/>
      <c r="AK861" s="85"/>
      <c r="AL861" s="103"/>
      <c r="AM861" s="104"/>
      <c r="AN861" s="103"/>
      <c r="AO861" s="104"/>
      <c r="AP861" s="103"/>
      <c r="AQ861" s="104"/>
      <c r="AR861" s="84"/>
      <c r="AS861" s="84"/>
      <c r="AT861" s="84"/>
      <c r="AU861" s="84"/>
      <c r="AV861" s="84"/>
      <c r="AW861" s="84"/>
      <c r="AX861" s="84"/>
      <c r="AY861" s="84"/>
      <c r="AZ861" s="84"/>
    </row>
    <row r="862" ht="15.75" customHeight="1">
      <c r="A862" s="9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5"/>
      <c r="AK862" s="85"/>
      <c r="AL862" s="103"/>
      <c r="AM862" s="104"/>
      <c r="AN862" s="103"/>
      <c r="AO862" s="104"/>
      <c r="AP862" s="103"/>
      <c r="AQ862" s="104"/>
      <c r="AR862" s="84"/>
      <c r="AS862" s="84"/>
      <c r="AT862" s="84"/>
      <c r="AU862" s="84"/>
      <c r="AV862" s="84"/>
      <c r="AW862" s="84"/>
      <c r="AX862" s="84"/>
      <c r="AY862" s="84"/>
      <c r="AZ862" s="84"/>
    </row>
    <row r="863" ht="15.75" customHeight="1">
      <c r="A863" s="9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5"/>
      <c r="AK863" s="85"/>
      <c r="AL863" s="103"/>
      <c r="AM863" s="104"/>
      <c r="AN863" s="103"/>
      <c r="AO863" s="104"/>
      <c r="AP863" s="103"/>
      <c r="AQ863" s="104"/>
      <c r="AR863" s="84"/>
      <c r="AS863" s="84"/>
      <c r="AT863" s="84"/>
      <c r="AU863" s="84"/>
      <c r="AV863" s="84"/>
      <c r="AW863" s="84"/>
      <c r="AX863" s="84"/>
      <c r="AY863" s="84"/>
      <c r="AZ863" s="84"/>
    </row>
    <row r="864" ht="15.75" customHeight="1">
      <c r="A864" s="9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5"/>
      <c r="AK864" s="85"/>
      <c r="AL864" s="103"/>
      <c r="AM864" s="104"/>
      <c r="AN864" s="103"/>
      <c r="AO864" s="104"/>
      <c r="AP864" s="103"/>
      <c r="AQ864" s="104"/>
      <c r="AR864" s="84"/>
      <c r="AS864" s="84"/>
      <c r="AT864" s="84"/>
      <c r="AU864" s="84"/>
      <c r="AV864" s="84"/>
      <c r="AW864" s="84"/>
      <c r="AX864" s="84"/>
      <c r="AY864" s="84"/>
      <c r="AZ864" s="84"/>
    </row>
    <row r="865" ht="15.75" customHeight="1">
      <c r="A865" s="9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5"/>
      <c r="AK865" s="85"/>
      <c r="AL865" s="103"/>
      <c r="AM865" s="104"/>
      <c r="AN865" s="103"/>
      <c r="AO865" s="104"/>
      <c r="AP865" s="103"/>
      <c r="AQ865" s="104"/>
      <c r="AR865" s="84"/>
      <c r="AS865" s="84"/>
      <c r="AT865" s="84"/>
      <c r="AU865" s="84"/>
      <c r="AV865" s="84"/>
      <c r="AW865" s="84"/>
      <c r="AX865" s="84"/>
      <c r="AY865" s="84"/>
      <c r="AZ865" s="84"/>
    </row>
    <row r="866" ht="15.75" customHeight="1">
      <c r="A866" s="9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5"/>
      <c r="AK866" s="85"/>
      <c r="AL866" s="103"/>
      <c r="AM866" s="104"/>
      <c r="AN866" s="103"/>
      <c r="AO866" s="104"/>
      <c r="AP866" s="103"/>
      <c r="AQ866" s="104"/>
      <c r="AR866" s="84"/>
      <c r="AS866" s="84"/>
      <c r="AT866" s="84"/>
      <c r="AU866" s="84"/>
      <c r="AV866" s="84"/>
      <c r="AW866" s="84"/>
      <c r="AX866" s="84"/>
      <c r="AY866" s="84"/>
      <c r="AZ866" s="84"/>
    </row>
    <row r="867" ht="15.75" customHeight="1">
      <c r="A867" s="9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5"/>
      <c r="AK867" s="85"/>
      <c r="AL867" s="103"/>
      <c r="AM867" s="104"/>
      <c r="AN867" s="103"/>
      <c r="AO867" s="104"/>
      <c r="AP867" s="103"/>
      <c r="AQ867" s="104"/>
      <c r="AR867" s="84"/>
      <c r="AS867" s="84"/>
      <c r="AT867" s="84"/>
      <c r="AU867" s="84"/>
      <c r="AV867" s="84"/>
      <c r="AW867" s="84"/>
      <c r="AX867" s="84"/>
      <c r="AY867" s="84"/>
      <c r="AZ867" s="84"/>
    </row>
    <row r="868" ht="15.75" customHeight="1">
      <c r="A868" s="9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5"/>
      <c r="AK868" s="85"/>
      <c r="AL868" s="103"/>
      <c r="AM868" s="104"/>
      <c r="AN868" s="103"/>
      <c r="AO868" s="104"/>
      <c r="AP868" s="103"/>
      <c r="AQ868" s="104"/>
      <c r="AR868" s="84"/>
      <c r="AS868" s="84"/>
      <c r="AT868" s="84"/>
      <c r="AU868" s="84"/>
      <c r="AV868" s="84"/>
      <c r="AW868" s="84"/>
      <c r="AX868" s="84"/>
      <c r="AY868" s="84"/>
      <c r="AZ868" s="84"/>
    </row>
    <row r="869" ht="15.75" customHeight="1">
      <c r="A869" s="9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5"/>
      <c r="AK869" s="85"/>
      <c r="AL869" s="103"/>
      <c r="AM869" s="104"/>
      <c r="AN869" s="103"/>
      <c r="AO869" s="104"/>
      <c r="AP869" s="103"/>
      <c r="AQ869" s="104"/>
      <c r="AR869" s="84"/>
      <c r="AS869" s="84"/>
      <c r="AT869" s="84"/>
      <c r="AU869" s="84"/>
      <c r="AV869" s="84"/>
      <c r="AW869" s="84"/>
      <c r="AX869" s="84"/>
      <c r="AY869" s="84"/>
      <c r="AZ869" s="84"/>
    </row>
    <row r="870" ht="15.75" customHeight="1">
      <c r="A870" s="9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5"/>
      <c r="AK870" s="85"/>
      <c r="AL870" s="103"/>
      <c r="AM870" s="104"/>
      <c r="AN870" s="103"/>
      <c r="AO870" s="104"/>
      <c r="AP870" s="103"/>
      <c r="AQ870" s="104"/>
      <c r="AR870" s="84"/>
      <c r="AS870" s="84"/>
      <c r="AT870" s="84"/>
      <c r="AU870" s="84"/>
      <c r="AV870" s="84"/>
      <c r="AW870" s="84"/>
      <c r="AX870" s="84"/>
      <c r="AY870" s="84"/>
      <c r="AZ870" s="84"/>
    </row>
    <row r="871" ht="15.75" customHeight="1">
      <c r="A871" s="9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5"/>
      <c r="AK871" s="85"/>
      <c r="AL871" s="103"/>
      <c r="AM871" s="104"/>
      <c r="AN871" s="103"/>
      <c r="AO871" s="104"/>
      <c r="AP871" s="103"/>
      <c r="AQ871" s="104"/>
      <c r="AR871" s="84"/>
      <c r="AS871" s="84"/>
      <c r="AT871" s="84"/>
      <c r="AU871" s="84"/>
      <c r="AV871" s="84"/>
      <c r="AW871" s="84"/>
      <c r="AX871" s="84"/>
      <c r="AY871" s="84"/>
      <c r="AZ871" s="84"/>
    </row>
    <row r="872" ht="15.75" customHeight="1">
      <c r="A872" s="9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5"/>
      <c r="AK872" s="85"/>
      <c r="AL872" s="103"/>
      <c r="AM872" s="104"/>
      <c r="AN872" s="103"/>
      <c r="AO872" s="104"/>
      <c r="AP872" s="103"/>
      <c r="AQ872" s="104"/>
      <c r="AR872" s="84"/>
      <c r="AS872" s="84"/>
      <c r="AT872" s="84"/>
      <c r="AU872" s="84"/>
      <c r="AV872" s="84"/>
      <c r="AW872" s="84"/>
      <c r="AX872" s="84"/>
      <c r="AY872" s="84"/>
      <c r="AZ872" s="84"/>
    </row>
    <row r="873" ht="15.75" customHeight="1">
      <c r="A873" s="9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5"/>
      <c r="AK873" s="85"/>
      <c r="AL873" s="103"/>
      <c r="AM873" s="104"/>
      <c r="AN873" s="103"/>
      <c r="AO873" s="104"/>
      <c r="AP873" s="103"/>
      <c r="AQ873" s="104"/>
      <c r="AR873" s="84"/>
      <c r="AS873" s="84"/>
      <c r="AT873" s="84"/>
      <c r="AU873" s="84"/>
      <c r="AV873" s="84"/>
      <c r="AW873" s="84"/>
      <c r="AX873" s="84"/>
      <c r="AY873" s="84"/>
      <c r="AZ873" s="84"/>
    </row>
    <row r="874" ht="15.75" customHeight="1">
      <c r="A874" s="9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5"/>
      <c r="AK874" s="85"/>
      <c r="AL874" s="103"/>
      <c r="AM874" s="104"/>
      <c r="AN874" s="103"/>
      <c r="AO874" s="104"/>
      <c r="AP874" s="103"/>
      <c r="AQ874" s="104"/>
      <c r="AR874" s="84"/>
      <c r="AS874" s="84"/>
      <c r="AT874" s="84"/>
      <c r="AU874" s="84"/>
      <c r="AV874" s="84"/>
      <c r="AW874" s="84"/>
      <c r="AX874" s="84"/>
      <c r="AY874" s="84"/>
      <c r="AZ874" s="84"/>
    </row>
    <row r="875" ht="15.75" customHeight="1">
      <c r="A875" s="9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5"/>
      <c r="AK875" s="85"/>
      <c r="AL875" s="103"/>
      <c r="AM875" s="104"/>
      <c r="AN875" s="103"/>
      <c r="AO875" s="104"/>
      <c r="AP875" s="103"/>
      <c r="AQ875" s="104"/>
      <c r="AR875" s="84"/>
      <c r="AS875" s="84"/>
      <c r="AT875" s="84"/>
      <c r="AU875" s="84"/>
      <c r="AV875" s="84"/>
      <c r="AW875" s="84"/>
      <c r="AX875" s="84"/>
      <c r="AY875" s="84"/>
      <c r="AZ875" s="84"/>
    </row>
    <row r="876" ht="15.75" customHeight="1">
      <c r="A876" s="9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5"/>
      <c r="AK876" s="85"/>
      <c r="AL876" s="103"/>
      <c r="AM876" s="104"/>
      <c r="AN876" s="103"/>
      <c r="AO876" s="104"/>
      <c r="AP876" s="103"/>
      <c r="AQ876" s="104"/>
      <c r="AR876" s="84"/>
      <c r="AS876" s="84"/>
      <c r="AT876" s="84"/>
      <c r="AU876" s="84"/>
      <c r="AV876" s="84"/>
      <c r="AW876" s="84"/>
      <c r="AX876" s="84"/>
      <c r="AY876" s="84"/>
      <c r="AZ876" s="84"/>
    </row>
    <row r="877" ht="15.75" customHeight="1">
      <c r="A877" s="9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5"/>
      <c r="AK877" s="85"/>
      <c r="AL877" s="103"/>
      <c r="AM877" s="104"/>
      <c r="AN877" s="103"/>
      <c r="AO877" s="104"/>
      <c r="AP877" s="103"/>
      <c r="AQ877" s="104"/>
      <c r="AR877" s="84"/>
      <c r="AS877" s="84"/>
      <c r="AT877" s="84"/>
      <c r="AU877" s="84"/>
      <c r="AV877" s="84"/>
      <c r="AW877" s="84"/>
      <c r="AX877" s="84"/>
      <c r="AY877" s="84"/>
      <c r="AZ877" s="84"/>
    </row>
    <row r="878" ht="15.75" customHeight="1">
      <c r="A878" s="9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5"/>
      <c r="AK878" s="85"/>
      <c r="AL878" s="103"/>
      <c r="AM878" s="104"/>
      <c r="AN878" s="103"/>
      <c r="AO878" s="104"/>
      <c r="AP878" s="103"/>
      <c r="AQ878" s="104"/>
      <c r="AR878" s="84"/>
      <c r="AS878" s="84"/>
      <c r="AT878" s="84"/>
      <c r="AU878" s="84"/>
      <c r="AV878" s="84"/>
      <c r="AW878" s="84"/>
      <c r="AX878" s="84"/>
      <c r="AY878" s="84"/>
      <c r="AZ878" s="84"/>
    </row>
    <row r="879" ht="15.75" customHeight="1">
      <c r="A879" s="9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5"/>
      <c r="AK879" s="85"/>
      <c r="AL879" s="103"/>
      <c r="AM879" s="104"/>
      <c r="AN879" s="103"/>
      <c r="AO879" s="104"/>
      <c r="AP879" s="103"/>
      <c r="AQ879" s="104"/>
      <c r="AR879" s="84"/>
      <c r="AS879" s="84"/>
      <c r="AT879" s="84"/>
      <c r="AU879" s="84"/>
      <c r="AV879" s="84"/>
      <c r="AW879" s="84"/>
      <c r="AX879" s="84"/>
      <c r="AY879" s="84"/>
      <c r="AZ879" s="84"/>
    </row>
    <row r="880" ht="15.75" customHeight="1">
      <c r="A880" s="9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5"/>
      <c r="AK880" s="85"/>
      <c r="AL880" s="103"/>
      <c r="AM880" s="104"/>
      <c r="AN880" s="103"/>
      <c r="AO880" s="104"/>
      <c r="AP880" s="103"/>
      <c r="AQ880" s="104"/>
      <c r="AR880" s="84"/>
      <c r="AS880" s="84"/>
      <c r="AT880" s="84"/>
      <c r="AU880" s="84"/>
      <c r="AV880" s="84"/>
      <c r="AW880" s="84"/>
      <c r="AX880" s="84"/>
      <c r="AY880" s="84"/>
      <c r="AZ880" s="84"/>
    </row>
    <row r="881" ht="15.75" customHeight="1">
      <c r="A881" s="9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5"/>
      <c r="AK881" s="85"/>
      <c r="AL881" s="103"/>
      <c r="AM881" s="104"/>
      <c r="AN881" s="103"/>
      <c r="AO881" s="104"/>
      <c r="AP881" s="103"/>
      <c r="AQ881" s="104"/>
      <c r="AR881" s="84"/>
      <c r="AS881" s="84"/>
      <c r="AT881" s="84"/>
      <c r="AU881" s="84"/>
      <c r="AV881" s="84"/>
      <c r="AW881" s="84"/>
      <c r="AX881" s="84"/>
      <c r="AY881" s="84"/>
      <c r="AZ881" s="84"/>
    </row>
    <row r="882" ht="15.75" customHeight="1">
      <c r="A882" s="9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5"/>
      <c r="AK882" s="85"/>
      <c r="AL882" s="103"/>
      <c r="AM882" s="104"/>
      <c r="AN882" s="103"/>
      <c r="AO882" s="104"/>
      <c r="AP882" s="103"/>
      <c r="AQ882" s="104"/>
      <c r="AR882" s="84"/>
      <c r="AS882" s="84"/>
      <c r="AT882" s="84"/>
      <c r="AU882" s="84"/>
      <c r="AV882" s="84"/>
      <c r="AW882" s="84"/>
      <c r="AX882" s="84"/>
      <c r="AY882" s="84"/>
      <c r="AZ882" s="84"/>
    </row>
    <row r="883" ht="15.75" customHeight="1">
      <c r="A883" s="9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5"/>
      <c r="AK883" s="85"/>
      <c r="AL883" s="103"/>
      <c r="AM883" s="104"/>
      <c r="AN883" s="103"/>
      <c r="AO883" s="104"/>
      <c r="AP883" s="103"/>
      <c r="AQ883" s="104"/>
      <c r="AR883" s="84"/>
      <c r="AS883" s="84"/>
      <c r="AT883" s="84"/>
      <c r="AU883" s="84"/>
      <c r="AV883" s="84"/>
      <c r="AW883" s="84"/>
      <c r="AX883" s="84"/>
      <c r="AY883" s="84"/>
      <c r="AZ883" s="84"/>
    </row>
    <row r="884" ht="15.75" customHeight="1">
      <c r="A884" s="9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5"/>
      <c r="AK884" s="85"/>
      <c r="AL884" s="103"/>
      <c r="AM884" s="104"/>
      <c r="AN884" s="103"/>
      <c r="AO884" s="104"/>
      <c r="AP884" s="103"/>
      <c r="AQ884" s="104"/>
      <c r="AR884" s="84"/>
      <c r="AS884" s="84"/>
      <c r="AT884" s="84"/>
      <c r="AU884" s="84"/>
      <c r="AV884" s="84"/>
      <c r="AW884" s="84"/>
      <c r="AX884" s="84"/>
      <c r="AY884" s="84"/>
      <c r="AZ884" s="84"/>
    </row>
    <row r="885" ht="15.75" customHeight="1">
      <c r="A885" s="9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5"/>
      <c r="AK885" s="85"/>
      <c r="AL885" s="103"/>
      <c r="AM885" s="104"/>
      <c r="AN885" s="103"/>
      <c r="AO885" s="104"/>
      <c r="AP885" s="103"/>
      <c r="AQ885" s="104"/>
      <c r="AR885" s="84"/>
      <c r="AS885" s="84"/>
      <c r="AT885" s="84"/>
      <c r="AU885" s="84"/>
      <c r="AV885" s="84"/>
      <c r="AW885" s="84"/>
      <c r="AX885" s="84"/>
      <c r="AY885" s="84"/>
      <c r="AZ885" s="84"/>
    </row>
    <row r="886" ht="15.75" customHeight="1">
      <c r="A886" s="9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5"/>
      <c r="AK886" s="85"/>
      <c r="AL886" s="103"/>
      <c r="AM886" s="104"/>
      <c r="AN886" s="103"/>
      <c r="AO886" s="104"/>
      <c r="AP886" s="103"/>
      <c r="AQ886" s="104"/>
      <c r="AR886" s="84"/>
      <c r="AS886" s="84"/>
      <c r="AT886" s="84"/>
      <c r="AU886" s="84"/>
      <c r="AV886" s="84"/>
      <c r="AW886" s="84"/>
      <c r="AX886" s="84"/>
      <c r="AY886" s="84"/>
      <c r="AZ886" s="84"/>
    </row>
    <row r="887" ht="15.75" customHeight="1">
      <c r="A887" s="9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5"/>
      <c r="AK887" s="85"/>
      <c r="AL887" s="103"/>
      <c r="AM887" s="104"/>
      <c r="AN887" s="103"/>
      <c r="AO887" s="104"/>
      <c r="AP887" s="103"/>
      <c r="AQ887" s="104"/>
      <c r="AR887" s="84"/>
      <c r="AS887" s="84"/>
      <c r="AT887" s="84"/>
      <c r="AU887" s="84"/>
      <c r="AV887" s="84"/>
      <c r="AW887" s="84"/>
      <c r="AX887" s="84"/>
      <c r="AY887" s="84"/>
      <c r="AZ887" s="84"/>
    </row>
    <row r="888" ht="15.75" customHeight="1">
      <c r="A888" s="9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5"/>
      <c r="AK888" s="85"/>
      <c r="AL888" s="103"/>
      <c r="AM888" s="104"/>
      <c r="AN888" s="103"/>
      <c r="AO888" s="104"/>
      <c r="AP888" s="103"/>
      <c r="AQ888" s="104"/>
      <c r="AR888" s="84"/>
      <c r="AS888" s="84"/>
      <c r="AT888" s="84"/>
      <c r="AU888" s="84"/>
      <c r="AV888" s="84"/>
      <c r="AW888" s="84"/>
      <c r="AX888" s="84"/>
      <c r="AY888" s="84"/>
      <c r="AZ888" s="84"/>
    </row>
    <row r="889" ht="15.75" customHeight="1">
      <c r="A889" s="9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5"/>
      <c r="AK889" s="85"/>
      <c r="AL889" s="103"/>
      <c r="AM889" s="104"/>
      <c r="AN889" s="103"/>
      <c r="AO889" s="104"/>
      <c r="AP889" s="103"/>
      <c r="AQ889" s="104"/>
      <c r="AR889" s="84"/>
      <c r="AS889" s="84"/>
      <c r="AT889" s="84"/>
      <c r="AU889" s="84"/>
      <c r="AV889" s="84"/>
      <c r="AW889" s="84"/>
      <c r="AX889" s="84"/>
      <c r="AY889" s="84"/>
      <c r="AZ889" s="84"/>
    </row>
    <row r="890" ht="15.75" customHeight="1">
      <c r="A890" s="9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5"/>
      <c r="AK890" s="85"/>
      <c r="AL890" s="103"/>
      <c r="AM890" s="104"/>
      <c r="AN890" s="103"/>
      <c r="AO890" s="104"/>
      <c r="AP890" s="103"/>
      <c r="AQ890" s="104"/>
      <c r="AR890" s="84"/>
      <c r="AS890" s="84"/>
      <c r="AT890" s="84"/>
      <c r="AU890" s="84"/>
      <c r="AV890" s="84"/>
      <c r="AW890" s="84"/>
      <c r="AX890" s="84"/>
      <c r="AY890" s="84"/>
      <c r="AZ890" s="84"/>
    </row>
    <row r="891" ht="15.75" customHeight="1">
      <c r="A891" s="9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5"/>
      <c r="AK891" s="85"/>
      <c r="AL891" s="103"/>
      <c r="AM891" s="104"/>
      <c r="AN891" s="103"/>
      <c r="AO891" s="104"/>
      <c r="AP891" s="103"/>
      <c r="AQ891" s="104"/>
      <c r="AR891" s="84"/>
      <c r="AS891" s="84"/>
      <c r="AT891" s="84"/>
      <c r="AU891" s="84"/>
      <c r="AV891" s="84"/>
      <c r="AW891" s="84"/>
      <c r="AX891" s="84"/>
      <c r="AY891" s="84"/>
      <c r="AZ891" s="84"/>
    </row>
    <row r="892" ht="15.75" customHeight="1">
      <c r="A892" s="9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5"/>
      <c r="AK892" s="85"/>
      <c r="AL892" s="103"/>
      <c r="AM892" s="104"/>
      <c r="AN892" s="103"/>
      <c r="AO892" s="104"/>
      <c r="AP892" s="103"/>
      <c r="AQ892" s="104"/>
      <c r="AR892" s="84"/>
      <c r="AS892" s="84"/>
      <c r="AT892" s="84"/>
      <c r="AU892" s="84"/>
      <c r="AV892" s="84"/>
      <c r="AW892" s="84"/>
      <c r="AX892" s="84"/>
      <c r="AY892" s="84"/>
      <c r="AZ892" s="84"/>
    </row>
    <row r="893" ht="15.75" customHeight="1">
      <c r="A893" s="9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5"/>
      <c r="AK893" s="85"/>
      <c r="AL893" s="103"/>
      <c r="AM893" s="104"/>
      <c r="AN893" s="103"/>
      <c r="AO893" s="104"/>
      <c r="AP893" s="103"/>
      <c r="AQ893" s="104"/>
      <c r="AR893" s="84"/>
      <c r="AS893" s="84"/>
      <c r="AT893" s="84"/>
      <c r="AU893" s="84"/>
      <c r="AV893" s="84"/>
      <c r="AW893" s="84"/>
      <c r="AX893" s="84"/>
      <c r="AY893" s="84"/>
      <c r="AZ893" s="84"/>
    </row>
    <row r="894" ht="15.75" customHeight="1">
      <c r="A894" s="9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5"/>
      <c r="AK894" s="85"/>
      <c r="AL894" s="103"/>
      <c r="AM894" s="104"/>
      <c r="AN894" s="103"/>
      <c r="AO894" s="104"/>
      <c r="AP894" s="103"/>
      <c r="AQ894" s="104"/>
      <c r="AR894" s="84"/>
      <c r="AS894" s="84"/>
      <c r="AT894" s="84"/>
      <c r="AU894" s="84"/>
      <c r="AV894" s="84"/>
      <c r="AW894" s="84"/>
      <c r="AX894" s="84"/>
      <c r="AY894" s="84"/>
      <c r="AZ894" s="84"/>
    </row>
    <row r="895" ht="15.75" customHeight="1">
      <c r="A895" s="9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5"/>
      <c r="AK895" s="85"/>
      <c r="AL895" s="103"/>
      <c r="AM895" s="104"/>
      <c r="AN895" s="103"/>
      <c r="AO895" s="104"/>
      <c r="AP895" s="103"/>
      <c r="AQ895" s="104"/>
      <c r="AR895" s="84"/>
      <c r="AS895" s="84"/>
      <c r="AT895" s="84"/>
      <c r="AU895" s="84"/>
      <c r="AV895" s="84"/>
      <c r="AW895" s="84"/>
      <c r="AX895" s="84"/>
      <c r="AY895" s="84"/>
      <c r="AZ895" s="84"/>
    </row>
    <row r="896" ht="15.75" customHeight="1">
      <c r="A896" s="9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5"/>
      <c r="AK896" s="85"/>
      <c r="AL896" s="103"/>
      <c r="AM896" s="104"/>
      <c r="AN896" s="103"/>
      <c r="AO896" s="104"/>
      <c r="AP896" s="103"/>
      <c r="AQ896" s="104"/>
      <c r="AR896" s="84"/>
      <c r="AS896" s="84"/>
      <c r="AT896" s="84"/>
      <c r="AU896" s="84"/>
      <c r="AV896" s="84"/>
      <c r="AW896" s="84"/>
      <c r="AX896" s="84"/>
      <c r="AY896" s="84"/>
      <c r="AZ896" s="84"/>
    </row>
    <row r="897" ht="15.75" customHeight="1">
      <c r="A897" s="9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5"/>
      <c r="AK897" s="85"/>
      <c r="AL897" s="103"/>
      <c r="AM897" s="104"/>
      <c r="AN897" s="103"/>
      <c r="AO897" s="104"/>
      <c r="AP897" s="103"/>
      <c r="AQ897" s="104"/>
      <c r="AR897" s="84"/>
      <c r="AS897" s="84"/>
      <c r="AT897" s="84"/>
      <c r="AU897" s="84"/>
      <c r="AV897" s="84"/>
      <c r="AW897" s="84"/>
      <c r="AX897" s="84"/>
      <c r="AY897" s="84"/>
      <c r="AZ897" s="84"/>
    </row>
    <row r="898" ht="15.75" customHeight="1">
      <c r="A898" s="9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5"/>
      <c r="AK898" s="85"/>
      <c r="AL898" s="103"/>
      <c r="AM898" s="104"/>
      <c r="AN898" s="103"/>
      <c r="AO898" s="104"/>
      <c r="AP898" s="103"/>
      <c r="AQ898" s="104"/>
      <c r="AR898" s="84"/>
      <c r="AS898" s="84"/>
      <c r="AT898" s="84"/>
      <c r="AU898" s="84"/>
      <c r="AV898" s="84"/>
      <c r="AW898" s="84"/>
      <c r="AX898" s="84"/>
      <c r="AY898" s="84"/>
      <c r="AZ898" s="84"/>
    </row>
    <row r="899" ht="15.75" customHeight="1">
      <c r="A899" s="9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5"/>
      <c r="AK899" s="85"/>
      <c r="AL899" s="103"/>
      <c r="AM899" s="104"/>
      <c r="AN899" s="103"/>
      <c r="AO899" s="104"/>
      <c r="AP899" s="103"/>
      <c r="AQ899" s="104"/>
      <c r="AR899" s="84"/>
      <c r="AS899" s="84"/>
      <c r="AT899" s="84"/>
      <c r="AU899" s="84"/>
      <c r="AV899" s="84"/>
      <c r="AW899" s="84"/>
      <c r="AX899" s="84"/>
      <c r="AY899" s="84"/>
      <c r="AZ899" s="84"/>
    </row>
    <row r="900" ht="15.75" customHeight="1">
      <c r="A900" s="9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5"/>
      <c r="AK900" s="85"/>
      <c r="AL900" s="103"/>
      <c r="AM900" s="104"/>
      <c r="AN900" s="103"/>
      <c r="AO900" s="104"/>
      <c r="AP900" s="103"/>
      <c r="AQ900" s="104"/>
      <c r="AR900" s="84"/>
      <c r="AS900" s="84"/>
      <c r="AT900" s="84"/>
      <c r="AU900" s="84"/>
      <c r="AV900" s="84"/>
      <c r="AW900" s="84"/>
      <c r="AX900" s="84"/>
      <c r="AY900" s="84"/>
      <c r="AZ900" s="84"/>
    </row>
    <row r="901" ht="15.75" customHeight="1">
      <c r="A901" s="9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5"/>
      <c r="AK901" s="85"/>
      <c r="AL901" s="103"/>
      <c r="AM901" s="104"/>
      <c r="AN901" s="103"/>
      <c r="AO901" s="104"/>
      <c r="AP901" s="103"/>
      <c r="AQ901" s="104"/>
      <c r="AR901" s="84"/>
      <c r="AS901" s="84"/>
      <c r="AT901" s="84"/>
      <c r="AU901" s="84"/>
      <c r="AV901" s="84"/>
      <c r="AW901" s="84"/>
      <c r="AX901" s="84"/>
      <c r="AY901" s="84"/>
      <c r="AZ901" s="84"/>
    </row>
    <row r="902" ht="15.75" customHeight="1">
      <c r="A902" s="9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5"/>
      <c r="AK902" s="85"/>
      <c r="AL902" s="103"/>
      <c r="AM902" s="104"/>
      <c r="AN902" s="103"/>
      <c r="AO902" s="104"/>
      <c r="AP902" s="103"/>
      <c r="AQ902" s="104"/>
      <c r="AR902" s="84"/>
      <c r="AS902" s="84"/>
      <c r="AT902" s="84"/>
      <c r="AU902" s="84"/>
      <c r="AV902" s="84"/>
      <c r="AW902" s="84"/>
      <c r="AX902" s="84"/>
      <c r="AY902" s="84"/>
      <c r="AZ902" s="84"/>
    </row>
    <row r="903" ht="15.75" customHeight="1">
      <c r="A903" s="9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5"/>
      <c r="AK903" s="85"/>
      <c r="AL903" s="103"/>
      <c r="AM903" s="104"/>
      <c r="AN903" s="103"/>
      <c r="AO903" s="104"/>
      <c r="AP903" s="103"/>
      <c r="AQ903" s="104"/>
      <c r="AR903" s="84"/>
      <c r="AS903" s="84"/>
      <c r="AT903" s="84"/>
      <c r="AU903" s="84"/>
      <c r="AV903" s="84"/>
      <c r="AW903" s="84"/>
      <c r="AX903" s="84"/>
      <c r="AY903" s="84"/>
      <c r="AZ903" s="84"/>
    </row>
    <row r="904" ht="15.75" customHeight="1">
      <c r="A904" s="9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5"/>
      <c r="AK904" s="85"/>
      <c r="AL904" s="103"/>
      <c r="AM904" s="104"/>
      <c r="AN904" s="103"/>
      <c r="AO904" s="104"/>
      <c r="AP904" s="103"/>
      <c r="AQ904" s="104"/>
      <c r="AR904" s="84"/>
      <c r="AS904" s="84"/>
      <c r="AT904" s="84"/>
      <c r="AU904" s="84"/>
      <c r="AV904" s="84"/>
      <c r="AW904" s="84"/>
      <c r="AX904" s="84"/>
      <c r="AY904" s="84"/>
      <c r="AZ904" s="84"/>
    </row>
    <row r="905" ht="15.75" customHeight="1">
      <c r="A905" s="9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5"/>
      <c r="AK905" s="85"/>
      <c r="AL905" s="103"/>
      <c r="AM905" s="104"/>
      <c r="AN905" s="103"/>
      <c r="AO905" s="104"/>
      <c r="AP905" s="103"/>
      <c r="AQ905" s="104"/>
      <c r="AR905" s="84"/>
      <c r="AS905" s="84"/>
      <c r="AT905" s="84"/>
      <c r="AU905" s="84"/>
      <c r="AV905" s="84"/>
      <c r="AW905" s="84"/>
      <c r="AX905" s="84"/>
      <c r="AY905" s="84"/>
      <c r="AZ905" s="84"/>
    </row>
    <row r="906" ht="15.75" customHeight="1">
      <c r="A906" s="9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5"/>
      <c r="AK906" s="85"/>
      <c r="AL906" s="103"/>
      <c r="AM906" s="104"/>
      <c r="AN906" s="103"/>
      <c r="AO906" s="104"/>
      <c r="AP906" s="103"/>
      <c r="AQ906" s="104"/>
      <c r="AR906" s="84"/>
      <c r="AS906" s="84"/>
      <c r="AT906" s="84"/>
      <c r="AU906" s="84"/>
      <c r="AV906" s="84"/>
      <c r="AW906" s="84"/>
      <c r="AX906" s="84"/>
      <c r="AY906" s="84"/>
      <c r="AZ906" s="84"/>
    </row>
    <row r="907" ht="15.75" customHeight="1">
      <c r="A907" s="9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5"/>
      <c r="AK907" s="85"/>
      <c r="AL907" s="103"/>
      <c r="AM907" s="104"/>
      <c r="AN907" s="103"/>
      <c r="AO907" s="104"/>
      <c r="AP907" s="103"/>
      <c r="AQ907" s="104"/>
      <c r="AR907" s="84"/>
      <c r="AS907" s="84"/>
      <c r="AT907" s="84"/>
      <c r="AU907" s="84"/>
      <c r="AV907" s="84"/>
      <c r="AW907" s="84"/>
      <c r="AX907" s="84"/>
      <c r="AY907" s="84"/>
      <c r="AZ907" s="84"/>
    </row>
    <row r="908" ht="15.75" customHeight="1">
      <c r="A908" s="9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5"/>
      <c r="AK908" s="85"/>
      <c r="AL908" s="103"/>
      <c r="AM908" s="104"/>
      <c r="AN908" s="103"/>
      <c r="AO908" s="104"/>
      <c r="AP908" s="103"/>
      <c r="AQ908" s="104"/>
      <c r="AR908" s="84"/>
      <c r="AS908" s="84"/>
      <c r="AT908" s="84"/>
      <c r="AU908" s="84"/>
      <c r="AV908" s="84"/>
      <c r="AW908" s="84"/>
      <c r="AX908" s="84"/>
      <c r="AY908" s="84"/>
      <c r="AZ908" s="84"/>
    </row>
    <row r="909" ht="15.75" customHeight="1">
      <c r="A909" s="9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5"/>
      <c r="AK909" s="85"/>
      <c r="AL909" s="103"/>
      <c r="AM909" s="104"/>
      <c r="AN909" s="103"/>
      <c r="AO909" s="104"/>
      <c r="AP909" s="103"/>
      <c r="AQ909" s="104"/>
      <c r="AR909" s="84"/>
      <c r="AS909" s="84"/>
      <c r="AT909" s="84"/>
      <c r="AU909" s="84"/>
      <c r="AV909" s="84"/>
      <c r="AW909" s="84"/>
      <c r="AX909" s="84"/>
      <c r="AY909" s="84"/>
      <c r="AZ909" s="84"/>
    </row>
    <row r="910" ht="15.75" customHeight="1">
      <c r="A910" s="9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5"/>
      <c r="AK910" s="85"/>
      <c r="AL910" s="103"/>
      <c r="AM910" s="104"/>
      <c r="AN910" s="103"/>
      <c r="AO910" s="104"/>
      <c r="AP910" s="103"/>
      <c r="AQ910" s="104"/>
      <c r="AR910" s="84"/>
      <c r="AS910" s="84"/>
      <c r="AT910" s="84"/>
      <c r="AU910" s="84"/>
      <c r="AV910" s="84"/>
      <c r="AW910" s="84"/>
      <c r="AX910" s="84"/>
      <c r="AY910" s="84"/>
      <c r="AZ910" s="84"/>
    </row>
    <row r="911" ht="15.75" customHeight="1">
      <c r="A911" s="9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5"/>
      <c r="AK911" s="85"/>
      <c r="AL911" s="103"/>
      <c r="AM911" s="104"/>
      <c r="AN911" s="103"/>
      <c r="AO911" s="104"/>
      <c r="AP911" s="103"/>
      <c r="AQ911" s="104"/>
      <c r="AR911" s="84"/>
      <c r="AS911" s="84"/>
      <c r="AT911" s="84"/>
      <c r="AU911" s="84"/>
      <c r="AV911" s="84"/>
      <c r="AW911" s="84"/>
      <c r="AX911" s="84"/>
      <c r="AY911" s="84"/>
      <c r="AZ911" s="84"/>
    </row>
    <row r="912" ht="15.75" customHeight="1">
      <c r="A912" s="9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5"/>
      <c r="AK912" s="85"/>
      <c r="AL912" s="103"/>
      <c r="AM912" s="104"/>
      <c r="AN912" s="103"/>
      <c r="AO912" s="104"/>
      <c r="AP912" s="103"/>
      <c r="AQ912" s="104"/>
      <c r="AR912" s="84"/>
      <c r="AS912" s="84"/>
      <c r="AT912" s="84"/>
      <c r="AU912" s="84"/>
      <c r="AV912" s="84"/>
      <c r="AW912" s="84"/>
      <c r="AX912" s="84"/>
      <c r="AY912" s="84"/>
      <c r="AZ912" s="84"/>
    </row>
    <row r="913" ht="15.75" customHeight="1">
      <c r="A913" s="9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5"/>
      <c r="AK913" s="85"/>
      <c r="AL913" s="103"/>
      <c r="AM913" s="104"/>
      <c r="AN913" s="103"/>
      <c r="AO913" s="104"/>
      <c r="AP913" s="103"/>
      <c r="AQ913" s="104"/>
      <c r="AR913" s="84"/>
      <c r="AS913" s="84"/>
      <c r="AT913" s="84"/>
      <c r="AU913" s="84"/>
      <c r="AV913" s="84"/>
      <c r="AW913" s="84"/>
      <c r="AX913" s="84"/>
      <c r="AY913" s="84"/>
      <c r="AZ913" s="84"/>
    </row>
    <row r="914" ht="15.75" customHeight="1">
      <c r="A914" s="9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5"/>
      <c r="AK914" s="85"/>
      <c r="AL914" s="103"/>
      <c r="AM914" s="104"/>
      <c r="AN914" s="103"/>
      <c r="AO914" s="104"/>
      <c r="AP914" s="103"/>
      <c r="AQ914" s="104"/>
      <c r="AR914" s="84"/>
      <c r="AS914" s="84"/>
      <c r="AT914" s="84"/>
      <c r="AU914" s="84"/>
      <c r="AV914" s="84"/>
      <c r="AW914" s="84"/>
      <c r="AX914" s="84"/>
      <c r="AY914" s="84"/>
      <c r="AZ914" s="84"/>
    </row>
    <row r="915" ht="15.75" customHeight="1">
      <c r="A915" s="9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5"/>
      <c r="AK915" s="85"/>
      <c r="AL915" s="103"/>
      <c r="AM915" s="104"/>
      <c r="AN915" s="103"/>
      <c r="AO915" s="104"/>
      <c r="AP915" s="103"/>
      <c r="AQ915" s="104"/>
      <c r="AR915" s="84"/>
      <c r="AS915" s="84"/>
      <c r="AT915" s="84"/>
      <c r="AU915" s="84"/>
      <c r="AV915" s="84"/>
      <c r="AW915" s="84"/>
      <c r="AX915" s="84"/>
      <c r="AY915" s="84"/>
      <c r="AZ915" s="84"/>
    </row>
    <row r="916" ht="15.75" customHeight="1">
      <c r="A916" s="9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5"/>
      <c r="AK916" s="85"/>
      <c r="AL916" s="103"/>
      <c r="AM916" s="104"/>
      <c r="AN916" s="103"/>
      <c r="AO916" s="104"/>
      <c r="AP916" s="103"/>
      <c r="AQ916" s="104"/>
      <c r="AR916" s="84"/>
      <c r="AS916" s="84"/>
      <c r="AT916" s="84"/>
      <c r="AU916" s="84"/>
      <c r="AV916" s="84"/>
      <c r="AW916" s="84"/>
      <c r="AX916" s="84"/>
      <c r="AY916" s="84"/>
      <c r="AZ916" s="84"/>
    </row>
    <row r="917" ht="15.75" customHeight="1">
      <c r="A917" s="9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5"/>
      <c r="AK917" s="85"/>
      <c r="AL917" s="103"/>
      <c r="AM917" s="104"/>
      <c r="AN917" s="103"/>
      <c r="AO917" s="104"/>
      <c r="AP917" s="103"/>
      <c r="AQ917" s="104"/>
      <c r="AR917" s="84"/>
      <c r="AS917" s="84"/>
      <c r="AT917" s="84"/>
      <c r="AU917" s="84"/>
      <c r="AV917" s="84"/>
      <c r="AW917" s="84"/>
      <c r="AX917" s="84"/>
      <c r="AY917" s="84"/>
      <c r="AZ917" s="84"/>
    </row>
    <row r="918" ht="15.75" customHeight="1">
      <c r="A918" s="9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5"/>
      <c r="AK918" s="85"/>
      <c r="AL918" s="103"/>
      <c r="AM918" s="104"/>
      <c r="AN918" s="103"/>
      <c r="AO918" s="104"/>
      <c r="AP918" s="103"/>
      <c r="AQ918" s="104"/>
      <c r="AR918" s="84"/>
      <c r="AS918" s="84"/>
      <c r="AT918" s="84"/>
      <c r="AU918" s="84"/>
      <c r="AV918" s="84"/>
      <c r="AW918" s="84"/>
      <c r="AX918" s="84"/>
      <c r="AY918" s="84"/>
      <c r="AZ918" s="84"/>
    </row>
    <row r="919" ht="15.75" customHeight="1">
      <c r="A919" s="9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5"/>
      <c r="AK919" s="85"/>
      <c r="AL919" s="103"/>
      <c r="AM919" s="104"/>
      <c r="AN919" s="103"/>
      <c r="AO919" s="104"/>
      <c r="AP919" s="103"/>
      <c r="AQ919" s="104"/>
      <c r="AR919" s="84"/>
      <c r="AS919" s="84"/>
      <c r="AT919" s="84"/>
      <c r="AU919" s="84"/>
      <c r="AV919" s="84"/>
      <c r="AW919" s="84"/>
      <c r="AX919" s="84"/>
      <c r="AY919" s="84"/>
      <c r="AZ919" s="84"/>
    </row>
    <row r="920" ht="15.75" customHeight="1">
      <c r="A920" s="9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5"/>
      <c r="AK920" s="85"/>
      <c r="AL920" s="103"/>
      <c r="AM920" s="104"/>
      <c r="AN920" s="103"/>
      <c r="AO920" s="104"/>
      <c r="AP920" s="103"/>
      <c r="AQ920" s="104"/>
      <c r="AR920" s="84"/>
      <c r="AS920" s="84"/>
      <c r="AT920" s="84"/>
      <c r="AU920" s="84"/>
      <c r="AV920" s="84"/>
      <c r="AW920" s="84"/>
      <c r="AX920" s="84"/>
      <c r="AY920" s="84"/>
      <c r="AZ920" s="84"/>
    </row>
    <row r="921" ht="15.75" customHeight="1">
      <c r="A921" s="9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5"/>
      <c r="AK921" s="85"/>
      <c r="AL921" s="103"/>
      <c r="AM921" s="104"/>
      <c r="AN921" s="103"/>
      <c r="AO921" s="104"/>
      <c r="AP921" s="103"/>
      <c r="AQ921" s="104"/>
      <c r="AR921" s="84"/>
      <c r="AS921" s="84"/>
      <c r="AT921" s="84"/>
      <c r="AU921" s="84"/>
      <c r="AV921" s="84"/>
      <c r="AW921" s="84"/>
      <c r="AX921" s="84"/>
      <c r="AY921" s="84"/>
      <c r="AZ921" s="84"/>
    </row>
    <row r="922" ht="15.75" customHeight="1">
      <c r="A922" s="9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5"/>
      <c r="AK922" s="85"/>
      <c r="AL922" s="103"/>
      <c r="AM922" s="104"/>
      <c r="AN922" s="103"/>
      <c r="AO922" s="104"/>
      <c r="AP922" s="103"/>
      <c r="AQ922" s="104"/>
      <c r="AR922" s="84"/>
      <c r="AS922" s="84"/>
      <c r="AT922" s="84"/>
      <c r="AU922" s="84"/>
      <c r="AV922" s="84"/>
      <c r="AW922" s="84"/>
      <c r="AX922" s="84"/>
      <c r="AY922" s="84"/>
      <c r="AZ922" s="84"/>
    </row>
    <row r="923" ht="15.75" customHeight="1">
      <c r="A923" s="9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5"/>
      <c r="AK923" s="85"/>
      <c r="AL923" s="103"/>
      <c r="AM923" s="104"/>
      <c r="AN923" s="103"/>
      <c r="AO923" s="104"/>
      <c r="AP923" s="103"/>
      <c r="AQ923" s="104"/>
      <c r="AR923" s="84"/>
      <c r="AS923" s="84"/>
      <c r="AT923" s="84"/>
      <c r="AU923" s="84"/>
      <c r="AV923" s="84"/>
      <c r="AW923" s="84"/>
      <c r="AX923" s="84"/>
      <c r="AY923" s="84"/>
      <c r="AZ923" s="84"/>
    </row>
    <row r="924" ht="15.75" customHeight="1">
      <c r="A924" s="9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5"/>
      <c r="AK924" s="85"/>
      <c r="AL924" s="103"/>
      <c r="AM924" s="104"/>
      <c r="AN924" s="103"/>
      <c r="AO924" s="104"/>
      <c r="AP924" s="103"/>
      <c r="AQ924" s="104"/>
      <c r="AR924" s="84"/>
      <c r="AS924" s="84"/>
      <c r="AT924" s="84"/>
      <c r="AU924" s="84"/>
      <c r="AV924" s="84"/>
      <c r="AW924" s="84"/>
      <c r="AX924" s="84"/>
      <c r="AY924" s="84"/>
      <c r="AZ924" s="84"/>
    </row>
    <row r="925" ht="15.75" customHeight="1">
      <c r="A925" s="9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5"/>
      <c r="AK925" s="85"/>
      <c r="AL925" s="103"/>
      <c r="AM925" s="104"/>
      <c r="AN925" s="103"/>
      <c r="AO925" s="104"/>
      <c r="AP925" s="103"/>
      <c r="AQ925" s="104"/>
      <c r="AR925" s="84"/>
      <c r="AS925" s="84"/>
      <c r="AT925" s="84"/>
      <c r="AU925" s="84"/>
      <c r="AV925" s="84"/>
      <c r="AW925" s="84"/>
      <c r="AX925" s="84"/>
      <c r="AY925" s="84"/>
      <c r="AZ925" s="84"/>
    </row>
    <row r="926" ht="15.75" customHeight="1">
      <c r="A926" s="9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5"/>
      <c r="AK926" s="85"/>
      <c r="AL926" s="103"/>
      <c r="AM926" s="104"/>
      <c r="AN926" s="103"/>
      <c r="AO926" s="104"/>
      <c r="AP926" s="103"/>
      <c r="AQ926" s="104"/>
      <c r="AR926" s="84"/>
      <c r="AS926" s="84"/>
      <c r="AT926" s="84"/>
      <c r="AU926" s="84"/>
      <c r="AV926" s="84"/>
      <c r="AW926" s="84"/>
      <c r="AX926" s="84"/>
      <c r="AY926" s="84"/>
      <c r="AZ926" s="84"/>
    </row>
    <row r="927" ht="15.75" customHeight="1">
      <c r="A927" s="9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5"/>
      <c r="AK927" s="85"/>
      <c r="AL927" s="103"/>
      <c r="AM927" s="104"/>
      <c r="AN927" s="103"/>
      <c r="AO927" s="104"/>
      <c r="AP927" s="103"/>
      <c r="AQ927" s="104"/>
      <c r="AR927" s="84"/>
      <c r="AS927" s="84"/>
      <c r="AT927" s="84"/>
      <c r="AU927" s="84"/>
      <c r="AV927" s="84"/>
      <c r="AW927" s="84"/>
      <c r="AX927" s="84"/>
      <c r="AY927" s="84"/>
      <c r="AZ927" s="84"/>
    </row>
    <row r="928" ht="15.75" customHeight="1">
      <c r="A928" s="9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5"/>
      <c r="AK928" s="85"/>
      <c r="AL928" s="103"/>
      <c r="AM928" s="104"/>
      <c r="AN928" s="103"/>
      <c r="AO928" s="104"/>
      <c r="AP928" s="103"/>
      <c r="AQ928" s="104"/>
      <c r="AR928" s="84"/>
      <c r="AS928" s="84"/>
      <c r="AT928" s="84"/>
      <c r="AU928" s="84"/>
      <c r="AV928" s="84"/>
      <c r="AW928" s="84"/>
      <c r="AX928" s="84"/>
      <c r="AY928" s="84"/>
      <c r="AZ928" s="84"/>
    </row>
    <row r="929" ht="15.75" customHeight="1">
      <c r="A929" s="9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5"/>
      <c r="AK929" s="85"/>
      <c r="AL929" s="103"/>
      <c r="AM929" s="104"/>
      <c r="AN929" s="103"/>
      <c r="AO929" s="104"/>
      <c r="AP929" s="103"/>
      <c r="AQ929" s="104"/>
      <c r="AR929" s="84"/>
      <c r="AS929" s="84"/>
      <c r="AT929" s="84"/>
      <c r="AU929" s="84"/>
      <c r="AV929" s="84"/>
      <c r="AW929" s="84"/>
      <c r="AX929" s="84"/>
      <c r="AY929" s="84"/>
      <c r="AZ929" s="84"/>
    </row>
    <row r="930" ht="15.75" customHeight="1">
      <c r="A930" s="9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5"/>
      <c r="AK930" s="85"/>
      <c r="AL930" s="103"/>
      <c r="AM930" s="104"/>
      <c r="AN930" s="103"/>
      <c r="AO930" s="104"/>
      <c r="AP930" s="103"/>
      <c r="AQ930" s="104"/>
      <c r="AR930" s="84"/>
      <c r="AS930" s="84"/>
      <c r="AT930" s="84"/>
      <c r="AU930" s="84"/>
      <c r="AV930" s="84"/>
      <c r="AW930" s="84"/>
      <c r="AX930" s="84"/>
      <c r="AY930" s="84"/>
      <c r="AZ930" s="84"/>
    </row>
    <row r="931" ht="15.75" customHeight="1">
      <c r="A931" s="9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5"/>
      <c r="AK931" s="85"/>
      <c r="AL931" s="103"/>
      <c r="AM931" s="104"/>
      <c r="AN931" s="103"/>
      <c r="AO931" s="104"/>
      <c r="AP931" s="103"/>
      <c r="AQ931" s="104"/>
      <c r="AR931" s="84"/>
      <c r="AS931" s="84"/>
      <c r="AT931" s="84"/>
      <c r="AU931" s="84"/>
      <c r="AV931" s="84"/>
      <c r="AW931" s="84"/>
      <c r="AX931" s="84"/>
      <c r="AY931" s="84"/>
      <c r="AZ931" s="84"/>
    </row>
    <row r="932" ht="15.75" customHeight="1">
      <c r="A932" s="9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5"/>
      <c r="AK932" s="85"/>
      <c r="AL932" s="103"/>
      <c r="AM932" s="104"/>
      <c r="AN932" s="103"/>
      <c r="AO932" s="104"/>
      <c r="AP932" s="103"/>
      <c r="AQ932" s="104"/>
      <c r="AR932" s="84"/>
      <c r="AS932" s="84"/>
      <c r="AT932" s="84"/>
      <c r="AU932" s="84"/>
      <c r="AV932" s="84"/>
      <c r="AW932" s="84"/>
      <c r="AX932" s="84"/>
      <c r="AY932" s="84"/>
      <c r="AZ932" s="84"/>
    </row>
    <row r="933" ht="15.75" customHeight="1">
      <c r="A933" s="9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5"/>
      <c r="AK933" s="85"/>
      <c r="AL933" s="103"/>
      <c r="AM933" s="104"/>
      <c r="AN933" s="103"/>
      <c r="AO933" s="104"/>
      <c r="AP933" s="103"/>
      <c r="AQ933" s="104"/>
      <c r="AR933" s="84"/>
      <c r="AS933" s="84"/>
      <c r="AT933" s="84"/>
      <c r="AU933" s="84"/>
      <c r="AV933" s="84"/>
      <c r="AW933" s="84"/>
      <c r="AX933" s="84"/>
      <c r="AY933" s="84"/>
      <c r="AZ933" s="84"/>
    </row>
    <row r="934" ht="15.75" customHeight="1">
      <c r="A934" s="9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5"/>
      <c r="AK934" s="85"/>
      <c r="AL934" s="103"/>
      <c r="AM934" s="104"/>
      <c r="AN934" s="103"/>
      <c r="AO934" s="104"/>
      <c r="AP934" s="103"/>
      <c r="AQ934" s="104"/>
      <c r="AR934" s="84"/>
      <c r="AS934" s="84"/>
      <c r="AT934" s="84"/>
      <c r="AU934" s="84"/>
      <c r="AV934" s="84"/>
      <c r="AW934" s="84"/>
      <c r="AX934" s="84"/>
      <c r="AY934" s="84"/>
      <c r="AZ934" s="84"/>
    </row>
    <row r="935" ht="15.75" customHeight="1">
      <c r="A935" s="9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5"/>
      <c r="AK935" s="85"/>
      <c r="AL935" s="103"/>
      <c r="AM935" s="104"/>
      <c r="AN935" s="103"/>
      <c r="AO935" s="104"/>
      <c r="AP935" s="103"/>
      <c r="AQ935" s="104"/>
      <c r="AR935" s="84"/>
      <c r="AS935" s="84"/>
      <c r="AT935" s="84"/>
      <c r="AU935" s="84"/>
      <c r="AV935" s="84"/>
      <c r="AW935" s="84"/>
      <c r="AX935" s="84"/>
      <c r="AY935" s="84"/>
      <c r="AZ935" s="84"/>
    </row>
    <row r="936" ht="15.75" customHeight="1">
      <c r="A936" s="9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5"/>
      <c r="AK936" s="85"/>
      <c r="AL936" s="103"/>
      <c r="AM936" s="104"/>
      <c r="AN936" s="103"/>
      <c r="AO936" s="104"/>
      <c r="AP936" s="103"/>
      <c r="AQ936" s="104"/>
      <c r="AR936" s="84"/>
      <c r="AS936" s="84"/>
      <c r="AT936" s="84"/>
      <c r="AU936" s="84"/>
      <c r="AV936" s="84"/>
      <c r="AW936" s="84"/>
      <c r="AX936" s="84"/>
      <c r="AY936" s="84"/>
      <c r="AZ936" s="84"/>
    </row>
    <row r="937" ht="15.75" customHeight="1">
      <c r="A937" s="9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5"/>
      <c r="AK937" s="85"/>
      <c r="AL937" s="103"/>
      <c r="AM937" s="104"/>
      <c r="AN937" s="103"/>
      <c r="AO937" s="104"/>
      <c r="AP937" s="103"/>
      <c r="AQ937" s="104"/>
      <c r="AR937" s="84"/>
      <c r="AS937" s="84"/>
      <c r="AT937" s="84"/>
      <c r="AU937" s="84"/>
      <c r="AV937" s="84"/>
      <c r="AW937" s="84"/>
      <c r="AX937" s="84"/>
      <c r="AY937" s="84"/>
      <c r="AZ937" s="84"/>
    </row>
    <row r="938" ht="15.75" customHeight="1">
      <c r="A938" s="9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5"/>
      <c r="AK938" s="85"/>
      <c r="AL938" s="103"/>
      <c r="AM938" s="104"/>
      <c r="AN938" s="103"/>
      <c r="AO938" s="104"/>
      <c r="AP938" s="103"/>
      <c r="AQ938" s="104"/>
      <c r="AR938" s="84"/>
      <c r="AS938" s="84"/>
      <c r="AT938" s="84"/>
      <c r="AU938" s="84"/>
      <c r="AV938" s="84"/>
      <c r="AW938" s="84"/>
      <c r="AX938" s="84"/>
      <c r="AY938" s="84"/>
      <c r="AZ938" s="84"/>
    </row>
    <row r="939" ht="15.75" customHeight="1">
      <c r="A939" s="9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5"/>
      <c r="AK939" s="85"/>
      <c r="AL939" s="103"/>
      <c r="AM939" s="104"/>
      <c r="AN939" s="103"/>
      <c r="AO939" s="104"/>
      <c r="AP939" s="103"/>
      <c r="AQ939" s="104"/>
      <c r="AR939" s="84"/>
      <c r="AS939" s="84"/>
      <c r="AT939" s="84"/>
      <c r="AU939" s="84"/>
      <c r="AV939" s="84"/>
      <c r="AW939" s="84"/>
      <c r="AX939" s="84"/>
      <c r="AY939" s="84"/>
      <c r="AZ939" s="84"/>
    </row>
    <row r="940" ht="15.75" customHeight="1">
      <c r="A940" s="9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5"/>
      <c r="AK940" s="85"/>
      <c r="AL940" s="103"/>
      <c r="AM940" s="104"/>
      <c r="AN940" s="103"/>
      <c r="AO940" s="104"/>
      <c r="AP940" s="103"/>
      <c r="AQ940" s="104"/>
      <c r="AR940" s="84"/>
      <c r="AS940" s="84"/>
      <c r="AT940" s="84"/>
      <c r="AU940" s="84"/>
      <c r="AV940" s="84"/>
      <c r="AW940" s="84"/>
      <c r="AX940" s="84"/>
      <c r="AY940" s="84"/>
      <c r="AZ940" s="84"/>
    </row>
    <row r="941" ht="15.75" customHeight="1">
      <c r="A941" s="9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5"/>
      <c r="AK941" s="85"/>
      <c r="AL941" s="103"/>
      <c r="AM941" s="104"/>
      <c r="AN941" s="103"/>
      <c r="AO941" s="104"/>
      <c r="AP941" s="103"/>
      <c r="AQ941" s="104"/>
      <c r="AR941" s="84"/>
      <c r="AS941" s="84"/>
      <c r="AT941" s="84"/>
      <c r="AU941" s="84"/>
      <c r="AV941" s="84"/>
      <c r="AW941" s="84"/>
      <c r="AX941" s="84"/>
      <c r="AY941" s="84"/>
      <c r="AZ941" s="84"/>
    </row>
    <row r="942" ht="15.75" customHeight="1">
      <c r="A942" s="9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5"/>
      <c r="AK942" s="85"/>
      <c r="AL942" s="103"/>
      <c r="AM942" s="104"/>
      <c r="AN942" s="103"/>
      <c r="AO942" s="104"/>
      <c r="AP942" s="103"/>
      <c r="AQ942" s="104"/>
      <c r="AR942" s="84"/>
      <c r="AS942" s="84"/>
      <c r="AT942" s="84"/>
      <c r="AU942" s="84"/>
      <c r="AV942" s="84"/>
      <c r="AW942" s="84"/>
      <c r="AX942" s="84"/>
      <c r="AY942" s="84"/>
      <c r="AZ942" s="84"/>
    </row>
    <row r="943" ht="15.75" customHeight="1">
      <c r="A943" s="9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5"/>
      <c r="AK943" s="85"/>
      <c r="AL943" s="103"/>
      <c r="AM943" s="104"/>
      <c r="AN943" s="103"/>
      <c r="AO943" s="104"/>
      <c r="AP943" s="103"/>
      <c r="AQ943" s="104"/>
      <c r="AR943" s="84"/>
      <c r="AS943" s="84"/>
      <c r="AT943" s="84"/>
      <c r="AU943" s="84"/>
      <c r="AV943" s="84"/>
      <c r="AW943" s="84"/>
      <c r="AX943" s="84"/>
      <c r="AY943" s="84"/>
      <c r="AZ943" s="84"/>
    </row>
    <row r="944" ht="15.75" customHeight="1">
      <c r="A944" s="9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5"/>
      <c r="AK944" s="85"/>
      <c r="AL944" s="103"/>
      <c r="AM944" s="104"/>
      <c r="AN944" s="103"/>
      <c r="AO944" s="104"/>
      <c r="AP944" s="103"/>
      <c r="AQ944" s="104"/>
      <c r="AR944" s="84"/>
      <c r="AS944" s="84"/>
      <c r="AT944" s="84"/>
      <c r="AU944" s="84"/>
      <c r="AV944" s="84"/>
      <c r="AW944" s="84"/>
      <c r="AX944" s="84"/>
      <c r="AY944" s="84"/>
      <c r="AZ944" s="84"/>
    </row>
    <row r="945" ht="15.75" customHeight="1">
      <c r="A945" s="9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5"/>
      <c r="AK945" s="85"/>
      <c r="AL945" s="103"/>
      <c r="AM945" s="104"/>
      <c r="AN945" s="103"/>
      <c r="AO945" s="104"/>
      <c r="AP945" s="103"/>
      <c r="AQ945" s="104"/>
      <c r="AR945" s="84"/>
      <c r="AS945" s="84"/>
      <c r="AT945" s="84"/>
      <c r="AU945" s="84"/>
      <c r="AV945" s="84"/>
      <c r="AW945" s="84"/>
      <c r="AX945" s="84"/>
      <c r="AY945" s="84"/>
      <c r="AZ945" s="84"/>
    </row>
    <row r="946" ht="15.75" customHeight="1">
      <c r="A946" s="9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5"/>
      <c r="AK946" s="85"/>
      <c r="AL946" s="103"/>
      <c r="AM946" s="104"/>
      <c r="AN946" s="103"/>
      <c r="AO946" s="104"/>
      <c r="AP946" s="103"/>
      <c r="AQ946" s="104"/>
      <c r="AR946" s="84"/>
      <c r="AS946" s="84"/>
      <c r="AT946" s="84"/>
      <c r="AU946" s="84"/>
      <c r="AV946" s="84"/>
      <c r="AW946" s="84"/>
      <c r="AX946" s="84"/>
      <c r="AY946" s="84"/>
      <c r="AZ946" s="84"/>
    </row>
    <row r="947" ht="15.75" customHeight="1">
      <c r="A947" s="9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5"/>
      <c r="AK947" s="85"/>
      <c r="AL947" s="103"/>
      <c r="AM947" s="104"/>
      <c r="AN947" s="103"/>
      <c r="AO947" s="104"/>
      <c r="AP947" s="103"/>
      <c r="AQ947" s="104"/>
      <c r="AR947" s="84"/>
      <c r="AS947" s="84"/>
      <c r="AT947" s="84"/>
      <c r="AU947" s="84"/>
      <c r="AV947" s="84"/>
      <c r="AW947" s="84"/>
      <c r="AX947" s="84"/>
      <c r="AY947" s="84"/>
      <c r="AZ947" s="84"/>
    </row>
    <row r="948" ht="15.75" customHeight="1">
      <c r="A948" s="9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5"/>
      <c r="AK948" s="85"/>
      <c r="AL948" s="103"/>
      <c r="AM948" s="104"/>
      <c r="AN948" s="103"/>
      <c r="AO948" s="104"/>
      <c r="AP948" s="103"/>
      <c r="AQ948" s="104"/>
      <c r="AR948" s="84"/>
      <c r="AS948" s="84"/>
      <c r="AT948" s="84"/>
      <c r="AU948" s="84"/>
      <c r="AV948" s="84"/>
      <c r="AW948" s="84"/>
      <c r="AX948" s="84"/>
      <c r="AY948" s="84"/>
      <c r="AZ948" s="84"/>
    </row>
    <row r="949" ht="15.75" customHeight="1">
      <c r="A949" s="9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5"/>
      <c r="AK949" s="85"/>
      <c r="AL949" s="103"/>
      <c r="AM949" s="104"/>
      <c r="AN949" s="103"/>
      <c r="AO949" s="104"/>
      <c r="AP949" s="103"/>
      <c r="AQ949" s="104"/>
      <c r="AR949" s="84"/>
      <c r="AS949" s="84"/>
      <c r="AT949" s="84"/>
      <c r="AU949" s="84"/>
      <c r="AV949" s="84"/>
      <c r="AW949" s="84"/>
      <c r="AX949" s="84"/>
      <c r="AY949" s="84"/>
      <c r="AZ949" s="84"/>
    </row>
    <row r="950" ht="15.75" customHeight="1">
      <c r="A950" s="9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5"/>
      <c r="AK950" s="85"/>
      <c r="AL950" s="103"/>
      <c r="AM950" s="104"/>
      <c r="AN950" s="103"/>
      <c r="AO950" s="104"/>
      <c r="AP950" s="103"/>
      <c r="AQ950" s="104"/>
      <c r="AR950" s="84"/>
      <c r="AS950" s="84"/>
      <c r="AT950" s="84"/>
      <c r="AU950" s="84"/>
      <c r="AV950" s="84"/>
      <c r="AW950" s="84"/>
      <c r="AX950" s="84"/>
      <c r="AY950" s="84"/>
      <c r="AZ950" s="84"/>
    </row>
    <row r="951" ht="15.75" customHeight="1">
      <c r="A951" s="9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5"/>
      <c r="AK951" s="85"/>
      <c r="AL951" s="103"/>
      <c r="AM951" s="104"/>
      <c r="AN951" s="103"/>
      <c r="AO951" s="104"/>
      <c r="AP951" s="103"/>
      <c r="AQ951" s="104"/>
      <c r="AR951" s="84"/>
      <c r="AS951" s="84"/>
      <c r="AT951" s="84"/>
      <c r="AU951" s="84"/>
      <c r="AV951" s="84"/>
      <c r="AW951" s="84"/>
      <c r="AX951" s="84"/>
      <c r="AY951" s="84"/>
      <c r="AZ951" s="84"/>
    </row>
    <row r="952" ht="15.75" customHeight="1">
      <c r="A952" s="9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5"/>
      <c r="AK952" s="85"/>
      <c r="AL952" s="103"/>
      <c r="AM952" s="104"/>
      <c r="AN952" s="103"/>
      <c r="AO952" s="104"/>
      <c r="AP952" s="103"/>
      <c r="AQ952" s="104"/>
      <c r="AR952" s="84"/>
      <c r="AS952" s="84"/>
      <c r="AT952" s="84"/>
      <c r="AU952" s="84"/>
      <c r="AV952" s="84"/>
      <c r="AW952" s="84"/>
      <c r="AX952" s="84"/>
      <c r="AY952" s="84"/>
      <c r="AZ952" s="84"/>
    </row>
    <row r="953" ht="15.75" customHeight="1">
      <c r="A953" s="9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5"/>
      <c r="AK953" s="85"/>
      <c r="AL953" s="103"/>
      <c r="AM953" s="104"/>
      <c r="AN953" s="103"/>
      <c r="AO953" s="104"/>
      <c r="AP953" s="103"/>
      <c r="AQ953" s="104"/>
      <c r="AR953" s="84"/>
      <c r="AS953" s="84"/>
      <c r="AT953" s="84"/>
      <c r="AU953" s="84"/>
      <c r="AV953" s="84"/>
      <c r="AW953" s="84"/>
      <c r="AX953" s="84"/>
      <c r="AY953" s="84"/>
      <c r="AZ953" s="84"/>
    </row>
    <row r="954" ht="15.75" customHeight="1">
      <c r="A954" s="9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5"/>
      <c r="AK954" s="85"/>
      <c r="AL954" s="103"/>
      <c r="AM954" s="104"/>
      <c r="AN954" s="103"/>
      <c r="AO954" s="104"/>
      <c r="AP954" s="103"/>
      <c r="AQ954" s="104"/>
      <c r="AR954" s="84"/>
      <c r="AS954" s="84"/>
      <c r="AT954" s="84"/>
      <c r="AU954" s="84"/>
      <c r="AV954" s="84"/>
      <c r="AW954" s="84"/>
      <c r="AX954" s="84"/>
      <c r="AY954" s="84"/>
      <c r="AZ954" s="84"/>
    </row>
    <row r="955" ht="15.75" customHeight="1">
      <c r="A955" s="9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5"/>
      <c r="AK955" s="85"/>
      <c r="AL955" s="103"/>
      <c r="AM955" s="104"/>
      <c r="AN955" s="103"/>
      <c r="AO955" s="104"/>
      <c r="AP955" s="103"/>
      <c r="AQ955" s="104"/>
      <c r="AR955" s="84"/>
      <c r="AS955" s="84"/>
      <c r="AT955" s="84"/>
      <c r="AU955" s="84"/>
      <c r="AV955" s="84"/>
      <c r="AW955" s="84"/>
      <c r="AX955" s="84"/>
      <c r="AY955" s="84"/>
      <c r="AZ955" s="84"/>
    </row>
    <row r="956" ht="15.75" customHeight="1">
      <c r="A956" s="9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5"/>
      <c r="AK956" s="85"/>
      <c r="AL956" s="103"/>
      <c r="AM956" s="104"/>
      <c r="AN956" s="103"/>
      <c r="AO956" s="104"/>
      <c r="AP956" s="103"/>
      <c r="AQ956" s="104"/>
      <c r="AR956" s="84"/>
      <c r="AS956" s="84"/>
      <c r="AT956" s="84"/>
      <c r="AU956" s="84"/>
      <c r="AV956" s="84"/>
      <c r="AW956" s="84"/>
      <c r="AX956" s="84"/>
      <c r="AY956" s="84"/>
      <c r="AZ956" s="84"/>
    </row>
    <row r="957" ht="15.75" customHeight="1">
      <c r="A957" s="9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5"/>
      <c r="AK957" s="85"/>
      <c r="AL957" s="103"/>
      <c r="AM957" s="104"/>
      <c r="AN957" s="103"/>
      <c r="AO957" s="104"/>
      <c r="AP957" s="103"/>
      <c r="AQ957" s="104"/>
      <c r="AR957" s="84"/>
      <c r="AS957" s="84"/>
      <c r="AT957" s="84"/>
      <c r="AU957" s="84"/>
      <c r="AV957" s="84"/>
      <c r="AW957" s="84"/>
      <c r="AX957" s="84"/>
      <c r="AY957" s="84"/>
      <c r="AZ957" s="84"/>
    </row>
    <row r="958" ht="15.75" customHeight="1">
      <c r="A958" s="9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5"/>
      <c r="AK958" s="85"/>
      <c r="AL958" s="103"/>
      <c r="AM958" s="104"/>
      <c r="AN958" s="103"/>
      <c r="AO958" s="104"/>
      <c r="AP958" s="103"/>
      <c r="AQ958" s="104"/>
      <c r="AR958" s="84"/>
      <c r="AS958" s="84"/>
      <c r="AT958" s="84"/>
      <c r="AU958" s="84"/>
      <c r="AV958" s="84"/>
      <c r="AW958" s="84"/>
      <c r="AX958" s="84"/>
      <c r="AY958" s="84"/>
      <c r="AZ958" s="84"/>
    </row>
    <row r="959" ht="15.75" customHeight="1">
      <c r="A959" s="9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5"/>
      <c r="AK959" s="85"/>
      <c r="AL959" s="103"/>
      <c r="AM959" s="104"/>
      <c r="AN959" s="103"/>
      <c r="AO959" s="104"/>
      <c r="AP959" s="103"/>
      <c r="AQ959" s="104"/>
      <c r="AR959" s="84"/>
      <c r="AS959" s="84"/>
      <c r="AT959" s="84"/>
      <c r="AU959" s="84"/>
      <c r="AV959" s="84"/>
      <c r="AW959" s="84"/>
      <c r="AX959" s="84"/>
      <c r="AY959" s="84"/>
      <c r="AZ959" s="84"/>
    </row>
    <row r="960" ht="15.75" customHeight="1">
      <c r="A960" s="9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5"/>
      <c r="AK960" s="85"/>
      <c r="AL960" s="103"/>
      <c r="AM960" s="104"/>
      <c r="AN960" s="103"/>
      <c r="AO960" s="104"/>
      <c r="AP960" s="103"/>
      <c r="AQ960" s="104"/>
      <c r="AR960" s="84"/>
      <c r="AS960" s="84"/>
      <c r="AT960" s="84"/>
      <c r="AU960" s="84"/>
      <c r="AV960" s="84"/>
      <c r="AW960" s="84"/>
      <c r="AX960" s="84"/>
      <c r="AY960" s="84"/>
      <c r="AZ960" s="84"/>
    </row>
    <row r="961" ht="15.75" customHeight="1">
      <c r="A961" s="9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5"/>
      <c r="AK961" s="85"/>
      <c r="AL961" s="103"/>
      <c r="AM961" s="104"/>
      <c r="AN961" s="103"/>
      <c r="AO961" s="104"/>
      <c r="AP961" s="103"/>
      <c r="AQ961" s="104"/>
      <c r="AR961" s="84"/>
      <c r="AS961" s="84"/>
      <c r="AT961" s="84"/>
      <c r="AU961" s="84"/>
      <c r="AV961" s="84"/>
      <c r="AW961" s="84"/>
      <c r="AX961" s="84"/>
      <c r="AY961" s="84"/>
      <c r="AZ961" s="84"/>
    </row>
    <row r="962" ht="15.75" customHeight="1">
      <c r="A962" s="9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5"/>
      <c r="AK962" s="85"/>
      <c r="AL962" s="103"/>
      <c r="AM962" s="104"/>
      <c r="AN962" s="103"/>
      <c r="AO962" s="104"/>
      <c r="AP962" s="103"/>
      <c r="AQ962" s="104"/>
      <c r="AR962" s="84"/>
      <c r="AS962" s="84"/>
      <c r="AT962" s="84"/>
      <c r="AU962" s="84"/>
      <c r="AV962" s="84"/>
      <c r="AW962" s="84"/>
      <c r="AX962" s="84"/>
      <c r="AY962" s="84"/>
      <c r="AZ962" s="84"/>
    </row>
    <row r="963" ht="15.75" customHeight="1">
      <c r="A963" s="9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5"/>
      <c r="AK963" s="85"/>
      <c r="AL963" s="103"/>
      <c r="AM963" s="104"/>
      <c r="AN963" s="103"/>
      <c r="AO963" s="104"/>
      <c r="AP963" s="103"/>
      <c r="AQ963" s="104"/>
      <c r="AR963" s="84"/>
      <c r="AS963" s="84"/>
      <c r="AT963" s="84"/>
      <c r="AU963" s="84"/>
      <c r="AV963" s="84"/>
      <c r="AW963" s="84"/>
      <c r="AX963" s="84"/>
      <c r="AY963" s="84"/>
      <c r="AZ963" s="84"/>
    </row>
    <row r="964" ht="15.75" customHeight="1">
      <c r="A964" s="9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5"/>
      <c r="AK964" s="85"/>
      <c r="AL964" s="103"/>
      <c r="AM964" s="104"/>
      <c r="AN964" s="103"/>
      <c r="AO964" s="104"/>
      <c r="AP964" s="103"/>
      <c r="AQ964" s="104"/>
      <c r="AR964" s="84"/>
      <c r="AS964" s="84"/>
      <c r="AT964" s="84"/>
      <c r="AU964" s="84"/>
      <c r="AV964" s="84"/>
      <c r="AW964" s="84"/>
      <c r="AX964" s="84"/>
      <c r="AY964" s="84"/>
      <c r="AZ964" s="84"/>
    </row>
    <row r="965" ht="15.75" customHeight="1">
      <c r="A965" s="9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5"/>
      <c r="AK965" s="85"/>
      <c r="AL965" s="103"/>
      <c r="AM965" s="104"/>
      <c r="AN965" s="103"/>
      <c r="AO965" s="104"/>
      <c r="AP965" s="103"/>
      <c r="AQ965" s="104"/>
      <c r="AR965" s="84"/>
      <c r="AS965" s="84"/>
      <c r="AT965" s="84"/>
      <c r="AU965" s="84"/>
      <c r="AV965" s="84"/>
      <c r="AW965" s="84"/>
      <c r="AX965" s="84"/>
      <c r="AY965" s="84"/>
      <c r="AZ965" s="84"/>
    </row>
    <row r="966" ht="15.75" customHeight="1">
      <c r="A966" s="9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5"/>
      <c r="AK966" s="85"/>
      <c r="AL966" s="103"/>
      <c r="AM966" s="104"/>
      <c r="AN966" s="103"/>
      <c r="AO966" s="104"/>
      <c r="AP966" s="103"/>
      <c r="AQ966" s="104"/>
      <c r="AR966" s="84"/>
      <c r="AS966" s="84"/>
      <c r="AT966" s="84"/>
      <c r="AU966" s="84"/>
      <c r="AV966" s="84"/>
      <c r="AW966" s="84"/>
      <c r="AX966" s="84"/>
      <c r="AY966" s="84"/>
      <c r="AZ966" s="84"/>
    </row>
    <row r="967" ht="15.75" customHeight="1">
      <c r="A967" s="9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5"/>
      <c r="AK967" s="85"/>
      <c r="AL967" s="103"/>
      <c r="AM967" s="104"/>
      <c r="AN967" s="103"/>
      <c r="AO967" s="104"/>
      <c r="AP967" s="103"/>
      <c r="AQ967" s="104"/>
      <c r="AR967" s="84"/>
      <c r="AS967" s="84"/>
      <c r="AT967" s="84"/>
      <c r="AU967" s="84"/>
      <c r="AV967" s="84"/>
      <c r="AW967" s="84"/>
      <c r="AX967" s="84"/>
      <c r="AY967" s="84"/>
      <c r="AZ967" s="84"/>
    </row>
    <row r="968" ht="15.75" customHeight="1">
      <c r="A968" s="9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5"/>
      <c r="AK968" s="85"/>
      <c r="AL968" s="103"/>
      <c r="AM968" s="104"/>
      <c r="AN968" s="103"/>
      <c r="AO968" s="104"/>
      <c r="AP968" s="103"/>
      <c r="AQ968" s="104"/>
      <c r="AR968" s="84"/>
      <c r="AS968" s="84"/>
      <c r="AT968" s="84"/>
      <c r="AU968" s="84"/>
      <c r="AV968" s="84"/>
      <c r="AW968" s="84"/>
      <c r="AX968" s="84"/>
      <c r="AY968" s="84"/>
      <c r="AZ968" s="84"/>
    </row>
    <row r="969" ht="15.75" customHeight="1">
      <c r="A969" s="9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5"/>
      <c r="AK969" s="85"/>
      <c r="AL969" s="103"/>
      <c r="AM969" s="104"/>
      <c r="AN969" s="103"/>
      <c r="AO969" s="104"/>
      <c r="AP969" s="103"/>
      <c r="AQ969" s="104"/>
      <c r="AR969" s="84"/>
      <c r="AS969" s="84"/>
      <c r="AT969" s="84"/>
      <c r="AU969" s="84"/>
      <c r="AV969" s="84"/>
      <c r="AW969" s="84"/>
      <c r="AX969" s="84"/>
      <c r="AY969" s="84"/>
      <c r="AZ969" s="84"/>
    </row>
    <row r="970" ht="15.75" customHeight="1">
      <c r="A970" s="9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5"/>
      <c r="AK970" s="85"/>
      <c r="AL970" s="103"/>
      <c r="AM970" s="104"/>
      <c r="AN970" s="103"/>
      <c r="AO970" s="104"/>
      <c r="AP970" s="103"/>
      <c r="AQ970" s="104"/>
      <c r="AR970" s="84"/>
      <c r="AS970" s="84"/>
      <c r="AT970" s="84"/>
      <c r="AU970" s="84"/>
      <c r="AV970" s="84"/>
      <c r="AW970" s="84"/>
      <c r="AX970" s="84"/>
      <c r="AY970" s="84"/>
      <c r="AZ970" s="84"/>
    </row>
    <row r="971" ht="15.75" customHeight="1">
      <c r="A971" s="9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5"/>
      <c r="AK971" s="85"/>
      <c r="AL971" s="103"/>
      <c r="AM971" s="104"/>
      <c r="AN971" s="103"/>
      <c r="AO971" s="104"/>
      <c r="AP971" s="103"/>
      <c r="AQ971" s="104"/>
      <c r="AR971" s="84"/>
      <c r="AS971" s="84"/>
      <c r="AT971" s="84"/>
      <c r="AU971" s="84"/>
      <c r="AV971" s="84"/>
      <c r="AW971" s="84"/>
      <c r="AX971" s="84"/>
      <c r="AY971" s="84"/>
      <c r="AZ971" s="84"/>
    </row>
    <row r="972" ht="15.75" customHeight="1">
      <c r="A972" s="9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5"/>
      <c r="AK972" s="85"/>
      <c r="AL972" s="103"/>
      <c r="AM972" s="104"/>
      <c r="AN972" s="103"/>
      <c r="AO972" s="104"/>
      <c r="AP972" s="103"/>
      <c r="AQ972" s="104"/>
      <c r="AR972" s="84"/>
      <c r="AS972" s="84"/>
      <c r="AT972" s="84"/>
      <c r="AU972" s="84"/>
      <c r="AV972" s="84"/>
      <c r="AW972" s="84"/>
      <c r="AX972" s="84"/>
      <c r="AY972" s="84"/>
      <c r="AZ972" s="84"/>
    </row>
    <row r="973" ht="15.75" customHeight="1">
      <c r="A973" s="9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5"/>
      <c r="AK973" s="85"/>
      <c r="AL973" s="103"/>
      <c r="AM973" s="104"/>
      <c r="AN973" s="103"/>
      <c r="AO973" s="104"/>
      <c r="AP973" s="103"/>
      <c r="AQ973" s="104"/>
      <c r="AR973" s="84"/>
      <c r="AS973" s="84"/>
      <c r="AT973" s="84"/>
      <c r="AU973" s="84"/>
      <c r="AV973" s="84"/>
      <c r="AW973" s="84"/>
      <c r="AX973" s="84"/>
      <c r="AY973" s="84"/>
      <c r="AZ973" s="84"/>
    </row>
    <row r="974" ht="15.75" customHeight="1">
      <c r="A974" s="9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5"/>
      <c r="AK974" s="85"/>
      <c r="AL974" s="103"/>
      <c r="AM974" s="104"/>
      <c r="AN974" s="103"/>
      <c r="AO974" s="104"/>
      <c r="AP974" s="103"/>
      <c r="AQ974" s="104"/>
      <c r="AR974" s="84"/>
      <c r="AS974" s="84"/>
      <c r="AT974" s="84"/>
      <c r="AU974" s="84"/>
      <c r="AV974" s="84"/>
      <c r="AW974" s="84"/>
      <c r="AX974" s="84"/>
      <c r="AY974" s="84"/>
      <c r="AZ974" s="84"/>
    </row>
    <row r="975" ht="15.75" customHeight="1">
      <c r="A975" s="9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5"/>
      <c r="AK975" s="85"/>
      <c r="AL975" s="103"/>
      <c r="AM975" s="104"/>
      <c r="AN975" s="103"/>
      <c r="AO975" s="104"/>
      <c r="AP975" s="103"/>
      <c r="AQ975" s="104"/>
      <c r="AR975" s="84"/>
      <c r="AS975" s="84"/>
      <c r="AT975" s="84"/>
      <c r="AU975" s="84"/>
      <c r="AV975" s="84"/>
      <c r="AW975" s="84"/>
      <c r="AX975" s="84"/>
      <c r="AY975" s="84"/>
      <c r="AZ975" s="84"/>
    </row>
    <row r="976" ht="15.75" customHeight="1">
      <c r="A976" s="9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5"/>
      <c r="AK976" s="85"/>
      <c r="AL976" s="103"/>
      <c r="AM976" s="104"/>
      <c r="AN976" s="103"/>
      <c r="AO976" s="104"/>
      <c r="AP976" s="103"/>
      <c r="AQ976" s="104"/>
      <c r="AR976" s="84"/>
      <c r="AS976" s="84"/>
      <c r="AT976" s="84"/>
      <c r="AU976" s="84"/>
      <c r="AV976" s="84"/>
      <c r="AW976" s="84"/>
      <c r="AX976" s="84"/>
      <c r="AY976" s="84"/>
      <c r="AZ976" s="84"/>
    </row>
    <row r="977" ht="15.75" customHeight="1">
      <c r="A977" s="9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5"/>
      <c r="AK977" s="85"/>
      <c r="AL977" s="103"/>
      <c r="AM977" s="104"/>
      <c r="AN977" s="103"/>
      <c r="AO977" s="104"/>
      <c r="AP977" s="103"/>
      <c r="AQ977" s="104"/>
      <c r="AR977" s="84"/>
      <c r="AS977" s="84"/>
      <c r="AT977" s="84"/>
      <c r="AU977" s="84"/>
      <c r="AV977" s="84"/>
      <c r="AW977" s="84"/>
      <c r="AX977" s="84"/>
      <c r="AY977" s="84"/>
      <c r="AZ977" s="84"/>
    </row>
    <row r="978" ht="15.75" customHeight="1">
      <c r="A978" s="9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5"/>
      <c r="AK978" s="85"/>
      <c r="AL978" s="103"/>
      <c r="AM978" s="104"/>
      <c r="AN978" s="103"/>
      <c r="AO978" s="104"/>
      <c r="AP978" s="103"/>
      <c r="AQ978" s="104"/>
      <c r="AR978" s="84"/>
      <c r="AS978" s="84"/>
      <c r="AT978" s="84"/>
      <c r="AU978" s="84"/>
      <c r="AV978" s="84"/>
      <c r="AW978" s="84"/>
      <c r="AX978" s="84"/>
      <c r="AY978" s="84"/>
      <c r="AZ978" s="84"/>
    </row>
    <row r="979" ht="15.75" customHeight="1">
      <c r="A979" s="9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5"/>
      <c r="AK979" s="85"/>
      <c r="AL979" s="103"/>
      <c r="AM979" s="104"/>
      <c r="AN979" s="103"/>
      <c r="AO979" s="104"/>
      <c r="AP979" s="103"/>
      <c r="AQ979" s="104"/>
      <c r="AR979" s="84"/>
      <c r="AS979" s="84"/>
      <c r="AT979" s="84"/>
      <c r="AU979" s="84"/>
      <c r="AV979" s="84"/>
      <c r="AW979" s="84"/>
      <c r="AX979" s="84"/>
      <c r="AY979" s="84"/>
      <c r="AZ979" s="84"/>
    </row>
    <row r="980" ht="15.75" customHeight="1">
      <c r="A980" s="9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5"/>
      <c r="AK980" s="85"/>
      <c r="AL980" s="103"/>
      <c r="AM980" s="104"/>
      <c r="AN980" s="103"/>
      <c r="AO980" s="104"/>
      <c r="AP980" s="103"/>
      <c r="AQ980" s="104"/>
      <c r="AR980" s="84"/>
      <c r="AS980" s="84"/>
      <c r="AT980" s="84"/>
      <c r="AU980" s="84"/>
      <c r="AV980" s="84"/>
      <c r="AW980" s="84"/>
      <c r="AX980" s="84"/>
      <c r="AY980" s="84"/>
      <c r="AZ980" s="84"/>
    </row>
    <row r="981" ht="15.75" customHeight="1">
      <c r="A981" s="9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5"/>
      <c r="AK981" s="85"/>
      <c r="AL981" s="103"/>
      <c r="AM981" s="104"/>
      <c r="AN981" s="103"/>
      <c r="AO981" s="104"/>
      <c r="AP981" s="103"/>
      <c r="AQ981" s="104"/>
      <c r="AR981" s="84"/>
      <c r="AS981" s="84"/>
      <c r="AT981" s="84"/>
      <c r="AU981" s="84"/>
      <c r="AV981" s="84"/>
      <c r="AW981" s="84"/>
      <c r="AX981" s="84"/>
      <c r="AY981" s="84"/>
      <c r="AZ981" s="84"/>
    </row>
    <row r="982" ht="15.75" customHeight="1">
      <c r="A982" s="9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5"/>
      <c r="AK982" s="85"/>
      <c r="AL982" s="103"/>
      <c r="AM982" s="104"/>
      <c r="AN982" s="103"/>
      <c r="AO982" s="104"/>
      <c r="AP982" s="103"/>
      <c r="AQ982" s="104"/>
      <c r="AR982" s="84"/>
      <c r="AS982" s="84"/>
      <c r="AT982" s="84"/>
      <c r="AU982" s="84"/>
      <c r="AV982" s="84"/>
      <c r="AW982" s="84"/>
      <c r="AX982" s="84"/>
      <c r="AY982" s="84"/>
      <c r="AZ982" s="84"/>
    </row>
    <row r="983" ht="15.75" customHeight="1">
      <c r="A983" s="9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5"/>
      <c r="AK983" s="85"/>
      <c r="AL983" s="103"/>
      <c r="AM983" s="104"/>
      <c r="AN983" s="103"/>
      <c r="AO983" s="104"/>
      <c r="AP983" s="103"/>
      <c r="AQ983" s="104"/>
      <c r="AR983" s="84"/>
      <c r="AS983" s="84"/>
      <c r="AT983" s="84"/>
      <c r="AU983" s="84"/>
      <c r="AV983" s="84"/>
      <c r="AW983" s="84"/>
      <c r="AX983" s="84"/>
      <c r="AY983" s="84"/>
      <c r="AZ983" s="84"/>
    </row>
    <row r="984" ht="15.75" customHeight="1">
      <c r="A984" s="9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5"/>
      <c r="AK984" s="85"/>
      <c r="AL984" s="103"/>
      <c r="AM984" s="104"/>
      <c r="AN984" s="103"/>
      <c r="AO984" s="104"/>
      <c r="AP984" s="103"/>
      <c r="AQ984" s="104"/>
      <c r="AR984" s="84"/>
      <c r="AS984" s="84"/>
      <c r="AT984" s="84"/>
      <c r="AU984" s="84"/>
      <c r="AV984" s="84"/>
      <c r="AW984" s="84"/>
      <c r="AX984" s="84"/>
      <c r="AY984" s="84"/>
      <c r="AZ984" s="84"/>
    </row>
    <row r="985" ht="15.75" customHeight="1">
      <c r="A985" s="9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5"/>
      <c r="AK985" s="85"/>
      <c r="AL985" s="103"/>
      <c r="AM985" s="104"/>
      <c r="AN985" s="103"/>
      <c r="AO985" s="104"/>
      <c r="AP985" s="103"/>
      <c r="AQ985" s="104"/>
      <c r="AR985" s="84"/>
      <c r="AS985" s="84"/>
      <c r="AT985" s="84"/>
      <c r="AU985" s="84"/>
      <c r="AV985" s="84"/>
      <c r="AW985" s="84"/>
      <c r="AX985" s="84"/>
      <c r="AY985" s="84"/>
      <c r="AZ985" s="84"/>
    </row>
    <row r="986" ht="15.75" customHeight="1">
      <c r="A986" s="9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5"/>
      <c r="AK986" s="85"/>
      <c r="AL986" s="103"/>
      <c r="AM986" s="104"/>
      <c r="AN986" s="103"/>
      <c r="AO986" s="104"/>
      <c r="AP986" s="103"/>
      <c r="AQ986" s="104"/>
      <c r="AR986" s="84"/>
      <c r="AS986" s="84"/>
      <c r="AT986" s="84"/>
      <c r="AU986" s="84"/>
      <c r="AV986" s="84"/>
      <c r="AW986" s="84"/>
      <c r="AX986" s="84"/>
      <c r="AY986" s="84"/>
      <c r="AZ986" s="84"/>
    </row>
    <row r="987" ht="15.75" customHeight="1">
      <c r="A987" s="9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5"/>
      <c r="AK987" s="85"/>
      <c r="AL987" s="103"/>
      <c r="AM987" s="104"/>
      <c r="AN987" s="103"/>
      <c r="AO987" s="104"/>
      <c r="AP987" s="103"/>
      <c r="AQ987" s="104"/>
      <c r="AR987" s="84"/>
      <c r="AS987" s="84"/>
      <c r="AT987" s="84"/>
      <c r="AU987" s="84"/>
      <c r="AV987" s="84"/>
      <c r="AW987" s="84"/>
      <c r="AX987" s="84"/>
      <c r="AY987" s="84"/>
      <c r="AZ987" s="84"/>
    </row>
    <row r="988" ht="15.75" customHeight="1">
      <c r="A988" s="9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5"/>
      <c r="AK988" s="85"/>
      <c r="AL988" s="103"/>
      <c r="AM988" s="104"/>
      <c r="AN988" s="103"/>
      <c r="AO988" s="104"/>
      <c r="AP988" s="103"/>
      <c r="AQ988" s="104"/>
      <c r="AR988" s="84"/>
      <c r="AS988" s="84"/>
      <c r="AT988" s="84"/>
      <c r="AU988" s="84"/>
      <c r="AV988" s="84"/>
      <c r="AW988" s="84"/>
      <c r="AX988" s="84"/>
      <c r="AY988" s="84"/>
      <c r="AZ988" s="84"/>
    </row>
    <row r="989" ht="15.75" customHeight="1">
      <c r="A989" s="9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5"/>
      <c r="AK989" s="85"/>
      <c r="AL989" s="103"/>
      <c r="AM989" s="104"/>
      <c r="AN989" s="103"/>
      <c r="AO989" s="104"/>
      <c r="AP989" s="103"/>
      <c r="AQ989" s="104"/>
      <c r="AR989" s="84"/>
      <c r="AS989" s="84"/>
      <c r="AT989" s="84"/>
      <c r="AU989" s="84"/>
      <c r="AV989" s="84"/>
      <c r="AW989" s="84"/>
      <c r="AX989" s="84"/>
      <c r="AY989" s="84"/>
      <c r="AZ989" s="84"/>
    </row>
    <row r="990" ht="15.75" customHeight="1">
      <c r="A990" s="9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5"/>
      <c r="AK990" s="85"/>
      <c r="AL990" s="103"/>
      <c r="AM990" s="104"/>
      <c r="AN990" s="103"/>
      <c r="AO990" s="104"/>
      <c r="AP990" s="103"/>
      <c r="AQ990" s="104"/>
      <c r="AR990" s="84"/>
      <c r="AS990" s="84"/>
      <c r="AT990" s="84"/>
      <c r="AU990" s="84"/>
      <c r="AV990" s="84"/>
      <c r="AW990" s="84"/>
      <c r="AX990" s="84"/>
      <c r="AY990" s="84"/>
      <c r="AZ990" s="84"/>
    </row>
    <row r="991" ht="15.75" customHeight="1">
      <c r="A991" s="9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5"/>
      <c r="AK991" s="85"/>
      <c r="AL991" s="103"/>
      <c r="AM991" s="104"/>
      <c r="AN991" s="103"/>
      <c r="AO991" s="104"/>
      <c r="AP991" s="103"/>
      <c r="AQ991" s="104"/>
      <c r="AR991" s="84"/>
      <c r="AS991" s="84"/>
      <c r="AT991" s="84"/>
      <c r="AU991" s="84"/>
      <c r="AV991" s="84"/>
      <c r="AW991" s="84"/>
      <c r="AX991" s="84"/>
      <c r="AY991" s="84"/>
      <c r="AZ991" s="84"/>
    </row>
    <row r="992" ht="15.75" customHeight="1">
      <c r="A992" s="9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5"/>
      <c r="AK992" s="85"/>
      <c r="AL992" s="103"/>
      <c r="AM992" s="104"/>
      <c r="AN992" s="103"/>
      <c r="AO992" s="104"/>
      <c r="AP992" s="103"/>
      <c r="AQ992" s="104"/>
      <c r="AR992" s="84"/>
      <c r="AS992" s="84"/>
      <c r="AT992" s="84"/>
      <c r="AU992" s="84"/>
      <c r="AV992" s="84"/>
      <c r="AW992" s="84"/>
      <c r="AX992" s="84"/>
      <c r="AY992" s="84"/>
      <c r="AZ992" s="84"/>
    </row>
    <row r="993" ht="15.75" customHeight="1">
      <c r="A993" s="9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5"/>
      <c r="AK993" s="85"/>
      <c r="AL993" s="103"/>
      <c r="AM993" s="104"/>
      <c r="AN993" s="103"/>
      <c r="AO993" s="104"/>
      <c r="AP993" s="103"/>
      <c r="AQ993" s="104"/>
      <c r="AR993" s="84"/>
      <c r="AS993" s="84"/>
      <c r="AT993" s="84"/>
      <c r="AU993" s="84"/>
      <c r="AV993" s="84"/>
      <c r="AW993" s="84"/>
      <c r="AX993" s="84"/>
      <c r="AY993" s="84"/>
      <c r="AZ993" s="84"/>
    </row>
    <row r="994" ht="15.75" customHeight="1">
      <c r="A994" s="9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5"/>
      <c r="AK994" s="85"/>
      <c r="AL994" s="103"/>
      <c r="AM994" s="104"/>
      <c r="AN994" s="103"/>
      <c r="AO994" s="104"/>
      <c r="AP994" s="103"/>
      <c r="AQ994" s="104"/>
      <c r="AR994" s="84"/>
      <c r="AS994" s="84"/>
      <c r="AT994" s="84"/>
      <c r="AU994" s="84"/>
      <c r="AV994" s="84"/>
      <c r="AW994" s="84"/>
      <c r="AX994" s="84"/>
      <c r="AY994" s="84"/>
      <c r="AZ994" s="84"/>
    </row>
    <row r="995" ht="15.75" customHeight="1">
      <c r="A995" s="9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5"/>
      <c r="AK995" s="85"/>
      <c r="AL995" s="103"/>
      <c r="AM995" s="104"/>
      <c r="AN995" s="103"/>
      <c r="AO995" s="104"/>
      <c r="AP995" s="103"/>
      <c r="AQ995" s="104"/>
      <c r="AR995" s="84"/>
      <c r="AS995" s="84"/>
      <c r="AT995" s="84"/>
      <c r="AU995" s="84"/>
      <c r="AV995" s="84"/>
      <c r="AW995" s="84"/>
      <c r="AX995" s="84"/>
      <c r="AY995" s="84"/>
      <c r="AZ995" s="84"/>
    </row>
    <row r="996" ht="15.75" customHeight="1">
      <c r="A996" s="9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5"/>
      <c r="AK996" s="85"/>
      <c r="AL996" s="103"/>
      <c r="AM996" s="104"/>
      <c r="AN996" s="103"/>
      <c r="AO996" s="104"/>
      <c r="AP996" s="103"/>
      <c r="AQ996" s="104"/>
      <c r="AR996" s="84"/>
      <c r="AS996" s="84"/>
      <c r="AT996" s="84"/>
      <c r="AU996" s="84"/>
      <c r="AV996" s="84"/>
      <c r="AW996" s="84"/>
      <c r="AX996" s="84"/>
      <c r="AY996" s="84"/>
      <c r="AZ996" s="84"/>
    </row>
    <row r="997" ht="15.75" customHeight="1">
      <c r="A997" s="9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5"/>
      <c r="AK997" s="85"/>
      <c r="AL997" s="103"/>
      <c r="AM997" s="104"/>
      <c r="AN997" s="103"/>
      <c r="AO997" s="104"/>
      <c r="AP997" s="103"/>
      <c r="AQ997" s="104"/>
      <c r="AR997" s="84"/>
      <c r="AS997" s="84"/>
      <c r="AT997" s="84"/>
      <c r="AU997" s="84"/>
      <c r="AV997" s="84"/>
      <c r="AW997" s="84"/>
      <c r="AX997" s="84"/>
      <c r="AY997" s="84"/>
      <c r="AZ997" s="84"/>
    </row>
    <row r="998" ht="15.75" customHeight="1">
      <c r="A998" s="9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5"/>
      <c r="AK998" s="85"/>
      <c r="AL998" s="103"/>
      <c r="AM998" s="104"/>
      <c r="AN998" s="103"/>
      <c r="AO998" s="104"/>
      <c r="AP998" s="103"/>
      <c r="AQ998" s="104"/>
      <c r="AR998" s="84"/>
      <c r="AS998" s="84"/>
      <c r="AT998" s="84"/>
      <c r="AU998" s="84"/>
      <c r="AV998" s="84"/>
      <c r="AW998" s="84"/>
      <c r="AX998" s="84"/>
      <c r="AY998" s="84"/>
      <c r="AZ998" s="84"/>
    </row>
    <row r="999" ht="15.75" customHeight="1">
      <c r="A999" s="9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5"/>
      <c r="AK999" s="85"/>
      <c r="AL999" s="103"/>
      <c r="AM999" s="104"/>
      <c r="AN999" s="103"/>
      <c r="AO999" s="104"/>
      <c r="AP999" s="103"/>
      <c r="AQ999" s="104"/>
      <c r="AR999" s="84"/>
      <c r="AS999" s="84"/>
      <c r="AT999" s="84"/>
      <c r="AU999" s="84"/>
      <c r="AV999" s="84"/>
      <c r="AW999" s="84"/>
      <c r="AX999" s="84"/>
      <c r="AY999" s="84"/>
      <c r="AZ999" s="84"/>
    </row>
    <row r="1000" ht="15.75" customHeight="1">
      <c r="A1000" s="9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5"/>
      <c r="AK1000" s="85"/>
      <c r="AL1000" s="103"/>
      <c r="AM1000" s="104"/>
      <c r="AN1000" s="103"/>
      <c r="AO1000" s="104"/>
      <c r="AP1000" s="103"/>
      <c r="AQ1000" s="104"/>
      <c r="AR1000" s="84"/>
      <c r="AS1000" s="84"/>
      <c r="AT1000" s="84"/>
      <c r="AU1000" s="84"/>
      <c r="AV1000" s="84"/>
      <c r="AW1000" s="84"/>
      <c r="AX1000" s="84"/>
      <c r="AY1000" s="84"/>
      <c r="AZ1000" s="84"/>
    </row>
    <row r="1001" ht="15.75" customHeight="1">
      <c r="A1001" s="9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5"/>
      <c r="AK1001" s="85"/>
      <c r="AL1001" s="118"/>
      <c r="AM1001" s="119"/>
      <c r="AN1001" s="118"/>
      <c r="AO1001" s="119"/>
      <c r="AP1001" s="118"/>
      <c r="AQ1001" s="119"/>
      <c r="AR1001" s="84"/>
      <c r="AS1001" s="84"/>
      <c r="AT1001" s="84"/>
      <c r="AU1001" s="84"/>
      <c r="AV1001" s="84"/>
      <c r="AW1001" s="84"/>
      <c r="AX1001" s="84"/>
      <c r="AY1001" s="84"/>
      <c r="AZ1001" s="84"/>
    </row>
  </sheetData>
  <mergeCells count="7503"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1:AI331"/>
    <mergeCell ref="AJ331:AK331"/>
    <mergeCell ref="AL331:AM331"/>
    <mergeCell ref="AN331:AO331"/>
    <mergeCell ref="AP331:AQ331"/>
    <mergeCell ref="AR331:AS331"/>
    <mergeCell ref="AT331:AU331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AJ332:AK332"/>
    <mergeCell ref="AL332:AM332"/>
    <mergeCell ref="AN332:AO332"/>
    <mergeCell ref="AP332:AQ332"/>
    <mergeCell ref="AR332:AS332"/>
    <mergeCell ref="AT332:AU332"/>
    <mergeCell ref="F334:G334"/>
    <mergeCell ref="H334:I334"/>
    <mergeCell ref="J334:K334"/>
    <mergeCell ref="L334:M334"/>
    <mergeCell ref="N334:O334"/>
    <mergeCell ref="P334:Q334"/>
    <mergeCell ref="R334:S334"/>
    <mergeCell ref="AP334:AQ334"/>
    <mergeCell ref="AR334:AS334"/>
    <mergeCell ref="AL333:AM333"/>
    <mergeCell ref="AN333:AO333"/>
    <mergeCell ref="AP333:AQ333"/>
    <mergeCell ref="AR333:AS333"/>
    <mergeCell ref="AT333:AU333"/>
    <mergeCell ref="AL334:AM334"/>
    <mergeCell ref="AN334:AO334"/>
    <mergeCell ref="AT334:AU334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F332:G332"/>
    <mergeCell ref="H332:I332"/>
    <mergeCell ref="J332:K332"/>
    <mergeCell ref="L332:M332"/>
    <mergeCell ref="N332:O332"/>
    <mergeCell ref="P332:Q332"/>
    <mergeCell ref="R332:S332"/>
    <mergeCell ref="F333:G333"/>
    <mergeCell ref="H333:I333"/>
    <mergeCell ref="J333:K333"/>
    <mergeCell ref="L333:M333"/>
    <mergeCell ref="N333:O333"/>
    <mergeCell ref="P333:Q333"/>
    <mergeCell ref="R333:S333"/>
    <mergeCell ref="AH335:AI335"/>
    <mergeCell ref="AJ335:AK335"/>
    <mergeCell ref="AL335:AM335"/>
    <mergeCell ref="AN335:AO335"/>
    <mergeCell ref="AP335:AQ335"/>
    <mergeCell ref="AR335:AS335"/>
    <mergeCell ref="AT335:AU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L337:AM337"/>
    <mergeCell ref="AN337:AO337"/>
    <mergeCell ref="AP337:AQ337"/>
    <mergeCell ref="AR337:AS337"/>
    <mergeCell ref="AT337:AU337"/>
    <mergeCell ref="AH336:AI336"/>
    <mergeCell ref="AJ336:AK336"/>
    <mergeCell ref="AL336:AM336"/>
    <mergeCell ref="AN336:AO336"/>
    <mergeCell ref="AP336:AQ336"/>
    <mergeCell ref="AR336:AS336"/>
    <mergeCell ref="AT336:AU336"/>
    <mergeCell ref="F337:G337"/>
    <mergeCell ref="H337:I337"/>
    <mergeCell ref="J337:K337"/>
    <mergeCell ref="L337:M337"/>
    <mergeCell ref="N337:O337"/>
    <mergeCell ref="P337:Q337"/>
    <mergeCell ref="R337:S337"/>
    <mergeCell ref="AH338:AI338"/>
    <mergeCell ref="AJ338:AK338"/>
    <mergeCell ref="AL338:AM338"/>
    <mergeCell ref="AN338:AO338"/>
    <mergeCell ref="AP338:AQ338"/>
    <mergeCell ref="AR338:AS338"/>
    <mergeCell ref="AT338:AU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AL339:AM339"/>
    <mergeCell ref="AN339:AO339"/>
    <mergeCell ref="AP339:AQ339"/>
    <mergeCell ref="AR339:AS339"/>
    <mergeCell ref="AT339:AU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49:AI349"/>
    <mergeCell ref="AJ349:AK349"/>
    <mergeCell ref="AL349:AM349"/>
    <mergeCell ref="AN349:AO349"/>
    <mergeCell ref="AP349:AQ349"/>
    <mergeCell ref="AR349:AS349"/>
    <mergeCell ref="AT349:AU349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L350:AM350"/>
    <mergeCell ref="AN350:AO350"/>
    <mergeCell ref="AP350:AQ350"/>
    <mergeCell ref="AR350:AS350"/>
    <mergeCell ref="AT350:AU350"/>
    <mergeCell ref="F352:G352"/>
    <mergeCell ref="H352:I352"/>
    <mergeCell ref="J352:K352"/>
    <mergeCell ref="L352:M352"/>
    <mergeCell ref="N352:O352"/>
    <mergeCell ref="P352:Q352"/>
    <mergeCell ref="R352:S352"/>
    <mergeCell ref="AP352:AQ352"/>
    <mergeCell ref="AR352:AS352"/>
    <mergeCell ref="AL351:AM351"/>
    <mergeCell ref="AN351:AO351"/>
    <mergeCell ref="AP351:AQ351"/>
    <mergeCell ref="AR351:AS351"/>
    <mergeCell ref="AT351:AU351"/>
    <mergeCell ref="AL352:AM352"/>
    <mergeCell ref="AN352:AO352"/>
    <mergeCell ref="AT352:AU352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F350:G350"/>
    <mergeCell ref="H350:I350"/>
    <mergeCell ref="J350:K350"/>
    <mergeCell ref="L350:M350"/>
    <mergeCell ref="N350:O350"/>
    <mergeCell ref="P350:Q350"/>
    <mergeCell ref="R350:S350"/>
    <mergeCell ref="F351:G351"/>
    <mergeCell ref="H351:I351"/>
    <mergeCell ref="J351:K351"/>
    <mergeCell ref="L351:M351"/>
    <mergeCell ref="N351:O351"/>
    <mergeCell ref="P351:Q351"/>
    <mergeCell ref="R351:S351"/>
    <mergeCell ref="AH353:AI353"/>
    <mergeCell ref="AJ353:AK353"/>
    <mergeCell ref="AL353:AM353"/>
    <mergeCell ref="AN353:AO353"/>
    <mergeCell ref="AP353:AQ353"/>
    <mergeCell ref="AR353:AS353"/>
    <mergeCell ref="AT353:AU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L355:AM355"/>
    <mergeCell ref="AN355:AO355"/>
    <mergeCell ref="AP355:AQ355"/>
    <mergeCell ref="AR355:AS355"/>
    <mergeCell ref="AT355:AU355"/>
    <mergeCell ref="AH354:AI354"/>
    <mergeCell ref="AJ354:AK354"/>
    <mergeCell ref="AL354:AM354"/>
    <mergeCell ref="AN354:AO354"/>
    <mergeCell ref="AP354:AQ354"/>
    <mergeCell ref="AR354:AS354"/>
    <mergeCell ref="AT354:AU354"/>
    <mergeCell ref="AH358:AI358"/>
    <mergeCell ref="AJ358:AK358"/>
    <mergeCell ref="AL358:AM358"/>
    <mergeCell ref="AN358:AO358"/>
    <mergeCell ref="AP358:AQ358"/>
    <mergeCell ref="AR358:AS358"/>
    <mergeCell ref="AT358:AU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AL359:AM359"/>
    <mergeCell ref="AN359:AO359"/>
    <mergeCell ref="AP359:AQ359"/>
    <mergeCell ref="AR359:AS359"/>
    <mergeCell ref="AT359:AU359"/>
    <mergeCell ref="T359:U359"/>
    <mergeCell ref="V359:W359"/>
    <mergeCell ref="X359:Y359"/>
    <mergeCell ref="Z359:AA359"/>
    <mergeCell ref="AB359:AC359"/>
    <mergeCell ref="AD359:AE359"/>
    <mergeCell ref="AF359:AG359"/>
    <mergeCell ref="F355:G355"/>
    <mergeCell ref="H355:I355"/>
    <mergeCell ref="J355:K355"/>
    <mergeCell ref="L355:M355"/>
    <mergeCell ref="N355:O355"/>
    <mergeCell ref="P355:Q355"/>
    <mergeCell ref="R355:S355"/>
    <mergeCell ref="AH356:AI356"/>
    <mergeCell ref="AJ356:AK356"/>
    <mergeCell ref="AL356:AM356"/>
    <mergeCell ref="AN356:AO356"/>
    <mergeCell ref="AP356:AQ356"/>
    <mergeCell ref="AR356:AS356"/>
    <mergeCell ref="AT356:AU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AL357:AM357"/>
    <mergeCell ref="AN357:AO357"/>
    <mergeCell ref="AP357:AQ357"/>
    <mergeCell ref="AR357:AS357"/>
    <mergeCell ref="AT357:AU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0:AI340"/>
    <mergeCell ref="AJ340:AK340"/>
    <mergeCell ref="AL340:AM340"/>
    <mergeCell ref="AN340:AO340"/>
    <mergeCell ref="AP340:AQ340"/>
    <mergeCell ref="AR340:AS340"/>
    <mergeCell ref="AT340:AU340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AJ341:AK341"/>
    <mergeCell ref="AL341:AM341"/>
    <mergeCell ref="AN341:AO341"/>
    <mergeCell ref="AP341:AQ341"/>
    <mergeCell ref="AR341:AS341"/>
    <mergeCell ref="AT341:AU341"/>
    <mergeCell ref="F343:G343"/>
    <mergeCell ref="H343:I343"/>
    <mergeCell ref="J343:K343"/>
    <mergeCell ref="L343:M343"/>
    <mergeCell ref="N343:O343"/>
    <mergeCell ref="P343:Q343"/>
    <mergeCell ref="R343:S343"/>
    <mergeCell ref="AP343:AQ343"/>
    <mergeCell ref="AR343:AS343"/>
    <mergeCell ref="AL342:AM342"/>
    <mergeCell ref="AN342:AO342"/>
    <mergeCell ref="AP342:AQ342"/>
    <mergeCell ref="AR342:AS342"/>
    <mergeCell ref="AT342:AU342"/>
    <mergeCell ref="AL343:AM343"/>
    <mergeCell ref="AN343:AO343"/>
    <mergeCell ref="AT343:AU343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H344:AI344"/>
    <mergeCell ref="AJ344:AK344"/>
    <mergeCell ref="AL344:AM344"/>
    <mergeCell ref="AN344:AO344"/>
    <mergeCell ref="AP344:AQ344"/>
    <mergeCell ref="AR344:AS344"/>
    <mergeCell ref="AT344:AU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L346:AM346"/>
    <mergeCell ref="AN346:AO346"/>
    <mergeCell ref="AP346:AQ346"/>
    <mergeCell ref="AR346:AS346"/>
    <mergeCell ref="AT346:AU346"/>
    <mergeCell ref="AH345:AI345"/>
    <mergeCell ref="AJ345:AK345"/>
    <mergeCell ref="AL345:AM345"/>
    <mergeCell ref="AN345:AO345"/>
    <mergeCell ref="AP345:AQ345"/>
    <mergeCell ref="AR345:AS345"/>
    <mergeCell ref="AT345:AU345"/>
    <mergeCell ref="F346:G346"/>
    <mergeCell ref="H346:I346"/>
    <mergeCell ref="J346:K346"/>
    <mergeCell ref="L346:M346"/>
    <mergeCell ref="N346:O346"/>
    <mergeCell ref="P346:Q346"/>
    <mergeCell ref="R346:S346"/>
    <mergeCell ref="AH347:AI347"/>
    <mergeCell ref="AJ347:AK347"/>
    <mergeCell ref="AL347:AM347"/>
    <mergeCell ref="AN347:AO347"/>
    <mergeCell ref="AP347:AQ347"/>
    <mergeCell ref="AR347:AS347"/>
    <mergeCell ref="AT347:AU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AL348:AM348"/>
    <mergeCell ref="AN348:AO348"/>
    <mergeCell ref="AP348:AQ348"/>
    <mergeCell ref="AR348:AS348"/>
    <mergeCell ref="AT348:AU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8:AI268"/>
    <mergeCell ref="AJ268:AK268"/>
    <mergeCell ref="AL268:AM268"/>
    <mergeCell ref="AN268:AO268"/>
    <mergeCell ref="AP268:AQ268"/>
    <mergeCell ref="AR268:AS268"/>
    <mergeCell ref="AT268:AU268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O269"/>
    <mergeCell ref="AP269:AQ269"/>
    <mergeCell ref="AR269:AS269"/>
    <mergeCell ref="AT269:AU269"/>
    <mergeCell ref="F271:G271"/>
    <mergeCell ref="H271:I271"/>
    <mergeCell ref="J271:K271"/>
    <mergeCell ref="L271:M271"/>
    <mergeCell ref="N271:O271"/>
    <mergeCell ref="P271:Q271"/>
    <mergeCell ref="R271:S271"/>
    <mergeCell ref="AP271:AQ271"/>
    <mergeCell ref="AR271:AS271"/>
    <mergeCell ref="AL270:AM270"/>
    <mergeCell ref="AN270:AO270"/>
    <mergeCell ref="AP270:AQ270"/>
    <mergeCell ref="AR270:AS270"/>
    <mergeCell ref="AT270:AU270"/>
    <mergeCell ref="AL271:AM271"/>
    <mergeCell ref="AN271:AO271"/>
    <mergeCell ref="AT271:AU271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H272:AI272"/>
    <mergeCell ref="AJ272:AK272"/>
    <mergeCell ref="AL272:AM272"/>
    <mergeCell ref="AN272:AO272"/>
    <mergeCell ref="AP272:AQ272"/>
    <mergeCell ref="AR272:AS272"/>
    <mergeCell ref="AT272:AU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L274:AM274"/>
    <mergeCell ref="AN274:AO274"/>
    <mergeCell ref="AP274:AQ274"/>
    <mergeCell ref="AR274:AS274"/>
    <mergeCell ref="AT274:AU274"/>
    <mergeCell ref="AH273:AI273"/>
    <mergeCell ref="AJ273:AK273"/>
    <mergeCell ref="AL273:AM273"/>
    <mergeCell ref="AN273:AO273"/>
    <mergeCell ref="AP273:AQ273"/>
    <mergeCell ref="AR273:AS273"/>
    <mergeCell ref="AT273:AU273"/>
    <mergeCell ref="F274:G274"/>
    <mergeCell ref="H274:I274"/>
    <mergeCell ref="J274:K274"/>
    <mergeCell ref="L274:M274"/>
    <mergeCell ref="N274:O274"/>
    <mergeCell ref="P274:Q274"/>
    <mergeCell ref="R274:S274"/>
    <mergeCell ref="AH275:AI275"/>
    <mergeCell ref="AJ275:AK275"/>
    <mergeCell ref="AL275:AM275"/>
    <mergeCell ref="AN275:AO275"/>
    <mergeCell ref="AP275:AQ275"/>
    <mergeCell ref="AR275:AS275"/>
    <mergeCell ref="AT275:AU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AL276:AM276"/>
    <mergeCell ref="AN276:AO276"/>
    <mergeCell ref="AP276:AQ276"/>
    <mergeCell ref="AR276:AS276"/>
    <mergeCell ref="AT276:AU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7:AI277"/>
    <mergeCell ref="AJ277:AK277"/>
    <mergeCell ref="AL277:AM277"/>
    <mergeCell ref="AN277:AO277"/>
    <mergeCell ref="AP277:AQ277"/>
    <mergeCell ref="AR277:AS277"/>
    <mergeCell ref="AT277:AU277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O278"/>
    <mergeCell ref="AP278:AQ278"/>
    <mergeCell ref="AR278:AS278"/>
    <mergeCell ref="AT278:AU278"/>
    <mergeCell ref="F280:G280"/>
    <mergeCell ref="H280:I280"/>
    <mergeCell ref="J280:K280"/>
    <mergeCell ref="L280:M280"/>
    <mergeCell ref="N280:O280"/>
    <mergeCell ref="P280:Q280"/>
    <mergeCell ref="R280:S280"/>
    <mergeCell ref="AP280:AQ280"/>
    <mergeCell ref="AR280:AS280"/>
    <mergeCell ref="AL279:AM279"/>
    <mergeCell ref="AN279:AO279"/>
    <mergeCell ref="AP279:AQ279"/>
    <mergeCell ref="AR279:AS279"/>
    <mergeCell ref="AT279:AU279"/>
    <mergeCell ref="AL280:AM280"/>
    <mergeCell ref="AN280:AO280"/>
    <mergeCell ref="AT280:AU280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F278:G278"/>
    <mergeCell ref="H278:I278"/>
    <mergeCell ref="J278:K278"/>
    <mergeCell ref="L278:M278"/>
    <mergeCell ref="N278:O278"/>
    <mergeCell ref="P278:Q278"/>
    <mergeCell ref="R278:S278"/>
    <mergeCell ref="F279:G279"/>
    <mergeCell ref="H279:I279"/>
    <mergeCell ref="J279:K279"/>
    <mergeCell ref="L279:M279"/>
    <mergeCell ref="N279:O279"/>
    <mergeCell ref="P279:Q279"/>
    <mergeCell ref="R279:S279"/>
    <mergeCell ref="AH281:AI281"/>
    <mergeCell ref="AJ281:AK281"/>
    <mergeCell ref="AL281:AM281"/>
    <mergeCell ref="AN281:AO281"/>
    <mergeCell ref="AP281:AQ281"/>
    <mergeCell ref="AR281:AS281"/>
    <mergeCell ref="AT281:AU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L283:AM283"/>
    <mergeCell ref="AN283:AO283"/>
    <mergeCell ref="AP283:AQ283"/>
    <mergeCell ref="AR283:AS283"/>
    <mergeCell ref="AT283:AU283"/>
    <mergeCell ref="AH282:AI282"/>
    <mergeCell ref="AJ282:AK282"/>
    <mergeCell ref="AL282:AM282"/>
    <mergeCell ref="AN282:AO282"/>
    <mergeCell ref="AP282:AQ282"/>
    <mergeCell ref="AR282:AS282"/>
    <mergeCell ref="AT282:AU282"/>
    <mergeCell ref="F283:G283"/>
    <mergeCell ref="H283:I283"/>
    <mergeCell ref="J283:K283"/>
    <mergeCell ref="L283:M283"/>
    <mergeCell ref="N283:O283"/>
    <mergeCell ref="P283:Q283"/>
    <mergeCell ref="R283:S283"/>
    <mergeCell ref="AH284:AI284"/>
    <mergeCell ref="AJ284:AK284"/>
    <mergeCell ref="AL284:AM284"/>
    <mergeCell ref="AN284:AO284"/>
    <mergeCell ref="AP284:AQ284"/>
    <mergeCell ref="AR284:AS284"/>
    <mergeCell ref="AT284:AU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AL285:AM285"/>
    <mergeCell ref="AN285:AO285"/>
    <mergeCell ref="AP285:AQ285"/>
    <mergeCell ref="AR285:AS285"/>
    <mergeCell ref="AT285:AU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6:AI286"/>
    <mergeCell ref="AJ286:AK286"/>
    <mergeCell ref="AL286:AM286"/>
    <mergeCell ref="AN286:AO286"/>
    <mergeCell ref="AP286:AQ286"/>
    <mergeCell ref="AR286:AS286"/>
    <mergeCell ref="AT286:AU286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F289:G289"/>
    <mergeCell ref="H289:I289"/>
    <mergeCell ref="J289:K289"/>
    <mergeCell ref="L289:M289"/>
    <mergeCell ref="N289:O289"/>
    <mergeCell ref="P289:Q289"/>
    <mergeCell ref="R289:S289"/>
    <mergeCell ref="AP289:AQ289"/>
    <mergeCell ref="AR289:AS289"/>
    <mergeCell ref="AL288:AM288"/>
    <mergeCell ref="AN288:AO288"/>
    <mergeCell ref="AP288:AQ288"/>
    <mergeCell ref="AR288:AS288"/>
    <mergeCell ref="AT288:AU288"/>
    <mergeCell ref="AL289:AM289"/>
    <mergeCell ref="AN289:AO289"/>
    <mergeCell ref="AT289:AU289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H290:AI290"/>
    <mergeCell ref="AJ290:AK290"/>
    <mergeCell ref="AL290:AM290"/>
    <mergeCell ref="AN290:AO290"/>
    <mergeCell ref="AP290:AQ290"/>
    <mergeCell ref="AR290:AS290"/>
    <mergeCell ref="AT290:AU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L292:AM292"/>
    <mergeCell ref="AN292:AO292"/>
    <mergeCell ref="AP292:AQ292"/>
    <mergeCell ref="AR292:AS292"/>
    <mergeCell ref="AT292:AU292"/>
    <mergeCell ref="AH291:AI291"/>
    <mergeCell ref="AJ291:AK291"/>
    <mergeCell ref="AL291:AM291"/>
    <mergeCell ref="AN291:AO291"/>
    <mergeCell ref="AP291:AQ291"/>
    <mergeCell ref="AR291:AS291"/>
    <mergeCell ref="AT291:AU291"/>
    <mergeCell ref="F292:G292"/>
    <mergeCell ref="H292:I292"/>
    <mergeCell ref="J292:K292"/>
    <mergeCell ref="L292:M292"/>
    <mergeCell ref="N292:O292"/>
    <mergeCell ref="P292:Q292"/>
    <mergeCell ref="R292:S292"/>
    <mergeCell ref="AH293:AI293"/>
    <mergeCell ref="AJ293:AK293"/>
    <mergeCell ref="AL293:AM293"/>
    <mergeCell ref="AN293:AO293"/>
    <mergeCell ref="AP293:AQ293"/>
    <mergeCell ref="AR293:AS293"/>
    <mergeCell ref="AT293:AU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AL294:AM294"/>
    <mergeCell ref="AN294:AO294"/>
    <mergeCell ref="AP294:AQ294"/>
    <mergeCell ref="AR294:AS294"/>
    <mergeCell ref="AT294:AU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5:AI295"/>
    <mergeCell ref="AJ295:AK295"/>
    <mergeCell ref="AL295:AM295"/>
    <mergeCell ref="AN295:AO295"/>
    <mergeCell ref="AP295:AQ295"/>
    <mergeCell ref="AR295:AS295"/>
    <mergeCell ref="AT295:AU295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F298:G298"/>
    <mergeCell ref="H298:I298"/>
    <mergeCell ref="J298:K298"/>
    <mergeCell ref="L298:M298"/>
    <mergeCell ref="N298:O298"/>
    <mergeCell ref="P298:Q298"/>
    <mergeCell ref="R298:S298"/>
    <mergeCell ref="AP298:AQ298"/>
    <mergeCell ref="AR298:AS298"/>
    <mergeCell ref="AL297:AM297"/>
    <mergeCell ref="AN297:AO297"/>
    <mergeCell ref="AP297:AQ297"/>
    <mergeCell ref="AR297:AS297"/>
    <mergeCell ref="AT297:AU297"/>
    <mergeCell ref="AL298:AM298"/>
    <mergeCell ref="AN298:AO298"/>
    <mergeCell ref="AT298:AU298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F296:G296"/>
    <mergeCell ref="H296:I296"/>
    <mergeCell ref="J296:K296"/>
    <mergeCell ref="L296:M296"/>
    <mergeCell ref="N296:O296"/>
    <mergeCell ref="P296:Q296"/>
    <mergeCell ref="R296:S296"/>
    <mergeCell ref="F297:G297"/>
    <mergeCell ref="H297:I297"/>
    <mergeCell ref="J297:K297"/>
    <mergeCell ref="L297:M297"/>
    <mergeCell ref="N297:O297"/>
    <mergeCell ref="P297:Q297"/>
    <mergeCell ref="R297:S297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L301:AM301"/>
    <mergeCell ref="AN301:AO301"/>
    <mergeCell ref="AP301:AQ301"/>
    <mergeCell ref="AR301:AS301"/>
    <mergeCell ref="AT301:AU301"/>
    <mergeCell ref="AH300:AI300"/>
    <mergeCell ref="AJ300:AK300"/>
    <mergeCell ref="AL300:AM300"/>
    <mergeCell ref="AN300:AO300"/>
    <mergeCell ref="AP300:AQ300"/>
    <mergeCell ref="AR300:AS300"/>
    <mergeCell ref="AT300:AU300"/>
    <mergeCell ref="F301:G301"/>
    <mergeCell ref="H301:I301"/>
    <mergeCell ref="J301:K301"/>
    <mergeCell ref="L301:M301"/>
    <mergeCell ref="N301:O301"/>
    <mergeCell ref="P301:Q301"/>
    <mergeCell ref="R301:S301"/>
    <mergeCell ref="AH302:AI302"/>
    <mergeCell ref="AJ302:AK302"/>
    <mergeCell ref="AL302:AM302"/>
    <mergeCell ref="AN302:AO302"/>
    <mergeCell ref="AP302:AQ302"/>
    <mergeCell ref="AR302:AS302"/>
    <mergeCell ref="AT302:AU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AL303:AM303"/>
    <mergeCell ref="AN303:AO303"/>
    <mergeCell ref="AP303:AQ303"/>
    <mergeCell ref="AR303:AS303"/>
    <mergeCell ref="AT303:AU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4:AI304"/>
    <mergeCell ref="AJ304:AK304"/>
    <mergeCell ref="AL304:AM304"/>
    <mergeCell ref="AN304:AO304"/>
    <mergeCell ref="AP304:AQ304"/>
    <mergeCell ref="AR304:AS304"/>
    <mergeCell ref="AT304:AU304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F307:G307"/>
    <mergeCell ref="H307:I307"/>
    <mergeCell ref="J307:K307"/>
    <mergeCell ref="L307:M307"/>
    <mergeCell ref="N307:O307"/>
    <mergeCell ref="P307:Q307"/>
    <mergeCell ref="R307:S307"/>
    <mergeCell ref="AP307:AQ307"/>
    <mergeCell ref="AR307:AS307"/>
    <mergeCell ref="AL306:AM306"/>
    <mergeCell ref="AN306:AO306"/>
    <mergeCell ref="AP306:AQ306"/>
    <mergeCell ref="AR306:AS306"/>
    <mergeCell ref="AT306:AU306"/>
    <mergeCell ref="AL307:AM307"/>
    <mergeCell ref="AN307:AO307"/>
    <mergeCell ref="AT307:AU307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L310:AM310"/>
    <mergeCell ref="AN310:AO310"/>
    <mergeCell ref="AP310:AQ310"/>
    <mergeCell ref="AR310:AS310"/>
    <mergeCell ref="AT310:AU310"/>
    <mergeCell ref="AH309:AI309"/>
    <mergeCell ref="AJ309:AK309"/>
    <mergeCell ref="AL309:AM309"/>
    <mergeCell ref="AN309:AO309"/>
    <mergeCell ref="AP309:AQ309"/>
    <mergeCell ref="AR309:AS309"/>
    <mergeCell ref="AT309:AU309"/>
    <mergeCell ref="F310:G310"/>
    <mergeCell ref="H310:I310"/>
    <mergeCell ref="J310:K310"/>
    <mergeCell ref="L310:M310"/>
    <mergeCell ref="N310:O310"/>
    <mergeCell ref="P310:Q310"/>
    <mergeCell ref="R310:S310"/>
    <mergeCell ref="AH311:AI311"/>
    <mergeCell ref="AJ311:AK311"/>
    <mergeCell ref="AL311:AM311"/>
    <mergeCell ref="AN311:AO311"/>
    <mergeCell ref="AP311:AQ311"/>
    <mergeCell ref="AR311:AS311"/>
    <mergeCell ref="AT311:AU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AL312:AM312"/>
    <mergeCell ref="AN312:AO312"/>
    <mergeCell ref="AP312:AQ312"/>
    <mergeCell ref="AR312:AS312"/>
    <mergeCell ref="AT312:AU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3:AI313"/>
    <mergeCell ref="AJ313:AK313"/>
    <mergeCell ref="AL313:AM313"/>
    <mergeCell ref="AN313:AO313"/>
    <mergeCell ref="AP313:AQ313"/>
    <mergeCell ref="AR313:AS313"/>
    <mergeCell ref="AT313:AU313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O314"/>
    <mergeCell ref="AP314:AQ314"/>
    <mergeCell ref="AR314:AS314"/>
    <mergeCell ref="AT314:AU314"/>
    <mergeCell ref="F316:G316"/>
    <mergeCell ref="H316:I316"/>
    <mergeCell ref="J316:K316"/>
    <mergeCell ref="L316:M316"/>
    <mergeCell ref="N316:O316"/>
    <mergeCell ref="P316:Q316"/>
    <mergeCell ref="R316:S316"/>
    <mergeCell ref="AP316:AQ316"/>
    <mergeCell ref="AR316:AS316"/>
    <mergeCell ref="AL315:AM315"/>
    <mergeCell ref="AN315:AO315"/>
    <mergeCell ref="AP315:AQ315"/>
    <mergeCell ref="AR315:AS315"/>
    <mergeCell ref="AT315:AU315"/>
    <mergeCell ref="AL316:AM316"/>
    <mergeCell ref="AN316:AO316"/>
    <mergeCell ref="AT316:AU316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F314:G314"/>
    <mergeCell ref="H314:I314"/>
    <mergeCell ref="J314:K314"/>
    <mergeCell ref="L314:M314"/>
    <mergeCell ref="N314:O314"/>
    <mergeCell ref="P314:Q314"/>
    <mergeCell ref="R314:S314"/>
    <mergeCell ref="F315:G315"/>
    <mergeCell ref="H315:I315"/>
    <mergeCell ref="J315:K315"/>
    <mergeCell ref="L315:M315"/>
    <mergeCell ref="N315:O315"/>
    <mergeCell ref="P315:Q315"/>
    <mergeCell ref="R315:S315"/>
    <mergeCell ref="AH317:AI317"/>
    <mergeCell ref="AJ317:AK317"/>
    <mergeCell ref="AL317:AM317"/>
    <mergeCell ref="AN317:AO317"/>
    <mergeCell ref="AP317:AQ317"/>
    <mergeCell ref="AR317:AS317"/>
    <mergeCell ref="AT317:AU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L319:AM319"/>
    <mergeCell ref="AN319:AO319"/>
    <mergeCell ref="AP319:AQ319"/>
    <mergeCell ref="AR319:AS319"/>
    <mergeCell ref="AT319:AU319"/>
    <mergeCell ref="AH318:AI318"/>
    <mergeCell ref="AJ318:AK318"/>
    <mergeCell ref="AL318:AM318"/>
    <mergeCell ref="AN318:AO318"/>
    <mergeCell ref="AP318:AQ318"/>
    <mergeCell ref="AR318:AS318"/>
    <mergeCell ref="AT318:AU318"/>
    <mergeCell ref="F319:G319"/>
    <mergeCell ref="H319:I319"/>
    <mergeCell ref="J319:K319"/>
    <mergeCell ref="L319:M319"/>
    <mergeCell ref="N319:O319"/>
    <mergeCell ref="P319:Q319"/>
    <mergeCell ref="R319:S319"/>
    <mergeCell ref="AH320:AI320"/>
    <mergeCell ref="AJ320:AK320"/>
    <mergeCell ref="AL320:AM320"/>
    <mergeCell ref="AN320:AO320"/>
    <mergeCell ref="AP320:AQ320"/>
    <mergeCell ref="AR320:AS320"/>
    <mergeCell ref="AT320:AU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AL321:AM321"/>
    <mergeCell ref="AN321:AO321"/>
    <mergeCell ref="AP321:AQ321"/>
    <mergeCell ref="AR321:AS321"/>
    <mergeCell ref="AT321:AU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2:AI322"/>
    <mergeCell ref="AJ322:AK322"/>
    <mergeCell ref="AL322:AM322"/>
    <mergeCell ref="AN322:AO322"/>
    <mergeCell ref="AP322:AQ322"/>
    <mergeCell ref="AR322:AS322"/>
    <mergeCell ref="AT322:AU322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O323"/>
    <mergeCell ref="AP323:AQ323"/>
    <mergeCell ref="AR323:AS323"/>
    <mergeCell ref="AT323:AU323"/>
    <mergeCell ref="F325:G325"/>
    <mergeCell ref="H325:I325"/>
    <mergeCell ref="J325:K325"/>
    <mergeCell ref="L325:M325"/>
    <mergeCell ref="N325:O325"/>
    <mergeCell ref="P325:Q325"/>
    <mergeCell ref="R325:S325"/>
    <mergeCell ref="AP325:AQ325"/>
    <mergeCell ref="AR325:AS325"/>
    <mergeCell ref="AL324:AM324"/>
    <mergeCell ref="AN324:AO324"/>
    <mergeCell ref="AP324:AQ324"/>
    <mergeCell ref="AR324:AS324"/>
    <mergeCell ref="AT324:AU324"/>
    <mergeCell ref="AL325:AM325"/>
    <mergeCell ref="AN325:AO325"/>
    <mergeCell ref="AT325:AU325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H326:AI326"/>
    <mergeCell ref="AJ326:AK326"/>
    <mergeCell ref="AL326:AM326"/>
    <mergeCell ref="AN326:AO326"/>
    <mergeCell ref="AP326:AQ326"/>
    <mergeCell ref="AR326:AS326"/>
    <mergeCell ref="AT326:AU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L328:AM328"/>
    <mergeCell ref="AN328:AO328"/>
    <mergeCell ref="AP328:AQ328"/>
    <mergeCell ref="AR328:AS328"/>
    <mergeCell ref="AT328:AU328"/>
    <mergeCell ref="AH327:AI327"/>
    <mergeCell ref="AJ327:AK327"/>
    <mergeCell ref="AL327:AM327"/>
    <mergeCell ref="AN327:AO327"/>
    <mergeCell ref="AP327:AQ327"/>
    <mergeCell ref="AR327:AS327"/>
    <mergeCell ref="AT327:AU327"/>
    <mergeCell ref="F328:G328"/>
    <mergeCell ref="H328:I328"/>
    <mergeCell ref="J328:K328"/>
    <mergeCell ref="L328:M328"/>
    <mergeCell ref="N328:O328"/>
    <mergeCell ref="P328:Q328"/>
    <mergeCell ref="R328:S328"/>
    <mergeCell ref="AH329:AI329"/>
    <mergeCell ref="AJ329:AK329"/>
    <mergeCell ref="AL329:AM329"/>
    <mergeCell ref="AN329:AO329"/>
    <mergeCell ref="AP329:AQ329"/>
    <mergeCell ref="AR329:AS329"/>
    <mergeCell ref="AT329:AU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AL330:AM330"/>
    <mergeCell ref="AN330:AO330"/>
    <mergeCell ref="AP330:AQ330"/>
    <mergeCell ref="AR330:AS330"/>
    <mergeCell ref="AT330:AU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J3:AK3"/>
    <mergeCell ref="AL3:AM3"/>
    <mergeCell ref="AN3:AO3"/>
    <mergeCell ref="AP3:AQ3"/>
    <mergeCell ref="AR3:AS3"/>
    <mergeCell ref="AT3:AU3"/>
    <mergeCell ref="A1:E1"/>
    <mergeCell ref="F1:Q1"/>
    <mergeCell ref="R1:AC1"/>
    <mergeCell ref="AD1:AI1"/>
    <mergeCell ref="AJ1:AU1"/>
    <mergeCell ref="AV1:AZ1"/>
    <mergeCell ref="F3:G3"/>
    <mergeCell ref="X3:Y3"/>
    <mergeCell ref="Z3:AA3"/>
    <mergeCell ref="X4:Y4"/>
    <mergeCell ref="Z4:AA4"/>
    <mergeCell ref="X5:Y5"/>
    <mergeCell ref="Z5:AA5"/>
    <mergeCell ref="AB3:AC3"/>
    <mergeCell ref="AD3:AE3"/>
    <mergeCell ref="AB4:AC4"/>
    <mergeCell ref="AD4:AE4"/>
    <mergeCell ref="AB5:AC5"/>
    <mergeCell ref="AD5:AE5"/>
    <mergeCell ref="AF5:AG5"/>
    <mergeCell ref="L3:M3"/>
    <mergeCell ref="N3:O3"/>
    <mergeCell ref="L4:M4"/>
    <mergeCell ref="N4:O4"/>
    <mergeCell ref="L5:M5"/>
    <mergeCell ref="N5:O5"/>
    <mergeCell ref="P3:Q3"/>
    <mergeCell ref="R3:S3"/>
    <mergeCell ref="P4:Q4"/>
    <mergeCell ref="R4:S4"/>
    <mergeCell ref="P5:Q5"/>
    <mergeCell ref="R5:S5"/>
    <mergeCell ref="T3:U3"/>
    <mergeCell ref="V3:W3"/>
    <mergeCell ref="T4:U4"/>
    <mergeCell ref="V4:W4"/>
    <mergeCell ref="T5:U5"/>
    <mergeCell ref="V5:W5"/>
    <mergeCell ref="AP4:AQ4"/>
    <mergeCell ref="AR4:AS4"/>
    <mergeCell ref="AT4:AU4"/>
    <mergeCell ref="AF3:AG3"/>
    <mergeCell ref="AH3:AI3"/>
    <mergeCell ref="AF4:AG4"/>
    <mergeCell ref="AH4:AI4"/>
    <mergeCell ref="AJ4:AK4"/>
    <mergeCell ref="AL4:AM4"/>
    <mergeCell ref="AN4:AO4"/>
    <mergeCell ref="AH5:AI5"/>
    <mergeCell ref="AJ5:AK5"/>
    <mergeCell ref="AL5:AM5"/>
    <mergeCell ref="AN5:AO5"/>
    <mergeCell ref="AP5:AQ5"/>
    <mergeCell ref="AR5:AS5"/>
    <mergeCell ref="AT5:AU5"/>
    <mergeCell ref="H3:I3"/>
    <mergeCell ref="J3:K3"/>
    <mergeCell ref="F4:G4"/>
    <mergeCell ref="H4:I4"/>
    <mergeCell ref="J4:K4"/>
    <mergeCell ref="H5:I5"/>
    <mergeCell ref="J5:K5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M22"/>
    <mergeCell ref="AN22:AO22"/>
    <mergeCell ref="AP22:AQ22"/>
    <mergeCell ref="AR22:AS22"/>
    <mergeCell ref="AT22:AU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H23:AI23"/>
    <mergeCell ref="AJ23:AK23"/>
    <mergeCell ref="AL23:AM23"/>
    <mergeCell ref="AN23:AO23"/>
    <mergeCell ref="AP23:AQ23"/>
    <mergeCell ref="AR23:AS23"/>
    <mergeCell ref="AT23:AU23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O25"/>
    <mergeCell ref="AP25:AQ25"/>
    <mergeCell ref="AR25:AS25"/>
    <mergeCell ref="AT25:AU25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7:G27"/>
    <mergeCell ref="H27:I27"/>
    <mergeCell ref="J27:K27"/>
    <mergeCell ref="L27:M27"/>
    <mergeCell ref="N27:O27"/>
    <mergeCell ref="P27:Q27"/>
    <mergeCell ref="R27:S27"/>
    <mergeCell ref="AL27:AM27"/>
    <mergeCell ref="AN27:AO27"/>
    <mergeCell ref="AP27:AQ27"/>
    <mergeCell ref="AR27:AS27"/>
    <mergeCell ref="AT27:AU27"/>
    <mergeCell ref="AH26:AI26"/>
    <mergeCell ref="AJ26:AK26"/>
    <mergeCell ref="AL26:AM26"/>
    <mergeCell ref="AN26:AO26"/>
    <mergeCell ref="AP26:AQ26"/>
    <mergeCell ref="AR26:AS26"/>
    <mergeCell ref="AT26:AU26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AH28:AI28"/>
    <mergeCell ref="AJ28:AK28"/>
    <mergeCell ref="AL28:AM28"/>
    <mergeCell ref="AN28:AO28"/>
    <mergeCell ref="AP28:AQ28"/>
    <mergeCell ref="AR28:AS28"/>
    <mergeCell ref="AT28:AU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H29:AI29"/>
    <mergeCell ref="AJ29:AK29"/>
    <mergeCell ref="AL29:AM29"/>
    <mergeCell ref="AN29:AO29"/>
    <mergeCell ref="AP29:AQ29"/>
    <mergeCell ref="AR29:AS29"/>
    <mergeCell ref="AT29:AU29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AL31:AM31"/>
    <mergeCell ref="AN31:AO31"/>
    <mergeCell ref="AP31:AQ31"/>
    <mergeCell ref="AR31:AS31"/>
    <mergeCell ref="AT31:AU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3:G33"/>
    <mergeCell ref="H33:I33"/>
    <mergeCell ref="J33:K33"/>
    <mergeCell ref="L33:M33"/>
    <mergeCell ref="N33:O33"/>
    <mergeCell ref="P33:Q33"/>
    <mergeCell ref="R33:S33"/>
    <mergeCell ref="AL33:AM33"/>
    <mergeCell ref="AN33:AO33"/>
    <mergeCell ref="AP33:AQ33"/>
    <mergeCell ref="AR33:AS33"/>
    <mergeCell ref="AT33:AU33"/>
    <mergeCell ref="AH32:AI32"/>
    <mergeCell ref="AJ32:AK32"/>
    <mergeCell ref="AL32:AM32"/>
    <mergeCell ref="AN32:AO32"/>
    <mergeCell ref="AP32:AQ32"/>
    <mergeCell ref="AR32:AS32"/>
    <mergeCell ref="AT32:AU32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AH34:AI34"/>
    <mergeCell ref="AJ34:AK34"/>
    <mergeCell ref="AL34:AM34"/>
    <mergeCell ref="AN34:AO34"/>
    <mergeCell ref="AP34:AQ34"/>
    <mergeCell ref="AR34:AS34"/>
    <mergeCell ref="AT34:AU34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H35:AI35"/>
    <mergeCell ref="AJ35:AK35"/>
    <mergeCell ref="AL35:AM35"/>
    <mergeCell ref="AN35:AO35"/>
    <mergeCell ref="AP35:AQ35"/>
    <mergeCell ref="AR35:AS35"/>
    <mergeCell ref="AT35:AU35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AH37:AI37"/>
    <mergeCell ref="AJ37:AK37"/>
    <mergeCell ref="AL37:AM37"/>
    <mergeCell ref="AN37:AO37"/>
    <mergeCell ref="AP37:AQ37"/>
    <mergeCell ref="AR37:AS37"/>
    <mergeCell ref="AT37:AU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AL38:AM38"/>
    <mergeCell ref="AN38:AO38"/>
    <mergeCell ref="AP38:AQ38"/>
    <mergeCell ref="AR38:AS38"/>
    <mergeCell ref="AT38:AU38"/>
    <mergeCell ref="F39:G39"/>
    <mergeCell ref="H39:I39"/>
    <mergeCell ref="J39:K39"/>
    <mergeCell ref="L39:M39"/>
    <mergeCell ref="N39:O39"/>
    <mergeCell ref="P39:Q39"/>
    <mergeCell ref="R39:S39"/>
    <mergeCell ref="AH15:AI15"/>
    <mergeCell ref="AJ15:AK15"/>
    <mergeCell ref="AL15:AM15"/>
    <mergeCell ref="AN15:AO15"/>
    <mergeCell ref="AP15:AQ15"/>
    <mergeCell ref="AR15:AS15"/>
    <mergeCell ref="AT15:AU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F18:G18"/>
    <mergeCell ref="H18:I18"/>
    <mergeCell ref="J18:K18"/>
    <mergeCell ref="L18:M18"/>
    <mergeCell ref="N18:O18"/>
    <mergeCell ref="P18:Q18"/>
    <mergeCell ref="R18:S18"/>
    <mergeCell ref="AP18:AQ18"/>
    <mergeCell ref="AR18:AS18"/>
    <mergeCell ref="AL17:AM17"/>
    <mergeCell ref="AN17:AO17"/>
    <mergeCell ref="AP17:AQ17"/>
    <mergeCell ref="AR17:AS17"/>
    <mergeCell ref="AT17:AU17"/>
    <mergeCell ref="AL18:AM18"/>
    <mergeCell ref="AN18:AO18"/>
    <mergeCell ref="AT18:AU18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19:AI19"/>
    <mergeCell ref="AJ19:AK19"/>
    <mergeCell ref="AL19:AM19"/>
    <mergeCell ref="AN19:AO19"/>
    <mergeCell ref="AP19:AQ19"/>
    <mergeCell ref="AR19:AS19"/>
    <mergeCell ref="AT19:AU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1:G21"/>
    <mergeCell ref="H21:I21"/>
    <mergeCell ref="J21:K21"/>
    <mergeCell ref="L21:M21"/>
    <mergeCell ref="N21:O21"/>
    <mergeCell ref="P21:Q21"/>
    <mergeCell ref="R21:S21"/>
    <mergeCell ref="AL21:AM21"/>
    <mergeCell ref="AN21:AO21"/>
    <mergeCell ref="AP21:AQ21"/>
    <mergeCell ref="AR21:AS21"/>
    <mergeCell ref="AT21:AU21"/>
    <mergeCell ref="AH20:AI20"/>
    <mergeCell ref="AJ20:AK20"/>
    <mergeCell ref="AL20:AM20"/>
    <mergeCell ref="AN20:AO20"/>
    <mergeCell ref="AP20:AQ20"/>
    <mergeCell ref="AR20:AS20"/>
    <mergeCell ref="AT20:AU20"/>
    <mergeCell ref="AF6:AG6"/>
    <mergeCell ref="AH6:AI6"/>
    <mergeCell ref="AJ6:AK6"/>
    <mergeCell ref="AL6:AM6"/>
    <mergeCell ref="AN6:AO6"/>
    <mergeCell ref="AP6:AQ6"/>
    <mergeCell ref="AR6:AS6"/>
    <mergeCell ref="AT6:AU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F9:G9"/>
    <mergeCell ref="H9:I9"/>
    <mergeCell ref="J9:K9"/>
    <mergeCell ref="L9:M9"/>
    <mergeCell ref="N9:O9"/>
    <mergeCell ref="P9:Q9"/>
    <mergeCell ref="R9:S9"/>
    <mergeCell ref="AP9:AQ9"/>
    <mergeCell ref="AR9:AS9"/>
    <mergeCell ref="AL8:AM8"/>
    <mergeCell ref="AN8:AO8"/>
    <mergeCell ref="AP8:AQ8"/>
    <mergeCell ref="AR8:AS8"/>
    <mergeCell ref="AT8:AU8"/>
    <mergeCell ref="AL9:AM9"/>
    <mergeCell ref="AN9:AO9"/>
    <mergeCell ref="AT9:AU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  <mergeCell ref="L8:M8"/>
    <mergeCell ref="N8:O8"/>
    <mergeCell ref="P8:Q8"/>
    <mergeCell ref="R8:S8"/>
    <mergeCell ref="AH10:AI10"/>
    <mergeCell ref="AJ10:AK10"/>
    <mergeCell ref="AL10:AM10"/>
    <mergeCell ref="AN10:AO10"/>
    <mergeCell ref="AP10:AQ10"/>
    <mergeCell ref="AR10:AS10"/>
    <mergeCell ref="AT10:AU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L12:AM12"/>
    <mergeCell ref="AN12:AO12"/>
    <mergeCell ref="AP12:AQ12"/>
    <mergeCell ref="AR12:AS12"/>
    <mergeCell ref="AT12:AU12"/>
    <mergeCell ref="AH11:AI11"/>
    <mergeCell ref="AJ11:AK11"/>
    <mergeCell ref="AL11:AM11"/>
    <mergeCell ref="AN11:AO11"/>
    <mergeCell ref="AP11:AQ11"/>
    <mergeCell ref="AR11:AS11"/>
    <mergeCell ref="AT11:AU11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H14:AI14"/>
    <mergeCell ref="AJ14:AK14"/>
    <mergeCell ref="AL14:AM14"/>
    <mergeCell ref="AN14:AO14"/>
    <mergeCell ref="AP14:AQ14"/>
    <mergeCell ref="AR14:AS14"/>
    <mergeCell ref="AT14:AU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60:AI60"/>
    <mergeCell ref="AJ60:AK60"/>
    <mergeCell ref="AL60:AM60"/>
    <mergeCell ref="AN60:AO60"/>
    <mergeCell ref="AP60:AQ60"/>
    <mergeCell ref="AR60:AS60"/>
    <mergeCell ref="AT60:AU60"/>
    <mergeCell ref="T60:U60"/>
    <mergeCell ref="V60:W60"/>
    <mergeCell ref="X60:Y60"/>
    <mergeCell ref="Z60:AA60"/>
    <mergeCell ref="AB60:AC60"/>
    <mergeCell ref="AD60:AE60"/>
    <mergeCell ref="AF60:AG60"/>
    <mergeCell ref="AH61:AI61"/>
    <mergeCell ref="AJ61:AK61"/>
    <mergeCell ref="AL61:AM61"/>
    <mergeCell ref="AN61:AO61"/>
    <mergeCell ref="AP61:AQ61"/>
    <mergeCell ref="AR61:AS61"/>
    <mergeCell ref="AT61:AU61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F64:G64"/>
    <mergeCell ref="H64:I64"/>
    <mergeCell ref="J64:K64"/>
    <mergeCell ref="L64:M64"/>
    <mergeCell ref="N64:O64"/>
    <mergeCell ref="P64:Q64"/>
    <mergeCell ref="R64:S64"/>
    <mergeCell ref="AP64:AQ64"/>
    <mergeCell ref="AR64:AS64"/>
    <mergeCell ref="AL63:AM63"/>
    <mergeCell ref="AN63:AO63"/>
    <mergeCell ref="AP63:AQ63"/>
    <mergeCell ref="AR63:AS63"/>
    <mergeCell ref="AT63:AU63"/>
    <mergeCell ref="AL64:AM64"/>
    <mergeCell ref="AN64:AO64"/>
    <mergeCell ref="AT64:AU64"/>
    <mergeCell ref="F62:G62"/>
    <mergeCell ref="H62:I62"/>
    <mergeCell ref="J62:K62"/>
    <mergeCell ref="L62:M62"/>
    <mergeCell ref="N62:O62"/>
    <mergeCell ref="P62:Q62"/>
    <mergeCell ref="R62:S62"/>
    <mergeCell ref="F63:G63"/>
    <mergeCell ref="H63:I63"/>
    <mergeCell ref="J63:K63"/>
    <mergeCell ref="L63:M63"/>
    <mergeCell ref="N63:O63"/>
    <mergeCell ref="P63:Q63"/>
    <mergeCell ref="R63:S63"/>
    <mergeCell ref="AH65:AI65"/>
    <mergeCell ref="AJ65:AK65"/>
    <mergeCell ref="AL65:AM65"/>
    <mergeCell ref="AN65:AO65"/>
    <mergeCell ref="AP65:AQ65"/>
    <mergeCell ref="AR65:AS65"/>
    <mergeCell ref="AT65:AU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L67:AM67"/>
    <mergeCell ref="AN67:AO67"/>
    <mergeCell ref="AP67:AQ67"/>
    <mergeCell ref="AR67:AS67"/>
    <mergeCell ref="AT67:AU67"/>
    <mergeCell ref="AH66:AI66"/>
    <mergeCell ref="AJ66:AK66"/>
    <mergeCell ref="AL66:AM66"/>
    <mergeCell ref="AN66:AO66"/>
    <mergeCell ref="AP66:AQ66"/>
    <mergeCell ref="AR66:AS66"/>
    <mergeCell ref="AT66:AU66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68:AI68"/>
    <mergeCell ref="AJ68:AK68"/>
    <mergeCell ref="AL68:AM68"/>
    <mergeCell ref="AN68:AO68"/>
    <mergeCell ref="AP68:AQ68"/>
    <mergeCell ref="AR68:AS68"/>
    <mergeCell ref="AT68:AU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AL69:AM69"/>
    <mergeCell ref="AN69:AO69"/>
    <mergeCell ref="AP69:AQ69"/>
    <mergeCell ref="AR69:AS69"/>
    <mergeCell ref="AT69:AU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39:AI39"/>
    <mergeCell ref="AJ39:AK39"/>
    <mergeCell ref="AL39:AM39"/>
    <mergeCell ref="AN39:AO39"/>
    <mergeCell ref="AP39:AQ39"/>
    <mergeCell ref="AR39:AS39"/>
    <mergeCell ref="AT39:AU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AL40:AM40"/>
    <mergeCell ref="AN40:AO40"/>
    <mergeCell ref="AP40:AQ40"/>
    <mergeCell ref="AR40:AS40"/>
    <mergeCell ref="AT40:AU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H41:AI41"/>
    <mergeCell ref="AJ41:AK41"/>
    <mergeCell ref="AL41:AM41"/>
    <mergeCell ref="AN41:AO41"/>
    <mergeCell ref="AP41:AQ41"/>
    <mergeCell ref="AR41:AS41"/>
    <mergeCell ref="AT41:AU41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5:G45"/>
    <mergeCell ref="H45:I45"/>
    <mergeCell ref="J45:K45"/>
    <mergeCell ref="L45:M45"/>
    <mergeCell ref="N45:O45"/>
    <mergeCell ref="P45:Q45"/>
    <mergeCell ref="R45:S45"/>
    <mergeCell ref="AL45:AM45"/>
    <mergeCell ref="AN45:AO45"/>
    <mergeCell ref="AP45:AQ45"/>
    <mergeCell ref="AR45:AS45"/>
    <mergeCell ref="AT45:AU45"/>
    <mergeCell ref="AH44:AI44"/>
    <mergeCell ref="AJ44:AK44"/>
    <mergeCell ref="AL44:AM44"/>
    <mergeCell ref="AN44:AO44"/>
    <mergeCell ref="AP44:AQ44"/>
    <mergeCell ref="AR44:AS44"/>
    <mergeCell ref="AT44:AU44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H47:AI47"/>
    <mergeCell ref="AJ47:AK47"/>
    <mergeCell ref="AL47:AM47"/>
    <mergeCell ref="AN47:AO47"/>
    <mergeCell ref="AP47:AQ47"/>
    <mergeCell ref="AR47:AS47"/>
    <mergeCell ref="AT47:AU47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AL49:AM49"/>
    <mergeCell ref="AN49:AO49"/>
    <mergeCell ref="AP49:AQ49"/>
    <mergeCell ref="AR49:AS49"/>
    <mergeCell ref="AT49:AU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1:G51"/>
    <mergeCell ref="H51:I51"/>
    <mergeCell ref="J51:K51"/>
    <mergeCell ref="L51:M51"/>
    <mergeCell ref="N51:O51"/>
    <mergeCell ref="P51:Q51"/>
    <mergeCell ref="R51:S51"/>
    <mergeCell ref="AL51:AM51"/>
    <mergeCell ref="AN51:AO51"/>
    <mergeCell ref="AP51:AQ51"/>
    <mergeCell ref="AR51:AS51"/>
    <mergeCell ref="AT51:AU51"/>
    <mergeCell ref="AH50:AI50"/>
    <mergeCell ref="AJ50:AK50"/>
    <mergeCell ref="AL50:AM50"/>
    <mergeCell ref="AN50:AO50"/>
    <mergeCell ref="AP50:AQ50"/>
    <mergeCell ref="AR50:AS50"/>
    <mergeCell ref="AT50:AU50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AH52:AI52"/>
    <mergeCell ref="AJ52:AK52"/>
    <mergeCell ref="AL52:AM52"/>
    <mergeCell ref="AN52:AO52"/>
    <mergeCell ref="AP52:AQ52"/>
    <mergeCell ref="AR52:AS52"/>
    <mergeCell ref="AT52:AU52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H53:AI53"/>
    <mergeCell ref="AJ53:AK53"/>
    <mergeCell ref="AL53:AM53"/>
    <mergeCell ref="AN53:AO53"/>
    <mergeCell ref="AP53:AQ53"/>
    <mergeCell ref="AR53:AS53"/>
    <mergeCell ref="AT53:AU53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AH55:AI55"/>
    <mergeCell ref="AJ55:AK55"/>
    <mergeCell ref="AL55:AM55"/>
    <mergeCell ref="AN55:AO55"/>
    <mergeCell ref="AP55:AQ55"/>
    <mergeCell ref="AR55:AS55"/>
    <mergeCell ref="AT55:AU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7:G57"/>
    <mergeCell ref="H57:I57"/>
    <mergeCell ref="J57:K57"/>
    <mergeCell ref="L57:M57"/>
    <mergeCell ref="N57:O57"/>
    <mergeCell ref="P57:Q57"/>
    <mergeCell ref="R57:S57"/>
    <mergeCell ref="AL57:AM57"/>
    <mergeCell ref="AN57:AO57"/>
    <mergeCell ref="AP57:AQ57"/>
    <mergeCell ref="AR57:AS57"/>
    <mergeCell ref="AT57:AU57"/>
    <mergeCell ref="AH56:AI56"/>
    <mergeCell ref="AJ56:AK56"/>
    <mergeCell ref="AL56:AM56"/>
    <mergeCell ref="AN56:AO56"/>
    <mergeCell ref="AP56:AQ56"/>
    <mergeCell ref="AR56:AS56"/>
    <mergeCell ref="AT56:AU56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0:AI70"/>
    <mergeCell ref="AJ70:AK70"/>
    <mergeCell ref="AL70:AM70"/>
    <mergeCell ref="AN70:AO70"/>
    <mergeCell ref="AP70:AQ70"/>
    <mergeCell ref="AR70:AS70"/>
    <mergeCell ref="AT70:AU70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F73:G73"/>
    <mergeCell ref="H73:I73"/>
    <mergeCell ref="J73:K73"/>
    <mergeCell ref="L73:M73"/>
    <mergeCell ref="N73:O73"/>
    <mergeCell ref="P73:Q73"/>
    <mergeCell ref="R73:S73"/>
    <mergeCell ref="AP73:AQ73"/>
    <mergeCell ref="AR73:AS73"/>
    <mergeCell ref="AL72:AM72"/>
    <mergeCell ref="AN72:AO72"/>
    <mergeCell ref="AP72:AQ72"/>
    <mergeCell ref="AR72:AS72"/>
    <mergeCell ref="AT72:AU72"/>
    <mergeCell ref="AL73:AM73"/>
    <mergeCell ref="AN73:AO73"/>
    <mergeCell ref="AT73:AU73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H74:AI74"/>
    <mergeCell ref="AJ74:AK74"/>
    <mergeCell ref="AL74:AM74"/>
    <mergeCell ref="AN74:AO74"/>
    <mergeCell ref="AP74:AQ74"/>
    <mergeCell ref="AR74:AS74"/>
    <mergeCell ref="AT74:AU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L76:AM76"/>
    <mergeCell ref="AN76:AO76"/>
    <mergeCell ref="AP76:AQ76"/>
    <mergeCell ref="AR76:AS76"/>
    <mergeCell ref="AT76:AU76"/>
    <mergeCell ref="AH75:AI75"/>
    <mergeCell ref="AJ75:AK75"/>
    <mergeCell ref="AL75:AM75"/>
    <mergeCell ref="AN75:AO75"/>
    <mergeCell ref="AP75:AQ75"/>
    <mergeCell ref="AR75:AS75"/>
    <mergeCell ref="AT75:AU75"/>
    <mergeCell ref="F76:G76"/>
    <mergeCell ref="H76:I76"/>
    <mergeCell ref="J76:K76"/>
    <mergeCell ref="L76:M76"/>
    <mergeCell ref="N76:O76"/>
    <mergeCell ref="P76:Q76"/>
    <mergeCell ref="R76:S76"/>
    <mergeCell ref="AH77:AI77"/>
    <mergeCell ref="AJ77:AK77"/>
    <mergeCell ref="AL77:AM77"/>
    <mergeCell ref="AN77:AO77"/>
    <mergeCell ref="AP77:AQ77"/>
    <mergeCell ref="AR77:AS77"/>
    <mergeCell ref="AT77:AU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AL78:AM78"/>
    <mergeCell ref="AN78:AO78"/>
    <mergeCell ref="AP78:AQ78"/>
    <mergeCell ref="AR78:AS78"/>
    <mergeCell ref="AT78:AU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79:AI79"/>
    <mergeCell ref="AJ79:AK79"/>
    <mergeCell ref="AL79:AM79"/>
    <mergeCell ref="AN79:AO79"/>
    <mergeCell ref="AP79:AQ79"/>
    <mergeCell ref="AR79:AS79"/>
    <mergeCell ref="AT79:AU79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F82:G82"/>
    <mergeCell ref="H82:I82"/>
    <mergeCell ref="J82:K82"/>
    <mergeCell ref="L82:M82"/>
    <mergeCell ref="N82:O82"/>
    <mergeCell ref="P82:Q82"/>
    <mergeCell ref="R82:S82"/>
    <mergeCell ref="AP82:AQ82"/>
    <mergeCell ref="AR82:AS82"/>
    <mergeCell ref="AL81:AM81"/>
    <mergeCell ref="AN81:AO81"/>
    <mergeCell ref="AP81:AQ81"/>
    <mergeCell ref="AR81:AS81"/>
    <mergeCell ref="AT81:AU81"/>
    <mergeCell ref="AL82:AM82"/>
    <mergeCell ref="AN82:AO82"/>
    <mergeCell ref="AT82:AU82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  <mergeCell ref="AH83:AI83"/>
    <mergeCell ref="AJ83:AK83"/>
    <mergeCell ref="AL83:AM83"/>
    <mergeCell ref="AN83:AO83"/>
    <mergeCell ref="AP83:AQ83"/>
    <mergeCell ref="AR83:AS83"/>
    <mergeCell ref="AT83:AU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L85:AM85"/>
    <mergeCell ref="AN85:AO85"/>
    <mergeCell ref="AP85:AQ85"/>
    <mergeCell ref="AR85:AS85"/>
    <mergeCell ref="AT85:AU85"/>
    <mergeCell ref="AH84:AI84"/>
    <mergeCell ref="AJ84:AK84"/>
    <mergeCell ref="AL84:AM84"/>
    <mergeCell ref="AN84:AO84"/>
    <mergeCell ref="AP84:AQ84"/>
    <mergeCell ref="AR84:AS84"/>
    <mergeCell ref="AT84:AU84"/>
    <mergeCell ref="F85:G85"/>
    <mergeCell ref="H85:I85"/>
    <mergeCell ref="J85:K85"/>
    <mergeCell ref="L85:M85"/>
    <mergeCell ref="N85:O85"/>
    <mergeCell ref="P85:Q85"/>
    <mergeCell ref="R85:S85"/>
    <mergeCell ref="AH86:AI86"/>
    <mergeCell ref="AJ86:AK86"/>
    <mergeCell ref="AL86:AM86"/>
    <mergeCell ref="AN86:AO86"/>
    <mergeCell ref="AP86:AQ86"/>
    <mergeCell ref="AR86:AS86"/>
    <mergeCell ref="AT86:AU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AL87:AM87"/>
    <mergeCell ref="AN87:AO87"/>
    <mergeCell ref="AP87:AQ87"/>
    <mergeCell ref="AR87:AS87"/>
    <mergeCell ref="AT87:AU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8:AI88"/>
    <mergeCell ref="AJ88:AK88"/>
    <mergeCell ref="AL88:AM88"/>
    <mergeCell ref="AN88:AO88"/>
    <mergeCell ref="AP88:AQ88"/>
    <mergeCell ref="AR88:AS88"/>
    <mergeCell ref="AT88:AU88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N89:AO89"/>
    <mergeCell ref="AP89:AQ89"/>
    <mergeCell ref="AR89:AS89"/>
    <mergeCell ref="AT89:AU89"/>
    <mergeCell ref="F91:G91"/>
    <mergeCell ref="H91:I91"/>
    <mergeCell ref="J91:K91"/>
    <mergeCell ref="L91:M91"/>
    <mergeCell ref="N91:O91"/>
    <mergeCell ref="P91:Q91"/>
    <mergeCell ref="R91:S91"/>
    <mergeCell ref="AP91:AQ91"/>
    <mergeCell ref="AR91:AS91"/>
    <mergeCell ref="AL90:AM90"/>
    <mergeCell ref="AN90:AO90"/>
    <mergeCell ref="AP90:AQ90"/>
    <mergeCell ref="AR90:AS90"/>
    <mergeCell ref="AT90:AU90"/>
    <mergeCell ref="AL91:AM91"/>
    <mergeCell ref="AN91:AO91"/>
    <mergeCell ref="AT91:AU91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H92:AI92"/>
    <mergeCell ref="AJ92:AK92"/>
    <mergeCell ref="AL92:AM92"/>
    <mergeCell ref="AN92:AO92"/>
    <mergeCell ref="AP92:AQ92"/>
    <mergeCell ref="AR92:AS92"/>
    <mergeCell ref="AT92:AU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L94:AM94"/>
    <mergeCell ref="AN94:AO94"/>
    <mergeCell ref="AP94:AQ94"/>
    <mergeCell ref="AR94:AS94"/>
    <mergeCell ref="AT94:AU94"/>
    <mergeCell ref="AH93:AI93"/>
    <mergeCell ref="AJ93:AK93"/>
    <mergeCell ref="AL93:AM93"/>
    <mergeCell ref="AN93:AO93"/>
    <mergeCell ref="AP93:AQ93"/>
    <mergeCell ref="AR93:AS93"/>
    <mergeCell ref="AT93:AU93"/>
    <mergeCell ref="F94:G94"/>
    <mergeCell ref="H94:I94"/>
    <mergeCell ref="J94:K94"/>
    <mergeCell ref="L94:M94"/>
    <mergeCell ref="N94:O94"/>
    <mergeCell ref="P94:Q94"/>
    <mergeCell ref="R94:S94"/>
    <mergeCell ref="AH95:AI95"/>
    <mergeCell ref="AJ95:AK95"/>
    <mergeCell ref="AL95:AM95"/>
    <mergeCell ref="AN95:AO95"/>
    <mergeCell ref="AP95:AQ95"/>
    <mergeCell ref="AR95:AS95"/>
    <mergeCell ref="AT95:AU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AL96:AM96"/>
    <mergeCell ref="AN96:AO96"/>
    <mergeCell ref="AP96:AQ96"/>
    <mergeCell ref="AR96:AS96"/>
    <mergeCell ref="AT96:AU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7:AI97"/>
    <mergeCell ref="AJ97:AK97"/>
    <mergeCell ref="AL97:AM97"/>
    <mergeCell ref="AN97:AO97"/>
    <mergeCell ref="AP97:AQ97"/>
    <mergeCell ref="AR97:AS97"/>
    <mergeCell ref="AT97:AU97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F100:G100"/>
    <mergeCell ref="H100:I100"/>
    <mergeCell ref="J100:K100"/>
    <mergeCell ref="L100:M100"/>
    <mergeCell ref="N100:O100"/>
    <mergeCell ref="P100:Q100"/>
    <mergeCell ref="R100:S100"/>
    <mergeCell ref="AP100:AQ100"/>
    <mergeCell ref="AR100:AS100"/>
    <mergeCell ref="AL99:AM99"/>
    <mergeCell ref="AN99:AO99"/>
    <mergeCell ref="AP99:AQ99"/>
    <mergeCell ref="AR99:AS99"/>
    <mergeCell ref="AT99:AU99"/>
    <mergeCell ref="AL100:AM100"/>
    <mergeCell ref="AN100:AO100"/>
    <mergeCell ref="AT100:AU100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F98:G98"/>
    <mergeCell ref="H98:I98"/>
    <mergeCell ref="J98:K98"/>
    <mergeCell ref="L98:M98"/>
    <mergeCell ref="N98:O98"/>
    <mergeCell ref="P98:Q98"/>
    <mergeCell ref="R98:S98"/>
    <mergeCell ref="F99:G99"/>
    <mergeCell ref="H99:I99"/>
    <mergeCell ref="J99:K99"/>
    <mergeCell ref="L99:M99"/>
    <mergeCell ref="N99:O99"/>
    <mergeCell ref="P99:Q99"/>
    <mergeCell ref="R99:S99"/>
    <mergeCell ref="AH101:AI101"/>
    <mergeCell ref="AJ101:AK101"/>
    <mergeCell ref="AL101:AM101"/>
    <mergeCell ref="AN101:AO101"/>
    <mergeCell ref="AP101:AQ101"/>
    <mergeCell ref="AR101:AS101"/>
    <mergeCell ref="AT101:AU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L103:AM103"/>
    <mergeCell ref="AN103:AO103"/>
    <mergeCell ref="AP103:AQ103"/>
    <mergeCell ref="AR103:AS103"/>
    <mergeCell ref="AT103:AU103"/>
    <mergeCell ref="AH102:AI102"/>
    <mergeCell ref="AJ102:AK102"/>
    <mergeCell ref="AL102:AM102"/>
    <mergeCell ref="AN102:AO102"/>
    <mergeCell ref="AP102:AQ102"/>
    <mergeCell ref="AR102:AS102"/>
    <mergeCell ref="AT102:AU102"/>
    <mergeCell ref="F103:G103"/>
    <mergeCell ref="H103:I103"/>
    <mergeCell ref="J103:K103"/>
    <mergeCell ref="L103:M103"/>
    <mergeCell ref="N103:O103"/>
    <mergeCell ref="P103:Q103"/>
    <mergeCell ref="R103:S103"/>
    <mergeCell ref="AH104:AI104"/>
    <mergeCell ref="AJ104:AK104"/>
    <mergeCell ref="AL104:AM104"/>
    <mergeCell ref="AN104:AO104"/>
    <mergeCell ref="AP104:AQ104"/>
    <mergeCell ref="AR104:AS104"/>
    <mergeCell ref="AT104:AU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AL105:AM105"/>
    <mergeCell ref="AN105:AO105"/>
    <mergeCell ref="AP105:AQ105"/>
    <mergeCell ref="AR105:AS105"/>
    <mergeCell ref="AT105:AU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6:AI106"/>
    <mergeCell ref="AJ106:AK106"/>
    <mergeCell ref="AL106:AM106"/>
    <mergeCell ref="AN106:AO106"/>
    <mergeCell ref="AP106:AQ106"/>
    <mergeCell ref="AR106:AS106"/>
    <mergeCell ref="AT106:AU106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F109:G109"/>
    <mergeCell ref="H109:I109"/>
    <mergeCell ref="J109:K109"/>
    <mergeCell ref="L109:M109"/>
    <mergeCell ref="N109:O109"/>
    <mergeCell ref="P109:Q109"/>
    <mergeCell ref="R109:S109"/>
    <mergeCell ref="AP109:AQ109"/>
    <mergeCell ref="AR109:AS109"/>
    <mergeCell ref="AL108:AM108"/>
    <mergeCell ref="AN108:AO108"/>
    <mergeCell ref="AP108:AQ108"/>
    <mergeCell ref="AR108:AS108"/>
    <mergeCell ref="AT108:AU108"/>
    <mergeCell ref="AL109:AM109"/>
    <mergeCell ref="AN109:AO109"/>
    <mergeCell ref="AT109:AU109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H110:AI110"/>
    <mergeCell ref="AJ110:AK110"/>
    <mergeCell ref="AL110:AM110"/>
    <mergeCell ref="AN110:AO110"/>
    <mergeCell ref="AP110:AQ110"/>
    <mergeCell ref="AR110:AS110"/>
    <mergeCell ref="AT110:AU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L112:AM112"/>
    <mergeCell ref="AN112:AO112"/>
    <mergeCell ref="AP112:AQ112"/>
    <mergeCell ref="AR112:AS112"/>
    <mergeCell ref="AT112:AU112"/>
    <mergeCell ref="AH111:AI111"/>
    <mergeCell ref="AJ111:AK111"/>
    <mergeCell ref="AL111:AM111"/>
    <mergeCell ref="AN111:AO111"/>
    <mergeCell ref="AP111:AQ111"/>
    <mergeCell ref="AR111:AS111"/>
    <mergeCell ref="AT111:AU111"/>
    <mergeCell ref="F112:G112"/>
    <mergeCell ref="H112:I112"/>
    <mergeCell ref="J112:K112"/>
    <mergeCell ref="L112:M112"/>
    <mergeCell ref="N112:O112"/>
    <mergeCell ref="P112:Q112"/>
    <mergeCell ref="R112:S112"/>
    <mergeCell ref="AH113:AI113"/>
    <mergeCell ref="AJ113:AK113"/>
    <mergeCell ref="AL113:AM113"/>
    <mergeCell ref="AN113:AO113"/>
    <mergeCell ref="AP113:AQ113"/>
    <mergeCell ref="AR113:AS113"/>
    <mergeCell ref="AT113:AU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AL114:AM114"/>
    <mergeCell ref="AN114:AO114"/>
    <mergeCell ref="AP114:AQ114"/>
    <mergeCell ref="AR114:AS114"/>
    <mergeCell ref="AT114:AU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5:AI115"/>
    <mergeCell ref="AJ115:AK115"/>
    <mergeCell ref="AL115:AM115"/>
    <mergeCell ref="AN115:AO115"/>
    <mergeCell ref="AP115:AQ115"/>
    <mergeCell ref="AR115:AS115"/>
    <mergeCell ref="AT115:AU115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O116"/>
    <mergeCell ref="AP116:AQ116"/>
    <mergeCell ref="AR116:AS116"/>
    <mergeCell ref="AT116:AU116"/>
    <mergeCell ref="F118:G118"/>
    <mergeCell ref="H118:I118"/>
    <mergeCell ref="J118:K118"/>
    <mergeCell ref="L118:M118"/>
    <mergeCell ref="N118:O118"/>
    <mergeCell ref="P118:Q118"/>
    <mergeCell ref="R118:S118"/>
    <mergeCell ref="AP118:AQ118"/>
    <mergeCell ref="AR118:AS118"/>
    <mergeCell ref="AL117:AM117"/>
    <mergeCell ref="AN117:AO117"/>
    <mergeCell ref="AP117:AQ117"/>
    <mergeCell ref="AR117:AS117"/>
    <mergeCell ref="AT117:AU117"/>
    <mergeCell ref="AL118:AM118"/>
    <mergeCell ref="AN118:AO118"/>
    <mergeCell ref="AT118:AU118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F116:G116"/>
    <mergeCell ref="H116:I116"/>
    <mergeCell ref="J116:K116"/>
    <mergeCell ref="L116:M116"/>
    <mergeCell ref="N116:O116"/>
    <mergeCell ref="P116:Q116"/>
    <mergeCell ref="R116:S116"/>
    <mergeCell ref="F117:G117"/>
    <mergeCell ref="H117:I117"/>
    <mergeCell ref="J117:K117"/>
    <mergeCell ref="L117:M117"/>
    <mergeCell ref="N117:O117"/>
    <mergeCell ref="P117:Q117"/>
    <mergeCell ref="R117:S117"/>
    <mergeCell ref="AH119:AI119"/>
    <mergeCell ref="AJ119:AK119"/>
    <mergeCell ref="AL119:AM119"/>
    <mergeCell ref="AN119:AO119"/>
    <mergeCell ref="AP119:AQ119"/>
    <mergeCell ref="AR119:AS119"/>
    <mergeCell ref="AT119:AU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L121:AM121"/>
    <mergeCell ref="AN121:AO121"/>
    <mergeCell ref="AP121:AQ121"/>
    <mergeCell ref="AR121:AS121"/>
    <mergeCell ref="AT121:AU121"/>
    <mergeCell ref="AH120:AI120"/>
    <mergeCell ref="AJ120:AK120"/>
    <mergeCell ref="AL120:AM120"/>
    <mergeCell ref="AN120:AO120"/>
    <mergeCell ref="AP120:AQ120"/>
    <mergeCell ref="AR120:AS120"/>
    <mergeCell ref="AT120:AU120"/>
    <mergeCell ref="F121:G121"/>
    <mergeCell ref="H121:I121"/>
    <mergeCell ref="J121:K121"/>
    <mergeCell ref="L121:M121"/>
    <mergeCell ref="N121:O121"/>
    <mergeCell ref="P121:Q121"/>
    <mergeCell ref="R121:S121"/>
    <mergeCell ref="AH122:AI122"/>
    <mergeCell ref="AJ122:AK122"/>
    <mergeCell ref="AL122:AM122"/>
    <mergeCell ref="AN122:AO122"/>
    <mergeCell ref="AP122:AQ122"/>
    <mergeCell ref="AR122:AS122"/>
    <mergeCell ref="AT122:AU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AL123:AM123"/>
    <mergeCell ref="AN123:AO123"/>
    <mergeCell ref="AP123:AQ123"/>
    <mergeCell ref="AR123:AS123"/>
    <mergeCell ref="AT123:AU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4:AI124"/>
    <mergeCell ref="AJ124:AK124"/>
    <mergeCell ref="AL124:AM124"/>
    <mergeCell ref="AN124:AO124"/>
    <mergeCell ref="AP124:AQ124"/>
    <mergeCell ref="AR124:AS124"/>
    <mergeCell ref="AT124:AU124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O125"/>
    <mergeCell ref="AP125:AQ125"/>
    <mergeCell ref="AR125:AS125"/>
    <mergeCell ref="AT125:AU125"/>
    <mergeCell ref="F127:G127"/>
    <mergeCell ref="H127:I127"/>
    <mergeCell ref="J127:K127"/>
    <mergeCell ref="L127:M127"/>
    <mergeCell ref="N127:O127"/>
    <mergeCell ref="P127:Q127"/>
    <mergeCell ref="R127:S127"/>
    <mergeCell ref="AP127:AQ127"/>
    <mergeCell ref="AR127:AS127"/>
    <mergeCell ref="AL126:AM126"/>
    <mergeCell ref="AN126:AO126"/>
    <mergeCell ref="AP126:AQ126"/>
    <mergeCell ref="AR126:AS126"/>
    <mergeCell ref="AT126:AU126"/>
    <mergeCell ref="AL127:AM127"/>
    <mergeCell ref="AN127:AO127"/>
    <mergeCell ref="AT127:AU127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H128:AI128"/>
    <mergeCell ref="AJ128:AK128"/>
    <mergeCell ref="AL128:AM128"/>
    <mergeCell ref="AN128:AO128"/>
    <mergeCell ref="AP128:AQ128"/>
    <mergeCell ref="AR128:AS128"/>
    <mergeCell ref="AT128:AU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L130:AM130"/>
    <mergeCell ref="AN130:AO130"/>
    <mergeCell ref="AP130:AQ130"/>
    <mergeCell ref="AR130:AS130"/>
    <mergeCell ref="AT130:AU130"/>
    <mergeCell ref="AH129:AI129"/>
    <mergeCell ref="AJ129:AK129"/>
    <mergeCell ref="AL129:AM129"/>
    <mergeCell ref="AN129:AO129"/>
    <mergeCell ref="AP129:AQ129"/>
    <mergeCell ref="AR129:AS129"/>
    <mergeCell ref="AT129:AU129"/>
    <mergeCell ref="F130:G130"/>
    <mergeCell ref="H130:I130"/>
    <mergeCell ref="J130:K130"/>
    <mergeCell ref="L130:M130"/>
    <mergeCell ref="N130:O130"/>
    <mergeCell ref="P130:Q130"/>
    <mergeCell ref="R130:S130"/>
    <mergeCell ref="AH131:AI131"/>
    <mergeCell ref="AJ131:AK131"/>
    <mergeCell ref="AL131:AM131"/>
    <mergeCell ref="AN131:AO131"/>
    <mergeCell ref="AP131:AQ131"/>
    <mergeCell ref="AR131:AS131"/>
    <mergeCell ref="AT131:AU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AL132:AM132"/>
    <mergeCell ref="AN132:AO132"/>
    <mergeCell ref="AP132:AQ132"/>
    <mergeCell ref="AR132:AS132"/>
    <mergeCell ref="AT132:AU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3:AI133"/>
    <mergeCell ref="AJ133:AK133"/>
    <mergeCell ref="AL133:AM133"/>
    <mergeCell ref="AN133:AO133"/>
    <mergeCell ref="AP133:AQ133"/>
    <mergeCell ref="AR133:AS133"/>
    <mergeCell ref="AT133:AU133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  <mergeCell ref="AP134:AQ134"/>
    <mergeCell ref="AR134:AS134"/>
    <mergeCell ref="AT134:AU134"/>
    <mergeCell ref="F136:G136"/>
    <mergeCell ref="H136:I136"/>
    <mergeCell ref="J136:K136"/>
    <mergeCell ref="L136:M136"/>
    <mergeCell ref="N136:O136"/>
    <mergeCell ref="P136:Q136"/>
    <mergeCell ref="R136:S136"/>
    <mergeCell ref="AP136:AQ136"/>
    <mergeCell ref="AR136:AS136"/>
    <mergeCell ref="AL135:AM135"/>
    <mergeCell ref="AN135:AO135"/>
    <mergeCell ref="AP135:AQ135"/>
    <mergeCell ref="AR135:AS135"/>
    <mergeCell ref="AT135:AU135"/>
    <mergeCell ref="AL136:AM136"/>
    <mergeCell ref="AN136:AO136"/>
    <mergeCell ref="AT136:AU136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F134:G134"/>
    <mergeCell ref="H134:I134"/>
    <mergeCell ref="J134:K134"/>
    <mergeCell ref="L134:M134"/>
    <mergeCell ref="N134:O134"/>
    <mergeCell ref="P134:Q134"/>
    <mergeCell ref="R134:S134"/>
    <mergeCell ref="F135:G135"/>
    <mergeCell ref="H135:I135"/>
    <mergeCell ref="J135:K135"/>
    <mergeCell ref="L135:M135"/>
    <mergeCell ref="N135:O135"/>
    <mergeCell ref="P135:Q135"/>
    <mergeCell ref="R135:S135"/>
    <mergeCell ref="AH137:AI137"/>
    <mergeCell ref="AJ137:AK137"/>
    <mergeCell ref="AL137:AM137"/>
    <mergeCell ref="AN137:AO137"/>
    <mergeCell ref="AP137:AQ137"/>
    <mergeCell ref="AR137:AS137"/>
    <mergeCell ref="AT137:AU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L139:AM139"/>
    <mergeCell ref="AN139:AO139"/>
    <mergeCell ref="AP139:AQ139"/>
    <mergeCell ref="AR139:AS139"/>
    <mergeCell ref="AT139:AU139"/>
    <mergeCell ref="AH138:AI138"/>
    <mergeCell ref="AJ138:AK138"/>
    <mergeCell ref="AL138:AM138"/>
    <mergeCell ref="AN138:AO138"/>
    <mergeCell ref="AP138:AQ138"/>
    <mergeCell ref="AR138:AS138"/>
    <mergeCell ref="AT138:AU138"/>
    <mergeCell ref="F139:G139"/>
    <mergeCell ref="H139:I139"/>
    <mergeCell ref="J139:K139"/>
    <mergeCell ref="L139:M139"/>
    <mergeCell ref="N139:O139"/>
    <mergeCell ref="P139:Q139"/>
    <mergeCell ref="R139:S139"/>
    <mergeCell ref="AH140:AI140"/>
    <mergeCell ref="AJ140:AK140"/>
    <mergeCell ref="AL140:AM140"/>
    <mergeCell ref="AN140:AO140"/>
    <mergeCell ref="AP140:AQ140"/>
    <mergeCell ref="AR140:AS140"/>
    <mergeCell ref="AT140:AU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AL141:AM141"/>
    <mergeCell ref="AN141:AO141"/>
    <mergeCell ref="AP141:AQ141"/>
    <mergeCell ref="AR141:AS141"/>
    <mergeCell ref="AT141:AU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2:AI142"/>
    <mergeCell ref="AJ142:AK142"/>
    <mergeCell ref="AL142:AM142"/>
    <mergeCell ref="AN142:AO142"/>
    <mergeCell ref="AP142:AQ142"/>
    <mergeCell ref="AR142:AS142"/>
    <mergeCell ref="AT142:AU142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O143"/>
    <mergeCell ref="AP143:AQ143"/>
    <mergeCell ref="AR143:AS143"/>
    <mergeCell ref="AT143:AU143"/>
    <mergeCell ref="F145:G145"/>
    <mergeCell ref="H145:I145"/>
    <mergeCell ref="J145:K145"/>
    <mergeCell ref="L145:M145"/>
    <mergeCell ref="N145:O145"/>
    <mergeCell ref="P145:Q145"/>
    <mergeCell ref="R145:S145"/>
    <mergeCell ref="AP145:AQ145"/>
    <mergeCell ref="AR145:AS145"/>
    <mergeCell ref="AL144:AM144"/>
    <mergeCell ref="AN144:AO144"/>
    <mergeCell ref="AP144:AQ144"/>
    <mergeCell ref="AR144:AS144"/>
    <mergeCell ref="AT144:AU144"/>
    <mergeCell ref="AL145:AM145"/>
    <mergeCell ref="AN145:AO145"/>
    <mergeCell ref="AT145:AU145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H146:AI146"/>
    <mergeCell ref="AJ146:AK146"/>
    <mergeCell ref="AL146:AM146"/>
    <mergeCell ref="AN146:AO146"/>
    <mergeCell ref="AP146:AQ146"/>
    <mergeCell ref="AR146:AS146"/>
    <mergeCell ref="AT146:AU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L148:AM148"/>
    <mergeCell ref="AN148:AO148"/>
    <mergeCell ref="AP148:AQ148"/>
    <mergeCell ref="AR148:AS148"/>
    <mergeCell ref="AT148:AU148"/>
    <mergeCell ref="AH147:AI147"/>
    <mergeCell ref="AJ147:AK147"/>
    <mergeCell ref="AL147:AM147"/>
    <mergeCell ref="AN147:AO147"/>
    <mergeCell ref="AP147:AQ147"/>
    <mergeCell ref="AR147:AS147"/>
    <mergeCell ref="AT147:AU147"/>
    <mergeCell ref="F148:G148"/>
    <mergeCell ref="H148:I148"/>
    <mergeCell ref="J148:K148"/>
    <mergeCell ref="L148:M148"/>
    <mergeCell ref="N148:O148"/>
    <mergeCell ref="P148:Q148"/>
    <mergeCell ref="R148:S148"/>
    <mergeCell ref="AH149:AI149"/>
    <mergeCell ref="AJ149:AK149"/>
    <mergeCell ref="AL149:AM149"/>
    <mergeCell ref="AN149:AO149"/>
    <mergeCell ref="AP149:AQ149"/>
    <mergeCell ref="AR149:AS149"/>
    <mergeCell ref="AT149:AU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AL150:AM150"/>
    <mergeCell ref="AN150:AO150"/>
    <mergeCell ref="AP150:AQ150"/>
    <mergeCell ref="AR150:AS150"/>
    <mergeCell ref="AT150:AU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1:AI151"/>
    <mergeCell ref="AJ151:AK151"/>
    <mergeCell ref="AL151:AM151"/>
    <mergeCell ref="AN151:AO151"/>
    <mergeCell ref="AP151:AQ151"/>
    <mergeCell ref="AR151:AS151"/>
    <mergeCell ref="AT151:AU151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AT152:AU152"/>
    <mergeCell ref="F154:G154"/>
    <mergeCell ref="H154:I154"/>
    <mergeCell ref="J154:K154"/>
    <mergeCell ref="L154:M154"/>
    <mergeCell ref="N154:O154"/>
    <mergeCell ref="P154:Q154"/>
    <mergeCell ref="R154:S154"/>
    <mergeCell ref="AP154:AQ154"/>
    <mergeCell ref="AR154:AS154"/>
    <mergeCell ref="AL153:AM153"/>
    <mergeCell ref="AN153:AO153"/>
    <mergeCell ref="AP153:AQ153"/>
    <mergeCell ref="AR153:AS153"/>
    <mergeCell ref="AT153:AU153"/>
    <mergeCell ref="AL154:AM154"/>
    <mergeCell ref="AN154:AO154"/>
    <mergeCell ref="AT154:AU154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F152:G152"/>
    <mergeCell ref="H152:I152"/>
    <mergeCell ref="J152:K152"/>
    <mergeCell ref="L152:M152"/>
    <mergeCell ref="N152:O152"/>
    <mergeCell ref="P152:Q152"/>
    <mergeCell ref="R152:S152"/>
    <mergeCell ref="F153:G153"/>
    <mergeCell ref="H153:I153"/>
    <mergeCell ref="J153:K153"/>
    <mergeCell ref="L153:M153"/>
    <mergeCell ref="N153:O153"/>
    <mergeCell ref="P153:Q153"/>
    <mergeCell ref="R153:S153"/>
    <mergeCell ref="AH155:AI155"/>
    <mergeCell ref="AJ155:AK155"/>
    <mergeCell ref="AL155:AM155"/>
    <mergeCell ref="AN155:AO155"/>
    <mergeCell ref="AP155:AQ155"/>
    <mergeCell ref="AR155:AS155"/>
    <mergeCell ref="AT155:AU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L157:AM157"/>
    <mergeCell ref="AN157:AO157"/>
    <mergeCell ref="AP157:AQ157"/>
    <mergeCell ref="AR157:AS157"/>
    <mergeCell ref="AT157:AU157"/>
    <mergeCell ref="AH156:AI156"/>
    <mergeCell ref="AJ156:AK156"/>
    <mergeCell ref="AL156:AM156"/>
    <mergeCell ref="AN156:AO156"/>
    <mergeCell ref="AP156:AQ156"/>
    <mergeCell ref="AR156:AS156"/>
    <mergeCell ref="AT156:AU156"/>
    <mergeCell ref="F157:G157"/>
    <mergeCell ref="H157:I157"/>
    <mergeCell ref="J157:K157"/>
    <mergeCell ref="L157:M157"/>
    <mergeCell ref="N157:O157"/>
    <mergeCell ref="P157:Q157"/>
    <mergeCell ref="R157:S157"/>
    <mergeCell ref="AH158:AI158"/>
    <mergeCell ref="AJ158:AK158"/>
    <mergeCell ref="AL158:AM158"/>
    <mergeCell ref="AN158:AO158"/>
    <mergeCell ref="AP158:AQ158"/>
    <mergeCell ref="AR158:AS158"/>
    <mergeCell ref="AT158:AU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AL159:AM159"/>
    <mergeCell ref="AN159:AO159"/>
    <mergeCell ref="AP159:AQ159"/>
    <mergeCell ref="AR159:AS159"/>
    <mergeCell ref="AT159:AU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0:AI160"/>
    <mergeCell ref="AJ160:AK160"/>
    <mergeCell ref="AL160:AM160"/>
    <mergeCell ref="AN160:AO160"/>
    <mergeCell ref="AP160:AQ160"/>
    <mergeCell ref="AR160:AS160"/>
    <mergeCell ref="AT160:AU160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F163:G163"/>
    <mergeCell ref="H163:I163"/>
    <mergeCell ref="J163:K163"/>
    <mergeCell ref="L163:M163"/>
    <mergeCell ref="N163:O163"/>
    <mergeCell ref="P163:Q163"/>
    <mergeCell ref="R163:S163"/>
    <mergeCell ref="AP163:AQ163"/>
    <mergeCell ref="AR163:AS163"/>
    <mergeCell ref="AL162:AM162"/>
    <mergeCell ref="AN162:AO162"/>
    <mergeCell ref="AP162:AQ162"/>
    <mergeCell ref="AR162:AS162"/>
    <mergeCell ref="AT162:AU162"/>
    <mergeCell ref="AL163:AM163"/>
    <mergeCell ref="AN163:AO163"/>
    <mergeCell ref="AT163:AU163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H164:AI164"/>
    <mergeCell ref="AJ164:AK164"/>
    <mergeCell ref="AL164:AM164"/>
    <mergeCell ref="AN164:AO164"/>
    <mergeCell ref="AP164:AQ164"/>
    <mergeCell ref="AR164:AS164"/>
    <mergeCell ref="AT164:AU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L166:AM166"/>
    <mergeCell ref="AN166:AO166"/>
    <mergeCell ref="AP166:AQ166"/>
    <mergeCell ref="AR166:AS166"/>
    <mergeCell ref="AT166:AU166"/>
    <mergeCell ref="AH165:AI165"/>
    <mergeCell ref="AJ165:AK165"/>
    <mergeCell ref="AL165:AM165"/>
    <mergeCell ref="AN165:AO165"/>
    <mergeCell ref="AP165:AQ165"/>
    <mergeCell ref="AR165:AS165"/>
    <mergeCell ref="AT165:AU165"/>
    <mergeCell ref="F166:G166"/>
    <mergeCell ref="H166:I166"/>
    <mergeCell ref="J166:K166"/>
    <mergeCell ref="L166:M166"/>
    <mergeCell ref="N166:O166"/>
    <mergeCell ref="P166:Q166"/>
    <mergeCell ref="R166:S166"/>
    <mergeCell ref="AH167:AI167"/>
    <mergeCell ref="AJ167:AK167"/>
    <mergeCell ref="AL167:AM167"/>
    <mergeCell ref="AN167:AO167"/>
    <mergeCell ref="AP167:AQ167"/>
    <mergeCell ref="AR167:AS167"/>
    <mergeCell ref="AT167:AU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F172:G172"/>
    <mergeCell ref="H172:I172"/>
    <mergeCell ref="J172:K172"/>
    <mergeCell ref="L172:M172"/>
    <mergeCell ref="N172:O172"/>
    <mergeCell ref="P172:Q172"/>
    <mergeCell ref="R172:S172"/>
    <mergeCell ref="AP172:AQ172"/>
    <mergeCell ref="AR172:AS172"/>
    <mergeCell ref="AL171:AM171"/>
    <mergeCell ref="AN171:AO171"/>
    <mergeCell ref="AP171:AQ171"/>
    <mergeCell ref="AR171:AS171"/>
    <mergeCell ref="AT171:AU171"/>
    <mergeCell ref="AL172:AM172"/>
    <mergeCell ref="AN172:AO172"/>
    <mergeCell ref="AT172:AU172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F170:G170"/>
    <mergeCell ref="H170:I170"/>
    <mergeCell ref="J170:K170"/>
    <mergeCell ref="L170:M170"/>
    <mergeCell ref="N170:O170"/>
    <mergeCell ref="P170:Q170"/>
    <mergeCell ref="R170:S170"/>
    <mergeCell ref="F171:G171"/>
    <mergeCell ref="H171:I171"/>
    <mergeCell ref="J171:K171"/>
    <mergeCell ref="L171:M171"/>
    <mergeCell ref="N171:O171"/>
    <mergeCell ref="P171:Q171"/>
    <mergeCell ref="R171:S171"/>
    <mergeCell ref="AH173:AI173"/>
    <mergeCell ref="AJ173:AK173"/>
    <mergeCell ref="AL173:AM173"/>
    <mergeCell ref="AN173:AO173"/>
    <mergeCell ref="AP173:AQ173"/>
    <mergeCell ref="AR173:AS173"/>
    <mergeCell ref="AT173:AU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L175:AM175"/>
    <mergeCell ref="AN175:AO175"/>
    <mergeCell ref="AP175:AQ175"/>
    <mergeCell ref="AR175:AS175"/>
    <mergeCell ref="AT175:AU175"/>
    <mergeCell ref="AH174:AI174"/>
    <mergeCell ref="AJ174:AK174"/>
    <mergeCell ref="AL174:AM174"/>
    <mergeCell ref="AN174:AO174"/>
    <mergeCell ref="AP174:AQ174"/>
    <mergeCell ref="AR174:AS174"/>
    <mergeCell ref="AT174:AU174"/>
    <mergeCell ref="F175:G175"/>
    <mergeCell ref="H175:I175"/>
    <mergeCell ref="J175:K175"/>
    <mergeCell ref="L175:M175"/>
    <mergeCell ref="N175:O175"/>
    <mergeCell ref="P175:Q175"/>
    <mergeCell ref="R175:S175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8:AI178"/>
    <mergeCell ref="AJ178:AK178"/>
    <mergeCell ref="AL178:AM178"/>
    <mergeCell ref="AN178:AO178"/>
    <mergeCell ref="AP178:AQ178"/>
    <mergeCell ref="AR178:AS178"/>
    <mergeCell ref="AT178:AU178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F181:G181"/>
    <mergeCell ref="H181:I181"/>
    <mergeCell ref="J181:K181"/>
    <mergeCell ref="L181:M181"/>
    <mergeCell ref="N181:O181"/>
    <mergeCell ref="P181:Q181"/>
    <mergeCell ref="R181:S181"/>
    <mergeCell ref="AP181:AQ181"/>
    <mergeCell ref="AR181:AS181"/>
    <mergeCell ref="AL180:AM180"/>
    <mergeCell ref="AN180:AO180"/>
    <mergeCell ref="AP180:AQ180"/>
    <mergeCell ref="AR180:AS180"/>
    <mergeCell ref="AT180:AU180"/>
    <mergeCell ref="AL181:AM181"/>
    <mergeCell ref="AN181:AO181"/>
    <mergeCell ref="AT181:AU181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H182:AI182"/>
    <mergeCell ref="AJ182:AK182"/>
    <mergeCell ref="AL182:AM182"/>
    <mergeCell ref="AN182:AO182"/>
    <mergeCell ref="AP182:AQ182"/>
    <mergeCell ref="AR182:AS182"/>
    <mergeCell ref="AT182:AU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L184:AM184"/>
    <mergeCell ref="AN184:AO184"/>
    <mergeCell ref="AP184:AQ184"/>
    <mergeCell ref="AR184:AS184"/>
    <mergeCell ref="AT184:AU184"/>
    <mergeCell ref="AH183:AI183"/>
    <mergeCell ref="AJ183:AK183"/>
    <mergeCell ref="AL183:AM183"/>
    <mergeCell ref="AN183:AO183"/>
    <mergeCell ref="AP183:AQ183"/>
    <mergeCell ref="AR183:AS183"/>
    <mergeCell ref="AT183:AU183"/>
    <mergeCell ref="F184:G184"/>
    <mergeCell ref="H184:I184"/>
    <mergeCell ref="J184:K184"/>
    <mergeCell ref="L184:M184"/>
    <mergeCell ref="N184:O184"/>
    <mergeCell ref="P184:Q184"/>
    <mergeCell ref="R184:S184"/>
    <mergeCell ref="AH185:AI185"/>
    <mergeCell ref="AJ185:AK185"/>
    <mergeCell ref="AL185:AM185"/>
    <mergeCell ref="AN185:AO185"/>
    <mergeCell ref="AP185:AQ185"/>
    <mergeCell ref="AR185:AS185"/>
    <mergeCell ref="AT185:AU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AL186:AM186"/>
    <mergeCell ref="AN186:AO186"/>
    <mergeCell ref="AP186:AQ186"/>
    <mergeCell ref="AR186:AS186"/>
    <mergeCell ref="AT186:AU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7:AI187"/>
    <mergeCell ref="AJ187:AK187"/>
    <mergeCell ref="AL187:AM187"/>
    <mergeCell ref="AN187:AO187"/>
    <mergeCell ref="AP187:AQ187"/>
    <mergeCell ref="AR187:AS187"/>
    <mergeCell ref="AT187:AU187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O188"/>
    <mergeCell ref="AP188:AQ188"/>
    <mergeCell ref="AR188:AS188"/>
    <mergeCell ref="AT188:AU188"/>
    <mergeCell ref="F190:G190"/>
    <mergeCell ref="H190:I190"/>
    <mergeCell ref="J190:K190"/>
    <mergeCell ref="L190:M190"/>
    <mergeCell ref="N190:O190"/>
    <mergeCell ref="P190:Q190"/>
    <mergeCell ref="R190:S190"/>
    <mergeCell ref="AP190:AQ190"/>
    <mergeCell ref="AR190:AS190"/>
    <mergeCell ref="AL189:AM189"/>
    <mergeCell ref="AN189:AO189"/>
    <mergeCell ref="AP189:AQ189"/>
    <mergeCell ref="AR189:AS189"/>
    <mergeCell ref="AT189:AU189"/>
    <mergeCell ref="AL190:AM190"/>
    <mergeCell ref="AN190:AO190"/>
    <mergeCell ref="AT190:AU190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F188:G188"/>
    <mergeCell ref="H188:I188"/>
    <mergeCell ref="J188:K188"/>
    <mergeCell ref="L188:M188"/>
    <mergeCell ref="N188:O188"/>
    <mergeCell ref="P188:Q188"/>
    <mergeCell ref="R188:S188"/>
    <mergeCell ref="F189:G189"/>
    <mergeCell ref="H189:I189"/>
    <mergeCell ref="J189:K189"/>
    <mergeCell ref="L189:M189"/>
    <mergeCell ref="N189:O189"/>
    <mergeCell ref="P189:Q189"/>
    <mergeCell ref="R189:S189"/>
    <mergeCell ref="AH191:AI191"/>
    <mergeCell ref="AJ191:AK191"/>
    <mergeCell ref="AL191:AM191"/>
    <mergeCell ref="AN191:AO191"/>
    <mergeCell ref="AP191:AQ191"/>
    <mergeCell ref="AR191:AS191"/>
    <mergeCell ref="AT191:AU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L193:AM193"/>
    <mergeCell ref="AN193:AO193"/>
    <mergeCell ref="AP193:AQ193"/>
    <mergeCell ref="AR193:AS193"/>
    <mergeCell ref="AT193:AU193"/>
    <mergeCell ref="AH192:AI192"/>
    <mergeCell ref="AJ192:AK192"/>
    <mergeCell ref="AL192:AM192"/>
    <mergeCell ref="AN192:AO192"/>
    <mergeCell ref="AP192:AQ192"/>
    <mergeCell ref="AR192:AS192"/>
    <mergeCell ref="AT192:AU192"/>
    <mergeCell ref="F193:G193"/>
    <mergeCell ref="H193:I193"/>
    <mergeCell ref="J193:K193"/>
    <mergeCell ref="L193:M193"/>
    <mergeCell ref="N193:O193"/>
    <mergeCell ref="P193:Q193"/>
    <mergeCell ref="R193:S193"/>
    <mergeCell ref="AH194:AI194"/>
    <mergeCell ref="AJ194:AK194"/>
    <mergeCell ref="AL194:AM194"/>
    <mergeCell ref="AN194:AO194"/>
    <mergeCell ref="AP194:AQ194"/>
    <mergeCell ref="AR194:AS194"/>
    <mergeCell ref="AT194:AU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AL195:AM195"/>
    <mergeCell ref="AN195:AO195"/>
    <mergeCell ref="AP195:AQ195"/>
    <mergeCell ref="AR195:AS195"/>
    <mergeCell ref="AT195:AU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6:AI196"/>
    <mergeCell ref="AJ196:AK196"/>
    <mergeCell ref="AL196:AM196"/>
    <mergeCell ref="AN196:AO196"/>
    <mergeCell ref="AP196:AQ196"/>
    <mergeCell ref="AR196:AS196"/>
    <mergeCell ref="AT196:AU196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O197"/>
    <mergeCell ref="AP197:AQ197"/>
    <mergeCell ref="AR197:AS197"/>
    <mergeCell ref="AT197:AU197"/>
    <mergeCell ref="F199:G199"/>
    <mergeCell ref="H199:I199"/>
    <mergeCell ref="J199:K199"/>
    <mergeCell ref="L199:M199"/>
    <mergeCell ref="N199:O199"/>
    <mergeCell ref="P199:Q199"/>
    <mergeCell ref="R199:S199"/>
    <mergeCell ref="AP199:AQ199"/>
    <mergeCell ref="AR199:AS199"/>
    <mergeCell ref="AL198:AM198"/>
    <mergeCell ref="AN198:AO198"/>
    <mergeCell ref="AP198:AQ198"/>
    <mergeCell ref="AR198:AS198"/>
    <mergeCell ref="AT198:AU198"/>
    <mergeCell ref="AL199:AM199"/>
    <mergeCell ref="AN199:AO199"/>
    <mergeCell ref="AT199:AU199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H200:AI200"/>
    <mergeCell ref="AJ200:AK200"/>
    <mergeCell ref="AL200:AM200"/>
    <mergeCell ref="AN200:AO200"/>
    <mergeCell ref="AP200:AQ200"/>
    <mergeCell ref="AR200:AS200"/>
    <mergeCell ref="AT200:AU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L202:AM202"/>
    <mergeCell ref="AN202:AO202"/>
    <mergeCell ref="AP202:AQ202"/>
    <mergeCell ref="AR202:AS202"/>
    <mergeCell ref="AT202:AU202"/>
    <mergeCell ref="AH201:AI201"/>
    <mergeCell ref="AJ201:AK201"/>
    <mergeCell ref="AL201:AM201"/>
    <mergeCell ref="AN201:AO201"/>
    <mergeCell ref="AP201:AQ201"/>
    <mergeCell ref="AR201:AS201"/>
    <mergeCell ref="AT201:AU201"/>
    <mergeCell ref="F202:G202"/>
    <mergeCell ref="H202:I202"/>
    <mergeCell ref="J202:K202"/>
    <mergeCell ref="L202:M202"/>
    <mergeCell ref="N202:O202"/>
    <mergeCell ref="P202:Q202"/>
    <mergeCell ref="R202:S202"/>
    <mergeCell ref="AH203:AI203"/>
    <mergeCell ref="AJ203:AK203"/>
    <mergeCell ref="AL203:AM203"/>
    <mergeCell ref="AN203:AO203"/>
    <mergeCell ref="AP203:AQ203"/>
    <mergeCell ref="AR203:AS203"/>
    <mergeCell ref="AT203:AU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AL204:AM204"/>
    <mergeCell ref="AN204:AO204"/>
    <mergeCell ref="AP204:AQ204"/>
    <mergeCell ref="AR204:AS204"/>
    <mergeCell ref="AT204:AU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5:AI205"/>
    <mergeCell ref="AJ205:AK205"/>
    <mergeCell ref="AL205:AM205"/>
    <mergeCell ref="AN205:AO205"/>
    <mergeCell ref="AP205:AQ205"/>
    <mergeCell ref="AR205:AS205"/>
    <mergeCell ref="AT205:AU205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6:AO206"/>
    <mergeCell ref="AP206:AQ206"/>
    <mergeCell ref="AR206:AS206"/>
    <mergeCell ref="AT206:AU206"/>
    <mergeCell ref="F208:G208"/>
    <mergeCell ref="H208:I208"/>
    <mergeCell ref="J208:K208"/>
    <mergeCell ref="L208:M208"/>
    <mergeCell ref="N208:O208"/>
    <mergeCell ref="P208:Q208"/>
    <mergeCell ref="R208:S208"/>
    <mergeCell ref="AP208:AQ208"/>
    <mergeCell ref="AR208:AS208"/>
    <mergeCell ref="AL207:AM207"/>
    <mergeCell ref="AN207:AO207"/>
    <mergeCell ref="AP207:AQ207"/>
    <mergeCell ref="AR207:AS207"/>
    <mergeCell ref="AT207:AU207"/>
    <mergeCell ref="AL208:AM208"/>
    <mergeCell ref="AN208:AO208"/>
    <mergeCell ref="AT208:AU208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F206:G206"/>
    <mergeCell ref="H206:I206"/>
    <mergeCell ref="J206:K206"/>
    <mergeCell ref="L206:M206"/>
    <mergeCell ref="N206:O206"/>
    <mergeCell ref="P206:Q206"/>
    <mergeCell ref="R206:S206"/>
    <mergeCell ref="F207:G207"/>
    <mergeCell ref="H207:I207"/>
    <mergeCell ref="J207:K207"/>
    <mergeCell ref="L207:M207"/>
    <mergeCell ref="N207:O207"/>
    <mergeCell ref="P207:Q207"/>
    <mergeCell ref="R207:S207"/>
    <mergeCell ref="AH209:AI209"/>
    <mergeCell ref="AJ209:AK209"/>
    <mergeCell ref="AL209:AM209"/>
    <mergeCell ref="AN209:AO209"/>
    <mergeCell ref="AP209:AQ209"/>
    <mergeCell ref="AR209:AS209"/>
    <mergeCell ref="AT209:AU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L211:AM211"/>
    <mergeCell ref="AN211:AO211"/>
    <mergeCell ref="AP211:AQ211"/>
    <mergeCell ref="AR211:AS211"/>
    <mergeCell ref="AT211:AU211"/>
    <mergeCell ref="AH210:AI210"/>
    <mergeCell ref="AJ210:AK210"/>
    <mergeCell ref="AL210:AM210"/>
    <mergeCell ref="AN210:AO210"/>
    <mergeCell ref="AP210:AQ210"/>
    <mergeCell ref="AR210:AS210"/>
    <mergeCell ref="AT210:AU210"/>
    <mergeCell ref="F211:G211"/>
    <mergeCell ref="H211:I211"/>
    <mergeCell ref="J211:K211"/>
    <mergeCell ref="L211:M211"/>
    <mergeCell ref="N211:O211"/>
    <mergeCell ref="P211:Q211"/>
    <mergeCell ref="R211:S211"/>
    <mergeCell ref="AH212:AI212"/>
    <mergeCell ref="AJ212:AK212"/>
    <mergeCell ref="AL212:AM212"/>
    <mergeCell ref="AN212:AO212"/>
    <mergeCell ref="AP212:AQ212"/>
    <mergeCell ref="AR212:AS212"/>
    <mergeCell ref="AT212:AU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AL213:AM213"/>
    <mergeCell ref="AN213:AO213"/>
    <mergeCell ref="AP213:AQ213"/>
    <mergeCell ref="AR213:AS213"/>
    <mergeCell ref="AT213:AU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4:AI214"/>
    <mergeCell ref="AJ214:AK214"/>
    <mergeCell ref="AL214:AM214"/>
    <mergeCell ref="AN214:AO214"/>
    <mergeCell ref="AP214:AQ214"/>
    <mergeCell ref="AR214:AS214"/>
    <mergeCell ref="AT214:AU214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O215"/>
    <mergeCell ref="AP215:AQ215"/>
    <mergeCell ref="AR215:AS215"/>
    <mergeCell ref="AT215:AU215"/>
    <mergeCell ref="F217:G217"/>
    <mergeCell ref="H217:I217"/>
    <mergeCell ref="J217:K217"/>
    <mergeCell ref="L217:M217"/>
    <mergeCell ref="N217:O217"/>
    <mergeCell ref="P217:Q217"/>
    <mergeCell ref="R217:S217"/>
    <mergeCell ref="AP217:AQ217"/>
    <mergeCell ref="AR217:AS217"/>
    <mergeCell ref="AL216:AM216"/>
    <mergeCell ref="AN216:AO216"/>
    <mergeCell ref="AP216:AQ216"/>
    <mergeCell ref="AR216:AS216"/>
    <mergeCell ref="AT216:AU216"/>
    <mergeCell ref="AL217:AM217"/>
    <mergeCell ref="AN217:AO217"/>
    <mergeCell ref="AT217:AU217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H218:AI218"/>
    <mergeCell ref="AJ218:AK218"/>
    <mergeCell ref="AL218:AM218"/>
    <mergeCell ref="AN218:AO218"/>
    <mergeCell ref="AP218:AQ218"/>
    <mergeCell ref="AR218:AS218"/>
    <mergeCell ref="AT218:AU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L220:AM220"/>
    <mergeCell ref="AN220:AO220"/>
    <mergeCell ref="AP220:AQ220"/>
    <mergeCell ref="AR220:AS220"/>
    <mergeCell ref="AT220:AU220"/>
    <mergeCell ref="AH219:AI219"/>
    <mergeCell ref="AJ219:AK219"/>
    <mergeCell ref="AL219:AM219"/>
    <mergeCell ref="AN219:AO219"/>
    <mergeCell ref="AP219:AQ219"/>
    <mergeCell ref="AR219:AS219"/>
    <mergeCell ref="AT219:AU219"/>
    <mergeCell ref="F220:G220"/>
    <mergeCell ref="H220:I220"/>
    <mergeCell ref="J220:K220"/>
    <mergeCell ref="L220:M220"/>
    <mergeCell ref="N220:O220"/>
    <mergeCell ref="P220:Q220"/>
    <mergeCell ref="R220:S220"/>
    <mergeCell ref="AH221:AI221"/>
    <mergeCell ref="AJ221:AK221"/>
    <mergeCell ref="AL221:AM221"/>
    <mergeCell ref="AN221:AO221"/>
    <mergeCell ref="AP221:AQ221"/>
    <mergeCell ref="AR221:AS221"/>
    <mergeCell ref="AT221:AU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AL222:AM222"/>
    <mergeCell ref="AN222:AO222"/>
    <mergeCell ref="AP222:AQ222"/>
    <mergeCell ref="AR222:AS222"/>
    <mergeCell ref="AT222:AU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F226:G226"/>
    <mergeCell ref="H226:I226"/>
    <mergeCell ref="J226:K226"/>
    <mergeCell ref="L226:M226"/>
    <mergeCell ref="N226:O226"/>
    <mergeCell ref="P226:Q226"/>
    <mergeCell ref="R226:S226"/>
    <mergeCell ref="AP226:AQ226"/>
    <mergeCell ref="AR226:AS226"/>
    <mergeCell ref="AL225:AM225"/>
    <mergeCell ref="AN225:AO225"/>
    <mergeCell ref="AP225:AQ225"/>
    <mergeCell ref="AR225:AS225"/>
    <mergeCell ref="AT225:AU225"/>
    <mergeCell ref="AL226:AM226"/>
    <mergeCell ref="AN226:AO226"/>
    <mergeCell ref="AT226:AU226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F224:G224"/>
    <mergeCell ref="H224:I224"/>
    <mergeCell ref="J224:K224"/>
    <mergeCell ref="L224:M224"/>
    <mergeCell ref="N224:O224"/>
    <mergeCell ref="P224:Q224"/>
    <mergeCell ref="R224:S224"/>
    <mergeCell ref="F225:G225"/>
    <mergeCell ref="H225:I225"/>
    <mergeCell ref="J225:K225"/>
    <mergeCell ref="L225:M225"/>
    <mergeCell ref="N225:O225"/>
    <mergeCell ref="P225:Q225"/>
    <mergeCell ref="R225:S225"/>
    <mergeCell ref="AH227:AI227"/>
    <mergeCell ref="AJ227:AK227"/>
    <mergeCell ref="AL227:AM227"/>
    <mergeCell ref="AN227:AO227"/>
    <mergeCell ref="AP227:AQ227"/>
    <mergeCell ref="AR227:AS227"/>
    <mergeCell ref="AT227:AU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L229:AM229"/>
    <mergeCell ref="AN229:AO229"/>
    <mergeCell ref="AP229:AQ229"/>
    <mergeCell ref="AR229:AS229"/>
    <mergeCell ref="AT229:AU229"/>
    <mergeCell ref="AH228:AI228"/>
    <mergeCell ref="AJ228:AK228"/>
    <mergeCell ref="AL228:AM228"/>
    <mergeCell ref="AN228:AO228"/>
    <mergeCell ref="AP228:AQ228"/>
    <mergeCell ref="AR228:AS228"/>
    <mergeCell ref="AT228:AU228"/>
    <mergeCell ref="F229:G229"/>
    <mergeCell ref="H229:I229"/>
    <mergeCell ref="J229:K229"/>
    <mergeCell ref="L229:M229"/>
    <mergeCell ref="N229:O229"/>
    <mergeCell ref="P229:Q229"/>
    <mergeCell ref="R229:S229"/>
    <mergeCell ref="AH230:AI230"/>
    <mergeCell ref="AJ230:AK230"/>
    <mergeCell ref="AL230:AM230"/>
    <mergeCell ref="AN230:AO230"/>
    <mergeCell ref="AP230:AQ230"/>
    <mergeCell ref="AR230:AS230"/>
    <mergeCell ref="AT230:AU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AL231:AM231"/>
    <mergeCell ref="AN231:AO231"/>
    <mergeCell ref="AP231:AQ231"/>
    <mergeCell ref="AR231:AS231"/>
    <mergeCell ref="AT231:AU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2:AI232"/>
    <mergeCell ref="AJ232:AK232"/>
    <mergeCell ref="AL232:AM232"/>
    <mergeCell ref="AN232:AO232"/>
    <mergeCell ref="AP232:AQ232"/>
    <mergeCell ref="AR232:AS232"/>
    <mergeCell ref="AT232:AU232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F235:G235"/>
    <mergeCell ref="H235:I235"/>
    <mergeCell ref="J235:K235"/>
    <mergeCell ref="L235:M235"/>
    <mergeCell ref="N235:O235"/>
    <mergeCell ref="P235:Q235"/>
    <mergeCell ref="R235:S235"/>
    <mergeCell ref="AP235:AQ235"/>
    <mergeCell ref="AR235:AS235"/>
    <mergeCell ref="AL234:AM234"/>
    <mergeCell ref="AN234:AO234"/>
    <mergeCell ref="AP234:AQ234"/>
    <mergeCell ref="AR234:AS234"/>
    <mergeCell ref="AT234:AU234"/>
    <mergeCell ref="AL235:AM235"/>
    <mergeCell ref="AN235:AO235"/>
    <mergeCell ref="AT235:AU235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H236:AI236"/>
    <mergeCell ref="AJ236:AK236"/>
    <mergeCell ref="AL236:AM236"/>
    <mergeCell ref="AN236:AO236"/>
    <mergeCell ref="AP236:AQ236"/>
    <mergeCell ref="AR236:AS236"/>
    <mergeCell ref="AT236:AU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L238:AM238"/>
    <mergeCell ref="AN238:AO238"/>
    <mergeCell ref="AP238:AQ238"/>
    <mergeCell ref="AR238:AS238"/>
    <mergeCell ref="AT238:AU238"/>
    <mergeCell ref="AH237:AI237"/>
    <mergeCell ref="AJ237:AK237"/>
    <mergeCell ref="AL237:AM237"/>
    <mergeCell ref="AN237:AO237"/>
    <mergeCell ref="AP237:AQ237"/>
    <mergeCell ref="AR237:AS237"/>
    <mergeCell ref="AT237:AU237"/>
    <mergeCell ref="F238:G238"/>
    <mergeCell ref="H238:I238"/>
    <mergeCell ref="J238:K238"/>
    <mergeCell ref="L238:M238"/>
    <mergeCell ref="N238:O238"/>
    <mergeCell ref="P238:Q238"/>
    <mergeCell ref="R238:S238"/>
    <mergeCell ref="AH239:AI239"/>
    <mergeCell ref="AJ239:AK239"/>
    <mergeCell ref="AL239:AM239"/>
    <mergeCell ref="AN239:AO239"/>
    <mergeCell ref="AP239:AQ239"/>
    <mergeCell ref="AR239:AS239"/>
    <mergeCell ref="AT239:AU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AL240:AM240"/>
    <mergeCell ref="AN240:AO240"/>
    <mergeCell ref="AP240:AQ240"/>
    <mergeCell ref="AR240:AS240"/>
    <mergeCell ref="AT240:AU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L242:AM242"/>
    <mergeCell ref="AN242:AO242"/>
    <mergeCell ref="AP242:AQ242"/>
    <mergeCell ref="AR242:AS242"/>
    <mergeCell ref="AT242:AU242"/>
    <mergeCell ref="F244:G244"/>
    <mergeCell ref="H244:I244"/>
    <mergeCell ref="J244:K244"/>
    <mergeCell ref="L244:M244"/>
    <mergeCell ref="N244:O244"/>
    <mergeCell ref="P244:Q244"/>
    <mergeCell ref="R244:S244"/>
    <mergeCell ref="AP244:AQ244"/>
    <mergeCell ref="AR244:AS244"/>
    <mergeCell ref="AL243:AM243"/>
    <mergeCell ref="AN243:AO243"/>
    <mergeCell ref="AP243:AQ243"/>
    <mergeCell ref="AR243:AS243"/>
    <mergeCell ref="AT243:AU243"/>
    <mergeCell ref="AL244:AM244"/>
    <mergeCell ref="AN244:AO244"/>
    <mergeCell ref="AT244:AU244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F242:G242"/>
    <mergeCell ref="H242:I242"/>
    <mergeCell ref="J242:K242"/>
    <mergeCell ref="L242:M242"/>
    <mergeCell ref="N242:O242"/>
    <mergeCell ref="P242:Q242"/>
    <mergeCell ref="R242:S242"/>
    <mergeCell ref="F243:G243"/>
    <mergeCell ref="H243:I243"/>
    <mergeCell ref="J243:K243"/>
    <mergeCell ref="L243:M243"/>
    <mergeCell ref="N243:O243"/>
    <mergeCell ref="P243:Q243"/>
    <mergeCell ref="R243:S243"/>
    <mergeCell ref="AH245:AI245"/>
    <mergeCell ref="AJ245:AK245"/>
    <mergeCell ref="AL245:AM245"/>
    <mergeCell ref="AN245:AO245"/>
    <mergeCell ref="AP245:AQ245"/>
    <mergeCell ref="AR245:AS245"/>
    <mergeCell ref="AT245:AU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L247:AM247"/>
    <mergeCell ref="AN247:AO247"/>
    <mergeCell ref="AP247:AQ247"/>
    <mergeCell ref="AR247:AS247"/>
    <mergeCell ref="AT247:AU247"/>
    <mergeCell ref="AH246:AI246"/>
    <mergeCell ref="AJ246:AK246"/>
    <mergeCell ref="AL246:AM246"/>
    <mergeCell ref="AN246:AO246"/>
    <mergeCell ref="AP246:AQ246"/>
    <mergeCell ref="AR246:AS246"/>
    <mergeCell ref="AT246:AU246"/>
    <mergeCell ref="F247:G247"/>
    <mergeCell ref="H247:I247"/>
    <mergeCell ref="J247:K247"/>
    <mergeCell ref="L247:M247"/>
    <mergeCell ref="N247:O247"/>
    <mergeCell ref="P247:Q247"/>
    <mergeCell ref="R247:S247"/>
    <mergeCell ref="AH248:AI248"/>
    <mergeCell ref="AJ248:AK248"/>
    <mergeCell ref="AL248:AM248"/>
    <mergeCell ref="AN248:AO248"/>
    <mergeCell ref="AP248:AQ248"/>
    <mergeCell ref="AR248:AS248"/>
    <mergeCell ref="AT248:AU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AL249:AM249"/>
    <mergeCell ref="AN249:AO249"/>
    <mergeCell ref="AP249:AQ249"/>
    <mergeCell ref="AR249:AS249"/>
    <mergeCell ref="AT249:AU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0:AI250"/>
    <mergeCell ref="AJ250:AK250"/>
    <mergeCell ref="AL250:AM250"/>
    <mergeCell ref="AN250:AO250"/>
    <mergeCell ref="AP250:AQ250"/>
    <mergeCell ref="AR250:AS250"/>
    <mergeCell ref="AT250:AU250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F253:G253"/>
    <mergeCell ref="H253:I253"/>
    <mergeCell ref="J253:K253"/>
    <mergeCell ref="L253:M253"/>
    <mergeCell ref="N253:O253"/>
    <mergeCell ref="P253:Q253"/>
    <mergeCell ref="R253:S253"/>
    <mergeCell ref="AP253:AQ253"/>
    <mergeCell ref="AR253:AS253"/>
    <mergeCell ref="AL252:AM252"/>
    <mergeCell ref="AN252:AO252"/>
    <mergeCell ref="AP252:AQ252"/>
    <mergeCell ref="AR252:AS252"/>
    <mergeCell ref="AT252:AU252"/>
    <mergeCell ref="AL253:AM253"/>
    <mergeCell ref="AN253:AO253"/>
    <mergeCell ref="AT253:AU253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H254:AI254"/>
    <mergeCell ref="AJ254:AK254"/>
    <mergeCell ref="AL254:AM254"/>
    <mergeCell ref="AN254:AO254"/>
    <mergeCell ref="AP254:AQ254"/>
    <mergeCell ref="AR254:AS254"/>
    <mergeCell ref="AT254:AU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L256:AM256"/>
    <mergeCell ref="AN256:AO256"/>
    <mergeCell ref="AP256:AQ256"/>
    <mergeCell ref="AR256:AS256"/>
    <mergeCell ref="AT256:AU256"/>
    <mergeCell ref="AH255:AI255"/>
    <mergeCell ref="AJ255:AK255"/>
    <mergeCell ref="AL255:AM255"/>
    <mergeCell ref="AN255:AO255"/>
    <mergeCell ref="AP255:AQ255"/>
    <mergeCell ref="AR255:AS255"/>
    <mergeCell ref="AT255:AU255"/>
    <mergeCell ref="F256:G256"/>
    <mergeCell ref="H256:I256"/>
    <mergeCell ref="J256:K256"/>
    <mergeCell ref="L256:M256"/>
    <mergeCell ref="N256:O256"/>
    <mergeCell ref="P256:Q256"/>
    <mergeCell ref="R256:S256"/>
    <mergeCell ref="AH257:AI257"/>
    <mergeCell ref="AJ257:AK257"/>
    <mergeCell ref="AL257:AM257"/>
    <mergeCell ref="AN257:AO257"/>
    <mergeCell ref="AP257:AQ257"/>
    <mergeCell ref="AR257:AS257"/>
    <mergeCell ref="AT257:AU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AL258:AM258"/>
    <mergeCell ref="AN258:AO258"/>
    <mergeCell ref="AP258:AQ258"/>
    <mergeCell ref="AR258:AS258"/>
    <mergeCell ref="AT258:AU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59:AI259"/>
    <mergeCell ref="AJ259:AK259"/>
    <mergeCell ref="AL259:AM259"/>
    <mergeCell ref="AN259:AO259"/>
    <mergeCell ref="AP259:AQ259"/>
    <mergeCell ref="AR259:AS259"/>
    <mergeCell ref="AT259:AU259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O260"/>
    <mergeCell ref="AP260:AQ260"/>
    <mergeCell ref="AR260:AS260"/>
    <mergeCell ref="AT260:AU260"/>
    <mergeCell ref="F262:G262"/>
    <mergeCell ref="H262:I262"/>
    <mergeCell ref="J262:K262"/>
    <mergeCell ref="L262:M262"/>
    <mergeCell ref="N262:O262"/>
    <mergeCell ref="P262:Q262"/>
    <mergeCell ref="R262:S262"/>
    <mergeCell ref="AP262:AQ262"/>
    <mergeCell ref="AR262:AS262"/>
    <mergeCell ref="AL261:AM261"/>
    <mergeCell ref="AN261:AO261"/>
    <mergeCell ref="AP261:AQ261"/>
    <mergeCell ref="AR261:AS261"/>
    <mergeCell ref="AT261:AU261"/>
    <mergeCell ref="AL262:AM262"/>
    <mergeCell ref="AN262:AO262"/>
    <mergeCell ref="AT262:AU262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F260:G260"/>
    <mergeCell ref="H260:I260"/>
    <mergeCell ref="J260:K260"/>
    <mergeCell ref="L260:M260"/>
    <mergeCell ref="N260:O260"/>
    <mergeCell ref="P260:Q260"/>
    <mergeCell ref="R260:S260"/>
    <mergeCell ref="F261:G261"/>
    <mergeCell ref="H261:I261"/>
    <mergeCell ref="J261:K261"/>
    <mergeCell ref="L261:M261"/>
    <mergeCell ref="N261:O261"/>
    <mergeCell ref="P261:Q261"/>
    <mergeCell ref="R261:S261"/>
    <mergeCell ref="AH263:AI263"/>
    <mergeCell ref="AJ263:AK263"/>
    <mergeCell ref="AL263:AM263"/>
    <mergeCell ref="AN263:AO263"/>
    <mergeCell ref="AP263:AQ263"/>
    <mergeCell ref="AR263:AS263"/>
    <mergeCell ref="AT263:AU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L265:AM265"/>
    <mergeCell ref="AN265:AO265"/>
    <mergeCell ref="AP265:AQ265"/>
    <mergeCell ref="AR265:AS265"/>
    <mergeCell ref="AT265:AU265"/>
    <mergeCell ref="AH264:AI264"/>
    <mergeCell ref="AJ264:AK264"/>
    <mergeCell ref="AL264:AM264"/>
    <mergeCell ref="AN264:AO264"/>
    <mergeCell ref="AP264:AQ264"/>
    <mergeCell ref="AR264:AS264"/>
    <mergeCell ref="AT264:AU264"/>
    <mergeCell ref="F265:G265"/>
    <mergeCell ref="H265:I265"/>
    <mergeCell ref="J265:K265"/>
    <mergeCell ref="L265:M265"/>
    <mergeCell ref="N265:O265"/>
    <mergeCell ref="P265:Q265"/>
    <mergeCell ref="R265:S265"/>
    <mergeCell ref="AH266:AI266"/>
    <mergeCell ref="AJ266:AK266"/>
    <mergeCell ref="AL266:AM266"/>
    <mergeCell ref="AN266:AO266"/>
    <mergeCell ref="AP266:AQ266"/>
    <mergeCell ref="AR266:AS266"/>
    <mergeCell ref="AT266:AU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AL267:AM267"/>
    <mergeCell ref="AN267:AO267"/>
    <mergeCell ref="AP267:AQ267"/>
    <mergeCell ref="AR267:AS267"/>
    <mergeCell ref="AT267:AU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47" width="3.67"/>
    <col customWidth="1" min="48" max="48" width="10.78"/>
    <col customWidth="1" min="49" max="49" width="9.0"/>
    <col customWidth="1" min="50" max="50" width="8.0"/>
    <col customWidth="1" min="51" max="51" width="11.44"/>
    <col customWidth="1" min="52" max="5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6" t="s">
        <v>4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  <c r="AV1" s="7" t="s">
        <v>5</v>
      </c>
      <c r="AW1" s="8"/>
      <c r="AX1" s="8"/>
      <c r="AY1" s="8"/>
      <c r="AZ1" s="9"/>
    </row>
    <row r="2" ht="135.0" customHeight="1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 t="s">
        <v>11</v>
      </c>
      <c r="G2" s="13">
        <f>20.29*(1+$E$361)</f>
        <v>21.38566</v>
      </c>
      <c r="H2" s="12" t="s">
        <v>12</v>
      </c>
      <c r="I2" s="13">
        <f>20.29*(1+$E$361)</f>
        <v>21.38566</v>
      </c>
      <c r="J2" s="12" t="s">
        <v>13</v>
      </c>
      <c r="K2" s="13">
        <f>20.29*(1+$E$361)</f>
        <v>21.38566</v>
      </c>
      <c r="L2" s="14" t="s">
        <v>14</v>
      </c>
      <c r="M2" s="13">
        <f>20.29*(1+$E$361)</f>
        <v>21.38566</v>
      </c>
      <c r="N2" s="14" t="s">
        <v>15</v>
      </c>
      <c r="O2" s="13">
        <f>20.29*(1+$E$361)</f>
        <v>21.38566</v>
      </c>
      <c r="P2" s="15" t="s">
        <v>16</v>
      </c>
      <c r="Q2" s="15">
        <v>0.0</v>
      </c>
      <c r="R2" s="12" t="s">
        <v>11</v>
      </c>
      <c r="S2" s="13">
        <f>10.14*(1+$E$361)</f>
        <v>10.68756</v>
      </c>
      <c r="T2" s="12" t="s">
        <v>12</v>
      </c>
      <c r="U2" s="13">
        <f>10.14*(1+$E$361)</f>
        <v>10.68756</v>
      </c>
      <c r="V2" s="12" t="s">
        <v>13</v>
      </c>
      <c r="W2" s="13">
        <f>10.14*(1+$E$361)</f>
        <v>10.68756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2" t="s">
        <v>11</v>
      </c>
      <c r="AE2" s="13">
        <f>14.5*(1+$E$361)</f>
        <v>15.283</v>
      </c>
      <c r="AF2" s="14" t="s">
        <v>17</v>
      </c>
      <c r="AG2" s="13">
        <f>14.5*(1+$E$361)</f>
        <v>15.283</v>
      </c>
      <c r="AH2" s="14" t="s">
        <v>18</v>
      </c>
      <c r="AI2" s="13">
        <f>14.5*(1+$E$361)</f>
        <v>15.283</v>
      </c>
      <c r="AJ2" s="16" t="s">
        <v>19</v>
      </c>
      <c r="AK2" s="17">
        <v>0.0</v>
      </c>
      <c r="AL2" s="14" t="s">
        <v>20</v>
      </c>
      <c r="AM2" s="13">
        <v>15.0</v>
      </c>
      <c r="AN2" s="14" t="s">
        <v>21</v>
      </c>
      <c r="AO2" s="13">
        <v>1.5</v>
      </c>
      <c r="AP2" s="14" t="s">
        <v>22</v>
      </c>
      <c r="AQ2" s="13">
        <v>1.5</v>
      </c>
      <c r="AR2" s="14" t="s">
        <v>23</v>
      </c>
      <c r="AS2" s="13">
        <v>34.0</v>
      </c>
      <c r="AT2" s="14" t="s">
        <v>24</v>
      </c>
      <c r="AU2" s="13">
        <v>10.14</v>
      </c>
      <c r="AV2" s="18" t="s">
        <v>25</v>
      </c>
      <c r="AW2" s="18" t="s">
        <v>26</v>
      </c>
      <c r="AX2" s="18" t="s">
        <v>27</v>
      </c>
      <c r="AY2" s="18" t="s">
        <v>28</v>
      </c>
      <c r="AZ2" s="18" t="s">
        <v>29</v>
      </c>
    </row>
    <row r="3" ht="15.75" customHeight="1">
      <c r="A3" s="19" t="s">
        <v>30</v>
      </c>
      <c r="B3" s="20">
        <v>45292.0</v>
      </c>
      <c r="C3" s="21">
        <v>1.0</v>
      </c>
      <c r="D3" s="22" t="s">
        <v>31</v>
      </c>
      <c r="E3" s="23"/>
      <c r="F3" s="42">
        <v>0.0</v>
      </c>
      <c r="H3" s="43">
        <v>0.0</v>
      </c>
      <c r="J3" s="43">
        <v>0.0</v>
      </c>
      <c r="L3" s="43">
        <v>0.0</v>
      </c>
      <c r="N3" s="43">
        <v>0.0</v>
      </c>
      <c r="P3" s="43">
        <v>0.0</v>
      </c>
      <c r="Q3" s="26"/>
      <c r="R3" s="42">
        <v>0.0</v>
      </c>
      <c r="T3" s="43">
        <v>0.0</v>
      </c>
      <c r="V3" s="43">
        <v>0.0</v>
      </c>
      <c r="X3" s="43">
        <v>0.0</v>
      </c>
      <c r="Z3" s="43">
        <v>0.0</v>
      </c>
      <c r="AB3" s="43">
        <v>0.0</v>
      </c>
      <c r="AC3" s="26"/>
      <c r="AD3" s="43">
        <v>0.0</v>
      </c>
      <c r="AF3" s="43">
        <v>0.0</v>
      </c>
      <c r="AH3" s="43">
        <v>0.0</v>
      </c>
      <c r="AJ3" s="27">
        <v>0.0</v>
      </c>
      <c r="AK3" s="26"/>
      <c r="AL3" s="42"/>
      <c r="AM3" s="26"/>
      <c r="AN3" s="42"/>
      <c r="AO3" s="26"/>
      <c r="AP3" s="42"/>
      <c r="AQ3" s="26"/>
      <c r="AR3" s="43"/>
      <c r="AT3" s="43"/>
      <c r="AU3" s="26"/>
      <c r="AV3" s="29">
        <f t="shared" ref="AV3:AV359" si="1">(F3*G$2)+(H3*I$2)+(J3*K$2)+(L3*M$2)+(N3*O$2)+(P3*Q$2)+(R3*S$2)+(T3*U$2)+(V3*W$2)+(X3*Y$2)+(Z3*AA$2)+(AB3*AC$2)+(AJ3*AK$2)+(AL3*AM$2)+(AN3*AO$2)+(AP3*AQ$2)+(AR3*AS$2)+(AT3*AU$2)+(AD3*AE$2)+(AF3*AG$2)+(AH3*AI$2)</f>
        <v>0</v>
      </c>
      <c r="AW3" s="21">
        <f t="shared" ref="AW3:AW359" si="2">sum(F3,H3,J3,L3,R3,T3,V3,AD3,AF3,AH3,AJ3,AL3,AN3,AP3,AR3,AT3)</f>
        <v>0</v>
      </c>
      <c r="AX3" s="21">
        <f t="shared" ref="AX3:AX359" si="3">sum(N3,P3,X3,Z3)</f>
        <v>0</v>
      </c>
      <c r="AY3" s="21">
        <f t="shared" ref="AY3:AY359" si="4">sum(F3:AU3)</f>
        <v>0</v>
      </c>
      <c r="AZ3" s="30" t="str">
        <f t="shared" ref="AZ3:AZ359" si="5">iferror(AV3/AY3,"")</f>
        <v/>
      </c>
    </row>
    <row r="4" ht="15.75" customHeight="1">
      <c r="A4" s="31" t="s">
        <v>33</v>
      </c>
      <c r="B4" s="32">
        <f t="shared" ref="B4:B359" si="6">B3+1</f>
        <v>45293</v>
      </c>
      <c r="C4" s="33">
        <v>1.0</v>
      </c>
      <c r="D4" s="33" t="s">
        <v>31</v>
      </c>
      <c r="E4" s="34"/>
      <c r="F4" s="42">
        <v>0.0</v>
      </c>
      <c r="H4" s="43">
        <v>0.0</v>
      </c>
      <c r="J4" s="43">
        <v>0.0</v>
      </c>
      <c r="L4" s="43">
        <v>0.0</v>
      </c>
      <c r="N4" s="43">
        <v>0.0</v>
      </c>
      <c r="P4" s="43">
        <v>0.0</v>
      </c>
      <c r="Q4" s="26"/>
      <c r="R4" s="42">
        <v>0.0</v>
      </c>
      <c r="T4" s="43">
        <v>0.0</v>
      </c>
      <c r="V4" s="43">
        <v>0.0</v>
      </c>
      <c r="X4" s="43">
        <v>0.0</v>
      </c>
      <c r="Z4" s="43">
        <v>0.0</v>
      </c>
      <c r="AB4" s="43">
        <v>0.0</v>
      </c>
      <c r="AC4" s="26"/>
      <c r="AD4" s="43">
        <v>0.0</v>
      </c>
      <c r="AF4" s="43">
        <v>0.0</v>
      </c>
      <c r="AH4" s="43">
        <v>0.0</v>
      </c>
      <c r="AJ4" s="27">
        <v>0.0</v>
      </c>
      <c r="AK4" s="26"/>
      <c r="AL4" s="42"/>
      <c r="AM4" s="26"/>
      <c r="AN4" s="42"/>
      <c r="AO4" s="26"/>
      <c r="AP4" s="42"/>
      <c r="AQ4" s="26"/>
      <c r="AR4" s="43"/>
      <c r="AT4" s="43"/>
      <c r="AU4" s="26"/>
      <c r="AV4" s="35">
        <f t="shared" si="1"/>
        <v>0</v>
      </c>
      <c r="AW4" s="33">
        <f t="shared" si="2"/>
        <v>0</v>
      </c>
      <c r="AX4" s="33">
        <f t="shared" si="3"/>
        <v>0</v>
      </c>
      <c r="AY4" s="33">
        <f t="shared" si="4"/>
        <v>0</v>
      </c>
      <c r="AZ4" s="30" t="str">
        <f t="shared" si="5"/>
        <v/>
      </c>
    </row>
    <row r="5" ht="15.75" customHeight="1">
      <c r="A5" s="31" t="s">
        <v>34</v>
      </c>
      <c r="B5" s="32">
        <f t="shared" si="6"/>
        <v>45294</v>
      </c>
      <c r="C5" s="33">
        <v>1.0</v>
      </c>
      <c r="D5" s="33" t="s">
        <v>31</v>
      </c>
      <c r="E5" s="34"/>
      <c r="F5" s="42">
        <v>0.0</v>
      </c>
      <c r="H5" s="43">
        <v>0.0</v>
      </c>
      <c r="J5" s="43">
        <v>0.0</v>
      </c>
      <c r="L5" s="43">
        <v>0.0</v>
      </c>
      <c r="N5" s="43">
        <v>0.0</v>
      </c>
      <c r="P5" s="43">
        <v>0.0</v>
      </c>
      <c r="Q5" s="26"/>
      <c r="R5" s="42">
        <v>0.0</v>
      </c>
      <c r="T5" s="43">
        <v>0.0</v>
      </c>
      <c r="V5" s="43">
        <v>0.0</v>
      </c>
      <c r="X5" s="43">
        <v>0.0</v>
      </c>
      <c r="Z5" s="43">
        <v>0.0</v>
      </c>
      <c r="AB5" s="43">
        <v>0.0</v>
      </c>
      <c r="AC5" s="26"/>
      <c r="AD5" s="43">
        <v>0.0</v>
      </c>
      <c r="AF5" s="43">
        <v>0.0</v>
      </c>
      <c r="AH5" s="43">
        <v>0.0</v>
      </c>
      <c r="AJ5" s="27">
        <v>0.0</v>
      </c>
      <c r="AK5" s="26"/>
      <c r="AL5" s="42"/>
      <c r="AM5" s="26"/>
      <c r="AN5" s="42"/>
      <c r="AO5" s="26"/>
      <c r="AP5" s="42"/>
      <c r="AQ5" s="26"/>
      <c r="AR5" s="43"/>
      <c r="AT5" s="43"/>
      <c r="AU5" s="26"/>
      <c r="AV5" s="35">
        <f t="shared" si="1"/>
        <v>0</v>
      </c>
      <c r="AW5" s="33">
        <f t="shared" si="2"/>
        <v>0</v>
      </c>
      <c r="AX5" s="33">
        <f t="shared" si="3"/>
        <v>0</v>
      </c>
      <c r="AY5" s="33">
        <f t="shared" si="4"/>
        <v>0</v>
      </c>
      <c r="AZ5" s="30" t="str">
        <f t="shared" si="5"/>
        <v/>
      </c>
    </row>
    <row r="6" ht="15.75" customHeight="1">
      <c r="A6" s="31" t="s">
        <v>35</v>
      </c>
      <c r="B6" s="32">
        <f t="shared" si="6"/>
        <v>45295</v>
      </c>
      <c r="C6" s="33">
        <v>1.0</v>
      </c>
      <c r="D6" s="33" t="s">
        <v>31</v>
      </c>
      <c r="E6" s="34"/>
      <c r="F6" s="42">
        <v>0.0</v>
      </c>
      <c r="H6" s="43">
        <v>0.0</v>
      </c>
      <c r="J6" s="43">
        <v>0.0</v>
      </c>
      <c r="L6" s="43">
        <v>0.0</v>
      </c>
      <c r="N6" s="43">
        <v>0.0</v>
      </c>
      <c r="P6" s="43">
        <v>0.0</v>
      </c>
      <c r="Q6" s="26"/>
      <c r="R6" s="42">
        <v>0.0</v>
      </c>
      <c r="T6" s="43">
        <v>0.0</v>
      </c>
      <c r="V6" s="43">
        <v>0.0</v>
      </c>
      <c r="X6" s="43">
        <v>0.0</v>
      </c>
      <c r="Z6" s="43">
        <v>0.0</v>
      </c>
      <c r="AB6" s="43">
        <v>0.0</v>
      </c>
      <c r="AC6" s="26"/>
      <c r="AD6" s="43">
        <v>0.0</v>
      </c>
      <c r="AF6" s="43">
        <v>0.0</v>
      </c>
      <c r="AH6" s="43">
        <v>0.0</v>
      </c>
      <c r="AJ6" s="27">
        <v>0.0</v>
      </c>
      <c r="AK6" s="26"/>
      <c r="AL6" s="42"/>
      <c r="AM6" s="26"/>
      <c r="AN6" s="42"/>
      <c r="AO6" s="26"/>
      <c r="AP6" s="42"/>
      <c r="AQ6" s="26"/>
      <c r="AR6" s="43"/>
      <c r="AT6" s="43"/>
      <c r="AU6" s="26"/>
      <c r="AV6" s="35">
        <f t="shared" si="1"/>
        <v>0</v>
      </c>
      <c r="AW6" s="33">
        <f t="shared" si="2"/>
        <v>0</v>
      </c>
      <c r="AX6" s="33">
        <f t="shared" si="3"/>
        <v>0</v>
      </c>
      <c r="AY6" s="33">
        <f t="shared" si="4"/>
        <v>0</v>
      </c>
      <c r="AZ6" s="30" t="str">
        <f t="shared" si="5"/>
        <v/>
      </c>
    </row>
    <row r="7" ht="15.75" customHeight="1">
      <c r="A7" s="31" t="s">
        <v>38</v>
      </c>
      <c r="B7" s="32">
        <f t="shared" si="6"/>
        <v>45296</v>
      </c>
      <c r="C7" s="33">
        <v>1.0</v>
      </c>
      <c r="D7" s="33" t="s">
        <v>31</v>
      </c>
      <c r="E7" s="34"/>
      <c r="F7" s="42">
        <v>0.0</v>
      </c>
      <c r="H7" s="43">
        <v>0.0</v>
      </c>
      <c r="J7" s="43">
        <v>0.0</v>
      </c>
      <c r="L7" s="43">
        <v>0.0</v>
      </c>
      <c r="N7" s="43">
        <v>0.0</v>
      </c>
      <c r="P7" s="43">
        <v>0.0</v>
      </c>
      <c r="Q7" s="26"/>
      <c r="R7" s="42">
        <v>0.0</v>
      </c>
      <c r="T7" s="43">
        <v>0.0</v>
      </c>
      <c r="V7" s="43">
        <v>0.0</v>
      </c>
      <c r="X7" s="43">
        <v>0.0</v>
      </c>
      <c r="Z7" s="43">
        <v>0.0</v>
      </c>
      <c r="AB7" s="43">
        <v>0.0</v>
      </c>
      <c r="AC7" s="26"/>
      <c r="AD7" s="43">
        <v>0.0</v>
      </c>
      <c r="AF7" s="43">
        <v>0.0</v>
      </c>
      <c r="AH7" s="43">
        <v>0.0</v>
      </c>
      <c r="AJ7" s="27">
        <v>0.0</v>
      </c>
      <c r="AK7" s="26"/>
      <c r="AL7" s="42"/>
      <c r="AM7" s="26"/>
      <c r="AN7" s="42"/>
      <c r="AO7" s="26"/>
      <c r="AP7" s="42"/>
      <c r="AQ7" s="26"/>
      <c r="AR7" s="43"/>
      <c r="AT7" s="43"/>
      <c r="AU7" s="26"/>
      <c r="AV7" s="35">
        <f t="shared" si="1"/>
        <v>0</v>
      </c>
      <c r="AW7" s="33">
        <f t="shared" si="2"/>
        <v>0</v>
      </c>
      <c r="AX7" s="33">
        <f t="shared" si="3"/>
        <v>0</v>
      </c>
      <c r="AY7" s="33">
        <f t="shared" si="4"/>
        <v>0</v>
      </c>
      <c r="AZ7" s="30" t="str">
        <f t="shared" si="5"/>
        <v/>
      </c>
    </row>
    <row r="8" ht="15.75" customHeight="1">
      <c r="A8" s="31" t="s">
        <v>45</v>
      </c>
      <c r="B8" s="32">
        <f t="shared" si="6"/>
        <v>45297</v>
      </c>
      <c r="C8" s="33">
        <v>1.0</v>
      </c>
      <c r="D8" s="33" t="s">
        <v>31</v>
      </c>
      <c r="E8" s="34"/>
      <c r="F8" s="42">
        <v>0.0</v>
      </c>
      <c r="H8" s="43">
        <v>0.0</v>
      </c>
      <c r="J8" s="43">
        <v>0.0</v>
      </c>
      <c r="L8" s="43">
        <v>0.0</v>
      </c>
      <c r="N8" s="43">
        <v>0.0</v>
      </c>
      <c r="P8" s="43">
        <v>0.0</v>
      </c>
      <c r="Q8" s="26"/>
      <c r="R8" s="42">
        <v>0.0</v>
      </c>
      <c r="T8" s="43">
        <v>0.0</v>
      </c>
      <c r="V8" s="43">
        <v>0.0</v>
      </c>
      <c r="X8" s="43">
        <v>0.0</v>
      </c>
      <c r="Z8" s="43">
        <v>0.0</v>
      </c>
      <c r="AB8" s="43">
        <v>0.0</v>
      </c>
      <c r="AC8" s="26"/>
      <c r="AD8" s="43">
        <v>0.0</v>
      </c>
      <c r="AF8" s="43">
        <v>0.0</v>
      </c>
      <c r="AH8" s="43">
        <v>0.0</v>
      </c>
      <c r="AJ8" s="27">
        <v>0.0</v>
      </c>
      <c r="AK8" s="26"/>
      <c r="AL8" s="42"/>
      <c r="AM8" s="26"/>
      <c r="AN8" s="42"/>
      <c r="AO8" s="26"/>
      <c r="AP8" s="42"/>
      <c r="AQ8" s="26"/>
      <c r="AR8" s="43"/>
      <c r="AT8" s="43"/>
      <c r="AU8" s="26"/>
      <c r="AV8" s="35">
        <f t="shared" si="1"/>
        <v>0</v>
      </c>
      <c r="AW8" s="33">
        <f t="shared" si="2"/>
        <v>0</v>
      </c>
      <c r="AX8" s="33">
        <f t="shared" si="3"/>
        <v>0</v>
      </c>
      <c r="AY8" s="33">
        <f t="shared" si="4"/>
        <v>0</v>
      </c>
      <c r="AZ8" s="30" t="str">
        <f t="shared" si="5"/>
        <v/>
      </c>
    </row>
    <row r="9" ht="15.75" customHeight="1">
      <c r="A9" s="44" t="s">
        <v>46</v>
      </c>
      <c r="B9" s="45">
        <f t="shared" si="6"/>
        <v>45298</v>
      </c>
      <c r="C9" s="46">
        <v>1.0</v>
      </c>
      <c r="D9" s="46" t="s">
        <v>31</v>
      </c>
      <c r="E9" s="47"/>
      <c r="F9" s="66">
        <v>0.0</v>
      </c>
      <c r="G9" s="51"/>
      <c r="H9" s="67">
        <v>0.0</v>
      </c>
      <c r="I9" s="51"/>
      <c r="J9" s="67">
        <v>0.0</v>
      </c>
      <c r="K9" s="51"/>
      <c r="L9" s="67">
        <v>0.0</v>
      </c>
      <c r="M9" s="51"/>
      <c r="N9" s="67">
        <v>0.0</v>
      </c>
      <c r="O9" s="51"/>
      <c r="P9" s="67">
        <v>0.0</v>
      </c>
      <c r="Q9" s="53"/>
      <c r="R9" s="66">
        <v>0.0</v>
      </c>
      <c r="S9" s="51"/>
      <c r="T9" s="67">
        <v>0.0</v>
      </c>
      <c r="U9" s="51"/>
      <c r="V9" s="67">
        <v>0.0</v>
      </c>
      <c r="W9" s="51"/>
      <c r="X9" s="67">
        <v>0.0</v>
      </c>
      <c r="Y9" s="51"/>
      <c r="Z9" s="67">
        <v>0.0</v>
      </c>
      <c r="AA9" s="51"/>
      <c r="AB9" s="67">
        <v>0.0</v>
      </c>
      <c r="AC9" s="53"/>
      <c r="AD9" s="67">
        <v>0.0</v>
      </c>
      <c r="AE9" s="51"/>
      <c r="AF9" s="67">
        <v>0.0</v>
      </c>
      <c r="AG9" s="51"/>
      <c r="AH9" s="67">
        <v>0.0</v>
      </c>
      <c r="AI9" s="51"/>
      <c r="AJ9" s="54">
        <v>0.0</v>
      </c>
      <c r="AK9" s="53"/>
      <c r="AL9" s="66"/>
      <c r="AM9" s="53"/>
      <c r="AN9" s="66"/>
      <c r="AO9" s="53"/>
      <c r="AP9" s="66"/>
      <c r="AQ9" s="53"/>
      <c r="AR9" s="67"/>
      <c r="AS9" s="51"/>
      <c r="AT9" s="67"/>
      <c r="AU9" s="53"/>
      <c r="AV9" s="55">
        <f t="shared" si="1"/>
        <v>0</v>
      </c>
      <c r="AW9" s="46">
        <f t="shared" si="2"/>
        <v>0</v>
      </c>
      <c r="AX9" s="46">
        <f t="shared" si="3"/>
        <v>0</v>
      </c>
      <c r="AY9" s="46">
        <f t="shared" si="4"/>
        <v>0</v>
      </c>
      <c r="AZ9" s="56" t="str">
        <f t="shared" si="5"/>
        <v/>
      </c>
    </row>
    <row r="10" ht="15.75" customHeight="1">
      <c r="A10" s="19" t="s">
        <v>30</v>
      </c>
      <c r="B10" s="57">
        <f t="shared" si="6"/>
        <v>45299</v>
      </c>
      <c r="C10" s="21">
        <v>1.0</v>
      </c>
      <c r="D10" s="21" t="s">
        <v>47</v>
      </c>
      <c r="E10" s="23"/>
      <c r="F10" s="42">
        <v>0.0</v>
      </c>
      <c r="H10" s="43">
        <v>0.0</v>
      </c>
      <c r="J10" s="43">
        <v>0.0</v>
      </c>
      <c r="L10" s="43">
        <v>0.0</v>
      </c>
      <c r="N10" s="43">
        <v>0.0</v>
      </c>
      <c r="P10" s="43">
        <v>0.0</v>
      </c>
      <c r="Q10" s="26"/>
      <c r="R10" s="42">
        <v>50.0</v>
      </c>
      <c r="T10" s="43">
        <v>50.0</v>
      </c>
      <c r="V10" s="43">
        <v>0.0</v>
      </c>
      <c r="X10" s="43">
        <v>0.0</v>
      </c>
      <c r="Z10" s="43">
        <v>0.0</v>
      </c>
      <c r="AB10" s="43">
        <v>0.0</v>
      </c>
      <c r="AC10" s="26"/>
      <c r="AD10" s="43">
        <v>0.0</v>
      </c>
      <c r="AF10" s="43">
        <v>0.0</v>
      </c>
      <c r="AH10" s="43">
        <v>0.0</v>
      </c>
      <c r="AJ10" s="27">
        <v>0.0</v>
      </c>
      <c r="AK10" s="26"/>
      <c r="AL10" s="42"/>
      <c r="AM10" s="26"/>
      <c r="AN10" s="42"/>
      <c r="AO10" s="26"/>
      <c r="AP10" s="42"/>
      <c r="AQ10" s="26"/>
      <c r="AR10" s="43"/>
      <c r="AT10" s="43"/>
      <c r="AU10" s="26"/>
      <c r="AV10" s="29">
        <f t="shared" si="1"/>
        <v>1068.756</v>
      </c>
      <c r="AW10" s="21">
        <f t="shared" si="2"/>
        <v>100</v>
      </c>
      <c r="AX10" s="21">
        <f t="shared" si="3"/>
        <v>0</v>
      </c>
      <c r="AY10" s="21">
        <f t="shared" si="4"/>
        <v>100</v>
      </c>
      <c r="AZ10" s="58">
        <f t="shared" si="5"/>
        <v>10.68756</v>
      </c>
    </row>
    <row r="11" ht="15.75" customHeight="1">
      <c r="A11" s="31" t="s">
        <v>33</v>
      </c>
      <c r="B11" s="32">
        <f t="shared" si="6"/>
        <v>45300</v>
      </c>
      <c r="C11" s="33">
        <v>1.0</v>
      </c>
      <c r="D11" s="33" t="s">
        <v>47</v>
      </c>
      <c r="E11" s="34"/>
      <c r="F11" s="42">
        <v>0.0</v>
      </c>
      <c r="H11" s="43">
        <v>0.0</v>
      </c>
      <c r="J11" s="43">
        <v>0.0</v>
      </c>
      <c r="L11" s="43">
        <v>0.0</v>
      </c>
      <c r="N11" s="43">
        <v>0.0</v>
      </c>
      <c r="P11" s="43">
        <v>0.0</v>
      </c>
      <c r="Q11" s="26"/>
      <c r="R11" s="42">
        <v>60.0</v>
      </c>
      <c r="T11" s="43">
        <v>60.0</v>
      </c>
      <c r="V11" s="43">
        <v>0.0</v>
      </c>
      <c r="X11" s="43">
        <v>0.0</v>
      </c>
      <c r="Z11" s="43">
        <v>0.0</v>
      </c>
      <c r="AB11" s="43">
        <v>0.0</v>
      </c>
      <c r="AC11" s="26"/>
      <c r="AD11" s="43">
        <v>0.0</v>
      </c>
      <c r="AF11" s="43">
        <v>0.0</v>
      </c>
      <c r="AH11" s="43">
        <v>0.0</v>
      </c>
      <c r="AJ11" s="27">
        <v>0.0</v>
      </c>
      <c r="AK11" s="26"/>
      <c r="AL11" s="42"/>
      <c r="AM11" s="26"/>
      <c r="AN11" s="42"/>
      <c r="AO11" s="26"/>
      <c r="AP11" s="42"/>
      <c r="AQ11" s="26"/>
      <c r="AR11" s="43"/>
      <c r="AT11" s="43"/>
      <c r="AU11" s="26"/>
      <c r="AV11" s="35">
        <f t="shared" si="1"/>
        <v>1282.5072</v>
      </c>
      <c r="AW11" s="33">
        <f t="shared" si="2"/>
        <v>120</v>
      </c>
      <c r="AX11" s="33">
        <f t="shared" si="3"/>
        <v>0</v>
      </c>
      <c r="AY11" s="33">
        <f t="shared" si="4"/>
        <v>120</v>
      </c>
      <c r="AZ11" s="30">
        <f t="shared" si="5"/>
        <v>10.68756</v>
      </c>
    </row>
    <row r="12" ht="15.75" customHeight="1">
      <c r="A12" s="31" t="s">
        <v>34</v>
      </c>
      <c r="B12" s="32">
        <f t="shared" si="6"/>
        <v>45301</v>
      </c>
      <c r="C12" s="33">
        <v>1.0</v>
      </c>
      <c r="D12" s="33" t="s">
        <v>47</v>
      </c>
      <c r="E12" s="34"/>
      <c r="F12" s="42">
        <v>0.0</v>
      </c>
      <c r="H12" s="43">
        <v>0.0</v>
      </c>
      <c r="J12" s="43">
        <v>0.0</v>
      </c>
      <c r="L12" s="43">
        <v>0.0</v>
      </c>
      <c r="N12" s="43">
        <v>0.0</v>
      </c>
      <c r="P12" s="43">
        <v>0.0</v>
      </c>
      <c r="Q12" s="26"/>
      <c r="R12" s="42">
        <v>80.0</v>
      </c>
      <c r="T12" s="43">
        <v>80.0</v>
      </c>
      <c r="V12" s="43">
        <v>0.0</v>
      </c>
      <c r="X12" s="43">
        <v>0.0</v>
      </c>
      <c r="Z12" s="43">
        <v>0.0</v>
      </c>
      <c r="AB12" s="43">
        <v>0.0</v>
      </c>
      <c r="AC12" s="26"/>
      <c r="AD12" s="43">
        <v>0.0</v>
      </c>
      <c r="AF12" s="43">
        <v>0.0</v>
      </c>
      <c r="AH12" s="43">
        <v>0.0</v>
      </c>
      <c r="AJ12" s="27">
        <v>0.0</v>
      </c>
      <c r="AK12" s="26"/>
      <c r="AL12" s="42"/>
      <c r="AM12" s="26"/>
      <c r="AN12" s="42"/>
      <c r="AO12" s="26"/>
      <c r="AP12" s="42"/>
      <c r="AQ12" s="26"/>
      <c r="AR12" s="43"/>
      <c r="AT12" s="43"/>
      <c r="AU12" s="26"/>
      <c r="AV12" s="35">
        <f t="shared" si="1"/>
        <v>1710.0096</v>
      </c>
      <c r="AW12" s="33">
        <f t="shared" si="2"/>
        <v>160</v>
      </c>
      <c r="AX12" s="33">
        <f t="shared" si="3"/>
        <v>0</v>
      </c>
      <c r="AY12" s="33">
        <f t="shared" si="4"/>
        <v>160</v>
      </c>
      <c r="AZ12" s="30">
        <f t="shared" si="5"/>
        <v>10.68756</v>
      </c>
    </row>
    <row r="13" ht="15.75" customHeight="1">
      <c r="A13" s="31" t="s">
        <v>35</v>
      </c>
      <c r="B13" s="32">
        <f t="shared" si="6"/>
        <v>45302</v>
      </c>
      <c r="C13" s="33">
        <v>1.0</v>
      </c>
      <c r="D13" s="33" t="s">
        <v>47</v>
      </c>
      <c r="E13" s="34"/>
      <c r="F13" s="42">
        <v>0.0</v>
      </c>
      <c r="H13" s="43">
        <v>0.0</v>
      </c>
      <c r="J13" s="43">
        <v>0.0</v>
      </c>
      <c r="L13" s="43">
        <v>0.0</v>
      </c>
      <c r="N13" s="43">
        <v>0.0</v>
      </c>
      <c r="P13" s="43">
        <v>0.0</v>
      </c>
      <c r="Q13" s="26"/>
      <c r="R13" s="42">
        <v>80.0</v>
      </c>
      <c r="T13" s="43">
        <v>80.0</v>
      </c>
      <c r="V13" s="43">
        <v>0.0</v>
      </c>
      <c r="X13" s="43">
        <v>0.0</v>
      </c>
      <c r="Z13" s="43">
        <v>0.0</v>
      </c>
      <c r="AB13" s="43">
        <v>0.0</v>
      </c>
      <c r="AC13" s="26"/>
      <c r="AD13" s="43">
        <v>0.0</v>
      </c>
      <c r="AF13" s="43">
        <v>0.0</v>
      </c>
      <c r="AH13" s="43">
        <v>0.0</v>
      </c>
      <c r="AJ13" s="27">
        <v>0.0</v>
      </c>
      <c r="AK13" s="26"/>
      <c r="AL13" s="42"/>
      <c r="AM13" s="26"/>
      <c r="AN13" s="42"/>
      <c r="AO13" s="26"/>
      <c r="AP13" s="42"/>
      <c r="AQ13" s="26"/>
      <c r="AR13" s="43"/>
      <c r="AT13" s="43"/>
      <c r="AU13" s="26"/>
      <c r="AV13" s="35">
        <f t="shared" si="1"/>
        <v>1710.0096</v>
      </c>
      <c r="AW13" s="33">
        <f t="shared" si="2"/>
        <v>160</v>
      </c>
      <c r="AX13" s="33">
        <f t="shared" si="3"/>
        <v>0</v>
      </c>
      <c r="AY13" s="33">
        <f t="shared" si="4"/>
        <v>160</v>
      </c>
      <c r="AZ13" s="30">
        <f t="shared" si="5"/>
        <v>10.68756</v>
      </c>
    </row>
    <row r="14" ht="15.75" customHeight="1">
      <c r="A14" s="31" t="s">
        <v>38</v>
      </c>
      <c r="B14" s="32">
        <f t="shared" si="6"/>
        <v>45303</v>
      </c>
      <c r="C14" s="33">
        <v>1.0</v>
      </c>
      <c r="D14" s="33" t="s">
        <v>47</v>
      </c>
      <c r="E14" s="34"/>
      <c r="F14" s="42">
        <v>0.0</v>
      </c>
      <c r="H14" s="43">
        <v>0.0</v>
      </c>
      <c r="J14" s="43">
        <v>0.0</v>
      </c>
      <c r="L14" s="43">
        <v>0.0</v>
      </c>
      <c r="N14" s="43">
        <v>0.0</v>
      </c>
      <c r="P14" s="43">
        <v>0.0</v>
      </c>
      <c r="Q14" s="26"/>
      <c r="R14" s="42">
        <v>65.0</v>
      </c>
      <c r="T14" s="43">
        <v>65.0</v>
      </c>
      <c r="V14" s="43">
        <v>0.0</v>
      </c>
      <c r="X14" s="43">
        <v>0.0</v>
      </c>
      <c r="Z14" s="43">
        <v>0.0</v>
      </c>
      <c r="AB14" s="43">
        <v>0.0</v>
      </c>
      <c r="AC14" s="26"/>
      <c r="AD14" s="43">
        <v>0.0</v>
      </c>
      <c r="AF14" s="43">
        <v>0.0</v>
      </c>
      <c r="AH14" s="43">
        <v>0.0</v>
      </c>
      <c r="AJ14" s="27">
        <v>0.0</v>
      </c>
      <c r="AK14" s="26"/>
      <c r="AL14" s="42"/>
      <c r="AM14" s="26"/>
      <c r="AN14" s="42"/>
      <c r="AO14" s="26"/>
      <c r="AP14" s="42"/>
      <c r="AQ14" s="26"/>
      <c r="AR14" s="43"/>
      <c r="AT14" s="43"/>
      <c r="AU14" s="26"/>
      <c r="AV14" s="35">
        <f t="shared" si="1"/>
        <v>1389.3828</v>
      </c>
      <c r="AW14" s="33">
        <f t="shared" si="2"/>
        <v>130</v>
      </c>
      <c r="AX14" s="33">
        <f t="shared" si="3"/>
        <v>0</v>
      </c>
      <c r="AY14" s="33">
        <f t="shared" si="4"/>
        <v>130</v>
      </c>
      <c r="AZ14" s="30">
        <f t="shared" si="5"/>
        <v>10.68756</v>
      </c>
    </row>
    <row r="15" ht="15.75" customHeight="1">
      <c r="A15" s="31" t="s">
        <v>45</v>
      </c>
      <c r="B15" s="32">
        <f t="shared" si="6"/>
        <v>45304</v>
      </c>
      <c r="C15" s="33">
        <v>1.0</v>
      </c>
      <c r="D15" s="33" t="s">
        <v>47</v>
      </c>
      <c r="E15" s="34"/>
      <c r="F15" s="42">
        <v>0.0</v>
      </c>
      <c r="H15" s="43">
        <v>0.0</v>
      </c>
      <c r="J15" s="43">
        <v>0.0</v>
      </c>
      <c r="L15" s="43">
        <v>0.0</v>
      </c>
      <c r="N15" s="43">
        <v>0.0</v>
      </c>
      <c r="P15" s="43">
        <v>0.0</v>
      </c>
      <c r="Q15" s="26"/>
      <c r="R15" s="42">
        <v>0.0</v>
      </c>
      <c r="T15" s="43">
        <v>0.0</v>
      </c>
      <c r="V15" s="43">
        <v>0.0</v>
      </c>
      <c r="X15" s="43">
        <v>0.0</v>
      </c>
      <c r="Z15" s="43">
        <v>0.0</v>
      </c>
      <c r="AB15" s="43">
        <v>0.0</v>
      </c>
      <c r="AC15" s="26"/>
      <c r="AD15" s="43">
        <v>0.0</v>
      </c>
      <c r="AF15" s="43">
        <v>0.0</v>
      </c>
      <c r="AH15" s="43">
        <v>0.0</v>
      </c>
      <c r="AJ15" s="27">
        <v>0.0</v>
      </c>
      <c r="AK15" s="26"/>
      <c r="AL15" s="42"/>
      <c r="AM15" s="26"/>
      <c r="AN15" s="42"/>
      <c r="AO15" s="26"/>
      <c r="AP15" s="42"/>
      <c r="AQ15" s="26"/>
      <c r="AR15" s="43"/>
      <c r="AT15" s="43"/>
      <c r="AU15" s="26"/>
      <c r="AV15" s="35">
        <f t="shared" si="1"/>
        <v>0</v>
      </c>
      <c r="AW15" s="33">
        <f t="shared" si="2"/>
        <v>0</v>
      </c>
      <c r="AX15" s="33">
        <f t="shared" si="3"/>
        <v>0</v>
      </c>
      <c r="AY15" s="33">
        <f t="shared" si="4"/>
        <v>0</v>
      </c>
      <c r="AZ15" s="30" t="str">
        <f t="shared" si="5"/>
        <v/>
      </c>
    </row>
    <row r="16" ht="15.75" customHeight="1">
      <c r="A16" s="44" t="s">
        <v>46</v>
      </c>
      <c r="B16" s="45">
        <f t="shared" si="6"/>
        <v>45305</v>
      </c>
      <c r="C16" s="46">
        <v>1.0</v>
      </c>
      <c r="D16" s="46" t="s">
        <v>47</v>
      </c>
      <c r="E16" s="47"/>
      <c r="F16" s="66">
        <v>0.0</v>
      </c>
      <c r="G16" s="51"/>
      <c r="H16" s="67">
        <v>0.0</v>
      </c>
      <c r="I16" s="51"/>
      <c r="J16" s="67">
        <v>0.0</v>
      </c>
      <c r="K16" s="51"/>
      <c r="L16" s="67">
        <v>0.0</v>
      </c>
      <c r="M16" s="51"/>
      <c r="N16" s="67">
        <v>0.0</v>
      </c>
      <c r="O16" s="51"/>
      <c r="P16" s="67">
        <v>0.0</v>
      </c>
      <c r="Q16" s="53"/>
      <c r="R16" s="66">
        <v>0.0</v>
      </c>
      <c r="S16" s="51"/>
      <c r="T16" s="67">
        <v>0.0</v>
      </c>
      <c r="U16" s="51"/>
      <c r="V16" s="67">
        <v>0.0</v>
      </c>
      <c r="W16" s="51"/>
      <c r="X16" s="67">
        <v>0.0</v>
      </c>
      <c r="Y16" s="51"/>
      <c r="Z16" s="67">
        <v>0.0</v>
      </c>
      <c r="AA16" s="51"/>
      <c r="AB16" s="67">
        <v>0.0</v>
      </c>
      <c r="AC16" s="53"/>
      <c r="AD16" s="67">
        <v>0.0</v>
      </c>
      <c r="AE16" s="51"/>
      <c r="AF16" s="67">
        <v>0.0</v>
      </c>
      <c r="AG16" s="51"/>
      <c r="AH16" s="67">
        <v>0.0</v>
      </c>
      <c r="AI16" s="51"/>
      <c r="AJ16" s="54">
        <v>0.0</v>
      </c>
      <c r="AK16" s="53"/>
      <c r="AL16" s="66"/>
      <c r="AM16" s="53"/>
      <c r="AN16" s="66"/>
      <c r="AO16" s="53"/>
      <c r="AP16" s="66"/>
      <c r="AQ16" s="53"/>
      <c r="AR16" s="67"/>
      <c r="AS16" s="51"/>
      <c r="AT16" s="67"/>
      <c r="AU16" s="53"/>
      <c r="AV16" s="55">
        <f t="shared" si="1"/>
        <v>0</v>
      </c>
      <c r="AW16" s="46">
        <f t="shared" si="2"/>
        <v>0</v>
      </c>
      <c r="AX16" s="46">
        <f t="shared" si="3"/>
        <v>0</v>
      </c>
      <c r="AY16" s="46">
        <f t="shared" si="4"/>
        <v>0</v>
      </c>
      <c r="AZ16" s="56" t="str">
        <f t="shared" si="5"/>
        <v/>
      </c>
    </row>
    <row r="17" ht="15.75" customHeight="1">
      <c r="A17" s="19" t="s">
        <v>30</v>
      </c>
      <c r="B17" s="57">
        <f t="shared" si="6"/>
        <v>45306</v>
      </c>
      <c r="C17" s="21">
        <v>1.0</v>
      </c>
      <c r="D17" s="21" t="s">
        <v>48</v>
      </c>
      <c r="E17" s="23"/>
      <c r="F17" s="42">
        <v>0.0</v>
      </c>
      <c r="H17" s="43">
        <v>0.0</v>
      </c>
      <c r="J17" s="43">
        <v>0.0</v>
      </c>
      <c r="L17" s="43">
        <v>0.0</v>
      </c>
      <c r="N17" s="43">
        <v>0.0</v>
      </c>
      <c r="P17" s="43">
        <v>0.0</v>
      </c>
      <c r="Q17" s="26"/>
      <c r="R17" s="42">
        <v>120.0</v>
      </c>
      <c r="T17" s="43">
        <v>120.0</v>
      </c>
      <c r="V17" s="43">
        <v>0.0</v>
      </c>
      <c r="X17" s="43">
        <v>0.0</v>
      </c>
      <c r="Z17" s="43">
        <v>0.0</v>
      </c>
      <c r="AB17" s="43">
        <v>0.0</v>
      </c>
      <c r="AC17" s="26"/>
      <c r="AD17" s="43">
        <v>0.0</v>
      </c>
      <c r="AF17" s="43">
        <v>0.0</v>
      </c>
      <c r="AH17" s="43">
        <v>0.0</v>
      </c>
      <c r="AJ17" s="27">
        <v>0.0</v>
      </c>
      <c r="AK17" s="26"/>
      <c r="AL17" s="42"/>
      <c r="AM17" s="26"/>
      <c r="AN17" s="42"/>
      <c r="AO17" s="26"/>
      <c r="AP17" s="42"/>
      <c r="AQ17" s="26"/>
      <c r="AR17" s="43"/>
      <c r="AT17" s="43"/>
      <c r="AU17" s="26"/>
      <c r="AV17" s="29">
        <f t="shared" si="1"/>
        <v>2565.0144</v>
      </c>
      <c r="AW17" s="21">
        <f t="shared" si="2"/>
        <v>240</v>
      </c>
      <c r="AX17" s="21">
        <f t="shared" si="3"/>
        <v>0</v>
      </c>
      <c r="AY17" s="21">
        <f t="shared" si="4"/>
        <v>240</v>
      </c>
      <c r="AZ17" s="58">
        <f t="shared" si="5"/>
        <v>10.68756</v>
      </c>
    </row>
    <row r="18" ht="15.75" customHeight="1">
      <c r="A18" s="31" t="s">
        <v>33</v>
      </c>
      <c r="B18" s="32">
        <f t="shared" si="6"/>
        <v>45307</v>
      </c>
      <c r="C18" s="33">
        <v>1.0</v>
      </c>
      <c r="D18" s="33" t="s">
        <v>48</v>
      </c>
      <c r="E18" s="34"/>
      <c r="F18" s="42">
        <v>0.0</v>
      </c>
      <c r="H18" s="43">
        <v>0.0</v>
      </c>
      <c r="J18" s="43">
        <v>0.0</v>
      </c>
      <c r="L18" s="43">
        <v>0.0</v>
      </c>
      <c r="N18" s="43">
        <v>0.0</v>
      </c>
      <c r="P18" s="43">
        <v>0.0</v>
      </c>
      <c r="Q18" s="26"/>
      <c r="R18" s="42">
        <v>120.0</v>
      </c>
      <c r="T18" s="43">
        <v>120.0</v>
      </c>
      <c r="V18" s="43">
        <v>0.0</v>
      </c>
      <c r="X18" s="43">
        <v>0.0</v>
      </c>
      <c r="Z18" s="43">
        <v>0.0</v>
      </c>
      <c r="AB18" s="43">
        <v>0.0</v>
      </c>
      <c r="AC18" s="26"/>
      <c r="AD18" s="43">
        <v>0.0</v>
      </c>
      <c r="AF18" s="43">
        <v>0.0</v>
      </c>
      <c r="AH18" s="43">
        <v>0.0</v>
      </c>
      <c r="AJ18" s="27">
        <v>0.0</v>
      </c>
      <c r="AK18" s="26"/>
      <c r="AL18" s="42"/>
      <c r="AM18" s="26"/>
      <c r="AN18" s="42"/>
      <c r="AO18" s="26"/>
      <c r="AP18" s="42"/>
      <c r="AQ18" s="26"/>
      <c r="AR18" s="43"/>
      <c r="AT18" s="43"/>
      <c r="AU18" s="26"/>
      <c r="AV18" s="35">
        <f t="shared" si="1"/>
        <v>2565.0144</v>
      </c>
      <c r="AW18" s="33">
        <f t="shared" si="2"/>
        <v>240</v>
      </c>
      <c r="AX18" s="33">
        <f t="shared" si="3"/>
        <v>0</v>
      </c>
      <c r="AY18" s="33">
        <f t="shared" si="4"/>
        <v>240</v>
      </c>
      <c r="AZ18" s="30">
        <f t="shared" si="5"/>
        <v>10.68756</v>
      </c>
    </row>
    <row r="19" ht="15.75" customHeight="1">
      <c r="A19" s="31" t="s">
        <v>34</v>
      </c>
      <c r="B19" s="32">
        <f t="shared" si="6"/>
        <v>45308</v>
      </c>
      <c r="C19" s="33">
        <v>1.0</v>
      </c>
      <c r="D19" s="33" t="s">
        <v>48</v>
      </c>
      <c r="E19" s="34"/>
      <c r="F19" s="42">
        <v>0.0</v>
      </c>
      <c r="H19" s="43">
        <v>0.0</v>
      </c>
      <c r="J19" s="43">
        <v>0.0</v>
      </c>
      <c r="L19" s="43">
        <v>0.0</v>
      </c>
      <c r="N19" s="43">
        <v>0.0</v>
      </c>
      <c r="P19" s="43">
        <v>0.0</v>
      </c>
      <c r="Q19" s="26"/>
      <c r="R19" s="42">
        <v>120.0</v>
      </c>
      <c r="T19" s="43">
        <v>120.0</v>
      </c>
      <c r="V19" s="43">
        <v>0.0</v>
      </c>
      <c r="X19" s="43">
        <v>0.0</v>
      </c>
      <c r="Z19" s="43">
        <v>0.0</v>
      </c>
      <c r="AB19" s="43">
        <v>0.0</v>
      </c>
      <c r="AC19" s="26"/>
      <c r="AD19" s="43">
        <v>0.0</v>
      </c>
      <c r="AF19" s="43">
        <v>0.0</v>
      </c>
      <c r="AH19" s="43">
        <v>0.0</v>
      </c>
      <c r="AJ19" s="27">
        <v>0.0</v>
      </c>
      <c r="AK19" s="26"/>
      <c r="AL19" s="42"/>
      <c r="AM19" s="26"/>
      <c r="AN19" s="42"/>
      <c r="AO19" s="26"/>
      <c r="AP19" s="42"/>
      <c r="AQ19" s="26"/>
      <c r="AR19" s="43"/>
      <c r="AT19" s="43"/>
      <c r="AU19" s="26"/>
      <c r="AV19" s="35">
        <f t="shared" si="1"/>
        <v>2565.0144</v>
      </c>
      <c r="AW19" s="33">
        <f t="shared" si="2"/>
        <v>240</v>
      </c>
      <c r="AX19" s="33">
        <f t="shared" si="3"/>
        <v>0</v>
      </c>
      <c r="AY19" s="33">
        <f t="shared" si="4"/>
        <v>240</v>
      </c>
      <c r="AZ19" s="30">
        <f t="shared" si="5"/>
        <v>10.68756</v>
      </c>
    </row>
    <row r="20" ht="15.75" customHeight="1">
      <c r="A20" s="31" t="s">
        <v>35</v>
      </c>
      <c r="B20" s="32">
        <f t="shared" si="6"/>
        <v>45309</v>
      </c>
      <c r="C20" s="33">
        <v>1.0</v>
      </c>
      <c r="D20" s="33" t="s">
        <v>48</v>
      </c>
      <c r="E20" s="34"/>
      <c r="F20" s="42">
        <v>0.0</v>
      </c>
      <c r="H20" s="43">
        <v>0.0</v>
      </c>
      <c r="J20" s="43">
        <v>0.0</v>
      </c>
      <c r="L20" s="43">
        <v>0.0</v>
      </c>
      <c r="N20" s="43">
        <v>0.0</v>
      </c>
      <c r="P20" s="43">
        <v>0.0</v>
      </c>
      <c r="Q20" s="26"/>
      <c r="R20" s="42">
        <v>120.0</v>
      </c>
      <c r="T20" s="43">
        <v>120.0</v>
      </c>
      <c r="V20" s="43">
        <v>0.0</v>
      </c>
      <c r="X20" s="43">
        <v>0.0</v>
      </c>
      <c r="Z20" s="43">
        <v>0.0</v>
      </c>
      <c r="AB20" s="43">
        <v>0.0</v>
      </c>
      <c r="AC20" s="26"/>
      <c r="AD20" s="43">
        <v>0.0</v>
      </c>
      <c r="AF20" s="43">
        <v>0.0</v>
      </c>
      <c r="AH20" s="43">
        <v>0.0</v>
      </c>
      <c r="AJ20" s="27">
        <v>0.0</v>
      </c>
      <c r="AK20" s="26"/>
      <c r="AL20" s="42"/>
      <c r="AM20" s="26"/>
      <c r="AN20" s="42"/>
      <c r="AO20" s="26"/>
      <c r="AP20" s="42"/>
      <c r="AQ20" s="26"/>
      <c r="AR20" s="43"/>
      <c r="AT20" s="43"/>
      <c r="AU20" s="26"/>
      <c r="AV20" s="35">
        <f t="shared" si="1"/>
        <v>2565.0144</v>
      </c>
      <c r="AW20" s="33">
        <f t="shared" si="2"/>
        <v>240</v>
      </c>
      <c r="AX20" s="33">
        <f t="shared" si="3"/>
        <v>0</v>
      </c>
      <c r="AY20" s="33">
        <f t="shared" si="4"/>
        <v>240</v>
      </c>
      <c r="AZ20" s="30">
        <f t="shared" si="5"/>
        <v>10.68756</v>
      </c>
    </row>
    <row r="21" ht="15.75" customHeight="1">
      <c r="A21" s="31" t="s">
        <v>38</v>
      </c>
      <c r="B21" s="32">
        <f t="shared" si="6"/>
        <v>45310</v>
      </c>
      <c r="C21" s="33">
        <v>1.0</v>
      </c>
      <c r="D21" s="33" t="s">
        <v>48</v>
      </c>
      <c r="E21" s="34"/>
      <c r="F21" s="42">
        <v>0.0</v>
      </c>
      <c r="H21" s="43">
        <v>0.0</v>
      </c>
      <c r="J21" s="43">
        <v>0.0</v>
      </c>
      <c r="L21" s="43">
        <v>0.0</v>
      </c>
      <c r="N21" s="43">
        <v>0.0</v>
      </c>
      <c r="P21" s="43">
        <v>0.0</v>
      </c>
      <c r="Q21" s="26"/>
      <c r="R21" s="42">
        <v>120.0</v>
      </c>
      <c r="T21" s="43">
        <v>120.0</v>
      </c>
      <c r="V21" s="43">
        <v>0.0</v>
      </c>
      <c r="X21" s="43">
        <v>0.0</v>
      </c>
      <c r="Z21" s="43">
        <v>0.0</v>
      </c>
      <c r="AB21" s="43">
        <v>0.0</v>
      </c>
      <c r="AC21" s="26"/>
      <c r="AD21" s="43">
        <v>0.0</v>
      </c>
      <c r="AF21" s="43">
        <v>0.0</v>
      </c>
      <c r="AH21" s="43">
        <v>0.0</v>
      </c>
      <c r="AJ21" s="27">
        <v>0.0</v>
      </c>
      <c r="AK21" s="26"/>
      <c r="AL21" s="42"/>
      <c r="AM21" s="26"/>
      <c r="AN21" s="42"/>
      <c r="AO21" s="26"/>
      <c r="AP21" s="42"/>
      <c r="AQ21" s="26"/>
      <c r="AR21" s="43"/>
      <c r="AT21" s="43"/>
      <c r="AU21" s="26"/>
      <c r="AV21" s="35">
        <f t="shared" si="1"/>
        <v>2565.0144</v>
      </c>
      <c r="AW21" s="33">
        <f t="shared" si="2"/>
        <v>240</v>
      </c>
      <c r="AX21" s="33">
        <f t="shared" si="3"/>
        <v>0</v>
      </c>
      <c r="AY21" s="33">
        <f t="shared" si="4"/>
        <v>240</v>
      </c>
      <c r="AZ21" s="30">
        <f t="shared" si="5"/>
        <v>10.68756</v>
      </c>
    </row>
    <row r="22" ht="15.75" customHeight="1">
      <c r="A22" s="31" t="s">
        <v>45</v>
      </c>
      <c r="B22" s="32">
        <f t="shared" si="6"/>
        <v>45311</v>
      </c>
      <c r="C22" s="33">
        <v>1.0</v>
      </c>
      <c r="D22" s="33" t="s">
        <v>48</v>
      </c>
      <c r="E22" s="34"/>
      <c r="F22" s="42">
        <v>0.0</v>
      </c>
      <c r="H22" s="43">
        <v>0.0</v>
      </c>
      <c r="J22" s="43">
        <v>0.0</v>
      </c>
      <c r="L22" s="43">
        <v>0.0</v>
      </c>
      <c r="N22" s="43">
        <v>0.0</v>
      </c>
      <c r="P22" s="43">
        <v>0.0</v>
      </c>
      <c r="Q22" s="26"/>
      <c r="R22" s="42">
        <v>0.0</v>
      </c>
      <c r="T22" s="43">
        <v>0.0</v>
      </c>
      <c r="V22" s="43">
        <v>0.0</v>
      </c>
      <c r="X22" s="43">
        <v>0.0</v>
      </c>
      <c r="Z22" s="43">
        <v>0.0</v>
      </c>
      <c r="AB22" s="43">
        <v>0.0</v>
      </c>
      <c r="AC22" s="26"/>
      <c r="AD22" s="43">
        <v>0.0</v>
      </c>
      <c r="AF22" s="43">
        <v>0.0</v>
      </c>
      <c r="AH22" s="43">
        <v>0.0</v>
      </c>
      <c r="AJ22" s="27">
        <v>0.0</v>
      </c>
      <c r="AK22" s="26"/>
      <c r="AL22" s="42"/>
      <c r="AM22" s="26"/>
      <c r="AN22" s="42"/>
      <c r="AO22" s="26"/>
      <c r="AP22" s="42"/>
      <c r="AQ22" s="26"/>
      <c r="AR22" s="43"/>
      <c r="AT22" s="43"/>
      <c r="AU22" s="26"/>
      <c r="AV22" s="35">
        <f t="shared" si="1"/>
        <v>0</v>
      </c>
      <c r="AW22" s="33">
        <f t="shared" si="2"/>
        <v>0</v>
      </c>
      <c r="AX22" s="33">
        <f t="shared" si="3"/>
        <v>0</v>
      </c>
      <c r="AY22" s="33">
        <f t="shared" si="4"/>
        <v>0</v>
      </c>
      <c r="AZ22" s="30" t="str">
        <f t="shared" si="5"/>
        <v/>
      </c>
    </row>
    <row r="23" ht="15.75" customHeight="1">
      <c r="A23" s="44" t="s">
        <v>46</v>
      </c>
      <c r="B23" s="45">
        <f t="shared" si="6"/>
        <v>45312</v>
      </c>
      <c r="C23" s="46">
        <v>1.0</v>
      </c>
      <c r="D23" s="46" t="s">
        <v>48</v>
      </c>
      <c r="E23" s="47"/>
      <c r="F23" s="66">
        <v>0.0</v>
      </c>
      <c r="G23" s="51"/>
      <c r="H23" s="67">
        <v>0.0</v>
      </c>
      <c r="I23" s="51"/>
      <c r="J23" s="67">
        <v>0.0</v>
      </c>
      <c r="K23" s="51"/>
      <c r="L23" s="67">
        <v>0.0</v>
      </c>
      <c r="M23" s="51"/>
      <c r="N23" s="67">
        <v>0.0</v>
      </c>
      <c r="O23" s="51"/>
      <c r="P23" s="67">
        <v>0.0</v>
      </c>
      <c r="Q23" s="53"/>
      <c r="R23" s="66">
        <v>0.0</v>
      </c>
      <c r="S23" s="51"/>
      <c r="T23" s="67">
        <v>0.0</v>
      </c>
      <c r="U23" s="51"/>
      <c r="V23" s="67">
        <v>0.0</v>
      </c>
      <c r="W23" s="51"/>
      <c r="X23" s="67">
        <v>0.0</v>
      </c>
      <c r="Y23" s="51"/>
      <c r="Z23" s="67">
        <v>0.0</v>
      </c>
      <c r="AA23" s="51"/>
      <c r="AB23" s="67">
        <v>0.0</v>
      </c>
      <c r="AC23" s="53"/>
      <c r="AD23" s="67">
        <v>0.0</v>
      </c>
      <c r="AE23" s="51"/>
      <c r="AF23" s="67">
        <v>0.0</v>
      </c>
      <c r="AG23" s="51"/>
      <c r="AH23" s="67">
        <v>0.0</v>
      </c>
      <c r="AI23" s="51"/>
      <c r="AJ23" s="54">
        <v>0.0</v>
      </c>
      <c r="AK23" s="53"/>
      <c r="AL23" s="66"/>
      <c r="AM23" s="53"/>
      <c r="AN23" s="66"/>
      <c r="AO23" s="53"/>
      <c r="AP23" s="66"/>
      <c r="AQ23" s="53"/>
      <c r="AR23" s="67"/>
      <c r="AS23" s="51"/>
      <c r="AT23" s="67"/>
      <c r="AU23" s="53"/>
      <c r="AV23" s="55">
        <f t="shared" si="1"/>
        <v>0</v>
      </c>
      <c r="AW23" s="46">
        <f t="shared" si="2"/>
        <v>0</v>
      </c>
      <c r="AX23" s="46">
        <f t="shared" si="3"/>
        <v>0</v>
      </c>
      <c r="AY23" s="46">
        <f t="shared" si="4"/>
        <v>0</v>
      </c>
      <c r="AZ23" s="56" t="str">
        <f t="shared" si="5"/>
        <v/>
      </c>
    </row>
    <row r="24" ht="15.75" customHeight="1">
      <c r="A24" s="19" t="s">
        <v>30</v>
      </c>
      <c r="B24" s="57">
        <f t="shared" si="6"/>
        <v>45313</v>
      </c>
      <c r="C24" s="21">
        <v>1.0</v>
      </c>
      <c r="D24" s="21" t="s">
        <v>49</v>
      </c>
      <c r="E24" s="23"/>
      <c r="F24" s="42">
        <v>0.0</v>
      </c>
      <c r="H24" s="43">
        <v>0.0</v>
      </c>
      <c r="J24" s="43">
        <v>0.0</v>
      </c>
      <c r="L24" s="43">
        <v>0.0</v>
      </c>
      <c r="N24" s="43">
        <v>0.0</v>
      </c>
      <c r="P24" s="43">
        <v>0.0</v>
      </c>
      <c r="Q24" s="26"/>
      <c r="R24" s="42">
        <v>150.0</v>
      </c>
      <c r="T24" s="43">
        <v>150.0</v>
      </c>
      <c r="V24" s="43">
        <v>0.0</v>
      </c>
      <c r="X24" s="43">
        <v>0.0</v>
      </c>
      <c r="Z24" s="43">
        <v>0.0</v>
      </c>
      <c r="AB24" s="43">
        <v>0.0</v>
      </c>
      <c r="AC24" s="26"/>
      <c r="AD24" s="43">
        <v>0.0</v>
      </c>
      <c r="AF24" s="43">
        <v>0.0</v>
      </c>
      <c r="AH24" s="43">
        <v>0.0</v>
      </c>
      <c r="AJ24" s="27">
        <v>0.0</v>
      </c>
      <c r="AK24" s="26"/>
      <c r="AL24" s="42"/>
      <c r="AM24" s="26"/>
      <c r="AN24" s="42"/>
      <c r="AO24" s="26"/>
      <c r="AP24" s="42"/>
      <c r="AQ24" s="26"/>
      <c r="AR24" s="43"/>
      <c r="AT24" s="43"/>
      <c r="AU24" s="26"/>
      <c r="AV24" s="29">
        <f t="shared" si="1"/>
        <v>3206.268</v>
      </c>
      <c r="AW24" s="21">
        <f t="shared" si="2"/>
        <v>300</v>
      </c>
      <c r="AX24" s="21">
        <f t="shared" si="3"/>
        <v>0</v>
      </c>
      <c r="AY24" s="21">
        <f t="shared" si="4"/>
        <v>300</v>
      </c>
      <c r="AZ24" s="58">
        <f t="shared" si="5"/>
        <v>10.68756</v>
      </c>
    </row>
    <row r="25" ht="15.75" customHeight="1">
      <c r="A25" s="31" t="s">
        <v>33</v>
      </c>
      <c r="B25" s="32">
        <f t="shared" si="6"/>
        <v>45314</v>
      </c>
      <c r="C25" s="33">
        <v>1.0</v>
      </c>
      <c r="D25" s="33" t="s">
        <v>49</v>
      </c>
      <c r="E25" s="34"/>
      <c r="F25" s="42">
        <v>0.0</v>
      </c>
      <c r="H25" s="43">
        <v>0.0</v>
      </c>
      <c r="J25" s="43">
        <v>0.0</v>
      </c>
      <c r="L25" s="43">
        <v>0.0</v>
      </c>
      <c r="N25" s="43">
        <v>0.0</v>
      </c>
      <c r="P25" s="43">
        <v>0.0</v>
      </c>
      <c r="Q25" s="26"/>
      <c r="R25" s="42">
        <v>150.0</v>
      </c>
      <c r="T25" s="43">
        <v>150.0</v>
      </c>
      <c r="V25" s="43">
        <v>0.0</v>
      </c>
      <c r="X25" s="43">
        <v>0.0</v>
      </c>
      <c r="Z25" s="43">
        <v>0.0</v>
      </c>
      <c r="AB25" s="43">
        <v>0.0</v>
      </c>
      <c r="AC25" s="26"/>
      <c r="AD25" s="43">
        <v>0.0</v>
      </c>
      <c r="AF25" s="43">
        <v>0.0</v>
      </c>
      <c r="AH25" s="43">
        <v>0.0</v>
      </c>
      <c r="AJ25" s="27">
        <v>0.0</v>
      </c>
      <c r="AK25" s="26"/>
      <c r="AL25" s="42"/>
      <c r="AM25" s="26"/>
      <c r="AN25" s="42"/>
      <c r="AO25" s="26"/>
      <c r="AP25" s="42"/>
      <c r="AQ25" s="26"/>
      <c r="AR25" s="43"/>
      <c r="AT25" s="43"/>
      <c r="AU25" s="26"/>
      <c r="AV25" s="35">
        <f t="shared" si="1"/>
        <v>3206.268</v>
      </c>
      <c r="AW25" s="33">
        <f t="shared" si="2"/>
        <v>300</v>
      </c>
      <c r="AX25" s="33">
        <f t="shared" si="3"/>
        <v>0</v>
      </c>
      <c r="AY25" s="33">
        <f t="shared" si="4"/>
        <v>300</v>
      </c>
      <c r="AZ25" s="30">
        <f t="shared" si="5"/>
        <v>10.68756</v>
      </c>
    </row>
    <row r="26" ht="15.75" customHeight="1">
      <c r="A26" s="31" t="s">
        <v>34</v>
      </c>
      <c r="B26" s="32">
        <f t="shared" si="6"/>
        <v>45315</v>
      </c>
      <c r="C26" s="33">
        <v>1.0</v>
      </c>
      <c r="D26" s="33" t="s">
        <v>49</v>
      </c>
      <c r="E26" s="34"/>
      <c r="F26" s="42">
        <v>0.0</v>
      </c>
      <c r="H26" s="43">
        <v>0.0</v>
      </c>
      <c r="J26" s="43">
        <v>0.0</v>
      </c>
      <c r="L26" s="43">
        <v>0.0</v>
      </c>
      <c r="N26" s="43">
        <v>0.0</v>
      </c>
      <c r="P26" s="43">
        <v>0.0</v>
      </c>
      <c r="Q26" s="26"/>
      <c r="R26" s="42">
        <v>180.0</v>
      </c>
      <c r="T26" s="43">
        <v>180.0</v>
      </c>
      <c r="V26" s="43">
        <v>0.0</v>
      </c>
      <c r="X26" s="43">
        <v>0.0</v>
      </c>
      <c r="Z26" s="43">
        <v>0.0</v>
      </c>
      <c r="AB26" s="43">
        <v>0.0</v>
      </c>
      <c r="AC26" s="26"/>
      <c r="AD26" s="43">
        <v>0.0</v>
      </c>
      <c r="AF26" s="43">
        <v>0.0</v>
      </c>
      <c r="AH26" s="43">
        <v>0.0</v>
      </c>
      <c r="AJ26" s="27">
        <v>0.0</v>
      </c>
      <c r="AK26" s="26"/>
      <c r="AL26" s="42"/>
      <c r="AM26" s="26"/>
      <c r="AN26" s="42"/>
      <c r="AO26" s="26"/>
      <c r="AP26" s="42"/>
      <c r="AQ26" s="26"/>
      <c r="AR26" s="43"/>
      <c r="AT26" s="43"/>
      <c r="AU26" s="26"/>
      <c r="AV26" s="35">
        <f t="shared" si="1"/>
        <v>3847.5216</v>
      </c>
      <c r="AW26" s="33">
        <f t="shared" si="2"/>
        <v>360</v>
      </c>
      <c r="AX26" s="33">
        <f t="shared" si="3"/>
        <v>0</v>
      </c>
      <c r="AY26" s="33">
        <f t="shared" si="4"/>
        <v>360</v>
      </c>
      <c r="AZ26" s="30">
        <f t="shared" si="5"/>
        <v>10.68756</v>
      </c>
    </row>
    <row r="27" ht="15.75" customHeight="1">
      <c r="A27" s="31" t="s">
        <v>35</v>
      </c>
      <c r="B27" s="32">
        <f t="shared" si="6"/>
        <v>45316</v>
      </c>
      <c r="C27" s="33">
        <v>1.0</v>
      </c>
      <c r="D27" s="33" t="s">
        <v>49</v>
      </c>
      <c r="E27" s="34"/>
      <c r="F27" s="42">
        <v>0.0</v>
      </c>
      <c r="H27" s="43">
        <v>0.0</v>
      </c>
      <c r="J27" s="43">
        <v>0.0</v>
      </c>
      <c r="L27" s="43">
        <v>0.0</v>
      </c>
      <c r="N27" s="43">
        <v>0.0</v>
      </c>
      <c r="P27" s="43">
        <v>0.0</v>
      </c>
      <c r="Q27" s="26"/>
      <c r="R27" s="42">
        <v>180.0</v>
      </c>
      <c r="T27" s="43">
        <v>180.0</v>
      </c>
      <c r="V27" s="43">
        <v>0.0</v>
      </c>
      <c r="X27" s="43">
        <v>0.0</v>
      </c>
      <c r="Z27" s="43">
        <v>0.0</v>
      </c>
      <c r="AB27" s="43">
        <v>0.0</v>
      </c>
      <c r="AC27" s="26"/>
      <c r="AD27" s="43">
        <v>0.0</v>
      </c>
      <c r="AF27" s="43">
        <v>0.0</v>
      </c>
      <c r="AH27" s="43">
        <v>0.0</v>
      </c>
      <c r="AJ27" s="27">
        <v>0.0</v>
      </c>
      <c r="AK27" s="26"/>
      <c r="AL27" s="42"/>
      <c r="AM27" s="26"/>
      <c r="AN27" s="42"/>
      <c r="AO27" s="26"/>
      <c r="AP27" s="42"/>
      <c r="AQ27" s="26"/>
      <c r="AR27" s="43"/>
      <c r="AT27" s="43"/>
      <c r="AU27" s="26"/>
      <c r="AV27" s="35">
        <f t="shared" si="1"/>
        <v>3847.5216</v>
      </c>
      <c r="AW27" s="33">
        <f t="shared" si="2"/>
        <v>360</v>
      </c>
      <c r="AX27" s="33">
        <f t="shared" si="3"/>
        <v>0</v>
      </c>
      <c r="AY27" s="33">
        <f t="shared" si="4"/>
        <v>360</v>
      </c>
      <c r="AZ27" s="30">
        <f t="shared" si="5"/>
        <v>10.68756</v>
      </c>
    </row>
    <row r="28" ht="15.75" customHeight="1">
      <c r="A28" s="31" t="s">
        <v>38</v>
      </c>
      <c r="B28" s="32">
        <f t="shared" si="6"/>
        <v>45317</v>
      </c>
      <c r="C28" s="33">
        <v>1.0</v>
      </c>
      <c r="D28" s="33" t="s">
        <v>49</v>
      </c>
      <c r="E28" s="34"/>
      <c r="F28" s="42">
        <v>0.0</v>
      </c>
      <c r="H28" s="43">
        <v>0.0</v>
      </c>
      <c r="J28" s="43">
        <v>0.0</v>
      </c>
      <c r="L28" s="43">
        <v>0.0</v>
      </c>
      <c r="N28" s="43">
        <v>0.0</v>
      </c>
      <c r="P28" s="43">
        <v>0.0</v>
      </c>
      <c r="Q28" s="26"/>
      <c r="R28" s="42">
        <v>180.0</v>
      </c>
      <c r="T28" s="43">
        <v>180.0</v>
      </c>
      <c r="V28" s="43">
        <v>0.0</v>
      </c>
      <c r="X28" s="43">
        <v>0.0</v>
      </c>
      <c r="Z28" s="43">
        <v>0.0</v>
      </c>
      <c r="AB28" s="43">
        <v>0.0</v>
      </c>
      <c r="AC28" s="26"/>
      <c r="AD28" s="43">
        <v>0.0</v>
      </c>
      <c r="AF28" s="43">
        <v>0.0</v>
      </c>
      <c r="AH28" s="43">
        <v>0.0</v>
      </c>
      <c r="AJ28" s="27">
        <v>0.0</v>
      </c>
      <c r="AK28" s="26"/>
      <c r="AL28" s="42"/>
      <c r="AM28" s="26"/>
      <c r="AN28" s="42"/>
      <c r="AO28" s="26"/>
      <c r="AP28" s="42"/>
      <c r="AQ28" s="26"/>
      <c r="AR28" s="43"/>
      <c r="AT28" s="43"/>
      <c r="AU28" s="26"/>
      <c r="AV28" s="35">
        <f t="shared" si="1"/>
        <v>3847.5216</v>
      </c>
      <c r="AW28" s="33">
        <f t="shared" si="2"/>
        <v>360</v>
      </c>
      <c r="AX28" s="33">
        <f t="shared" si="3"/>
        <v>0</v>
      </c>
      <c r="AY28" s="33">
        <f t="shared" si="4"/>
        <v>360</v>
      </c>
      <c r="AZ28" s="30">
        <f t="shared" si="5"/>
        <v>10.68756</v>
      </c>
    </row>
    <row r="29" ht="15.75" customHeight="1">
      <c r="A29" s="31" t="s">
        <v>45</v>
      </c>
      <c r="B29" s="32">
        <f t="shared" si="6"/>
        <v>45318</v>
      </c>
      <c r="C29" s="33">
        <v>1.0</v>
      </c>
      <c r="D29" s="33" t="s">
        <v>49</v>
      </c>
      <c r="E29" s="34"/>
      <c r="F29" s="42">
        <v>0.0</v>
      </c>
      <c r="H29" s="43">
        <v>0.0</v>
      </c>
      <c r="J29" s="43">
        <v>0.0</v>
      </c>
      <c r="L29" s="43">
        <v>0.0</v>
      </c>
      <c r="N29" s="43">
        <v>0.0</v>
      </c>
      <c r="P29" s="43">
        <v>0.0</v>
      </c>
      <c r="Q29" s="26"/>
      <c r="R29" s="42">
        <v>0.0</v>
      </c>
      <c r="T29" s="43">
        <v>0.0</v>
      </c>
      <c r="V29" s="43">
        <v>0.0</v>
      </c>
      <c r="X29" s="43">
        <v>0.0</v>
      </c>
      <c r="Z29" s="43">
        <v>0.0</v>
      </c>
      <c r="AB29" s="43">
        <v>0.0</v>
      </c>
      <c r="AC29" s="26"/>
      <c r="AD29" s="43">
        <v>0.0</v>
      </c>
      <c r="AF29" s="43">
        <v>0.0</v>
      </c>
      <c r="AH29" s="43">
        <v>0.0</v>
      </c>
      <c r="AJ29" s="27">
        <v>0.0</v>
      </c>
      <c r="AK29" s="26"/>
      <c r="AL29" s="42"/>
      <c r="AM29" s="26"/>
      <c r="AN29" s="42"/>
      <c r="AO29" s="26"/>
      <c r="AP29" s="42"/>
      <c r="AQ29" s="26"/>
      <c r="AR29" s="43"/>
      <c r="AT29" s="43"/>
      <c r="AU29" s="26"/>
      <c r="AV29" s="35">
        <f t="shared" si="1"/>
        <v>0</v>
      </c>
      <c r="AW29" s="33">
        <f t="shared" si="2"/>
        <v>0</v>
      </c>
      <c r="AX29" s="33">
        <f t="shared" si="3"/>
        <v>0</v>
      </c>
      <c r="AY29" s="33">
        <f t="shared" si="4"/>
        <v>0</v>
      </c>
      <c r="AZ29" s="30" t="str">
        <f t="shared" si="5"/>
        <v/>
      </c>
    </row>
    <row r="30" ht="15.75" customHeight="1">
      <c r="A30" s="44" t="s">
        <v>46</v>
      </c>
      <c r="B30" s="45">
        <f t="shared" si="6"/>
        <v>45319</v>
      </c>
      <c r="C30" s="46">
        <v>1.0</v>
      </c>
      <c r="D30" s="46" t="s">
        <v>49</v>
      </c>
      <c r="E30" s="47"/>
      <c r="F30" s="66">
        <v>0.0</v>
      </c>
      <c r="G30" s="51"/>
      <c r="H30" s="67">
        <v>0.0</v>
      </c>
      <c r="I30" s="51"/>
      <c r="J30" s="67">
        <v>0.0</v>
      </c>
      <c r="K30" s="51"/>
      <c r="L30" s="67">
        <v>0.0</v>
      </c>
      <c r="M30" s="51"/>
      <c r="N30" s="67">
        <v>0.0</v>
      </c>
      <c r="O30" s="51"/>
      <c r="P30" s="67">
        <v>0.0</v>
      </c>
      <c r="Q30" s="53"/>
      <c r="R30" s="66">
        <v>0.0</v>
      </c>
      <c r="S30" s="51"/>
      <c r="T30" s="67">
        <v>0.0</v>
      </c>
      <c r="U30" s="51"/>
      <c r="V30" s="67">
        <v>0.0</v>
      </c>
      <c r="W30" s="51"/>
      <c r="X30" s="67">
        <v>0.0</v>
      </c>
      <c r="Y30" s="51"/>
      <c r="Z30" s="67">
        <v>0.0</v>
      </c>
      <c r="AA30" s="51"/>
      <c r="AB30" s="67">
        <v>0.0</v>
      </c>
      <c r="AC30" s="53"/>
      <c r="AD30" s="67">
        <v>0.0</v>
      </c>
      <c r="AE30" s="51"/>
      <c r="AF30" s="67">
        <v>0.0</v>
      </c>
      <c r="AG30" s="51"/>
      <c r="AH30" s="67">
        <v>0.0</v>
      </c>
      <c r="AI30" s="51"/>
      <c r="AJ30" s="54">
        <v>0.0</v>
      </c>
      <c r="AK30" s="53"/>
      <c r="AL30" s="66"/>
      <c r="AM30" s="53"/>
      <c r="AN30" s="66"/>
      <c r="AO30" s="53"/>
      <c r="AP30" s="66"/>
      <c r="AQ30" s="53"/>
      <c r="AR30" s="67"/>
      <c r="AS30" s="51"/>
      <c r="AT30" s="67"/>
      <c r="AU30" s="53"/>
      <c r="AV30" s="55">
        <f t="shared" si="1"/>
        <v>0</v>
      </c>
      <c r="AW30" s="46">
        <f t="shared" si="2"/>
        <v>0</v>
      </c>
      <c r="AX30" s="46">
        <f t="shared" si="3"/>
        <v>0</v>
      </c>
      <c r="AY30" s="46">
        <f t="shared" si="4"/>
        <v>0</v>
      </c>
      <c r="AZ30" s="56" t="str">
        <f t="shared" si="5"/>
        <v/>
      </c>
    </row>
    <row r="31" ht="15.75" customHeight="1">
      <c r="A31" s="19" t="s">
        <v>30</v>
      </c>
      <c r="B31" s="57">
        <f t="shared" si="6"/>
        <v>45320</v>
      </c>
      <c r="C31" s="69">
        <v>2.0</v>
      </c>
      <c r="D31" s="21" t="s">
        <v>31</v>
      </c>
      <c r="E31" s="72" t="s">
        <v>50</v>
      </c>
      <c r="F31" s="42">
        <v>30.0</v>
      </c>
      <c r="H31" s="43">
        <v>30.0</v>
      </c>
      <c r="J31" s="43">
        <v>0.0</v>
      </c>
      <c r="L31" s="43">
        <v>0.0</v>
      </c>
      <c r="N31" s="43">
        <v>0.0</v>
      </c>
      <c r="P31" s="43">
        <v>0.0</v>
      </c>
      <c r="Q31" s="26"/>
      <c r="R31" s="42">
        <v>90.0</v>
      </c>
      <c r="T31" s="43">
        <v>90.0</v>
      </c>
      <c r="V31" s="43">
        <v>0.0</v>
      </c>
      <c r="X31" s="43">
        <v>0.0</v>
      </c>
      <c r="Z31" s="43">
        <v>0.0</v>
      </c>
      <c r="AB31" s="43">
        <v>0.0</v>
      </c>
      <c r="AC31" s="26"/>
      <c r="AD31" s="43">
        <v>0.0</v>
      </c>
      <c r="AF31" s="43">
        <v>0.0</v>
      </c>
      <c r="AH31" s="43">
        <v>0.0</v>
      </c>
      <c r="AJ31" s="27">
        <v>0.0</v>
      </c>
      <c r="AK31" s="26"/>
      <c r="AL31" s="42"/>
      <c r="AM31" s="26"/>
      <c r="AN31" s="42"/>
      <c r="AO31" s="26"/>
      <c r="AP31" s="42"/>
      <c r="AQ31" s="26"/>
      <c r="AR31" s="43"/>
      <c r="AT31" s="43"/>
      <c r="AU31" s="26"/>
      <c r="AV31" s="29">
        <f t="shared" si="1"/>
        <v>3206.9004</v>
      </c>
      <c r="AW31" s="21">
        <f t="shared" si="2"/>
        <v>240</v>
      </c>
      <c r="AX31" s="21">
        <f t="shared" si="3"/>
        <v>0</v>
      </c>
      <c r="AY31" s="21">
        <f t="shared" si="4"/>
        <v>240</v>
      </c>
      <c r="AZ31" s="58">
        <f t="shared" si="5"/>
        <v>13.362085</v>
      </c>
    </row>
    <row r="32" ht="15.75" customHeight="1">
      <c r="A32" s="31" t="s">
        <v>33</v>
      </c>
      <c r="B32" s="32">
        <f t="shared" si="6"/>
        <v>45321</v>
      </c>
      <c r="C32" s="70">
        <v>2.0</v>
      </c>
      <c r="D32" s="33" t="s">
        <v>31</v>
      </c>
      <c r="E32" s="34"/>
      <c r="F32" s="42">
        <v>30.0</v>
      </c>
      <c r="H32" s="43">
        <v>30.0</v>
      </c>
      <c r="J32" s="43">
        <v>0.0</v>
      </c>
      <c r="L32" s="43">
        <v>0.0</v>
      </c>
      <c r="N32" s="43">
        <v>0.0</v>
      </c>
      <c r="P32" s="43">
        <v>0.0</v>
      </c>
      <c r="Q32" s="26"/>
      <c r="R32" s="42">
        <v>90.0</v>
      </c>
      <c r="T32" s="43">
        <v>90.0</v>
      </c>
      <c r="V32" s="43">
        <v>0.0</v>
      </c>
      <c r="X32" s="43">
        <v>0.0</v>
      </c>
      <c r="Z32" s="43">
        <v>0.0</v>
      </c>
      <c r="AB32" s="43">
        <v>0.0</v>
      </c>
      <c r="AC32" s="26"/>
      <c r="AD32" s="43">
        <v>0.0</v>
      </c>
      <c r="AF32" s="43">
        <v>0.0</v>
      </c>
      <c r="AH32" s="43">
        <v>0.0</v>
      </c>
      <c r="AJ32" s="27">
        <v>0.0</v>
      </c>
      <c r="AK32" s="26"/>
      <c r="AL32" s="42"/>
      <c r="AM32" s="26"/>
      <c r="AN32" s="42"/>
      <c r="AO32" s="26"/>
      <c r="AP32" s="42"/>
      <c r="AQ32" s="26"/>
      <c r="AR32" s="43"/>
      <c r="AT32" s="43"/>
      <c r="AU32" s="26"/>
      <c r="AV32" s="35">
        <f t="shared" si="1"/>
        <v>3206.9004</v>
      </c>
      <c r="AW32" s="33">
        <f t="shared" si="2"/>
        <v>240</v>
      </c>
      <c r="AX32" s="33">
        <f t="shared" si="3"/>
        <v>0</v>
      </c>
      <c r="AY32" s="33">
        <f t="shared" si="4"/>
        <v>240</v>
      </c>
      <c r="AZ32" s="30">
        <f t="shared" si="5"/>
        <v>13.362085</v>
      </c>
    </row>
    <row r="33" ht="15.75" customHeight="1">
      <c r="A33" s="31" t="s">
        <v>34</v>
      </c>
      <c r="B33" s="32">
        <f t="shared" si="6"/>
        <v>45322</v>
      </c>
      <c r="C33" s="70">
        <v>2.0</v>
      </c>
      <c r="D33" s="33" t="s">
        <v>31</v>
      </c>
      <c r="E33" s="34"/>
      <c r="F33" s="42">
        <v>30.0</v>
      </c>
      <c r="H33" s="43">
        <v>30.0</v>
      </c>
      <c r="J33" s="43">
        <v>0.0</v>
      </c>
      <c r="L33" s="43">
        <v>0.0</v>
      </c>
      <c r="N33" s="43">
        <v>0.0</v>
      </c>
      <c r="P33" s="43">
        <v>0.0</v>
      </c>
      <c r="Q33" s="26"/>
      <c r="R33" s="42">
        <v>90.0</v>
      </c>
      <c r="T33" s="43">
        <v>90.0</v>
      </c>
      <c r="V33" s="43">
        <v>0.0</v>
      </c>
      <c r="X33" s="43">
        <v>0.0</v>
      </c>
      <c r="Z33" s="43">
        <v>0.0</v>
      </c>
      <c r="AB33" s="43">
        <v>0.0</v>
      </c>
      <c r="AC33" s="26"/>
      <c r="AD33" s="43">
        <v>0.0</v>
      </c>
      <c r="AF33" s="43">
        <v>0.0</v>
      </c>
      <c r="AH33" s="43">
        <v>0.0</v>
      </c>
      <c r="AJ33" s="27">
        <v>0.0</v>
      </c>
      <c r="AK33" s="26"/>
      <c r="AL33" s="42"/>
      <c r="AM33" s="26"/>
      <c r="AN33" s="42"/>
      <c r="AO33" s="26"/>
      <c r="AP33" s="42"/>
      <c r="AQ33" s="26"/>
      <c r="AR33" s="43"/>
      <c r="AT33" s="43"/>
      <c r="AU33" s="26"/>
      <c r="AV33" s="35">
        <f t="shared" si="1"/>
        <v>3206.9004</v>
      </c>
      <c r="AW33" s="33">
        <f t="shared" si="2"/>
        <v>240</v>
      </c>
      <c r="AX33" s="33">
        <f t="shared" si="3"/>
        <v>0</v>
      </c>
      <c r="AY33" s="33">
        <f t="shared" si="4"/>
        <v>240</v>
      </c>
      <c r="AZ33" s="30">
        <f t="shared" si="5"/>
        <v>13.362085</v>
      </c>
    </row>
    <row r="34" ht="15.75" customHeight="1">
      <c r="A34" s="31" t="s">
        <v>35</v>
      </c>
      <c r="B34" s="32">
        <f t="shared" si="6"/>
        <v>45323</v>
      </c>
      <c r="C34" s="70">
        <v>2.0</v>
      </c>
      <c r="D34" s="33" t="s">
        <v>31</v>
      </c>
      <c r="E34" s="34"/>
      <c r="F34" s="42">
        <v>30.0</v>
      </c>
      <c r="H34" s="43">
        <v>30.0</v>
      </c>
      <c r="J34" s="43">
        <v>0.0</v>
      </c>
      <c r="L34" s="43">
        <v>0.0</v>
      </c>
      <c r="N34" s="43">
        <v>0.0</v>
      </c>
      <c r="P34" s="43">
        <v>0.0</v>
      </c>
      <c r="Q34" s="26"/>
      <c r="R34" s="42">
        <v>90.0</v>
      </c>
      <c r="T34" s="43">
        <v>90.0</v>
      </c>
      <c r="V34" s="43">
        <v>0.0</v>
      </c>
      <c r="X34" s="43">
        <v>0.0</v>
      </c>
      <c r="Z34" s="43">
        <v>0.0</v>
      </c>
      <c r="AB34" s="43">
        <v>0.0</v>
      </c>
      <c r="AC34" s="26"/>
      <c r="AD34" s="43">
        <v>0.0</v>
      </c>
      <c r="AF34" s="43">
        <v>0.0</v>
      </c>
      <c r="AH34" s="43">
        <v>0.0</v>
      </c>
      <c r="AJ34" s="27">
        <v>0.0</v>
      </c>
      <c r="AK34" s="26"/>
      <c r="AL34" s="42"/>
      <c r="AM34" s="26"/>
      <c r="AN34" s="42"/>
      <c r="AO34" s="26"/>
      <c r="AP34" s="42"/>
      <c r="AQ34" s="26"/>
      <c r="AR34" s="43"/>
      <c r="AT34" s="43"/>
      <c r="AU34" s="26"/>
      <c r="AV34" s="35">
        <f t="shared" si="1"/>
        <v>3206.9004</v>
      </c>
      <c r="AW34" s="33">
        <f t="shared" si="2"/>
        <v>240</v>
      </c>
      <c r="AX34" s="33">
        <f t="shared" si="3"/>
        <v>0</v>
      </c>
      <c r="AY34" s="33">
        <f t="shared" si="4"/>
        <v>240</v>
      </c>
      <c r="AZ34" s="30">
        <f t="shared" si="5"/>
        <v>13.362085</v>
      </c>
    </row>
    <row r="35" ht="15.75" customHeight="1">
      <c r="A35" s="31" t="s">
        <v>38</v>
      </c>
      <c r="B35" s="32">
        <f t="shared" si="6"/>
        <v>45324</v>
      </c>
      <c r="C35" s="70">
        <v>2.0</v>
      </c>
      <c r="D35" s="33" t="s">
        <v>31</v>
      </c>
      <c r="E35" s="34"/>
      <c r="F35" s="42">
        <v>30.0</v>
      </c>
      <c r="H35" s="43">
        <v>30.0</v>
      </c>
      <c r="J35" s="43">
        <v>0.0</v>
      </c>
      <c r="L35" s="43">
        <v>0.0</v>
      </c>
      <c r="N35" s="43">
        <v>0.0</v>
      </c>
      <c r="P35" s="43">
        <v>0.0</v>
      </c>
      <c r="Q35" s="26"/>
      <c r="R35" s="42">
        <v>90.0</v>
      </c>
      <c r="T35" s="43">
        <v>90.0</v>
      </c>
      <c r="V35" s="43">
        <v>0.0</v>
      </c>
      <c r="X35" s="43">
        <v>0.0</v>
      </c>
      <c r="Z35" s="43">
        <v>0.0</v>
      </c>
      <c r="AB35" s="43">
        <v>0.0</v>
      </c>
      <c r="AC35" s="26"/>
      <c r="AD35" s="43">
        <v>0.0</v>
      </c>
      <c r="AF35" s="43">
        <v>0.0</v>
      </c>
      <c r="AH35" s="43">
        <v>0.0</v>
      </c>
      <c r="AJ35" s="27">
        <v>0.0</v>
      </c>
      <c r="AK35" s="26"/>
      <c r="AL35" s="42"/>
      <c r="AM35" s="26"/>
      <c r="AN35" s="42"/>
      <c r="AO35" s="26"/>
      <c r="AP35" s="42"/>
      <c r="AQ35" s="26"/>
      <c r="AR35" s="43"/>
      <c r="AT35" s="43"/>
      <c r="AU35" s="26"/>
      <c r="AV35" s="35">
        <f t="shared" si="1"/>
        <v>3206.9004</v>
      </c>
      <c r="AW35" s="33">
        <f t="shared" si="2"/>
        <v>240</v>
      </c>
      <c r="AX35" s="33">
        <f t="shared" si="3"/>
        <v>0</v>
      </c>
      <c r="AY35" s="33">
        <f t="shared" si="4"/>
        <v>240</v>
      </c>
      <c r="AZ35" s="30">
        <f t="shared" si="5"/>
        <v>13.362085</v>
      </c>
    </row>
    <row r="36" ht="15.75" customHeight="1">
      <c r="A36" s="31" t="s">
        <v>45</v>
      </c>
      <c r="B36" s="32">
        <f t="shared" si="6"/>
        <v>45325</v>
      </c>
      <c r="C36" s="70">
        <v>2.0</v>
      </c>
      <c r="D36" s="33" t="s">
        <v>31</v>
      </c>
      <c r="E36" s="34"/>
      <c r="F36" s="42">
        <v>0.0</v>
      </c>
      <c r="H36" s="43">
        <v>0.0</v>
      </c>
      <c r="J36" s="43">
        <v>0.0</v>
      </c>
      <c r="L36" s="43">
        <v>0.0</v>
      </c>
      <c r="N36" s="43">
        <v>0.0</v>
      </c>
      <c r="P36" s="43">
        <v>0.0</v>
      </c>
      <c r="Q36" s="26"/>
      <c r="R36" s="42">
        <v>0.0</v>
      </c>
      <c r="T36" s="43">
        <v>0.0</v>
      </c>
      <c r="V36" s="43">
        <v>0.0</v>
      </c>
      <c r="X36" s="43">
        <v>0.0</v>
      </c>
      <c r="Z36" s="43">
        <v>0.0</v>
      </c>
      <c r="AB36" s="43">
        <v>0.0</v>
      </c>
      <c r="AC36" s="26"/>
      <c r="AD36" s="43">
        <v>0.0</v>
      </c>
      <c r="AF36" s="43">
        <v>0.0</v>
      </c>
      <c r="AH36" s="43">
        <v>0.0</v>
      </c>
      <c r="AJ36" s="27">
        <v>0.0</v>
      </c>
      <c r="AK36" s="26"/>
      <c r="AL36" s="42"/>
      <c r="AM36" s="26"/>
      <c r="AN36" s="42"/>
      <c r="AO36" s="26"/>
      <c r="AP36" s="42"/>
      <c r="AQ36" s="26"/>
      <c r="AR36" s="43"/>
      <c r="AT36" s="43"/>
      <c r="AU36" s="26"/>
      <c r="AV36" s="35">
        <f t="shared" si="1"/>
        <v>0</v>
      </c>
      <c r="AW36" s="33">
        <f t="shared" si="2"/>
        <v>0</v>
      </c>
      <c r="AX36" s="33">
        <f t="shared" si="3"/>
        <v>0</v>
      </c>
      <c r="AY36" s="33">
        <f t="shared" si="4"/>
        <v>0</v>
      </c>
      <c r="AZ36" s="30" t="str">
        <f t="shared" si="5"/>
        <v/>
      </c>
    </row>
    <row r="37" ht="15.75" customHeight="1">
      <c r="A37" s="44" t="s">
        <v>46</v>
      </c>
      <c r="B37" s="45">
        <f t="shared" si="6"/>
        <v>45326</v>
      </c>
      <c r="C37" s="71">
        <v>2.0</v>
      </c>
      <c r="D37" s="46" t="s">
        <v>31</v>
      </c>
      <c r="E37" s="47"/>
      <c r="F37" s="66">
        <v>0.0</v>
      </c>
      <c r="G37" s="51"/>
      <c r="H37" s="67">
        <v>0.0</v>
      </c>
      <c r="I37" s="51"/>
      <c r="J37" s="67">
        <v>0.0</v>
      </c>
      <c r="K37" s="51"/>
      <c r="L37" s="67">
        <v>0.0</v>
      </c>
      <c r="M37" s="51"/>
      <c r="N37" s="67">
        <v>0.0</v>
      </c>
      <c r="O37" s="51"/>
      <c r="P37" s="67">
        <v>0.0</v>
      </c>
      <c r="Q37" s="53"/>
      <c r="R37" s="66">
        <v>0.0</v>
      </c>
      <c r="S37" s="51"/>
      <c r="T37" s="67">
        <v>0.0</v>
      </c>
      <c r="U37" s="51"/>
      <c r="V37" s="67">
        <v>0.0</v>
      </c>
      <c r="W37" s="51"/>
      <c r="X37" s="67">
        <v>0.0</v>
      </c>
      <c r="Y37" s="51"/>
      <c r="Z37" s="67">
        <v>0.0</v>
      </c>
      <c r="AA37" s="51"/>
      <c r="AB37" s="67">
        <v>0.0</v>
      </c>
      <c r="AC37" s="53"/>
      <c r="AD37" s="67">
        <v>0.0</v>
      </c>
      <c r="AE37" s="51"/>
      <c r="AF37" s="67">
        <v>0.0</v>
      </c>
      <c r="AG37" s="51"/>
      <c r="AH37" s="67">
        <v>0.0</v>
      </c>
      <c r="AI37" s="51"/>
      <c r="AJ37" s="54">
        <v>0.0</v>
      </c>
      <c r="AK37" s="53"/>
      <c r="AL37" s="66"/>
      <c r="AM37" s="53"/>
      <c r="AN37" s="66"/>
      <c r="AO37" s="53"/>
      <c r="AP37" s="66"/>
      <c r="AQ37" s="53"/>
      <c r="AR37" s="67"/>
      <c r="AS37" s="51"/>
      <c r="AT37" s="67"/>
      <c r="AU37" s="53"/>
      <c r="AV37" s="55">
        <f t="shared" si="1"/>
        <v>0</v>
      </c>
      <c r="AW37" s="46">
        <f t="shared" si="2"/>
        <v>0</v>
      </c>
      <c r="AX37" s="46">
        <f t="shared" si="3"/>
        <v>0</v>
      </c>
      <c r="AY37" s="46">
        <f t="shared" si="4"/>
        <v>0</v>
      </c>
      <c r="AZ37" s="56" t="str">
        <f t="shared" si="5"/>
        <v/>
      </c>
    </row>
    <row r="38" ht="15.75" customHeight="1">
      <c r="A38" s="19" t="s">
        <v>30</v>
      </c>
      <c r="B38" s="57">
        <f t="shared" si="6"/>
        <v>45327</v>
      </c>
      <c r="C38" s="21">
        <v>2.0</v>
      </c>
      <c r="D38" s="21" t="s">
        <v>47</v>
      </c>
      <c r="E38" s="72"/>
      <c r="F38" s="42">
        <v>30.0</v>
      </c>
      <c r="H38" s="43">
        <v>30.0</v>
      </c>
      <c r="J38" s="43">
        <v>0.0</v>
      </c>
      <c r="L38" s="43">
        <v>0.0</v>
      </c>
      <c r="N38" s="43">
        <v>0.0</v>
      </c>
      <c r="P38" s="43">
        <v>0.0</v>
      </c>
      <c r="Q38" s="26"/>
      <c r="R38" s="42">
        <v>230.0</v>
      </c>
      <c r="T38" s="43">
        <v>230.0</v>
      </c>
      <c r="V38" s="43">
        <v>0.0</v>
      </c>
      <c r="X38" s="43">
        <v>0.0</v>
      </c>
      <c r="Z38" s="43">
        <v>0.0</v>
      </c>
      <c r="AB38" s="43">
        <v>0.0</v>
      </c>
      <c r="AC38" s="26"/>
      <c r="AD38" s="43">
        <v>0.0</v>
      </c>
      <c r="AF38" s="43">
        <v>0.0</v>
      </c>
      <c r="AH38" s="43">
        <v>0.0</v>
      </c>
      <c r="AJ38" s="27">
        <v>0.0</v>
      </c>
      <c r="AK38" s="26"/>
      <c r="AL38" s="42"/>
      <c r="AM38" s="26"/>
      <c r="AN38" s="42"/>
      <c r="AO38" s="26"/>
      <c r="AP38" s="42"/>
      <c r="AQ38" s="26"/>
      <c r="AR38" s="43"/>
      <c r="AT38" s="43"/>
      <c r="AU38" s="26"/>
      <c r="AV38" s="29">
        <f t="shared" si="1"/>
        <v>6199.4172</v>
      </c>
      <c r="AW38" s="21">
        <f t="shared" si="2"/>
        <v>520</v>
      </c>
      <c r="AX38" s="21">
        <f t="shared" si="3"/>
        <v>0</v>
      </c>
      <c r="AY38" s="21">
        <f t="shared" si="4"/>
        <v>520</v>
      </c>
      <c r="AZ38" s="58">
        <f t="shared" si="5"/>
        <v>11.92195615</v>
      </c>
    </row>
    <row r="39" ht="15.75" customHeight="1">
      <c r="A39" s="31" t="s">
        <v>33</v>
      </c>
      <c r="B39" s="32">
        <f t="shared" si="6"/>
        <v>45328</v>
      </c>
      <c r="C39" s="33">
        <v>2.0</v>
      </c>
      <c r="D39" s="33" t="s">
        <v>47</v>
      </c>
      <c r="E39" s="34"/>
      <c r="F39" s="42">
        <v>30.0</v>
      </c>
      <c r="H39" s="43">
        <v>30.0</v>
      </c>
      <c r="J39" s="43">
        <v>0.0</v>
      </c>
      <c r="L39" s="43">
        <v>0.0</v>
      </c>
      <c r="N39" s="43">
        <v>0.0</v>
      </c>
      <c r="P39" s="43">
        <v>0.0</v>
      </c>
      <c r="Q39" s="26"/>
      <c r="R39" s="42">
        <v>230.0</v>
      </c>
      <c r="T39" s="43">
        <v>230.0</v>
      </c>
      <c r="V39" s="43">
        <v>0.0</v>
      </c>
      <c r="X39" s="43">
        <v>0.0</v>
      </c>
      <c r="Z39" s="43">
        <v>0.0</v>
      </c>
      <c r="AB39" s="43">
        <v>0.0</v>
      </c>
      <c r="AC39" s="26"/>
      <c r="AD39" s="43">
        <v>0.0</v>
      </c>
      <c r="AF39" s="43">
        <v>0.0</v>
      </c>
      <c r="AH39" s="43">
        <v>0.0</v>
      </c>
      <c r="AJ39" s="27">
        <v>0.0</v>
      </c>
      <c r="AK39" s="26"/>
      <c r="AL39" s="42"/>
      <c r="AM39" s="26"/>
      <c r="AN39" s="42"/>
      <c r="AO39" s="26"/>
      <c r="AP39" s="42"/>
      <c r="AQ39" s="26"/>
      <c r="AR39" s="43"/>
      <c r="AT39" s="43"/>
      <c r="AU39" s="26"/>
      <c r="AV39" s="35">
        <f t="shared" si="1"/>
        <v>6199.4172</v>
      </c>
      <c r="AW39" s="33">
        <f t="shared" si="2"/>
        <v>520</v>
      </c>
      <c r="AX39" s="33">
        <f t="shared" si="3"/>
        <v>0</v>
      </c>
      <c r="AY39" s="33">
        <f t="shared" si="4"/>
        <v>520</v>
      </c>
      <c r="AZ39" s="30">
        <f t="shared" si="5"/>
        <v>11.92195615</v>
      </c>
    </row>
    <row r="40" ht="15.75" customHeight="1">
      <c r="A40" s="31" t="s">
        <v>34</v>
      </c>
      <c r="B40" s="32">
        <f t="shared" si="6"/>
        <v>45329</v>
      </c>
      <c r="C40" s="33">
        <v>2.0</v>
      </c>
      <c r="D40" s="33" t="s">
        <v>47</v>
      </c>
      <c r="E40" s="34"/>
      <c r="F40" s="42">
        <v>30.0</v>
      </c>
      <c r="H40" s="43">
        <v>30.0</v>
      </c>
      <c r="J40" s="43">
        <v>0.0</v>
      </c>
      <c r="L40" s="43">
        <v>0.0</v>
      </c>
      <c r="N40" s="43">
        <v>0.0</v>
      </c>
      <c r="P40" s="43">
        <v>0.0</v>
      </c>
      <c r="Q40" s="26"/>
      <c r="R40" s="42">
        <v>230.0</v>
      </c>
      <c r="T40" s="43">
        <v>230.0</v>
      </c>
      <c r="V40" s="43">
        <v>0.0</v>
      </c>
      <c r="X40" s="43">
        <v>0.0</v>
      </c>
      <c r="Z40" s="43">
        <v>0.0</v>
      </c>
      <c r="AB40" s="43">
        <v>0.0</v>
      </c>
      <c r="AC40" s="26"/>
      <c r="AD40" s="43">
        <v>0.0</v>
      </c>
      <c r="AF40" s="43">
        <v>0.0</v>
      </c>
      <c r="AH40" s="43">
        <v>0.0</v>
      </c>
      <c r="AJ40" s="27">
        <v>0.0</v>
      </c>
      <c r="AK40" s="26"/>
      <c r="AL40" s="42"/>
      <c r="AM40" s="26"/>
      <c r="AN40" s="42"/>
      <c r="AO40" s="26"/>
      <c r="AP40" s="42"/>
      <c r="AQ40" s="26"/>
      <c r="AR40" s="43"/>
      <c r="AT40" s="43"/>
      <c r="AU40" s="26"/>
      <c r="AV40" s="35">
        <f t="shared" si="1"/>
        <v>6199.4172</v>
      </c>
      <c r="AW40" s="33">
        <f t="shared" si="2"/>
        <v>520</v>
      </c>
      <c r="AX40" s="33">
        <f t="shared" si="3"/>
        <v>0</v>
      </c>
      <c r="AY40" s="33">
        <f t="shared" si="4"/>
        <v>520</v>
      </c>
      <c r="AZ40" s="30">
        <f t="shared" si="5"/>
        <v>11.92195615</v>
      </c>
    </row>
    <row r="41" ht="15.75" customHeight="1">
      <c r="A41" s="31" t="s">
        <v>35</v>
      </c>
      <c r="B41" s="32">
        <f t="shared" si="6"/>
        <v>45330</v>
      </c>
      <c r="C41" s="33">
        <v>2.0</v>
      </c>
      <c r="D41" s="33" t="s">
        <v>47</v>
      </c>
      <c r="E41" s="34"/>
      <c r="F41" s="42">
        <v>30.0</v>
      </c>
      <c r="H41" s="43">
        <v>30.0</v>
      </c>
      <c r="J41" s="43">
        <v>0.0</v>
      </c>
      <c r="L41" s="43">
        <v>0.0</v>
      </c>
      <c r="N41" s="43">
        <v>0.0</v>
      </c>
      <c r="P41" s="43">
        <v>0.0</v>
      </c>
      <c r="Q41" s="26"/>
      <c r="R41" s="42">
        <v>230.0</v>
      </c>
      <c r="T41" s="43">
        <v>230.0</v>
      </c>
      <c r="V41" s="43">
        <v>0.0</v>
      </c>
      <c r="X41" s="43">
        <v>0.0</v>
      </c>
      <c r="Z41" s="43">
        <v>0.0</v>
      </c>
      <c r="AB41" s="43">
        <v>0.0</v>
      </c>
      <c r="AC41" s="26"/>
      <c r="AD41" s="43">
        <v>0.0</v>
      </c>
      <c r="AF41" s="43">
        <v>0.0</v>
      </c>
      <c r="AH41" s="43">
        <v>0.0</v>
      </c>
      <c r="AJ41" s="27">
        <v>0.0</v>
      </c>
      <c r="AK41" s="26"/>
      <c r="AL41" s="42"/>
      <c r="AM41" s="26"/>
      <c r="AN41" s="42"/>
      <c r="AO41" s="26"/>
      <c r="AP41" s="42"/>
      <c r="AQ41" s="26"/>
      <c r="AR41" s="43"/>
      <c r="AT41" s="43"/>
      <c r="AU41" s="26"/>
      <c r="AV41" s="35">
        <f t="shared" si="1"/>
        <v>6199.4172</v>
      </c>
      <c r="AW41" s="33">
        <f t="shared" si="2"/>
        <v>520</v>
      </c>
      <c r="AX41" s="33">
        <f t="shared" si="3"/>
        <v>0</v>
      </c>
      <c r="AY41" s="33">
        <f t="shared" si="4"/>
        <v>520</v>
      </c>
      <c r="AZ41" s="30">
        <f t="shared" si="5"/>
        <v>11.92195615</v>
      </c>
    </row>
    <row r="42" ht="15.75" customHeight="1">
      <c r="A42" s="31" t="s">
        <v>38</v>
      </c>
      <c r="B42" s="32">
        <f t="shared" si="6"/>
        <v>45331</v>
      </c>
      <c r="C42" s="33">
        <v>2.0</v>
      </c>
      <c r="D42" s="33" t="s">
        <v>47</v>
      </c>
      <c r="E42" s="34"/>
      <c r="F42" s="42">
        <v>30.0</v>
      </c>
      <c r="H42" s="43">
        <v>30.0</v>
      </c>
      <c r="J42" s="43">
        <v>0.0</v>
      </c>
      <c r="L42" s="43">
        <v>0.0</v>
      </c>
      <c r="N42" s="43">
        <v>0.0</v>
      </c>
      <c r="P42" s="43">
        <v>0.0</v>
      </c>
      <c r="Q42" s="26"/>
      <c r="R42" s="42">
        <v>230.0</v>
      </c>
      <c r="T42" s="43">
        <v>230.0</v>
      </c>
      <c r="V42" s="43">
        <v>0.0</v>
      </c>
      <c r="X42" s="43">
        <v>0.0</v>
      </c>
      <c r="Z42" s="43">
        <v>0.0</v>
      </c>
      <c r="AB42" s="43">
        <v>0.0</v>
      </c>
      <c r="AC42" s="26"/>
      <c r="AD42" s="43">
        <v>0.0</v>
      </c>
      <c r="AF42" s="43">
        <v>0.0</v>
      </c>
      <c r="AH42" s="43">
        <v>0.0</v>
      </c>
      <c r="AJ42" s="27">
        <v>0.0</v>
      </c>
      <c r="AK42" s="26"/>
      <c r="AL42" s="42"/>
      <c r="AM42" s="26"/>
      <c r="AN42" s="42"/>
      <c r="AO42" s="26"/>
      <c r="AP42" s="42"/>
      <c r="AQ42" s="26"/>
      <c r="AR42" s="43"/>
      <c r="AT42" s="43"/>
      <c r="AU42" s="26"/>
      <c r="AV42" s="35">
        <f t="shared" si="1"/>
        <v>6199.4172</v>
      </c>
      <c r="AW42" s="33">
        <f t="shared" si="2"/>
        <v>520</v>
      </c>
      <c r="AX42" s="33">
        <f t="shared" si="3"/>
        <v>0</v>
      </c>
      <c r="AY42" s="33">
        <f t="shared" si="4"/>
        <v>520</v>
      </c>
      <c r="AZ42" s="30">
        <f t="shared" si="5"/>
        <v>11.92195615</v>
      </c>
    </row>
    <row r="43" ht="15.75" customHeight="1">
      <c r="A43" s="31" t="s">
        <v>45</v>
      </c>
      <c r="B43" s="32">
        <f t="shared" si="6"/>
        <v>45332</v>
      </c>
      <c r="C43" s="33">
        <v>2.0</v>
      </c>
      <c r="D43" s="33" t="s">
        <v>47</v>
      </c>
      <c r="E43" s="34"/>
      <c r="F43" s="42">
        <v>30.0</v>
      </c>
      <c r="H43" s="43">
        <v>30.0</v>
      </c>
      <c r="J43" s="43">
        <v>0.0</v>
      </c>
      <c r="L43" s="43">
        <v>0.0</v>
      </c>
      <c r="N43" s="43">
        <v>0.0</v>
      </c>
      <c r="P43" s="43">
        <v>0.0</v>
      </c>
      <c r="Q43" s="26"/>
      <c r="R43" s="42">
        <v>230.0</v>
      </c>
      <c r="T43" s="43">
        <v>230.0</v>
      </c>
      <c r="V43" s="43">
        <v>0.0</v>
      </c>
      <c r="X43" s="43">
        <v>0.0</v>
      </c>
      <c r="Z43" s="43">
        <v>0.0</v>
      </c>
      <c r="AB43" s="43">
        <v>0.0</v>
      </c>
      <c r="AC43" s="26"/>
      <c r="AD43" s="43">
        <v>0.0</v>
      </c>
      <c r="AF43" s="43">
        <v>0.0</v>
      </c>
      <c r="AH43" s="43">
        <v>0.0</v>
      </c>
      <c r="AJ43" s="27">
        <v>0.0</v>
      </c>
      <c r="AK43" s="26"/>
      <c r="AL43" s="42"/>
      <c r="AM43" s="26"/>
      <c r="AN43" s="42"/>
      <c r="AO43" s="26"/>
      <c r="AP43" s="42"/>
      <c r="AQ43" s="26"/>
      <c r="AR43" s="43"/>
      <c r="AT43" s="43"/>
      <c r="AU43" s="26"/>
      <c r="AV43" s="35">
        <f t="shared" si="1"/>
        <v>6199.4172</v>
      </c>
      <c r="AW43" s="33">
        <f t="shared" si="2"/>
        <v>520</v>
      </c>
      <c r="AX43" s="33">
        <f t="shared" si="3"/>
        <v>0</v>
      </c>
      <c r="AY43" s="33">
        <f t="shared" si="4"/>
        <v>520</v>
      </c>
      <c r="AZ43" s="30">
        <f t="shared" si="5"/>
        <v>11.92195615</v>
      </c>
    </row>
    <row r="44" ht="15.75" customHeight="1">
      <c r="A44" s="44" t="s">
        <v>46</v>
      </c>
      <c r="B44" s="45">
        <f t="shared" si="6"/>
        <v>45333</v>
      </c>
      <c r="C44" s="46">
        <v>2.0</v>
      </c>
      <c r="D44" s="46" t="s">
        <v>47</v>
      </c>
      <c r="E44" s="47"/>
      <c r="F44" s="66">
        <v>0.0</v>
      </c>
      <c r="G44" s="51"/>
      <c r="H44" s="67">
        <v>0.0</v>
      </c>
      <c r="I44" s="51"/>
      <c r="J44" s="67">
        <v>0.0</v>
      </c>
      <c r="K44" s="51"/>
      <c r="L44" s="67">
        <v>0.0</v>
      </c>
      <c r="M44" s="51"/>
      <c r="N44" s="67">
        <v>0.0</v>
      </c>
      <c r="O44" s="51"/>
      <c r="P44" s="67">
        <v>0.0</v>
      </c>
      <c r="Q44" s="53"/>
      <c r="R44" s="66">
        <v>0.0</v>
      </c>
      <c r="S44" s="51"/>
      <c r="T44" s="67">
        <v>0.0</v>
      </c>
      <c r="U44" s="51"/>
      <c r="V44" s="67">
        <v>0.0</v>
      </c>
      <c r="W44" s="51"/>
      <c r="X44" s="67">
        <v>0.0</v>
      </c>
      <c r="Y44" s="51"/>
      <c r="Z44" s="67">
        <v>0.0</v>
      </c>
      <c r="AA44" s="51"/>
      <c r="AB44" s="67">
        <v>0.0</v>
      </c>
      <c r="AC44" s="53"/>
      <c r="AD44" s="67">
        <v>0.0</v>
      </c>
      <c r="AE44" s="51"/>
      <c r="AF44" s="67">
        <v>0.0</v>
      </c>
      <c r="AG44" s="51"/>
      <c r="AH44" s="67">
        <v>0.0</v>
      </c>
      <c r="AI44" s="51"/>
      <c r="AJ44" s="54">
        <v>0.0</v>
      </c>
      <c r="AK44" s="53"/>
      <c r="AL44" s="66"/>
      <c r="AM44" s="53"/>
      <c r="AN44" s="66"/>
      <c r="AO44" s="53"/>
      <c r="AP44" s="66"/>
      <c r="AQ44" s="53"/>
      <c r="AR44" s="67"/>
      <c r="AS44" s="51"/>
      <c r="AT44" s="67"/>
      <c r="AU44" s="53"/>
      <c r="AV44" s="55">
        <f t="shared" si="1"/>
        <v>0</v>
      </c>
      <c r="AW44" s="46">
        <f t="shared" si="2"/>
        <v>0</v>
      </c>
      <c r="AX44" s="46">
        <f t="shared" si="3"/>
        <v>0</v>
      </c>
      <c r="AY44" s="46">
        <f t="shared" si="4"/>
        <v>0</v>
      </c>
      <c r="AZ44" s="56" t="str">
        <f t="shared" si="5"/>
        <v/>
      </c>
    </row>
    <row r="45" ht="15.75" customHeight="1">
      <c r="A45" s="19" t="s">
        <v>30</v>
      </c>
      <c r="B45" s="57">
        <f t="shared" si="6"/>
        <v>45334</v>
      </c>
      <c r="C45" s="21">
        <v>2.0</v>
      </c>
      <c r="D45" s="21" t="s">
        <v>48</v>
      </c>
      <c r="E45" s="72" t="s">
        <v>51</v>
      </c>
      <c r="F45" s="42">
        <v>110.0</v>
      </c>
      <c r="H45" s="43">
        <v>110.0</v>
      </c>
      <c r="J45" s="43">
        <v>0.0</v>
      </c>
      <c r="L45" s="43">
        <v>0.0</v>
      </c>
      <c r="N45" s="43">
        <v>0.0</v>
      </c>
      <c r="P45" s="41"/>
      <c r="Q45" s="26"/>
      <c r="R45" s="42">
        <v>240.0</v>
      </c>
      <c r="T45" s="43">
        <v>240.0</v>
      </c>
      <c r="V45" s="43">
        <v>0.0</v>
      </c>
      <c r="X45" s="43">
        <v>0.0</v>
      </c>
      <c r="Z45" s="43">
        <v>0.0</v>
      </c>
      <c r="AB45" s="43">
        <v>0.0</v>
      </c>
      <c r="AC45" s="26"/>
      <c r="AD45" s="43">
        <v>0.0</v>
      </c>
      <c r="AF45" s="43">
        <v>0.0</v>
      </c>
      <c r="AH45" s="43">
        <v>0.0</v>
      </c>
      <c r="AJ45" s="27">
        <v>0.0</v>
      </c>
      <c r="AK45" s="26"/>
      <c r="AL45" s="42"/>
      <c r="AM45" s="26"/>
      <c r="AN45" s="42"/>
      <c r="AO45" s="26"/>
      <c r="AP45" s="42"/>
      <c r="AQ45" s="26"/>
      <c r="AR45" s="43"/>
      <c r="AT45" s="43"/>
      <c r="AU45" s="26"/>
      <c r="AV45" s="29">
        <f t="shared" si="1"/>
        <v>9834.874</v>
      </c>
      <c r="AW45" s="21">
        <f t="shared" si="2"/>
        <v>700</v>
      </c>
      <c r="AX45" s="21">
        <f t="shared" si="3"/>
        <v>0</v>
      </c>
      <c r="AY45" s="21">
        <f t="shared" si="4"/>
        <v>700</v>
      </c>
      <c r="AZ45" s="58">
        <f t="shared" si="5"/>
        <v>14.04982</v>
      </c>
    </row>
    <row r="46" ht="15.75" customHeight="1">
      <c r="A46" s="31" t="s">
        <v>33</v>
      </c>
      <c r="B46" s="32">
        <f t="shared" si="6"/>
        <v>45335</v>
      </c>
      <c r="C46" s="33">
        <v>2.0</v>
      </c>
      <c r="D46" s="33" t="s">
        <v>48</v>
      </c>
      <c r="E46" s="34"/>
      <c r="F46" s="42">
        <v>110.0</v>
      </c>
      <c r="H46" s="43">
        <v>110.0</v>
      </c>
      <c r="J46" s="43">
        <v>0.0</v>
      </c>
      <c r="L46" s="43">
        <v>0.0</v>
      </c>
      <c r="N46" s="43">
        <v>0.0</v>
      </c>
      <c r="P46" s="43">
        <v>0.0</v>
      </c>
      <c r="Q46" s="26"/>
      <c r="R46" s="42">
        <v>240.0</v>
      </c>
      <c r="T46" s="43">
        <v>240.0</v>
      </c>
      <c r="V46" s="43">
        <v>0.0</v>
      </c>
      <c r="X46" s="43">
        <v>0.0</v>
      </c>
      <c r="Z46" s="43">
        <v>0.0</v>
      </c>
      <c r="AB46" s="43">
        <v>0.0</v>
      </c>
      <c r="AC46" s="26"/>
      <c r="AD46" s="43">
        <v>0.0</v>
      </c>
      <c r="AF46" s="43">
        <v>0.0</v>
      </c>
      <c r="AH46" s="43">
        <v>0.0</v>
      </c>
      <c r="AJ46" s="27">
        <v>0.0</v>
      </c>
      <c r="AK46" s="26"/>
      <c r="AL46" s="42"/>
      <c r="AM46" s="26"/>
      <c r="AN46" s="42"/>
      <c r="AO46" s="26"/>
      <c r="AP46" s="42"/>
      <c r="AQ46" s="26"/>
      <c r="AR46" s="43"/>
      <c r="AT46" s="43"/>
      <c r="AU46" s="26"/>
      <c r="AV46" s="35">
        <f t="shared" si="1"/>
        <v>9834.874</v>
      </c>
      <c r="AW46" s="33">
        <f t="shared" si="2"/>
        <v>700</v>
      </c>
      <c r="AX46" s="33">
        <f t="shared" si="3"/>
        <v>0</v>
      </c>
      <c r="AY46" s="33">
        <f t="shared" si="4"/>
        <v>700</v>
      </c>
      <c r="AZ46" s="30">
        <f t="shared" si="5"/>
        <v>14.04982</v>
      </c>
    </row>
    <row r="47" ht="15.75" customHeight="1">
      <c r="A47" s="31" t="s">
        <v>34</v>
      </c>
      <c r="B47" s="32">
        <f t="shared" si="6"/>
        <v>45336</v>
      </c>
      <c r="C47" s="33">
        <v>2.0</v>
      </c>
      <c r="D47" s="33" t="s">
        <v>48</v>
      </c>
      <c r="E47" s="74"/>
      <c r="F47" s="42">
        <v>110.0</v>
      </c>
      <c r="H47" s="43">
        <v>110.0</v>
      </c>
      <c r="J47" s="43">
        <v>120.0</v>
      </c>
      <c r="L47" s="43">
        <v>0.0</v>
      </c>
      <c r="N47" s="43">
        <v>0.0</v>
      </c>
      <c r="P47" s="43">
        <v>0.0</v>
      </c>
      <c r="Q47" s="26"/>
      <c r="R47" s="42">
        <v>240.0</v>
      </c>
      <c r="T47" s="43">
        <v>240.0</v>
      </c>
      <c r="V47" s="43">
        <v>0.0</v>
      </c>
      <c r="X47" s="43">
        <v>0.0</v>
      </c>
      <c r="Z47" s="43">
        <v>0.0</v>
      </c>
      <c r="AB47" s="43">
        <v>0.0</v>
      </c>
      <c r="AC47" s="26"/>
      <c r="AD47" s="43">
        <v>0.0</v>
      </c>
      <c r="AF47" s="43">
        <v>0.0</v>
      </c>
      <c r="AH47" s="43">
        <v>0.0</v>
      </c>
      <c r="AJ47" s="27">
        <v>0.0</v>
      </c>
      <c r="AK47" s="26"/>
      <c r="AL47" s="42"/>
      <c r="AM47" s="26"/>
      <c r="AN47" s="42"/>
      <c r="AO47" s="26"/>
      <c r="AP47" s="42"/>
      <c r="AQ47" s="26"/>
      <c r="AR47" s="43"/>
      <c r="AT47" s="43"/>
      <c r="AU47" s="26"/>
      <c r="AV47" s="35">
        <f t="shared" si="1"/>
        <v>12401.1532</v>
      </c>
      <c r="AW47" s="33">
        <f t="shared" si="2"/>
        <v>820</v>
      </c>
      <c r="AX47" s="33">
        <f t="shared" si="3"/>
        <v>0</v>
      </c>
      <c r="AY47" s="33">
        <f t="shared" si="4"/>
        <v>820</v>
      </c>
      <c r="AZ47" s="30">
        <f t="shared" si="5"/>
        <v>15.12335756</v>
      </c>
    </row>
    <row r="48" ht="15.75" customHeight="1">
      <c r="A48" s="31" t="s">
        <v>35</v>
      </c>
      <c r="B48" s="32">
        <f t="shared" si="6"/>
        <v>45337</v>
      </c>
      <c r="C48" s="33">
        <v>2.0</v>
      </c>
      <c r="D48" s="33" t="s">
        <v>48</v>
      </c>
      <c r="E48" s="34"/>
      <c r="F48" s="42">
        <v>140.0</v>
      </c>
      <c r="H48" s="43">
        <v>140.0</v>
      </c>
      <c r="J48" s="43">
        <v>0.0</v>
      </c>
      <c r="L48" s="43">
        <v>0.0</v>
      </c>
      <c r="N48" s="43">
        <v>0.0</v>
      </c>
      <c r="P48" s="43">
        <v>0.0</v>
      </c>
      <c r="Q48" s="26"/>
      <c r="R48" s="42">
        <v>240.0</v>
      </c>
      <c r="T48" s="43">
        <v>240.0</v>
      </c>
      <c r="V48" s="43">
        <v>0.0</v>
      </c>
      <c r="X48" s="43">
        <v>0.0</v>
      </c>
      <c r="Z48" s="43">
        <v>0.0</v>
      </c>
      <c r="AB48" s="43">
        <v>0.0</v>
      </c>
      <c r="AC48" s="26"/>
      <c r="AD48" s="43">
        <v>0.0</v>
      </c>
      <c r="AF48" s="43">
        <v>0.0</v>
      </c>
      <c r="AH48" s="43">
        <v>0.0</v>
      </c>
      <c r="AJ48" s="27">
        <v>0.0</v>
      </c>
      <c r="AK48" s="26"/>
      <c r="AL48" s="42"/>
      <c r="AM48" s="26"/>
      <c r="AN48" s="42"/>
      <c r="AO48" s="26"/>
      <c r="AP48" s="42"/>
      <c r="AQ48" s="26"/>
      <c r="AR48" s="43"/>
      <c r="AT48" s="43"/>
      <c r="AU48" s="26"/>
      <c r="AV48" s="35">
        <f t="shared" si="1"/>
        <v>11118.0136</v>
      </c>
      <c r="AW48" s="33">
        <f t="shared" si="2"/>
        <v>760</v>
      </c>
      <c r="AX48" s="33">
        <f t="shared" si="3"/>
        <v>0</v>
      </c>
      <c r="AY48" s="33">
        <f t="shared" si="4"/>
        <v>760</v>
      </c>
      <c r="AZ48" s="30">
        <f t="shared" si="5"/>
        <v>14.62896526</v>
      </c>
    </row>
    <row r="49" ht="15.75" customHeight="1">
      <c r="A49" s="31" t="s">
        <v>38</v>
      </c>
      <c r="B49" s="32">
        <f t="shared" si="6"/>
        <v>45338</v>
      </c>
      <c r="C49" s="33">
        <v>2.0</v>
      </c>
      <c r="D49" s="33" t="s">
        <v>48</v>
      </c>
      <c r="E49" s="34"/>
      <c r="F49" s="42">
        <v>140.0</v>
      </c>
      <c r="H49" s="43">
        <v>140.0</v>
      </c>
      <c r="J49" s="43">
        <v>0.0</v>
      </c>
      <c r="L49" s="43">
        <v>0.0</v>
      </c>
      <c r="N49" s="43">
        <v>0.0</v>
      </c>
      <c r="P49" s="43">
        <v>0.0</v>
      </c>
      <c r="Q49" s="26"/>
      <c r="R49" s="42">
        <v>240.0</v>
      </c>
      <c r="T49" s="43">
        <v>240.0</v>
      </c>
      <c r="V49" s="43">
        <v>0.0</v>
      </c>
      <c r="X49" s="43">
        <v>0.0</v>
      </c>
      <c r="Z49" s="43">
        <v>0.0</v>
      </c>
      <c r="AB49" s="43">
        <v>0.0</v>
      </c>
      <c r="AC49" s="26"/>
      <c r="AD49" s="43">
        <v>0.0</v>
      </c>
      <c r="AF49" s="43">
        <v>0.0</v>
      </c>
      <c r="AH49" s="43">
        <v>0.0</v>
      </c>
      <c r="AJ49" s="27">
        <v>0.0</v>
      </c>
      <c r="AK49" s="26"/>
      <c r="AL49" s="42"/>
      <c r="AM49" s="26"/>
      <c r="AN49" s="42"/>
      <c r="AO49" s="26"/>
      <c r="AP49" s="42"/>
      <c r="AQ49" s="26"/>
      <c r="AR49" s="43"/>
      <c r="AT49" s="43"/>
      <c r="AU49" s="26"/>
      <c r="AV49" s="35">
        <f t="shared" si="1"/>
        <v>11118.0136</v>
      </c>
      <c r="AW49" s="33">
        <f t="shared" si="2"/>
        <v>760</v>
      </c>
      <c r="AX49" s="33">
        <f t="shared" si="3"/>
        <v>0</v>
      </c>
      <c r="AY49" s="33">
        <f t="shared" si="4"/>
        <v>760</v>
      </c>
      <c r="AZ49" s="30">
        <f t="shared" si="5"/>
        <v>14.62896526</v>
      </c>
    </row>
    <row r="50" ht="15.75" customHeight="1">
      <c r="A50" s="31" t="s">
        <v>45</v>
      </c>
      <c r="B50" s="32">
        <f t="shared" si="6"/>
        <v>45339</v>
      </c>
      <c r="C50" s="33">
        <v>2.0</v>
      </c>
      <c r="D50" s="33" t="s">
        <v>48</v>
      </c>
      <c r="E50" s="34"/>
      <c r="F50" s="42">
        <v>140.0</v>
      </c>
      <c r="H50" s="43">
        <v>140.0</v>
      </c>
      <c r="J50" s="43">
        <v>0.0</v>
      </c>
      <c r="L50" s="43">
        <v>0.0</v>
      </c>
      <c r="N50" s="43">
        <v>0.0</v>
      </c>
      <c r="P50" s="43">
        <v>0.0</v>
      </c>
      <c r="Q50" s="26"/>
      <c r="R50" s="42">
        <v>240.0</v>
      </c>
      <c r="T50" s="43">
        <v>240.0</v>
      </c>
      <c r="V50" s="43">
        <v>0.0</v>
      </c>
      <c r="X50" s="43">
        <v>0.0</v>
      </c>
      <c r="Z50" s="43">
        <v>0.0</v>
      </c>
      <c r="AB50" s="43">
        <v>0.0</v>
      </c>
      <c r="AC50" s="26"/>
      <c r="AD50" s="43">
        <v>0.0</v>
      </c>
      <c r="AF50" s="43">
        <v>0.0</v>
      </c>
      <c r="AH50" s="43">
        <v>0.0</v>
      </c>
      <c r="AJ50" s="27">
        <v>0.0</v>
      </c>
      <c r="AK50" s="26"/>
      <c r="AL50" s="42"/>
      <c r="AM50" s="26"/>
      <c r="AN50" s="42"/>
      <c r="AO50" s="26"/>
      <c r="AP50" s="42"/>
      <c r="AQ50" s="26"/>
      <c r="AR50" s="43"/>
      <c r="AT50" s="43"/>
      <c r="AU50" s="26"/>
      <c r="AV50" s="35">
        <f t="shared" si="1"/>
        <v>11118.0136</v>
      </c>
      <c r="AW50" s="33">
        <f t="shared" si="2"/>
        <v>760</v>
      </c>
      <c r="AX50" s="33">
        <f t="shared" si="3"/>
        <v>0</v>
      </c>
      <c r="AY50" s="33">
        <f t="shared" si="4"/>
        <v>760</v>
      </c>
      <c r="AZ50" s="30">
        <f t="shared" si="5"/>
        <v>14.62896526</v>
      </c>
    </row>
    <row r="51" ht="15.75" customHeight="1">
      <c r="A51" s="44" t="s">
        <v>46</v>
      </c>
      <c r="B51" s="45">
        <f t="shared" si="6"/>
        <v>45340</v>
      </c>
      <c r="C51" s="46">
        <v>2.0</v>
      </c>
      <c r="D51" s="46" t="s">
        <v>48</v>
      </c>
      <c r="E51" s="47"/>
      <c r="F51" s="66">
        <v>140.0</v>
      </c>
      <c r="G51" s="51"/>
      <c r="H51" s="67">
        <v>140.0</v>
      </c>
      <c r="I51" s="51"/>
      <c r="J51" s="67">
        <v>0.0</v>
      </c>
      <c r="K51" s="51"/>
      <c r="L51" s="67">
        <v>0.0</v>
      </c>
      <c r="M51" s="51"/>
      <c r="N51" s="67">
        <v>0.0</v>
      </c>
      <c r="O51" s="51"/>
      <c r="P51" s="67">
        <v>0.0</v>
      </c>
      <c r="Q51" s="53"/>
      <c r="R51" s="66">
        <v>0.0</v>
      </c>
      <c r="S51" s="51"/>
      <c r="T51" s="67">
        <v>0.0</v>
      </c>
      <c r="U51" s="51"/>
      <c r="V51" s="67">
        <v>0.0</v>
      </c>
      <c r="W51" s="51"/>
      <c r="X51" s="67">
        <v>0.0</v>
      </c>
      <c r="Y51" s="51"/>
      <c r="Z51" s="67">
        <v>0.0</v>
      </c>
      <c r="AA51" s="51"/>
      <c r="AB51" s="67">
        <v>0.0</v>
      </c>
      <c r="AC51" s="53"/>
      <c r="AD51" s="67">
        <v>0.0</v>
      </c>
      <c r="AE51" s="51"/>
      <c r="AF51" s="67">
        <v>0.0</v>
      </c>
      <c r="AG51" s="51"/>
      <c r="AH51" s="67">
        <v>0.0</v>
      </c>
      <c r="AI51" s="51"/>
      <c r="AJ51" s="54">
        <v>0.0</v>
      </c>
      <c r="AK51" s="53"/>
      <c r="AL51" s="66"/>
      <c r="AM51" s="53"/>
      <c r="AN51" s="66"/>
      <c r="AO51" s="53"/>
      <c r="AP51" s="66"/>
      <c r="AQ51" s="53"/>
      <c r="AR51" s="67"/>
      <c r="AS51" s="51"/>
      <c r="AT51" s="67"/>
      <c r="AU51" s="53"/>
      <c r="AV51" s="55">
        <f t="shared" si="1"/>
        <v>5987.9848</v>
      </c>
      <c r="AW51" s="46">
        <f t="shared" si="2"/>
        <v>280</v>
      </c>
      <c r="AX51" s="46">
        <f t="shared" si="3"/>
        <v>0</v>
      </c>
      <c r="AY51" s="46">
        <f t="shared" si="4"/>
        <v>280</v>
      </c>
      <c r="AZ51" s="56">
        <f t="shared" si="5"/>
        <v>21.38566</v>
      </c>
    </row>
    <row r="52" ht="15.75" customHeight="1">
      <c r="A52" s="19" t="s">
        <v>30</v>
      </c>
      <c r="B52" s="57">
        <f t="shared" si="6"/>
        <v>45341</v>
      </c>
      <c r="C52" s="21">
        <v>2.0</v>
      </c>
      <c r="D52" s="21" t="s">
        <v>49</v>
      </c>
      <c r="E52" s="23"/>
      <c r="F52" s="42">
        <v>140.0</v>
      </c>
      <c r="H52" s="43">
        <v>140.0</v>
      </c>
      <c r="J52" s="43">
        <v>75.0</v>
      </c>
      <c r="L52" s="43">
        <v>0.0</v>
      </c>
      <c r="N52" s="43">
        <v>0.0</v>
      </c>
      <c r="P52" s="43">
        <v>0.0</v>
      </c>
      <c r="Q52" s="26"/>
      <c r="R52" s="42">
        <v>246.0</v>
      </c>
      <c r="T52" s="43">
        <v>246.0</v>
      </c>
      <c r="V52" s="43">
        <v>0.0</v>
      </c>
      <c r="X52" s="43">
        <v>0.0</v>
      </c>
      <c r="Z52" s="43">
        <v>0.0</v>
      </c>
      <c r="AB52" s="43">
        <v>0.0</v>
      </c>
      <c r="AC52" s="26"/>
      <c r="AD52" s="43">
        <v>0.0</v>
      </c>
      <c r="AF52" s="43">
        <v>0.0</v>
      </c>
      <c r="AH52" s="43">
        <v>0.0</v>
      </c>
      <c r="AJ52" s="27">
        <v>0.0</v>
      </c>
      <c r="AK52" s="26"/>
      <c r="AL52" s="42"/>
      <c r="AM52" s="26"/>
      <c r="AN52" s="42"/>
      <c r="AO52" s="26"/>
      <c r="AP52" s="42"/>
      <c r="AQ52" s="26"/>
      <c r="AR52" s="43"/>
      <c r="AT52" s="43"/>
      <c r="AU52" s="26"/>
      <c r="AV52" s="29">
        <f t="shared" si="1"/>
        <v>12850.18882</v>
      </c>
      <c r="AW52" s="21">
        <f t="shared" si="2"/>
        <v>847</v>
      </c>
      <c r="AX52" s="21">
        <f t="shared" si="3"/>
        <v>0</v>
      </c>
      <c r="AY52" s="21">
        <f t="shared" si="4"/>
        <v>847</v>
      </c>
      <c r="AZ52" s="58">
        <f t="shared" si="5"/>
        <v>15.17141537</v>
      </c>
    </row>
    <row r="53" ht="15.75" customHeight="1">
      <c r="A53" s="31" t="s">
        <v>33</v>
      </c>
      <c r="B53" s="32">
        <f t="shared" si="6"/>
        <v>45342</v>
      </c>
      <c r="C53" s="33">
        <v>2.0</v>
      </c>
      <c r="D53" s="33" t="s">
        <v>49</v>
      </c>
      <c r="E53" s="34"/>
      <c r="F53" s="42">
        <v>150.0</v>
      </c>
      <c r="H53" s="43">
        <v>150.0</v>
      </c>
      <c r="J53" s="43">
        <v>0.0</v>
      </c>
      <c r="L53" s="43">
        <v>0.0</v>
      </c>
      <c r="N53" s="43">
        <v>0.0</v>
      </c>
      <c r="P53" s="43">
        <v>0.0</v>
      </c>
      <c r="Q53" s="26"/>
      <c r="R53" s="42">
        <v>246.0</v>
      </c>
      <c r="T53" s="43">
        <v>246.0</v>
      </c>
      <c r="V53" s="43">
        <v>0.0</v>
      </c>
      <c r="X53" s="43">
        <v>0.0</v>
      </c>
      <c r="Z53" s="43">
        <v>0.0</v>
      </c>
      <c r="AB53" s="43">
        <v>0.0</v>
      </c>
      <c r="AC53" s="26"/>
      <c r="AD53" s="43">
        <v>0.0</v>
      </c>
      <c r="AF53" s="43">
        <v>0.0</v>
      </c>
      <c r="AH53" s="43">
        <v>0.0</v>
      </c>
      <c r="AJ53" s="27">
        <v>0.0</v>
      </c>
      <c r="AK53" s="26"/>
      <c r="AL53" s="42"/>
      <c r="AM53" s="26"/>
      <c r="AN53" s="42"/>
      <c r="AO53" s="26"/>
      <c r="AP53" s="42"/>
      <c r="AQ53" s="26"/>
      <c r="AR53" s="43"/>
      <c r="AT53" s="43"/>
      <c r="AU53" s="26"/>
      <c r="AV53" s="35">
        <f t="shared" si="1"/>
        <v>11673.97752</v>
      </c>
      <c r="AW53" s="33">
        <f t="shared" si="2"/>
        <v>792</v>
      </c>
      <c r="AX53" s="33">
        <f t="shared" si="3"/>
        <v>0</v>
      </c>
      <c r="AY53" s="33">
        <f t="shared" si="4"/>
        <v>792</v>
      </c>
      <c r="AZ53" s="30">
        <f t="shared" si="5"/>
        <v>14.73987061</v>
      </c>
    </row>
    <row r="54" ht="15.75" customHeight="1">
      <c r="A54" s="31" t="s">
        <v>34</v>
      </c>
      <c r="B54" s="32">
        <f t="shared" si="6"/>
        <v>45343</v>
      </c>
      <c r="C54" s="33">
        <v>2.0</v>
      </c>
      <c r="D54" s="33" t="s">
        <v>49</v>
      </c>
      <c r="E54" s="34"/>
      <c r="F54" s="42">
        <v>150.0</v>
      </c>
      <c r="H54" s="43">
        <v>150.0</v>
      </c>
      <c r="J54" s="43">
        <v>0.0</v>
      </c>
      <c r="L54" s="43">
        <v>0.0</v>
      </c>
      <c r="N54" s="43">
        <v>0.0</v>
      </c>
      <c r="P54" s="43">
        <v>0.0</v>
      </c>
      <c r="Q54" s="26"/>
      <c r="R54" s="42">
        <v>246.0</v>
      </c>
      <c r="T54" s="43">
        <v>246.0</v>
      </c>
      <c r="V54" s="43">
        <v>0.0</v>
      </c>
      <c r="X54" s="43">
        <v>0.0</v>
      </c>
      <c r="Z54" s="43">
        <v>0.0</v>
      </c>
      <c r="AB54" s="43">
        <v>0.0</v>
      </c>
      <c r="AC54" s="26"/>
      <c r="AD54" s="43">
        <v>0.0</v>
      </c>
      <c r="AF54" s="43">
        <v>0.0</v>
      </c>
      <c r="AH54" s="43">
        <v>0.0</v>
      </c>
      <c r="AJ54" s="27">
        <v>0.0</v>
      </c>
      <c r="AK54" s="26"/>
      <c r="AL54" s="42"/>
      <c r="AM54" s="26"/>
      <c r="AN54" s="42"/>
      <c r="AO54" s="26"/>
      <c r="AP54" s="42"/>
      <c r="AQ54" s="26"/>
      <c r="AR54" s="43"/>
      <c r="AT54" s="43"/>
      <c r="AU54" s="26"/>
      <c r="AV54" s="35">
        <f t="shared" si="1"/>
        <v>11673.97752</v>
      </c>
      <c r="AW54" s="33">
        <f t="shared" si="2"/>
        <v>792</v>
      </c>
      <c r="AX54" s="33">
        <f t="shared" si="3"/>
        <v>0</v>
      </c>
      <c r="AY54" s="33">
        <f t="shared" si="4"/>
        <v>792</v>
      </c>
      <c r="AZ54" s="30">
        <f t="shared" si="5"/>
        <v>14.73987061</v>
      </c>
    </row>
    <row r="55" ht="15.75" customHeight="1">
      <c r="A55" s="31" t="s">
        <v>35</v>
      </c>
      <c r="B55" s="32">
        <f t="shared" si="6"/>
        <v>45344</v>
      </c>
      <c r="C55" s="33">
        <v>2.0</v>
      </c>
      <c r="D55" s="33" t="s">
        <v>49</v>
      </c>
      <c r="E55" s="34"/>
      <c r="F55" s="42">
        <v>150.0</v>
      </c>
      <c r="H55" s="43">
        <v>150.0</v>
      </c>
      <c r="J55" s="43">
        <v>0.0</v>
      </c>
      <c r="L55" s="43">
        <v>0.0</v>
      </c>
      <c r="N55" s="43">
        <v>0.0</v>
      </c>
      <c r="P55" s="43">
        <v>0.0</v>
      </c>
      <c r="Q55" s="26"/>
      <c r="R55" s="42">
        <v>246.0</v>
      </c>
      <c r="T55" s="43">
        <v>246.0</v>
      </c>
      <c r="V55" s="43">
        <v>0.0</v>
      </c>
      <c r="X55" s="43">
        <v>0.0</v>
      </c>
      <c r="Z55" s="43">
        <v>0.0</v>
      </c>
      <c r="AB55" s="43">
        <v>0.0</v>
      </c>
      <c r="AC55" s="26"/>
      <c r="AD55" s="43">
        <v>0.0</v>
      </c>
      <c r="AF55" s="43">
        <v>0.0</v>
      </c>
      <c r="AH55" s="43">
        <v>0.0</v>
      </c>
      <c r="AJ55" s="27">
        <v>0.0</v>
      </c>
      <c r="AK55" s="26"/>
      <c r="AL55" s="42"/>
      <c r="AM55" s="26"/>
      <c r="AN55" s="42"/>
      <c r="AO55" s="26"/>
      <c r="AP55" s="42"/>
      <c r="AQ55" s="26"/>
      <c r="AR55" s="43"/>
      <c r="AT55" s="43"/>
      <c r="AU55" s="26"/>
      <c r="AV55" s="35">
        <f t="shared" si="1"/>
        <v>11673.97752</v>
      </c>
      <c r="AW55" s="33">
        <f t="shared" si="2"/>
        <v>792</v>
      </c>
      <c r="AX55" s="33">
        <f t="shared" si="3"/>
        <v>0</v>
      </c>
      <c r="AY55" s="33">
        <f t="shared" si="4"/>
        <v>792</v>
      </c>
      <c r="AZ55" s="30">
        <f t="shared" si="5"/>
        <v>14.73987061</v>
      </c>
    </row>
    <row r="56" ht="15.75" customHeight="1">
      <c r="A56" s="31" t="s">
        <v>38</v>
      </c>
      <c r="B56" s="32">
        <f t="shared" si="6"/>
        <v>45345</v>
      </c>
      <c r="C56" s="33">
        <v>2.0</v>
      </c>
      <c r="D56" s="33" t="s">
        <v>49</v>
      </c>
      <c r="E56" s="34"/>
      <c r="F56" s="42">
        <v>150.0</v>
      </c>
      <c r="H56" s="43">
        <v>150.0</v>
      </c>
      <c r="J56" s="43">
        <v>0.0</v>
      </c>
      <c r="L56" s="43">
        <v>0.0</v>
      </c>
      <c r="N56" s="43">
        <v>0.0</v>
      </c>
      <c r="P56" s="43">
        <v>0.0</v>
      </c>
      <c r="Q56" s="26"/>
      <c r="R56" s="42">
        <v>246.0</v>
      </c>
      <c r="T56" s="43">
        <v>246.0</v>
      </c>
      <c r="V56" s="43">
        <v>0.0</v>
      </c>
      <c r="X56" s="43">
        <v>0.0</v>
      </c>
      <c r="Z56" s="43">
        <v>0.0</v>
      </c>
      <c r="AB56" s="43">
        <v>0.0</v>
      </c>
      <c r="AC56" s="26"/>
      <c r="AD56" s="43">
        <v>0.0</v>
      </c>
      <c r="AF56" s="43">
        <v>0.0</v>
      </c>
      <c r="AH56" s="43">
        <v>0.0</v>
      </c>
      <c r="AJ56" s="27">
        <v>0.0</v>
      </c>
      <c r="AK56" s="26"/>
      <c r="AL56" s="42"/>
      <c r="AM56" s="26"/>
      <c r="AN56" s="42"/>
      <c r="AO56" s="26"/>
      <c r="AP56" s="42"/>
      <c r="AQ56" s="26"/>
      <c r="AR56" s="43"/>
      <c r="AT56" s="43"/>
      <c r="AU56" s="26"/>
      <c r="AV56" s="35">
        <f t="shared" si="1"/>
        <v>11673.97752</v>
      </c>
      <c r="AW56" s="33">
        <f t="shared" si="2"/>
        <v>792</v>
      </c>
      <c r="AX56" s="33">
        <f t="shared" si="3"/>
        <v>0</v>
      </c>
      <c r="AY56" s="33">
        <f t="shared" si="4"/>
        <v>792</v>
      </c>
      <c r="AZ56" s="30">
        <f t="shared" si="5"/>
        <v>14.73987061</v>
      </c>
    </row>
    <row r="57" ht="15.75" customHeight="1">
      <c r="A57" s="31" t="s">
        <v>45</v>
      </c>
      <c r="B57" s="32">
        <f t="shared" si="6"/>
        <v>45346</v>
      </c>
      <c r="C57" s="33">
        <v>2.0</v>
      </c>
      <c r="D57" s="33" t="s">
        <v>49</v>
      </c>
      <c r="E57" s="74" t="s">
        <v>52</v>
      </c>
      <c r="F57" s="42">
        <v>150.0</v>
      </c>
      <c r="H57" s="43">
        <v>150.0</v>
      </c>
      <c r="J57" s="43">
        <v>0.0</v>
      </c>
      <c r="L57" s="43">
        <v>0.0</v>
      </c>
      <c r="N57" s="43">
        <v>75.0</v>
      </c>
      <c r="P57" s="43">
        <v>0.0</v>
      </c>
      <c r="Q57" s="26"/>
      <c r="R57" s="42">
        <v>246.0</v>
      </c>
      <c r="T57" s="43">
        <v>246.0</v>
      </c>
      <c r="V57" s="43">
        <v>0.0</v>
      </c>
      <c r="X57" s="43">
        <v>0.0</v>
      </c>
      <c r="Z57" s="43">
        <v>0.0</v>
      </c>
      <c r="AB57" s="43">
        <v>0.0</v>
      </c>
      <c r="AC57" s="26"/>
      <c r="AD57" s="43">
        <v>0.0</v>
      </c>
      <c r="AF57" s="43">
        <v>0.0</v>
      </c>
      <c r="AH57" s="43">
        <v>0.0</v>
      </c>
      <c r="AJ57" s="27">
        <v>0.0</v>
      </c>
      <c r="AK57" s="26"/>
      <c r="AL57" s="42"/>
      <c r="AM57" s="26"/>
      <c r="AN57" s="42"/>
      <c r="AO57" s="26"/>
      <c r="AP57" s="42"/>
      <c r="AQ57" s="26"/>
      <c r="AR57" s="43"/>
      <c r="AT57" s="43"/>
      <c r="AU57" s="26"/>
      <c r="AV57" s="35">
        <f t="shared" si="1"/>
        <v>13277.90202</v>
      </c>
      <c r="AW57" s="33">
        <f t="shared" si="2"/>
        <v>792</v>
      </c>
      <c r="AX57" s="33">
        <f t="shared" si="3"/>
        <v>75</v>
      </c>
      <c r="AY57" s="33">
        <f t="shared" si="4"/>
        <v>867</v>
      </c>
      <c r="AZ57" s="30">
        <f t="shared" si="5"/>
        <v>15.31476588</v>
      </c>
    </row>
    <row r="58" ht="15.75" customHeight="1">
      <c r="A58" s="44" t="s">
        <v>46</v>
      </c>
      <c r="B58" s="45">
        <f t="shared" si="6"/>
        <v>45347</v>
      </c>
      <c r="C58" s="46">
        <v>2.0</v>
      </c>
      <c r="D58" s="46" t="s">
        <v>49</v>
      </c>
      <c r="E58" s="47"/>
      <c r="F58" s="66">
        <v>150.0</v>
      </c>
      <c r="G58" s="51"/>
      <c r="H58" s="67">
        <v>75.0</v>
      </c>
      <c r="I58" s="51"/>
      <c r="J58" s="67">
        <v>0.0</v>
      </c>
      <c r="K58" s="51"/>
      <c r="L58" s="67">
        <v>0.0</v>
      </c>
      <c r="M58" s="51"/>
      <c r="N58" s="67">
        <v>0.0</v>
      </c>
      <c r="O58" s="51"/>
      <c r="P58" s="67">
        <v>0.0</v>
      </c>
      <c r="Q58" s="53"/>
      <c r="R58" s="66">
        <v>0.0</v>
      </c>
      <c r="S58" s="51"/>
      <c r="T58" s="67">
        <v>0.0</v>
      </c>
      <c r="U58" s="51"/>
      <c r="V58" s="67">
        <v>0.0</v>
      </c>
      <c r="W58" s="51"/>
      <c r="X58" s="67">
        <v>0.0</v>
      </c>
      <c r="Y58" s="51"/>
      <c r="Z58" s="67">
        <v>0.0</v>
      </c>
      <c r="AA58" s="51"/>
      <c r="AB58" s="67">
        <v>0.0</v>
      </c>
      <c r="AC58" s="53"/>
      <c r="AD58" s="67">
        <v>0.0</v>
      </c>
      <c r="AE58" s="51"/>
      <c r="AF58" s="67">
        <v>0.0</v>
      </c>
      <c r="AG58" s="51"/>
      <c r="AH58" s="67">
        <v>0.0</v>
      </c>
      <c r="AI58" s="51"/>
      <c r="AJ58" s="54">
        <v>0.0</v>
      </c>
      <c r="AK58" s="53"/>
      <c r="AL58" s="66"/>
      <c r="AM58" s="53"/>
      <c r="AN58" s="66"/>
      <c r="AO58" s="53"/>
      <c r="AP58" s="66"/>
      <c r="AQ58" s="53"/>
      <c r="AR58" s="67"/>
      <c r="AS58" s="51"/>
      <c r="AT58" s="67"/>
      <c r="AU58" s="53"/>
      <c r="AV58" s="55">
        <f t="shared" si="1"/>
        <v>4811.7735</v>
      </c>
      <c r="AW58" s="46">
        <f t="shared" si="2"/>
        <v>225</v>
      </c>
      <c r="AX58" s="46">
        <f t="shared" si="3"/>
        <v>0</v>
      </c>
      <c r="AY58" s="46">
        <f t="shared" si="4"/>
        <v>225</v>
      </c>
      <c r="AZ58" s="56">
        <f t="shared" si="5"/>
        <v>21.38566</v>
      </c>
    </row>
    <row r="59" ht="15.75" customHeight="1">
      <c r="A59" s="19" t="s">
        <v>30</v>
      </c>
      <c r="B59" s="57">
        <f t="shared" si="6"/>
        <v>45348</v>
      </c>
      <c r="C59" s="21">
        <v>3.0</v>
      </c>
      <c r="D59" s="21" t="s">
        <v>31</v>
      </c>
      <c r="E59" s="23"/>
      <c r="F59" s="42">
        <v>150.0</v>
      </c>
      <c r="H59" s="43">
        <v>150.0</v>
      </c>
      <c r="J59" s="43">
        <v>0.0</v>
      </c>
      <c r="L59" s="43">
        <v>0.0</v>
      </c>
      <c r="N59" s="43">
        <v>75.0</v>
      </c>
      <c r="P59" s="43">
        <v>0.0</v>
      </c>
      <c r="Q59" s="26"/>
      <c r="R59" s="42">
        <v>260.0</v>
      </c>
      <c r="T59" s="43">
        <v>260.0</v>
      </c>
      <c r="V59" s="43">
        <v>85.0</v>
      </c>
      <c r="X59" s="43">
        <v>0.0</v>
      </c>
      <c r="Z59" s="43">
        <v>0.0</v>
      </c>
      <c r="AB59" s="43">
        <v>0.0</v>
      </c>
      <c r="AC59" s="26"/>
      <c r="AD59" s="43">
        <v>0.0</v>
      </c>
      <c r="AF59" s="43">
        <v>0.0</v>
      </c>
      <c r="AH59" s="43">
        <v>0.0</v>
      </c>
      <c r="AJ59" s="27">
        <v>0.0</v>
      </c>
      <c r="AK59" s="26"/>
      <c r="AL59" s="42"/>
      <c r="AM59" s="26"/>
      <c r="AN59" s="42"/>
      <c r="AO59" s="26"/>
      <c r="AP59" s="42"/>
      <c r="AQ59" s="26"/>
      <c r="AR59" s="43"/>
      <c r="AT59" s="43"/>
      <c r="AU59" s="26"/>
      <c r="AV59" s="29">
        <f t="shared" si="1"/>
        <v>14485.5963</v>
      </c>
      <c r="AW59" s="21">
        <f t="shared" si="2"/>
        <v>905</v>
      </c>
      <c r="AX59" s="21">
        <f t="shared" si="3"/>
        <v>75</v>
      </c>
      <c r="AY59" s="21">
        <f t="shared" si="4"/>
        <v>980</v>
      </c>
      <c r="AZ59" s="58">
        <f t="shared" si="5"/>
        <v>14.78122071</v>
      </c>
    </row>
    <row r="60" ht="15.75" customHeight="1">
      <c r="A60" s="31" t="s">
        <v>33</v>
      </c>
      <c r="B60" s="32">
        <f t="shared" si="6"/>
        <v>45349</v>
      </c>
      <c r="C60" s="33">
        <v>3.0</v>
      </c>
      <c r="D60" s="33" t="s">
        <v>31</v>
      </c>
      <c r="E60" s="34"/>
      <c r="F60" s="42">
        <v>150.0</v>
      </c>
      <c r="H60" s="43">
        <v>75.0</v>
      </c>
      <c r="J60" s="43">
        <v>0.0</v>
      </c>
      <c r="L60" s="43">
        <v>0.0</v>
      </c>
      <c r="N60" s="43">
        <v>0.0</v>
      </c>
      <c r="P60" s="43">
        <v>0.0</v>
      </c>
      <c r="Q60" s="26"/>
      <c r="R60" s="42">
        <v>260.0</v>
      </c>
      <c r="T60" s="43">
        <v>260.0</v>
      </c>
      <c r="V60" s="43">
        <v>0.0</v>
      </c>
      <c r="X60" s="43">
        <v>0.0</v>
      </c>
      <c r="Z60" s="43">
        <v>0.0</v>
      </c>
      <c r="AB60" s="43">
        <v>0.0</v>
      </c>
      <c r="AC60" s="26"/>
      <c r="AD60" s="43">
        <v>0.0</v>
      </c>
      <c r="AF60" s="43">
        <v>0.0</v>
      </c>
      <c r="AH60" s="43">
        <v>0.0</v>
      </c>
      <c r="AJ60" s="27">
        <v>0.0</v>
      </c>
      <c r="AK60" s="26"/>
      <c r="AL60" s="42"/>
      <c r="AM60" s="26"/>
      <c r="AN60" s="42"/>
      <c r="AO60" s="26"/>
      <c r="AP60" s="42"/>
      <c r="AQ60" s="26"/>
      <c r="AR60" s="43"/>
      <c r="AT60" s="43"/>
      <c r="AU60" s="26"/>
      <c r="AV60" s="35">
        <f t="shared" si="1"/>
        <v>10369.3047</v>
      </c>
      <c r="AW60" s="33">
        <f t="shared" si="2"/>
        <v>745</v>
      </c>
      <c r="AX60" s="33">
        <f t="shared" si="3"/>
        <v>0</v>
      </c>
      <c r="AY60" s="33">
        <f t="shared" si="4"/>
        <v>745</v>
      </c>
      <c r="AZ60" s="30">
        <f t="shared" si="5"/>
        <v>13.9185298</v>
      </c>
    </row>
    <row r="61" ht="15.75" customHeight="1">
      <c r="A61" s="31" t="s">
        <v>34</v>
      </c>
      <c r="B61" s="32">
        <f t="shared" si="6"/>
        <v>45350</v>
      </c>
      <c r="C61" s="33">
        <v>3.0</v>
      </c>
      <c r="D61" s="33" t="s">
        <v>31</v>
      </c>
      <c r="E61" s="34"/>
      <c r="F61" s="42">
        <v>150.0</v>
      </c>
      <c r="H61" s="43">
        <v>150.0</v>
      </c>
      <c r="J61" s="43">
        <v>0.0</v>
      </c>
      <c r="L61" s="43">
        <v>0.0</v>
      </c>
      <c r="N61" s="43">
        <v>75.0</v>
      </c>
      <c r="P61" s="43">
        <v>0.0</v>
      </c>
      <c r="Q61" s="26"/>
      <c r="R61" s="42">
        <v>280.0</v>
      </c>
      <c r="T61" s="43">
        <v>280.0</v>
      </c>
      <c r="V61" s="43">
        <v>0.0</v>
      </c>
      <c r="X61" s="43">
        <v>0.0</v>
      </c>
      <c r="Z61" s="43">
        <v>0.0</v>
      </c>
      <c r="AB61" s="43">
        <v>0.0</v>
      </c>
      <c r="AC61" s="26"/>
      <c r="AD61" s="43">
        <v>0.0</v>
      </c>
      <c r="AF61" s="43">
        <v>0.0</v>
      </c>
      <c r="AH61" s="43">
        <v>0.0</v>
      </c>
      <c r="AJ61" s="27">
        <v>0.0</v>
      </c>
      <c r="AK61" s="26"/>
      <c r="AL61" s="42"/>
      <c r="AM61" s="26"/>
      <c r="AN61" s="42"/>
      <c r="AO61" s="26"/>
      <c r="AP61" s="42"/>
      <c r="AQ61" s="26"/>
      <c r="AR61" s="43"/>
      <c r="AT61" s="43"/>
      <c r="AU61" s="26"/>
      <c r="AV61" s="35">
        <f t="shared" si="1"/>
        <v>14004.6561</v>
      </c>
      <c r="AW61" s="33">
        <f t="shared" si="2"/>
        <v>860</v>
      </c>
      <c r="AX61" s="33">
        <f t="shared" si="3"/>
        <v>75</v>
      </c>
      <c r="AY61" s="33">
        <f t="shared" si="4"/>
        <v>935</v>
      </c>
      <c r="AZ61" s="30">
        <f t="shared" si="5"/>
        <v>14.97824182</v>
      </c>
    </row>
    <row r="62" ht="15.75" customHeight="1">
      <c r="A62" s="31" t="s">
        <v>35</v>
      </c>
      <c r="B62" s="32">
        <f t="shared" si="6"/>
        <v>45351</v>
      </c>
      <c r="C62" s="33">
        <v>3.0</v>
      </c>
      <c r="D62" s="33" t="s">
        <v>31</v>
      </c>
      <c r="E62" s="34"/>
      <c r="F62" s="42">
        <v>150.0</v>
      </c>
      <c r="H62" s="43">
        <v>150.0</v>
      </c>
      <c r="J62" s="43">
        <v>0.0</v>
      </c>
      <c r="L62" s="43">
        <v>0.0</v>
      </c>
      <c r="N62" s="43">
        <v>75.0</v>
      </c>
      <c r="P62" s="43">
        <v>0.0</v>
      </c>
      <c r="Q62" s="26"/>
      <c r="R62" s="42">
        <v>280.0</v>
      </c>
      <c r="T62" s="43">
        <v>280.0</v>
      </c>
      <c r="V62" s="43">
        <v>0.0</v>
      </c>
      <c r="X62" s="43">
        <v>0.0</v>
      </c>
      <c r="Z62" s="43">
        <v>0.0</v>
      </c>
      <c r="AB62" s="43">
        <v>0.0</v>
      </c>
      <c r="AC62" s="26"/>
      <c r="AD62" s="43">
        <v>0.0</v>
      </c>
      <c r="AF62" s="43">
        <v>0.0</v>
      </c>
      <c r="AH62" s="43">
        <v>0.0</v>
      </c>
      <c r="AJ62" s="27">
        <v>0.0</v>
      </c>
      <c r="AK62" s="26"/>
      <c r="AL62" s="42"/>
      <c r="AM62" s="26"/>
      <c r="AN62" s="42"/>
      <c r="AO62" s="26"/>
      <c r="AP62" s="42"/>
      <c r="AQ62" s="26"/>
      <c r="AR62" s="43"/>
      <c r="AT62" s="43"/>
      <c r="AU62" s="26"/>
      <c r="AV62" s="35">
        <f t="shared" si="1"/>
        <v>14004.6561</v>
      </c>
      <c r="AW62" s="33">
        <f t="shared" si="2"/>
        <v>860</v>
      </c>
      <c r="AX62" s="33">
        <f t="shared" si="3"/>
        <v>75</v>
      </c>
      <c r="AY62" s="33">
        <f t="shared" si="4"/>
        <v>935</v>
      </c>
      <c r="AZ62" s="30">
        <f t="shared" si="5"/>
        <v>14.97824182</v>
      </c>
    </row>
    <row r="63" ht="15.75" customHeight="1">
      <c r="A63" s="31" t="s">
        <v>38</v>
      </c>
      <c r="B63" s="32">
        <f t="shared" si="6"/>
        <v>45352</v>
      </c>
      <c r="C63" s="33">
        <v>3.0</v>
      </c>
      <c r="D63" s="33" t="s">
        <v>31</v>
      </c>
      <c r="E63" s="34"/>
      <c r="F63" s="42">
        <v>150.0</v>
      </c>
      <c r="H63" s="43">
        <v>75.0</v>
      </c>
      <c r="J63" s="43">
        <v>0.0</v>
      </c>
      <c r="L63" s="43">
        <v>0.0</v>
      </c>
      <c r="N63" s="43">
        <v>0.0</v>
      </c>
      <c r="P63" s="43">
        <v>0.0</v>
      </c>
      <c r="Q63" s="26"/>
      <c r="R63" s="42">
        <v>260.0</v>
      </c>
      <c r="T63" s="43">
        <v>260.0</v>
      </c>
      <c r="V63" s="43">
        <v>0.0</v>
      </c>
      <c r="X63" s="43">
        <v>0.0</v>
      </c>
      <c r="Z63" s="43">
        <v>0.0</v>
      </c>
      <c r="AB63" s="43">
        <v>0.0</v>
      </c>
      <c r="AC63" s="26"/>
      <c r="AD63" s="43">
        <v>0.0</v>
      </c>
      <c r="AF63" s="43">
        <v>0.0</v>
      </c>
      <c r="AH63" s="43">
        <v>0.0</v>
      </c>
      <c r="AJ63" s="27">
        <v>0.0</v>
      </c>
      <c r="AK63" s="26"/>
      <c r="AL63" s="42"/>
      <c r="AM63" s="26"/>
      <c r="AN63" s="42"/>
      <c r="AO63" s="26"/>
      <c r="AP63" s="42"/>
      <c r="AQ63" s="26"/>
      <c r="AR63" s="43"/>
      <c r="AT63" s="43"/>
      <c r="AU63" s="26"/>
      <c r="AV63" s="35">
        <f t="shared" si="1"/>
        <v>10369.3047</v>
      </c>
      <c r="AW63" s="33">
        <f t="shared" si="2"/>
        <v>745</v>
      </c>
      <c r="AX63" s="33">
        <f t="shared" si="3"/>
        <v>0</v>
      </c>
      <c r="AY63" s="33">
        <f t="shared" si="4"/>
        <v>745</v>
      </c>
      <c r="AZ63" s="30">
        <f t="shared" si="5"/>
        <v>13.9185298</v>
      </c>
    </row>
    <row r="64" ht="15.75" customHeight="1">
      <c r="A64" s="31" t="s">
        <v>45</v>
      </c>
      <c r="B64" s="32">
        <f t="shared" si="6"/>
        <v>45353</v>
      </c>
      <c r="C64" s="33">
        <v>3.0</v>
      </c>
      <c r="D64" s="33" t="s">
        <v>31</v>
      </c>
      <c r="E64" s="34"/>
      <c r="F64" s="42">
        <v>150.0</v>
      </c>
      <c r="H64" s="43">
        <v>150.0</v>
      </c>
      <c r="J64" s="43">
        <v>0.0</v>
      </c>
      <c r="L64" s="43">
        <v>0.0</v>
      </c>
      <c r="N64" s="43">
        <v>75.0</v>
      </c>
      <c r="P64" s="43">
        <v>0.0</v>
      </c>
      <c r="Q64" s="26"/>
      <c r="R64" s="42">
        <v>260.0</v>
      </c>
      <c r="T64" s="43">
        <v>260.0</v>
      </c>
      <c r="V64" s="43">
        <v>0.0</v>
      </c>
      <c r="X64" s="43">
        <v>0.0</v>
      </c>
      <c r="Z64" s="43">
        <v>0.0</v>
      </c>
      <c r="AB64" s="43">
        <v>0.0</v>
      </c>
      <c r="AC64" s="26"/>
      <c r="AD64" s="43">
        <v>0.0</v>
      </c>
      <c r="AF64" s="43">
        <v>0.0</v>
      </c>
      <c r="AH64" s="43">
        <v>0.0</v>
      </c>
      <c r="AJ64" s="27">
        <v>0.0</v>
      </c>
      <c r="AK64" s="26"/>
      <c r="AL64" s="42"/>
      <c r="AM64" s="26"/>
      <c r="AN64" s="42"/>
      <c r="AO64" s="26"/>
      <c r="AP64" s="42"/>
      <c r="AQ64" s="26"/>
      <c r="AR64" s="43"/>
      <c r="AT64" s="43"/>
      <c r="AU64" s="26"/>
      <c r="AV64" s="35">
        <f t="shared" si="1"/>
        <v>13577.1537</v>
      </c>
      <c r="AW64" s="33">
        <f t="shared" si="2"/>
        <v>820</v>
      </c>
      <c r="AX64" s="33">
        <f t="shared" si="3"/>
        <v>75</v>
      </c>
      <c r="AY64" s="33">
        <f t="shared" si="4"/>
        <v>895</v>
      </c>
      <c r="AZ64" s="30">
        <f t="shared" si="5"/>
        <v>15.17000413</v>
      </c>
    </row>
    <row r="65" ht="15.75" customHeight="1">
      <c r="A65" s="44" t="s">
        <v>46</v>
      </c>
      <c r="B65" s="45">
        <f t="shared" si="6"/>
        <v>45354</v>
      </c>
      <c r="C65" s="46">
        <v>3.0</v>
      </c>
      <c r="D65" s="46" t="s">
        <v>31</v>
      </c>
      <c r="E65" s="47"/>
      <c r="F65" s="66">
        <v>150.0</v>
      </c>
      <c r="G65" s="51"/>
      <c r="H65" s="67">
        <v>75.0</v>
      </c>
      <c r="I65" s="51"/>
      <c r="J65" s="67">
        <v>0.0</v>
      </c>
      <c r="K65" s="51"/>
      <c r="L65" s="67">
        <v>0.0</v>
      </c>
      <c r="M65" s="51"/>
      <c r="N65" s="67">
        <v>0.0</v>
      </c>
      <c r="O65" s="51"/>
      <c r="P65" s="67">
        <v>0.0</v>
      </c>
      <c r="Q65" s="53"/>
      <c r="R65" s="66">
        <v>0.0</v>
      </c>
      <c r="S65" s="51"/>
      <c r="T65" s="67">
        <v>0.0</v>
      </c>
      <c r="U65" s="51"/>
      <c r="V65" s="67">
        <v>70.0</v>
      </c>
      <c r="W65" s="51"/>
      <c r="X65" s="67">
        <v>0.0</v>
      </c>
      <c r="Y65" s="51"/>
      <c r="Z65" s="67">
        <v>0.0</v>
      </c>
      <c r="AA65" s="51"/>
      <c r="AB65" s="67">
        <v>0.0</v>
      </c>
      <c r="AC65" s="53"/>
      <c r="AD65" s="67">
        <v>0.0</v>
      </c>
      <c r="AE65" s="51"/>
      <c r="AF65" s="67">
        <v>0.0</v>
      </c>
      <c r="AG65" s="51"/>
      <c r="AH65" s="67">
        <v>0.0</v>
      </c>
      <c r="AI65" s="51"/>
      <c r="AJ65" s="54">
        <v>0.0</v>
      </c>
      <c r="AK65" s="53"/>
      <c r="AL65" s="66"/>
      <c r="AM65" s="53"/>
      <c r="AN65" s="66"/>
      <c r="AO65" s="53"/>
      <c r="AP65" s="66"/>
      <c r="AQ65" s="53"/>
      <c r="AR65" s="67"/>
      <c r="AS65" s="51"/>
      <c r="AT65" s="67"/>
      <c r="AU65" s="53"/>
      <c r="AV65" s="55">
        <f t="shared" si="1"/>
        <v>5559.9027</v>
      </c>
      <c r="AW65" s="46">
        <f t="shared" si="2"/>
        <v>295</v>
      </c>
      <c r="AX65" s="46">
        <f t="shared" si="3"/>
        <v>0</v>
      </c>
      <c r="AY65" s="46">
        <f t="shared" si="4"/>
        <v>295</v>
      </c>
      <c r="AZ65" s="56">
        <f t="shared" si="5"/>
        <v>18.8471278</v>
      </c>
    </row>
    <row r="66" ht="15.75" customHeight="1">
      <c r="A66" s="19" t="s">
        <v>30</v>
      </c>
      <c r="B66" s="57">
        <f t="shared" si="6"/>
        <v>45355</v>
      </c>
      <c r="C66" s="21">
        <v>3.0</v>
      </c>
      <c r="D66" s="21" t="s">
        <v>47</v>
      </c>
      <c r="E66" s="23"/>
      <c r="F66" s="42">
        <v>150.0</v>
      </c>
      <c r="H66" s="43">
        <v>150.0</v>
      </c>
      <c r="J66" s="43">
        <v>0.0</v>
      </c>
      <c r="L66" s="43">
        <v>0.0</v>
      </c>
      <c r="N66" s="43">
        <v>75.0</v>
      </c>
      <c r="P66" s="43">
        <v>0.0</v>
      </c>
      <c r="Q66" s="26"/>
      <c r="R66" s="42">
        <v>300.0</v>
      </c>
      <c r="T66" s="43">
        <v>300.0</v>
      </c>
      <c r="V66" s="43">
        <v>0.0</v>
      </c>
      <c r="X66" s="43">
        <v>0.0</v>
      </c>
      <c r="Z66" s="43">
        <v>0.0</v>
      </c>
      <c r="AB66" s="43">
        <v>0.0</v>
      </c>
      <c r="AC66" s="26"/>
      <c r="AD66" s="43">
        <v>0.0</v>
      </c>
      <c r="AF66" s="43">
        <v>0.0</v>
      </c>
      <c r="AH66" s="43">
        <v>0.0</v>
      </c>
      <c r="AJ66" s="27">
        <v>0.0</v>
      </c>
      <c r="AK66" s="26"/>
      <c r="AL66" s="42"/>
      <c r="AM66" s="26"/>
      <c r="AN66" s="42"/>
      <c r="AO66" s="26"/>
      <c r="AP66" s="42"/>
      <c r="AQ66" s="26"/>
      <c r="AR66" s="43"/>
      <c r="AT66" s="43"/>
      <c r="AU66" s="26"/>
      <c r="AV66" s="29">
        <f t="shared" si="1"/>
        <v>14432.1585</v>
      </c>
      <c r="AW66" s="21">
        <f t="shared" si="2"/>
        <v>900</v>
      </c>
      <c r="AX66" s="21">
        <f t="shared" si="3"/>
        <v>75</v>
      </c>
      <c r="AY66" s="21">
        <f t="shared" si="4"/>
        <v>975</v>
      </c>
      <c r="AZ66" s="58">
        <f t="shared" si="5"/>
        <v>14.80221385</v>
      </c>
    </row>
    <row r="67" ht="15.75" customHeight="1">
      <c r="A67" s="31" t="s">
        <v>33</v>
      </c>
      <c r="B67" s="32">
        <f t="shared" si="6"/>
        <v>45356</v>
      </c>
      <c r="C67" s="33">
        <v>3.0</v>
      </c>
      <c r="D67" s="33" t="s">
        <v>47</v>
      </c>
      <c r="E67" s="34"/>
      <c r="F67" s="42">
        <v>150.0</v>
      </c>
      <c r="H67" s="43">
        <v>75.0</v>
      </c>
      <c r="J67" s="43">
        <v>0.0</v>
      </c>
      <c r="L67" s="43">
        <v>0.0</v>
      </c>
      <c r="N67" s="43">
        <v>0.0</v>
      </c>
      <c r="P67" s="43">
        <v>0.0</v>
      </c>
      <c r="Q67" s="26"/>
      <c r="R67" s="42">
        <v>300.0</v>
      </c>
      <c r="T67" s="43">
        <v>300.0</v>
      </c>
      <c r="V67" s="43">
        <v>0.0</v>
      </c>
      <c r="X67" s="43">
        <v>0.0</v>
      </c>
      <c r="Z67" s="43">
        <v>0.0</v>
      </c>
      <c r="AB67" s="43">
        <v>0.0</v>
      </c>
      <c r="AC67" s="26"/>
      <c r="AD67" s="43">
        <v>0.0</v>
      </c>
      <c r="AF67" s="43">
        <v>0.0</v>
      </c>
      <c r="AH67" s="43">
        <v>0.0</v>
      </c>
      <c r="AJ67" s="27">
        <v>0.0</v>
      </c>
      <c r="AK67" s="26"/>
      <c r="AL67" s="42"/>
      <c r="AM67" s="26"/>
      <c r="AN67" s="42"/>
      <c r="AO67" s="26"/>
      <c r="AP67" s="42"/>
      <c r="AQ67" s="26"/>
      <c r="AR67" s="43"/>
      <c r="AT67" s="43"/>
      <c r="AU67" s="26"/>
      <c r="AV67" s="35">
        <f t="shared" si="1"/>
        <v>11224.3095</v>
      </c>
      <c r="AW67" s="33">
        <f t="shared" si="2"/>
        <v>825</v>
      </c>
      <c r="AX67" s="33">
        <f t="shared" si="3"/>
        <v>0</v>
      </c>
      <c r="AY67" s="33">
        <f t="shared" si="4"/>
        <v>825</v>
      </c>
      <c r="AZ67" s="30">
        <f t="shared" si="5"/>
        <v>13.60522364</v>
      </c>
    </row>
    <row r="68" ht="15.75" customHeight="1">
      <c r="A68" s="31" t="s">
        <v>34</v>
      </c>
      <c r="B68" s="32">
        <f t="shared" si="6"/>
        <v>45357</v>
      </c>
      <c r="C68" s="33">
        <v>3.0</v>
      </c>
      <c r="D68" s="33" t="s">
        <v>47</v>
      </c>
      <c r="E68" s="34"/>
      <c r="F68" s="42">
        <v>150.0</v>
      </c>
      <c r="H68" s="43">
        <v>150.0</v>
      </c>
      <c r="J68" s="43">
        <v>0.0</v>
      </c>
      <c r="L68" s="43">
        <v>0.0</v>
      </c>
      <c r="N68" s="43">
        <v>0.0</v>
      </c>
      <c r="P68" s="43">
        <v>0.0</v>
      </c>
      <c r="Q68" s="26"/>
      <c r="R68" s="42">
        <v>300.0</v>
      </c>
      <c r="T68" s="43">
        <v>300.0</v>
      </c>
      <c r="V68" s="43">
        <v>0.0</v>
      </c>
      <c r="X68" s="43">
        <v>0.0</v>
      </c>
      <c r="Z68" s="43">
        <v>0.0</v>
      </c>
      <c r="AB68" s="43">
        <v>0.0</v>
      </c>
      <c r="AC68" s="26"/>
      <c r="AD68" s="43">
        <v>0.0</v>
      </c>
      <c r="AF68" s="43">
        <v>0.0</v>
      </c>
      <c r="AH68" s="43">
        <v>0.0</v>
      </c>
      <c r="AJ68" s="27">
        <v>0.0</v>
      </c>
      <c r="AK68" s="26"/>
      <c r="AL68" s="42"/>
      <c r="AM68" s="26"/>
      <c r="AN68" s="42"/>
      <c r="AO68" s="26"/>
      <c r="AP68" s="42"/>
      <c r="AQ68" s="26"/>
      <c r="AR68" s="43"/>
      <c r="AT68" s="43"/>
      <c r="AU68" s="26"/>
      <c r="AV68" s="35">
        <f t="shared" si="1"/>
        <v>12828.234</v>
      </c>
      <c r="AW68" s="33">
        <f t="shared" si="2"/>
        <v>900</v>
      </c>
      <c r="AX68" s="33">
        <f t="shared" si="3"/>
        <v>0</v>
      </c>
      <c r="AY68" s="33">
        <f t="shared" si="4"/>
        <v>900</v>
      </c>
      <c r="AZ68" s="30">
        <f t="shared" si="5"/>
        <v>14.25359333</v>
      </c>
    </row>
    <row r="69" ht="15.75" customHeight="1">
      <c r="A69" s="31" t="s">
        <v>35</v>
      </c>
      <c r="B69" s="32">
        <f t="shared" si="6"/>
        <v>45358</v>
      </c>
      <c r="C69" s="33">
        <v>3.0</v>
      </c>
      <c r="D69" s="33" t="s">
        <v>47</v>
      </c>
      <c r="E69" s="34"/>
      <c r="F69" s="42">
        <v>150.0</v>
      </c>
      <c r="H69" s="43">
        <v>75.0</v>
      </c>
      <c r="J69" s="43">
        <v>0.0</v>
      </c>
      <c r="L69" s="43">
        <v>0.0</v>
      </c>
      <c r="N69" s="43">
        <v>0.0</v>
      </c>
      <c r="P69" s="43">
        <v>0.0</v>
      </c>
      <c r="Q69" s="26"/>
      <c r="R69" s="42">
        <v>300.0</v>
      </c>
      <c r="T69" s="43">
        <v>300.0</v>
      </c>
      <c r="V69" s="43">
        <v>0.0</v>
      </c>
      <c r="X69" s="43">
        <v>0.0</v>
      </c>
      <c r="Z69" s="43">
        <v>0.0</v>
      </c>
      <c r="AB69" s="43">
        <v>0.0</v>
      </c>
      <c r="AC69" s="26"/>
      <c r="AD69" s="43">
        <v>0.0</v>
      </c>
      <c r="AF69" s="43">
        <v>0.0</v>
      </c>
      <c r="AH69" s="43">
        <v>0.0</v>
      </c>
      <c r="AJ69" s="27">
        <v>0.0</v>
      </c>
      <c r="AK69" s="26"/>
      <c r="AL69" s="42"/>
      <c r="AM69" s="26"/>
      <c r="AN69" s="42"/>
      <c r="AO69" s="26"/>
      <c r="AP69" s="42"/>
      <c r="AQ69" s="26"/>
      <c r="AR69" s="43"/>
      <c r="AT69" s="43"/>
      <c r="AU69" s="26"/>
      <c r="AV69" s="35">
        <f t="shared" si="1"/>
        <v>11224.3095</v>
      </c>
      <c r="AW69" s="33">
        <f t="shared" si="2"/>
        <v>825</v>
      </c>
      <c r="AX69" s="33">
        <f t="shared" si="3"/>
        <v>0</v>
      </c>
      <c r="AY69" s="33">
        <f t="shared" si="4"/>
        <v>825</v>
      </c>
      <c r="AZ69" s="30">
        <f t="shared" si="5"/>
        <v>13.60522364</v>
      </c>
    </row>
    <row r="70" ht="15.75" customHeight="1">
      <c r="A70" s="31" t="s">
        <v>38</v>
      </c>
      <c r="B70" s="32">
        <f t="shared" si="6"/>
        <v>45359</v>
      </c>
      <c r="C70" s="33">
        <v>3.0</v>
      </c>
      <c r="D70" s="33" t="s">
        <v>47</v>
      </c>
      <c r="E70" s="34"/>
      <c r="F70" s="42">
        <v>150.0</v>
      </c>
      <c r="H70" s="43">
        <v>150.0</v>
      </c>
      <c r="J70" s="43">
        <v>0.0</v>
      </c>
      <c r="L70" s="43">
        <v>0.0</v>
      </c>
      <c r="N70" s="43">
        <v>75.0</v>
      </c>
      <c r="P70" s="43">
        <v>0.0</v>
      </c>
      <c r="Q70" s="26"/>
      <c r="R70" s="42">
        <v>300.0</v>
      </c>
      <c r="T70" s="43">
        <v>300.0</v>
      </c>
      <c r="V70" s="43">
        <v>0.0</v>
      </c>
      <c r="X70" s="43">
        <v>0.0</v>
      </c>
      <c r="Z70" s="43">
        <v>0.0</v>
      </c>
      <c r="AB70" s="43">
        <v>0.0</v>
      </c>
      <c r="AC70" s="26"/>
      <c r="AD70" s="43">
        <v>0.0</v>
      </c>
      <c r="AF70" s="43">
        <v>0.0</v>
      </c>
      <c r="AH70" s="43">
        <v>0.0</v>
      </c>
      <c r="AJ70" s="27">
        <v>0.0</v>
      </c>
      <c r="AK70" s="26"/>
      <c r="AL70" s="42"/>
      <c r="AM70" s="26"/>
      <c r="AN70" s="42"/>
      <c r="AO70" s="26"/>
      <c r="AP70" s="42"/>
      <c r="AQ70" s="26"/>
      <c r="AR70" s="43"/>
      <c r="AT70" s="43"/>
      <c r="AU70" s="26"/>
      <c r="AV70" s="35">
        <f t="shared" si="1"/>
        <v>14432.1585</v>
      </c>
      <c r="AW70" s="33">
        <f t="shared" si="2"/>
        <v>900</v>
      </c>
      <c r="AX70" s="33">
        <f t="shared" si="3"/>
        <v>75</v>
      </c>
      <c r="AY70" s="33">
        <f t="shared" si="4"/>
        <v>975</v>
      </c>
      <c r="AZ70" s="30">
        <f t="shared" si="5"/>
        <v>14.80221385</v>
      </c>
    </row>
    <row r="71" ht="15.75" customHeight="1">
      <c r="A71" s="31" t="s">
        <v>45</v>
      </c>
      <c r="B71" s="32">
        <f t="shared" si="6"/>
        <v>45360</v>
      </c>
      <c r="C71" s="33">
        <v>3.0</v>
      </c>
      <c r="D71" s="33" t="s">
        <v>47</v>
      </c>
      <c r="E71" s="34"/>
      <c r="F71" s="42">
        <v>150.0</v>
      </c>
      <c r="H71" s="43">
        <v>75.0</v>
      </c>
      <c r="J71" s="43">
        <v>0.0</v>
      </c>
      <c r="L71" s="43">
        <v>0.0</v>
      </c>
      <c r="N71" s="43">
        <v>0.0</v>
      </c>
      <c r="P71" s="43">
        <v>0.0</v>
      </c>
      <c r="Q71" s="26"/>
      <c r="R71" s="42">
        <v>300.0</v>
      </c>
      <c r="T71" s="43">
        <v>300.0</v>
      </c>
      <c r="V71" s="43">
        <v>0.0</v>
      </c>
      <c r="X71" s="43">
        <v>0.0</v>
      </c>
      <c r="Z71" s="43">
        <v>0.0</v>
      </c>
      <c r="AB71" s="43">
        <v>0.0</v>
      </c>
      <c r="AC71" s="26"/>
      <c r="AD71" s="43">
        <v>0.0</v>
      </c>
      <c r="AF71" s="43">
        <v>0.0</v>
      </c>
      <c r="AH71" s="43">
        <v>0.0</v>
      </c>
      <c r="AJ71" s="27">
        <v>0.0</v>
      </c>
      <c r="AK71" s="26"/>
      <c r="AL71" s="42"/>
      <c r="AM71" s="26"/>
      <c r="AN71" s="42"/>
      <c r="AO71" s="26"/>
      <c r="AP71" s="42"/>
      <c r="AQ71" s="26"/>
      <c r="AR71" s="43"/>
      <c r="AT71" s="43"/>
      <c r="AU71" s="26"/>
      <c r="AV71" s="35">
        <f t="shared" si="1"/>
        <v>11224.3095</v>
      </c>
      <c r="AW71" s="33">
        <f t="shared" si="2"/>
        <v>825</v>
      </c>
      <c r="AX71" s="33">
        <f t="shared" si="3"/>
        <v>0</v>
      </c>
      <c r="AY71" s="33">
        <f t="shared" si="4"/>
        <v>825</v>
      </c>
      <c r="AZ71" s="30">
        <f t="shared" si="5"/>
        <v>13.60522364</v>
      </c>
    </row>
    <row r="72" ht="15.75" customHeight="1">
      <c r="A72" s="44" t="s">
        <v>46</v>
      </c>
      <c r="B72" s="45">
        <f t="shared" si="6"/>
        <v>45361</v>
      </c>
      <c r="C72" s="46">
        <v>3.0</v>
      </c>
      <c r="D72" s="46" t="s">
        <v>47</v>
      </c>
      <c r="E72" s="47"/>
      <c r="F72" s="66">
        <v>75.0</v>
      </c>
      <c r="G72" s="51"/>
      <c r="H72" s="67">
        <v>75.0</v>
      </c>
      <c r="I72" s="51"/>
      <c r="J72" s="67">
        <v>0.0</v>
      </c>
      <c r="K72" s="51"/>
      <c r="L72" s="67">
        <v>0.0</v>
      </c>
      <c r="M72" s="51"/>
      <c r="N72" s="67">
        <v>75.0</v>
      </c>
      <c r="O72" s="51"/>
      <c r="P72" s="67">
        <v>0.0</v>
      </c>
      <c r="Q72" s="53"/>
      <c r="R72" s="66">
        <v>300.0</v>
      </c>
      <c r="S72" s="51"/>
      <c r="T72" s="67">
        <v>300.0</v>
      </c>
      <c r="U72" s="51"/>
      <c r="V72" s="67">
        <v>0.0</v>
      </c>
      <c r="W72" s="51"/>
      <c r="X72" s="67">
        <v>0.0</v>
      </c>
      <c r="Y72" s="51"/>
      <c r="Z72" s="67">
        <v>0.0</v>
      </c>
      <c r="AA72" s="51"/>
      <c r="AB72" s="67">
        <v>0.0</v>
      </c>
      <c r="AC72" s="53"/>
      <c r="AD72" s="67">
        <v>0.0</v>
      </c>
      <c r="AE72" s="51"/>
      <c r="AF72" s="67">
        <v>0.0</v>
      </c>
      <c r="AG72" s="51"/>
      <c r="AH72" s="67">
        <v>0.0</v>
      </c>
      <c r="AI72" s="51"/>
      <c r="AJ72" s="54">
        <v>0.0</v>
      </c>
      <c r="AK72" s="53"/>
      <c r="AL72" s="66"/>
      <c r="AM72" s="53"/>
      <c r="AN72" s="66"/>
      <c r="AO72" s="53"/>
      <c r="AP72" s="66"/>
      <c r="AQ72" s="53"/>
      <c r="AR72" s="67"/>
      <c r="AS72" s="51"/>
      <c r="AT72" s="67"/>
      <c r="AU72" s="53"/>
      <c r="AV72" s="55">
        <f t="shared" si="1"/>
        <v>11224.3095</v>
      </c>
      <c r="AW72" s="46">
        <f t="shared" si="2"/>
        <v>750</v>
      </c>
      <c r="AX72" s="46">
        <f t="shared" si="3"/>
        <v>75</v>
      </c>
      <c r="AY72" s="46">
        <f t="shared" si="4"/>
        <v>825</v>
      </c>
      <c r="AZ72" s="56">
        <f t="shared" si="5"/>
        <v>13.60522364</v>
      </c>
    </row>
    <row r="73" ht="15.75" customHeight="1">
      <c r="A73" s="19" t="s">
        <v>30</v>
      </c>
      <c r="B73" s="57">
        <f t="shared" si="6"/>
        <v>45362</v>
      </c>
      <c r="C73" s="21">
        <v>3.0</v>
      </c>
      <c r="D73" s="21" t="s">
        <v>48</v>
      </c>
      <c r="E73" s="23"/>
      <c r="F73" s="42">
        <v>150.0</v>
      </c>
      <c r="H73" s="43">
        <v>75.0</v>
      </c>
      <c r="J73" s="43">
        <v>0.0</v>
      </c>
      <c r="L73" s="43">
        <v>0.0</v>
      </c>
      <c r="N73" s="43">
        <v>0.0</v>
      </c>
      <c r="P73" s="43">
        <v>0.0</v>
      </c>
      <c r="Q73" s="26"/>
      <c r="R73" s="42">
        <v>50.0</v>
      </c>
      <c r="T73" s="43">
        <v>50.0</v>
      </c>
      <c r="V73" s="43">
        <v>0.0</v>
      </c>
      <c r="X73" s="43">
        <v>0.0</v>
      </c>
      <c r="Z73" s="43">
        <v>0.0</v>
      </c>
      <c r="AB73" s="43">
        <v>0.0</v>
      </c>
      <c r="AC73" s="26"/>
      <c r="AD73" s="43">
        <v>0.0</v>
      </c>
      <c r="AF73" s="43">
        <v>0.0</v>
      </c>
      <c r="AH73" s="43">
        <v>0.0</v>
      </c>
      <c r="AJ73" s="27">
        <v>0.0</v>
      </c>
      <c r="AK73" s="26"/>
      <c r="AL73" s="42"/>
      <c r="AM73" s="26"/>
      <c r="AN73" s="42"/>
      <c r="AO73" s="26"/>
      <c r="AP73" s="42"/>
      <c r="AQ73" s="26"/>
      <c r="AR73" s="43"/>
      <c r="AT73" s="43"/>
      <c r="AU73" s="26"/>
      <c r="AV73" s="29">
        <f t="shared" si="1"/>
        <v>5880.5295</v>
      </c>
      <c r="AW73" s="21">
        <f t="shared" si="2"/>
        <v>325</v>
      </c>
      <c r="AX73" s="21">
        <f t="shared" si="3"/>
        <v>0</v>
      </c>
      <c r="AY73" s="21">
        <f t="shared" si="4"/>
        <v>325</v>
      </c>
      <c r="AZ73" s="58">
        <f t="shared" si="5"/>
        <v>18.09393692</v>
      </c>
    </row>
    <row r="74" ht="15.75" customHeight="1">
      <c r="A74" s="31" t="s">
        <v>33</v>
      </c>
      <c r="B74" s="32">
        <f t="shared" si="6"/>
        <v>45363</v>
      </c>
      <c r="C74" s="33">
        <v>3.0</v>
      </c>
      <c r="D74" s="33" t="s">
        <v>48</v>
      </c>
      <c r="E74" s="34"/>
      <c r="F74" s="42">
        <v>150.0</v>
      </c>
      <c r="H74" s="43">
        <v>150.0</v>
      </c>
      <c r="J74" s="43">
        <v>0.0</v>
      </c>
      <c r="L74" s="43">
        <v>0.0</v>
      </c>
      <c r="N74" s="43">
        <v>65.0</v>
      </c>
      <c r="P74" s="43">
        <v>0.0</v>
      </c>
      <c r="Q74" s="26"/>
      <c r="R74" s="42">
        <v>300.0</v>
      </c>
      <c r="T74" s="43">
        <v>300.0</v>
      </c>
      <c r="V74" s="43">
        <v>0.0</v>
      </c>
      <c r="X74" s="43">
        <v>0.0</v>
      </c>
      <c r="Z74" s="43">
        <v>0.0</v>
      </c>
      <c r="AB74" s="43">
        <v>0.0</v>
      </c>
      <c r="AC74" s="26"/>
      <c r="AD74" s="43">
        <v>0.0</v>
      </c>
      <c r="AF74" s="43">
        <v>0.0</v>
      </c>
      <c r="AH74" s="43">
        <v>0.0</v>
      </c>
      <c r="AJ74" s="27">
        <v>0.0</v>
      </c>
      <c r="AK74" s="26"/>
      <c r="AL74" s="42"/>
      <c r="AM74" s="26"/>
      <c r="AN74" s="42"/>
      <c r="AO74" s="26"/>
      <c r="AP74" s="42"/>
      <c r="AQ74" s="26"/>
      <c r="AR74" s="43"/>
      <c r="AT74" s="43"/>
      <c r="AU74" s="26"/>
      <c r="AV74" s="35">
        <f t="shared" si="1"/>
        <v>14218.3019</v>
      </c>
      <c r="AW74" s="33">
        <f t="shared" si="2"/>
        <v>900</v>
      </c>
      <c r="AX74" s="33">
        <f t="shared" si="3"/>
        <v>65</v>
      </c>
      <c r="AY74" s="33">
        <f t="shared" si="4"/>
        <v>965</v>
      </c>
      <c r="AZ74" s="30">
        <f t="shared" si="5"/>
        <v>14.73399161</v>
      </c>
    </row>
    <row r="75" ht="15.75" customHeight="1">
      <c r="A75" s="31" t="s">
        <v>34</v>
      </c>
      <c r="B75" s="32">
        <f t="shared" si="6"/>
        <v>45364</v>
      </c>
      <c r="C75" s="33">
        <v>3.0</v>
      </c>
      <c r="D75" s="33" t="s">
        <v>48</v>
      </c>
      <c r="E75" s="34"/>
      <c r="F75" s="42">
        <v>150.0</v>
      </c>
      <c r="H75" s="43">
        <v>150.0</v>
      </c>
      <c r="J75" s="43">
        <v>0.0</v>
      </c>
      <c r="L75" s="43">
        <v>0.0</v>
      </c>
      <c r="N75" s="43">
        <v>65.0</v>
      </c>
      <c r="P75" s="43">
        <v>0.0</v>
      </c>
      <c r="Q75" s="26"/>
      <c r="R75" s="42">
        <v>300.0</v>
      </c>
      <c r="T75" s="43">
        <v>300.0</v>
      </c>
      <c r="V75" s="43">
        <v>0.0</v>
      </c>
      <c r="X75" s="43">
        <v>0.0</v>
      </c>
      <c r="Z75" s="43">
        <v>0.0</v>
      </c>
      <c r="AB75" s="43">
        <v>0.0</v>
      </c>
      <c r="AC75" s="26"/>
      <c r="AD75" s="43">
        <v>0.0</v>
      </c>
      <c r="AF75" s="43">
        <v>0.0</v>
      </c>
      <c r="AH75" s="43">
        <v>0.0</v>
      </c>
      <c r="AJ75" s="27">
        <v>0.0</v>
      </c>
      <c r="AK75" s="26"/>
      <c r="AL75" s="42"/>
      <c r="AM75" s="26"/>
      <c r="AN75" s="42"/>
      <c r="AO75" s="26"/>
      <c r="AP75" s="42"/>
      <c r="AQ75" s="26"/>
      <c r="AR75" s="43"/>
      <c r="AT75" s="43"/>
      <c r="AU75" s="26"/>
      <c r="AV75" s="35">
        <f t="shared" si="1"/>
        <v>14218.3019</v>
      </c>
      <c r="AW75" s="33">
        <f t="shared" si="2"/>
        <v>900</v>
      </c>
      <c r="AX75" s="33">
        <f t="shared" si="3"/>
        <v>65</v>
      </c>
      <c r="AY75" s="33">
        <f t="shared" si="4"/>
        <v>965</v>
      </c>
      <c r="AZ75" s="30">
        <f t="shared" si="5"/>
        <v>14.73399161</v>
      </c>
    </row>
    <row r="76" ht="15.75" customHeight="1">
      <c r="A76" s="31" t="s">
        <v>35</v>
      </c>
      <c r="B76" s="32">
        <f t="shared" si="6"/>
        <v>45365</v>
      </c>
      <c r="C76" s="33">
        <v>3.0</v>
      </c>
      <c r="D76" s="33" t="s">
        <v>48</v>
      </c>
      <c r="E76" s="34"/>
      <c r="F76" s="42">
        <v>150.0</v>
      </c>
      <c r="H76" s="43">
        <v>75.0</v>
      </c>
      <c r="J76" s="43">
        <v>0.0</v>
      </c>
      <c r="L76" s="43">
        <v>0.0</v>
      </c>
      <c r="N76" s="43">
        <v>0.0</v>
      </c>
      <c r="P76" s="43">
        <v>0.0</v>
      </c>
      <c r="Q76" s="26"/>
      <c r="R76" s="42">
        <v>310.0</v>
      </c>
      <c r="T76" s="43">
        <v>310.0</v>
      </c>
      <c r="V76" s="43">
        <v>0.0</v>
      </c>
      <c r="X76" s="43">
        <v>0.0</v>
      </c>
      <c r="Z76" s="43">
        <v>0.0</v>
      </c>
      <c r="AB76" s="43">
        <v>0.0</v>
      </c>
      <c r="AC76" s="26"/>
      <c r="AD76" s="43">
        <v>0.0</v>
      </c>
      <c r="AF76" s="43">
        <v>0.0</v>
      </c>
      <c r="AH76" s="43">
        <v>0.0</v>
      </c>
      <c r="AJ76" s="27">
        <v>0.0</v>
      </c>
      <c r="AK76" s="26"/>
      <c r="AL76" s="42"/>
      <c r="AM76" s="26"/>
      <c r="AN76" s="42"/>
      <c r="AO76" s="26"/>
      <c r="AP76" s="42"/>
      <c r="AQ76" s="26"/>
      <c r="AR76" s="43"/>
      <c r="AT76" s="43"/>
      <c r="AU76" s="26"/>
      <c r="AV76" s="35">
        <f t="shared" si="1"/>
        <v>11438.0607</v>
      </c>
      <c r="AW76" s="33">
        <f t="shared" si="2"/>
        <v>845</v>
      </c>
      <c r="AX76" s="33">
        <f t="shared" si="3"/>
        <v>0</v>
      </c>
      <c r="AY76" s="33">
        <f t="shared" si="4"/>
        <v>845</v>
      </c>
      <c r="AZ76" s="30">
        <f t="shared" si="5"/>
        <v>13.53616651</v>
      </c>
    </row>
    <row r="77" ht="15.75" customHeight="1">
      <c r="A77" s="31" t="s">
        <v>38</v>
      </c>
      <c r="B77" s="32">
        <f t="shared" si="6"/>
        <v>45366</v>
      </c>
      <c r="C77" s="33">
        <v>3.0</v>
      </c>
      <c r="D77" s="33" t="s">
        <v>48</v>
      </c>
      <c r="E77" s="34"/>
      <c r="F77" s="42">
        <v>140.0</v>
      </c>
      <c r="H77" s="43">
        <v>140.0</v>
      </c>
      <c r="J77" s="43">
        <v>0.0</v>
      </c>
      <c r="L77" s="43">
        <v>0.0</v>
      </c>
      <c r="N77" s="43">
        <v>65.0</v>
      </c>
      <c r="P77" s="43">
        <v>0.0</v>
      </c>
      <c r="Q77" s="26"/>
      <c r="R77" s="42">
        <v>310.0</v>
      </c>
      <c r="T77" s="43">
        <v>310.0</v>
      </c>
      <c r="V77" s="43">
        <v>0.0</v>
      </c>
      <c r="X77" s="43">
        <v>0.0</v>
      </c>
      <c r="Z77" s="43">
        <v>0.0</v>
      </c>
      <c r="AB77" s="43">
        <v>0.0</v>
      </c>
      <c r="AC77" s="26"/>
      <c r="AD77" s="43">
        <v>0.0</v>
      </c>
      <c r="AF77" s="43">
        <v>0.0</v>
      </c>
      <c r="AH77" s="43">
        <v>0.0</v>
      </c>
      <c r="AJ77" s="27">
        <v>0.0</v>
      </c>
      <c r="AK77" s="26"/>
      <c r="AL77" s="42"/>
      <c r="AM77" s="26"/>
      <c r="AN77" s="42"/>
      <c r="AO77" s="26"/>
      <c r="AP77" s="42"/>
      <c r="AQ77" s="26"/>
      <c r="AR77" s="43"/>
      <c r="AT77" s="43"/>
      <c r="AU77" s="26"/>
      <c r="AV77" s="35">
        <f t="shared" si="1"/>
        <v>14004.3399</v>
      </c>
      <c r="AW77" s="33">
        <f t="shared" si="2"/>
        <v>900</v>
      </c>
      <c r="AX77" s="33">
        <f t="shared" si="3"/>
        <v>65</v>
      </c>
      <c r="AY77" s="33">
        <f t="shared" si="4"/>
        <v>965</v>
      </c>
      <c r="AZ77" s="30">
        <f t="shared" si="5"/>
        <v>14.51226933</v>
      </c>
    </row>
    <row r="78" ht="15.75" customHeight="1">
      <c r="A78" s="31" t="s">
        <v>45</v>
      </c>
      <c r="B78" s="32">
        <f t="shared" si="6"/>
        <v>45367</v>
      </c>
      <c r="C78" s="33">
        <v>3.0</v>
      </c>
      <c r="D78" s="33" t="s">
        <v>48</v>
      </c>
      <c r="E78" s="34"/>
      <c r="F78" s="42">
        <v>140.0</v>
      </c>
      <c r="H78" s="43">
        <v>75.0</v>
      </c>
      <c r="J78" s="43">
        <v>0.0</v>
      </c>
      <c r="L78" s="43">
        <v>0.0</v>
      </c>
      <c r="N78" s="43">
        <v>0.0</v>
      </c>
      <c r="P78" s="43">
        <v>0.0</v>
      </c>
      <c r="Q78" s="26"/>
      <c r="R78" s="42">
        <v>310.0</v>
      </c>
      <c r="T78" s="43">
        <v>310.0</v>
      </c>
      <c r="V78" s="43">
        <v>0.0</v>
      </c>
      <c r="X78" s="43">
        <v>0.0</v>
      </c>
      <c r="Z78" s="43">
        <v>0.0</v>
      </c>
      <c r="AB78" s="43">
        <v>0.0</v>
      </c>
      <c r="AC78" s="26"/>
      <c r="AD78" s="43">
        <v>0.0</v>
      </c>
      <c r="AF78" s="43">
        <v>0.0</v>
      </c>
      <c r="AH78" s="43">
        <v>0.0</v>
      </c>
      <c r="AJ78" s="27">
        <v>0.0</v>
      </c>
      <c r="AK78" s="26"/>
      <c r="AL78" s="42"/>
      <c r="AM78" s="26"/>
      <c r="AN78" s="42"/>
      <c r="AO78" s="26"/>
      <c r="AP78" s="42"/>
      <c r="AQ78" s="26"/>
      <c r="AR78" s="43"/>
      <c r="AT78" s="43"/>
      <c r="AU78" s="26"/>
      <c r="AV78" s="35">
        <f t="shared" si="1"/>
        <v>11224.2041</v>
      </c>
      <c r="AW78" s="33">
        <f t="shared" si="2"/>
        <v>835</v>
      </c>
      <c r="AX78" s="33">
        <f t="shared" si="3"/>
        <v>0</v>
      </c>
      <c r="AY78" s="33">
        <f t="shared" si="4"/>
        <v>835</v>
      </c>
      <c r="AZ78" s="30">
        <f t="shared" si="5"/>
        <v>13.4421606</v>
      </c>
    </row>
    <row r="79" ht="15.75" customHeight="1">
      <c r="A79" s="44" t="s">
        <v>46</v>
      </c>
      <c r="B79" s="45">
        <f t="shared" si="6"/>
        <v>45368</v>
      </c>
      <c r="C79" s="46">
        <v>3.0</v>
      </c>
      <c r="D79" s="46" t="s">
        <v>48</v>
      </c>
      <c r="E79" s="47"/>
      <c r="F79" s="66">
        <v>140.0</v>
      </c>
      <c r="G79" s="51"/>
      <c r="H79" s="67">
        <v>65.0</v>
      </c>
      <c r="I79" s="51"/>
      <c r="J79" s="67">
        <v>0.0</v>
      </c>
      <c r="K79" s="51"/>
      <c r="L79" s="67">
        <v>0.0</v>
      </c>
      <c r="M79" s="51"/>
      <c r="N79" s="67">
        <v>65.0</v>
      </c>
      <c r="O79" s="51"/>
      <c r="P79" s="67">
        <v>0.0</v>
      </c>
      <c r="Q79" s="53"/>
      <c r="R79" s="66">
        <v>310.0</v>
      </c>
      <c r="S79" s="51"/>
      <c r="T79" s="67">
        <v>310.0</v>
      </c>
      <c r="U79" s="51"/>
      <c r="V79" s="67">
        <v>0.0</v>
      </c>
      <c r="W79" s="51"/>
      <c r="X79" s="67">
        <v>0.0</v>
      </c>
      <c r="Y79" s="51"/>
      <c r="Z79" s="67">
        <v>0.0</v>
      </c>
      <c r="AA79" s="51"/>
      <c r="AB79" s="67">
        <v>0.0</v>
      </c>
      <c r="AC79" s="53"/>
      <c r="AD79" s="67">
        <v>0.0</v>
      </c>
      <c r="AE79" s="51"/>
      <c r="AF79" s="67">
        <v>0.0</v>
      </c>
      <c r="AG79" s="51"/>
      <c r="AH79" s="67">
        <v>0.0</v>
      </c>
      <c r="AI79" s="51"/>
      <c r="AJ79" s="54">
        <v>0.0</v>
      </c>
      <c r="AK79" s="53"/>
      <c r="AL79" s="66"/>
      <c r="AM79" s="53"/>
      <c r="AN79" s="66"/>
      <c r="AO79" s="53"/>
      <c r="AP79" s="66"/>
      <c r="AQ79" s="53"/>
      <c r="AR79" s="67"/>
      <c r="AS79" s="51"/>
      <c r="AT79" s="67"/>
      <c r="AU79" s="53"/>
      <c r="AV79" s="55">
        <f t="shared" si="1"/>
        <v>12400.4154</v>
      </c>
      <c r="AW79" s="46">
        <f t="shared" si="2"/>
        <v>825</v>
      </c>
      <c r="AX79" s="46">
        <f t="shared" si="3"/>
        <v>65</v>
      </c>
      <c r="AY79" s="46">
        <f t="shared" si="4"/>
        <v>890</v>
      </c>
      <c r="AZ79" s="56">
        <f t="shared" si="5"/>
        <v>13.93305101</v>
      </c>
    </row>
    <row r="80" ht="15.75" customHeight="1">
      <c r="A80" s="19" t="s">
        <v>30</v>
      </c>
      <c r="B80" s="57">
        <f t="shared" si="6"/>
        <v>45369</v>
      </c>
      <c r="C80" s="21">
        <v>3.0</v>
      </c>
      <c r="D80" s="21" t="s">
        <v>49</v>
      </c>
      <c r="E80" s="23"/>
      <c r="F80" s="42">
        <v>0.0</v>
      </c>
      <c r="H80" s="43">
        <v>0.0</v>
      </c>
      <c r="J80" s="43">
        <v>0.0</v>
      </c>
      <c r="L80" s="43">
        <v>0.0</v>
      </c>
      <c r="N80" s="43">
        <v>0.0</v>
      </c>
      <c r="P80" s="43">
        <v>0.0</v>
      </c>
      <c r="Q80" s="26"/>
      <c r="R80" s="42">
        <v>310.0</v>
      </c>
      <c r="T80" s="43">
        <v>310.0</v>
      </c>
      <c r="V80" s="43">
        <v>0.0</v>
      </c>
      <c r="X80" s="43">
        <v>0.0</v>
      </c>
      <c r="Z80" s="43">
        <v>0.0</v>
      </c>
      <c r="AB80" s="43">
        <v>0.0</v>
      </c>
      <c r="AC80" s="26"/>
      <c r="AD80" s="43">
        <v>0.0</v>
      </c>
      <c r="AF80" s="43">
        <v>0.0</v>
      </c>
      <c r="AH80" s="43">
        <v>0.0</v>
      </c>
      <c r="AJ80" s="27">
        <v>0.0</v>
      </c>
      <c r="AK80" s="26"/>
      <c r="AL80" s="42"/>
      <c r="AM80" s="26"/>
      <c r="AN80" s="42"/>
      <c r="AO80" s="26"/>
      <c r="AP80" s="42"/>
      <c r="AQ80" s="26"/>
      <c r="AR80" s="43"/>
      <c r="AT80" s="43"/>
      <c r="AU80" s="26"/>
      <c r="AV80" s="29">
        <f t="shared" si="1"/>
        <v>6626.2872</v>
      </c>
      <c r="AW80" s="21">
        <f t="shared" si="2"/>
        <v>620</v>
      </c>
      <c r="AX80" s="21">
        <f t="shared" si="3"/>
        <v>0</v>
      </c>
      <c r="AY80" s="21">
        <f t="shared" si="4"/>
        <v>620</v>
      </c>
      <c r="AZ80" s="58">
        <f t="shared" si="5"/>
        <v>10.68756</v>
      </c>
    </row>
    <row r="81" ht="15.75" customHeight="1">
      <c r="A81" s="31" t="s">
        <v>33</v>
      </c>
      <c r="B81" s="32">
        <f t="shared" si="6"/>
        <v>45370</v>
      </c>
      <c r="C81" s="33">
        <v>3.0</v>
      </c>
      <c r="D81" s="33" t="s">
        <v>49</v>
      </c>
      <c r="E81" s="34"/>
      <c r="F81" s="42">
        <v>140.0</v>
      </c>
      <c r="H81" s="43">
        <v>140.0</v>
      </c>
      <c r="J81" s="43">
        <v>0.0</v>
      </c>
      <c r="L81" s="43">
        <v>0.0</v>
      </c>
      <c r="N81" s="43">
        <v>65.0</v>
      </c>
      <c r="P81" s="43">
        <v>0.0</v>
      </c>
      <c r="Q81" s="26"/>
      <c r="R81" s="42">
        <v>0.0</v>
      </c>
      <c r="T81" s="43">
        <v>0.0</v>
      </c>
      <c r="V81" s="43">
        <v>0.0</v>
      </c>
      <c r="X81" s="43">
        <v>0.0</v>
      </c>
      <c r="Z81" s="43">
        <v>0.0</v>
      </c>
      <c r="AB81" s="43">
        <v>0.0</v>
      </c>
      <c r="AC81" s="26"/>
      <c r="AD81" s="43">
        <v>0.0</v>
      </c>
      <c r="AF81" s="43">
        <v>0.0</v>
      </c>
      <c r="AH81" s="43">
        <v>0.0</v>
      </c>
      <c r="AJ81" s="27">
        <v>0.0</v>
      </c>
      <c r="AK81" s="26"/>
      <c r="AL81" s="42"/>
      <c r="AM81" s="26"/>
      <c r="AN81" s="42"/>
      <c r="AO81" s="26"/>
      <c r="AP81" s="42"/>
      <c r="AQ81" s="26"/>
      <c r="AR81" s="43"/>
      <c r="AT81" s="43"/>
      <c r="AU81" s="26"/>
      <c r="AV81" s="35">
        <f t="shared" si="1"/>
        <v>7378.0527</v>
      </c>
      <c r="AW81" s="33">
        <f t="shared" si="2"/>
        <v>280</v>
      </c>
      <c r="AX81" s="33">
        <f t="shared" si="3"/>
        <v>65</v>
      </c>
      <c r="AY81" s="33">
        <f t="shared" si="4"/>
        <v>345</v>
      </c>
      <c r="AZ81" s="30">
        <f t="shared" si="5"/>
        <v>21.38566</v>
      </c>
    </row>
    <row r="82" ht="15.75" customHeight="1">
      <c r="A82" s="31" t="s">
        <v>34</v>
      </c>
      <c r="B82" s="32">
        <f t="shared" si="6"/>
        <v>45371</v>
      </c>
      <c r="C82" s="33">
        <v>3.0</v>
      </c>
      <c r="D82" s="33" t="s">
        <v>49</v>
      </c>
      <c r="E82" s="34"/>
      <c r="F82" s="42">
        <v>140.0</v>
      </c>
      <c r="H82" s="43">
        <v>65.0</v>
      </c>
      <c r="J82" s="43">
        <v>0.0</v>
      </c>
      <c r="L82" s="43">
        <v>0.0</v>
      </c>
      <c r="N82" s="43">
        <v>0.0</v>
      </c>
      <c r="P82" s="43">
        <v>0.0</v>
      </c>
      <c r="Q82" s="26"/>
      <c r="R82" s="42">
        <v>310.0</v>
      </c>
      <c r="T82" s="43">
        <v>310.0</v>
      </c>
      <c r="V82" s="43">
        <v>0.0</v>
      </c>
      <c r="X82" s="43">
        <v>0.0</v>
      </c>
      <c r="Z82" s="43">
        <v>0.0</v>
      </c>
      <c r="AB82" s="43">
        <v>0.0</v>
      </c>
      <c r="AC82" s="26"/>
      <c r="AD82" s="43">
        <v>0.0</v>
      </c>
      <c r="AF82" s="43">
        <v>0.0</v>
      </c>
      <c r="AH82" s="43">
        <v>0.0</v>
      </c>
      <c r="AJ82" s="27">
        <v>0.0</v>
      </c>
      <c r="AK82" s="26"/>
      <c r="AL82" s="42"/>
      <c r="AM82" s="26"/>
      <c r="AN82" s="42"/>
      <c r="AO82" s="26"/>
      <c r="AP82" s="42"/>
      <c r="AQ82" s="26"/>
      <c r="AR82" s="43"/>
      <c r="AT82" s="43"/>
      <c r="AU82" s="26"/>
      <c r="AV82" s="35">
        <f t="shared" si="1"/>
        <v>11010.3475</v>
      </c>
      <c r="AW82" s="33">
        <f t="shared" si="2"/>
        <v>825</v>
      </c>
      <c r="AX82" s="33">
        <f t="shared" si="3"/>
        <v>0</v>
      </c>
      <c r="AY82" s="33">
        <f t="shared" si="4"/>
        <v>825</v>
      </c>
      <c r="AZ82" s="30">
        <f t="shared" si="5"/>
        <v>13.34587576</v>
      </c>
    </row>
    <row r="83" ht="15.75" customHeight="1">
      <c r="A83" s="31" t="s">
        <v>35</v>
      </c>
      <c r="B83" s="32">
        <f t="shared" si="6"/>
        <v>45372</v>
      </c>
      <c r="C83" s="33">
        <v>3.0</v>
      </c>
      <c r="D83" s="33" t="s">
        <v>49</v>
      </c>
      <c r="E83" s="34"/>
      <c r="F83" s="42">
        <v>140.0</v>
      </c>
      <c r="H83" s="43">
        <v>65.0</v>
      </c>
      <c r="J83" s="43">
        <v>0.0</v>
      </c>
      <c r="L83" s="43">
        <v>0.0</v>
      </c>
      <c r="N83" s="43">
        <v>0.0</v>
      </c>
      <c r="P83" s="43">
        <v>0.0</v>
      </c>
      <c r="Q83" s="26"/>
      <c r="R83" s="42">
        <v>310.0</v>
      </c>
      <c r="T83" s="43">
        <v>310.0</v>
      </c>
      <c r="V83" s="43">
        <v>0.0</v>
      </c>
      <c r="X83" s="43">
        <v>0.0</v>
      </c>
      <c r="Z83" s="43">
        <v>0.0</v>
      </c>
      <c r="AB83" s="43">
        <v>0.0</v>
      </c>
      <c r="AC83" s="26"/>
      <c r="AD83" s="43">
        <v>0.0</v>
      </c>
      <c r="AF83" s="43">
        <v>0.0</v>
      </c>
      <c r="AH83" s="43">
        <v>0.0</v>
      </c>
      <c r="AJ83" s="27">
        <v>0.0</v>
      </c>
      <c r="AK83" s="26"/>
      <c r="AL83" s="42"/>
      <c r="AM83" s="26"/>
      <c r="AN83" s="42"/>
      <c r="AO83" s="26"/>
      <c r="AP83" s="42"/>
      <c r="AQ83" s="26"/>
      <c r="AR83" s="43"/>
      <c r="AT83" s="43"/>
      <c r="AU83" s="26"/>
      <c r="AV83" s="35">
        <f t="shared" si="1"/>
        <v>11010.3475</v>
      </c>
      <c r="AW83" s="33">
        <f t="shared" si="2"/>
        <v>825</v>
      </c>
      <c r="AX83" s="33">
        <f t="shared" si="3"/>
        <v>0</v>
      </c>
      <c r="AY83" s="33">
        <f t="shared" si="4"/>
        <v>825</v>
      </c>
      <c r="AZ83" s="30">
        <f t="shared" si="5"/>
        <v>13.34587576</v>
      </c>
    </row>
    <row r="84" ht="15.75" customHeight="1">
      <c r="A84" s="31" t="s">
        <v>38</v>
      </c>
      <c r="B84" s="32">
        <f t="shared" si="6"/>
        <v>45373</v>
      </c>
      <c r="C84" s="33">
        <v>3.0</v>
      </c>
      <c r="D84" s="33" t="s">
        <v>49</v>
      </c>
      <c r="E84" s="34"/>
      <c r="F84" s="42">
        <v>140.0</v>
      </c>
      <c r="H84" s="43">
        <v>140.0</v>
      </c>
      <c r="J84" s="43">
        <v>0.0</v>
      </c>
      <c r="L84" s="43">
        <v>0.0</v>
      </c>
      <c r="N84" s="43">
        <v>65.0</v>
      </c>
      <c r="P84" s="43">
        <v>0.0</v>
      </c>
      <c r="Q84" s="26"/>
      <c r="R84" s="42">
        <v>310.0</v>
      </c>
      <c r="T84" s="43">
        <v>310.0</v>
      </c>
      <c r="V84" s="43">
        <v>0.0</v>
      </c>
      <c r="X84" s="43">
        <v>0.0</v>
      </c>
      <c r="Z84" s="43">
        <v>0.0</v>
      </c>
      <c r="AB84" s="43">
        <v>0.0</v>
      </c>
      <c r="AC84" s="26"/>
      <c r="AD84" s="43">
        <v>0.0</v>
      </c>
      <c r="AF84" s="43">
        <v>0.0</v>
      </c>
      <c r="AH84" s="43">
        <v>0.0</v>
      </c>
      <c r="AJ84" s="27">
        <v>0.0</v>
      </c>
      <c r="AK84" s="26"/>
      <c r="AL84" s="42"/>
      <c r="AM84" s="26"/>
      <c r="AN84" s="42"/>
      <c r="AO84" s="26"/>
      <c r="AP84" s="42"/>
      <c r="AQ84" s="26"/>
      <c r="AR84" s="43"/>
      <c r="AT84" s="43"/>
      <c r="AU84" s="26"/>
      <c r="AV84" s="35">
        <f t="shared" si="1"/>
        <v>14004.3399</v>
      </c>
      <c r="AW84" s="33">
        <f t="shared" si="2"/>
        <v>900</v>
      </c>
      <c r="AX84" s="33">
        <f t="shared" si="3"/>
        <v>65</v>
      </c>
      <c r="AY84" s="33">
        <f t="shared" si="4"/>
        <v>965</v>
      </c>
      <c r="AZ84" s="30">
        <f t="shared" si="5"/>
        <v>14.51226933</v>
      </c>
    </row>
    <row r="85" ht="15.75" customHeight="1">
      <c r="A85" s="31" t="s">
        <v>45</v>
      </c>
      <c r="B85" s="32">
        <f t="shared" si="6"/>
        <v>45374</v>
      </c>
      <c r="C85" s="33">
        <v>3.0</v>
      </c>
      <c r="D85" s="33" t="s">
        <v>49</v>
      </c>
      <c r="E85" s="34"/>
      <c r="F85" s="42">
        <v>140.0</v>
      </c>
      <c r="H85" s="43">
        <v>65.0</v>
      </c>
      <c r="J85" s="43">
        <v>0.0</v>
      </c>
      <c r="L85" s="43">
        <v>0.0</v>
      </c>
      <c r="N85" s="43">
        <v>65.0</v>
      </c>
      <c r="P85" s="43">
        <v>0.0</v>
      </c>
      <c r="Q85" s="26"/>
      <c r="R85" s="42">
        <v>310.0</v>
      </c>
      <c r="T85" s="43">
        <v>310.0</v>
      </c>
      <c r="V85" s="43">
        <v>0.0</v>
      </c>
      <c r="X85" s="43">
        <v>0.0</v>
      </c>
      <c r="Z85" s="43">
        <v>0.0</v>
      </c>
      <c r="AB85" s="43">
        <v>0.0</v>
      </c>
      <c r="AC85" s="26"/>
      <c r="AD85" s="43">
        <v>0.0</v>
      </c>
      <c r="AF85" s="43">
        <v>0.0</v>
      </c>
      <c r="AH85" s="43">
        <v>0.0</v>
      </c>
      <c r="AJ85" s="27">
        <v>0.0</v>
      </c>
      <c r="AK85" s="26"/>
      <c r="AL85" s="42"/>
      <c r="AM85" s="26"/>
      <c r="AN85" s="42"/>
      <c r="AO85" s="26"/>
      <c r="AP85" s="42"/>
      <c r="AQ85" s="26"/>
      <c r="AR85" s="43"/>
      <c r="AT85" s="43"/>
      <c r="AU85" s="26"/>
      <c r="AV85" s="35">
        <f t="shared" si="1"/>
        <v>12400.4154</v>
      </c>
      <c r="AW85" s="33">
        <f t="shared" si="2"/>
        <v>825</v>
      </c>
      <c r="AX85" s="33">
        <f t="shared" si="3"/>
        <v>65</v>
      </c>
      <c r="AY85" s="33">
        <f t="shared" si="4"/>
        <v>890</v>
      </c>
      <c r="AZ85" s="30">
        <f t="shared" si="5"/>
        <v>13.93305101</v>
      </c>
    </row>
    <row r="86" ht="15.75" customHeight="1">
      <c r="A86" s="44" t="s">
        <v>46</v>
      </c>
      <c r="B86" s="45">
        <f t="shared" si="6"/>
        <v>45375</v>
      </c>
      <c r="C86" s="46">
        <v>3.0</v>
      </c>
      <c r="D86" s="46" t="s">
        <v>49</v>
      </c>
      <c r="E86" s="47"/>
      <c r="F86" s="66">
        <v>140.0</v>
      </c>
      <c r="G86" s="51"/>
      <c r="H86" s="67">
        <v>65.0</v>
      </c>
      <c r="I86" s="51"/>
      <c r="J86" s="67">
        <v>0.0</v>
      </c>
      <c r="K86" s="51"/>
      <c r="L86" s="67">
        <v>0.0</v>
      </c>
      <c r="M86" s="51"/>
      <c r="N86" s="67">
        <v>0.0</v>
      </c>
      <c r="O86" s="51"/>
      <c r="P86" s="67">
        <v>0.0</v>
      </c>
      <c r="Q86" s="53"/>
      <c r="R86" s="66">
        <v>240.0</v>
      </c>
      <c r="S86" s="51"/>
      <c r="T86" s="67">
        <v>240.0</v>
      </c>
      <c r="U86" s="51"/>
      <c r="V86" s="67">
        <v>0.0</v>
      </c>
      <c r="W86" s="51"/>
      <c r="X86" s="67">
        <v>0.0</v>
      </c>
      <c r="Y86" s="51"/>
      <c r="Z86" s="67">
        <v>0.0</v>
      </c>
      <c r="AA86" s="51"/>
      <c r="AB86" s="67">
        <v>0.0</v>
      </c>
      <c r="AC86" s="53"/>
      <c r="AD86" s="67">
        <v>0.0</v>
      </c>
      <c r="AE86" s="51"/>
      <c r="AF86" s="67">
        <v>0.0</v>
      </c>
      <c r="AG86" s="51"/>
      <c r="AH86" s="67">
        <v>0.0</v>
      </c>
      <c r="AI86" s="51"/>
      <c r="AJ86" s="54">
        <v>0.0</v>
      </c>
      <c r="AK86" s="53"/>
      <c r="AL86" s="66"/>
      <c r="AM86" s="53"/>
      <c r="AN86" s="66"/>
      <c r="AO86" s="53"/>
      <c r="AP86" s="66"/>
      <c r="AQ86" s="53"/>
      <c r="AR86" s="67"/>
      <c r="AS86" s="51"/>
      <c r="AT86" s="67"/>
      <c r="AU86" s="53"/>
      <c r="AV86" s="55">
        <f t="shared" si="1"/>
        <v>9514.0891</v>
      </c>
      <c r="AW86" s="46">
        <f t="shared" si="2"/>
        <v>685</v>
      </c>
      <c r="AX86" s="46">
        <f t="shared" si="3"/>
        <v>0</v>
      </c>
      <c r="AY86" s="46">
        <f t="shared" si="4"/>
        <v>685</v>
      </c>
      <c r="AZ86" s="56">
        <f t="shared" si="5"/>
        <v>13.88918117</v>
      </c>
    </row>
    <row r="87" ht="15.75" customHeight="1">
      <c r="A87" s="19" t="s">
        <v>30</v>
      </c>
      <c r="B87" s="57">
        <f t="shared" si="6"/>
        <v>45376</v>
      </c>
      <c r="C87" s="21">
        <v>4.0</v>
      </c>
      <c r="D87" s="21" t="s">
        <v>31</v>
      </c>
      <c r="E87" s="23"/>
      <c r="F87" s="75">
        <v>140.0</v>
      </c>
      <c r="H87" s="76">
        <v>65.0</v>
      </c>
      <c r="J87" s="43">
        <v>0.0</v>
      </c>
      <c r="L87" s="43">
        <v>0.0</v>
      </c>
      <c r="N87" s="76">
        <v>0.0</v>
      </c>
      <c r="P87" s="43">
        <v>0.0</v>
      </c>
      <c r="Q87" s="26"/>
      <c r="R87" s="75">
        <v>240.0</v>
      </c>
      <c r="T87" s="76">
        <v>240.0</v>
      </c>
      <c r="V87" s="43">
        <v>0.0</v>
      </c>
      <c r="X87" s="43">
        <v>0.0</v>
      </c>
      <c r="Z87" s="43">
        <v>0.0</v>
      </c>
      <c r="AB87" s="43">
        <v>0.0</v>
      </c>
      <c r="AC87" s="26"/>
      <c r="AD87" s="43">
        <v>0.0</v>
      </c>
      <c r="AF87" s="43">
        <v>0.0</v>
      </c>
      <c r="AH87" s="43">
        <v>0.0</v>
      </c>
      <c r="AJ87" s="27">
        <v>0.0</v>
      </c>
      <c r="AK87" s="26"/>
      <c r="AL87" s="42"/>
      <c r="AM87" s="26"/>
      <c r="AN87" s="42"/>
      <c r="AO87" s="26"/>
      <c r="AP87" s="42"/>
      <c r="AQ87" s="26"/>
      <c r="AR87" s="43"/>
      <c r="AT87" s="43"/>
      <c r="AU87" s="26"/>
      <c r="AV87" s="29">
        <f t="shared" si="1"/>
        <v>9514.0891</v>
      </c>
      <c r="AW87" s="21">
        <f t="shared" si="2"/>
        <v>685</v>
      </c>
      <c r="AX87" s="21">
        <f t="shared" si="3"/>
        <v>0</v>
      </c>
      <c r="AY87" s="21">
        <f t="shared" si="4"/>
        <v>685</v>
      </c>
      <c r="AZ87" s="58">
        <f t="shared" si="5"/>
        <v>13.88918117</v>
      </c>
    </row>
    <row r="88" ht="15.75" customHeight="1">
      <c r="A88" s="31" t="s">
        <v>33</v>
      </c>
      <c r="B88" s="32">
        <f t="shared" si="6"/>
        <v>45377</v>
      </c>
      <c r="C88" s="33">
        <v>4.0</v>
      </c>
      <c r="D88" s="33" t="s">
        <v>31</v>
      </c>
      <c r="E88" s="34"/>
      <c r="F88" s="75">
        <v>0.0</v>
      </c>
      <c r="H88" s="76">
        <v>0.0</v>
      </c>
      <c r="J88" s="43">
        <v>0.0</v>
      </c>
      <c r="L88" s="43">
        <v>0.0</v>
      </c>
      <c r="N88" s="76">
        <v>0.0</v>
      </c>
      <c r="P88" s="43">
        <v>0.0</v>
      </c>
      <c r="Q88" s="26"/>
      <c r="R88" s="42">
        <v>240.0</v>
      </c>
      <c r="T88" s="43">
        <v>240.0</v>
      </c>
      <c r="V88" s="43">
        <v>0.0</v>
      </c>
      <c r="X88" s="43">
        <v>0.0</v>
      </c>
      <c r="Z88" s="43">
        <v>0.0</v>
      </c>
      <c r="AB88" s="43">
        <v>0.0</v>
      </c>
      <c r="AC88" s="26"/>
      <c r="AD88" s="43">
        <v>0.0</v>
      </c>
      <c r="AF88" s="43">
        <v>0.0</v>
      </c>
      <c r="AH88" s="43">
        <v>0.0</v>
      </c>
      <c r="AJ88" s="27">
        <v>0.0</v>
      </c>
      <c r="AK88" s="26"/>
      <c r="AL88" s="42"/>
      <c r="AM88" s="26"/>
      <c r="AN88" s="42"/>
      <c r="AO88" s="26"/>
      <c r="AP88" s="42"/>
      <c r="AQ88" s="26"/>
      <c r="AR88" s="43"/>
      <c r="AT88" s="43"/>
      <c r="AU88" s="26"/>
      <c r="AV88" s="35">
        <f t="shared" si="1"/>
        <v>5130.0288</v>
      </c>
      <c r="AW88" s="33">
        <f t="shared" si="2"/>
        <v>480</v>
      </c>
      <c r="AX88" s="33">
        <f t="shared" si="3"/>
        <v>0</v>
      </c>
      <c r="AY88" s="33">
        <f t="shared" si="4"/>
        <v>480</v>
      </c>
      <c r="AZ88" s="30">
        <f t="shared" si="5"/>
        <v>10.68756</v>
      </c>
    </row>
    <row r="89" ht="15.75" customHeight="1">
      <c r="A89" s="31" t="s">
        <v>34</v>
      </c>
      <c r="B89" s="32">
        <f t="shared" si="6"/>
        <v>45378</v>
      </c>
      <c r="C89" s="33">
        <v>4.0</v>
      </c>
      <c r="D89" s="33" t="s">
        <v>31</v>
      </c>
      <c r="E89" s="34"/>
      <c r="F89" s="42">
        <v>0.0</v>
      </c>
      <c r="H89" s="43">
        <v>0.0</v>
      </c>
      <c r="J89" s="43">
        <v>0.0</v>
      </c>
      <c r="L89" s="43">
        <v>0.0</v>
      </c>
      <c r="N89" s="43">
        <v>0.0</v>
      </c>
      <c r="P89" s="43">
        <v>0.0</v>
      </c>
      <c r="Q89" s="26"/>
      <c r="R89" s="42">
        <v>240.0</v>
      </c>
      <c r="T89" s="43">
        <v>240.0</v>
      </c>
      <c r="V89" s="43">
        <v>0.0</v>
      </c>
      <c r="X89" s="43">
        <v>0.0</v>
      </c>
      <c r="Z89" s="43">
        <v>0.0</v>
      </c>
      <c r="AB89" s="43">
        <v>0.0</v>
      </c>
      <c r="AC89" s="26"/>
      <c r="AD89" s="43">
        <v>0.0</v>
      </c>
      <c r="AF89" s="43">
        <v>0.0</v>
      </c>
      <c r="AH89" s="43">
        <v>0.0</v>
      </c>
      <c r="AJ89" s="27">
        <v>0.0</v>
      </c>
      <c r="AK89" s="26"/>
      <c r="AL89" s="42"/>
      <c r="AM89" s="26"/>
      <c r="AN89" s="42"/>
      <c r="AO89" s="26"/>
      <c r="AP89" s="42"/>
      <c r="AQ89" s="26"/>
      <c r="AR89" s="43"/>
      <c r="AT89" s="43"/>
      <c r="AU89" s="26"/>
      <c r="AV89" s="35">
        <f t="shared" si="1"/>
        <v>5130.0288</v>
      </c>
      <c r="AW89" s="33">
        <f t="shared" si="2"/>
        <v>480</v>
      </c>
      <c r="AX89" s="33">
        <f t="shared" si="3"/>
        <v>0</v>
      </c>
      <c r="AY89" s="33">
        <f t="shared" si="4"/>
        <v>480</v>
      </c>
      <c r="AZ89" s="30">
        <f t="shared" si="5"/>
        <v>10.68756</v>
      </c>
    </row>
    <row r="90" ht="15.75" customHeight="1">
      <c r="A90" s="31" t="s">
        <v>35</v>
      </c>
      <c r="B90" s="32">
        <f t="shared" si="6"/>
        <v>45379</v>
      </c>
      <c r="C90" s="33">
        <v>4.0</v>
      </c>
      <c r="D90" s="33" t="s">
        <v>31</v>
      </c>
      <c r="E90" s="34"/>
      <c r="F90" s="42">
        <v>0.0</v>
      </c>
      <c r="H90" s="43">
        <v>0.0</v>
      </c>
      <c r="J90" s="43">
        <v>0.0</v>
      </c>
      <c r="L90" s="43">
        <v>0.0</v>
      </c>
      <c r="N90" s="43">
        <v>0.0</v>
      </c>
      <c r="P90" s="43">
        <v>0.0</v>
      </c>
      <c r="Q90" s="26"/>
      <c r="R90" s="42">
        <v>240.0</v>
      </c>
      <c r="T90" s="43">
        <v>240.0</v>
      </c>
      <c r="V90" s="43">
        <v>0.0</v>
      </c>
      <c r="X90" s="43">
        <v>0.0</v>
      </c>
      <c r="Z90" s="43">
        <v>0.0</v>
      </c>
      <c r="AB90" s="43">
        <v>0.0</v>
      </c>
      <c r="AC90" s="26"/>
      <c r="AD90" s="43">
        <v>0.0</v>
      </c>
      <c r="AF90" s="43">
        <v>0.0</v>
      </c>
      <c r="AH90" s="43">
        <v>0.0</v>
      </c>
      <c r="AJ90" s="27">
        <v>0.0</v>
      </c>
      <c r="AK90" s="26"/>
      <c r="AL90" s="42"/>
      <c r="AM90" s="26"/>
      <c r="AN90" s="42"/>
      <c r="AO90" s="26"/>
      <c r="AP90" s="42"/>
      <c r="AQ90" s="26"/>
      <c r="AR90" s="43"/>
      <c r="AT90" s="43"/>
      <c r="AU90" s="26"/>
      <c r="AV90" s="35">
        <f t="shared" si="1"/>
        <v>5130.0288</v>
      </c>
      <c r="AW90" s="33">
        <f t="shared" si="2"/>
        <v>480</v>
      </c>
      <c r="AX90" s="33">
        <f t="shared" si="3"/>
        <v>0</v>
      </c>
      <c r="AY90" s="33">
        <f t="shared" si="4"/>
        <v>480</v>
      </c>
      <c r="AZ90" s="30">
        <f t="shared" si="5"/>
        <v>10.68756</v>
      </c>
    </row>
    <row r="91" ht="15.75" customHeight="1">
      <c r="A91" s="31" t="s">
        <v>38</v>
      </c>
      <c r="B91" s="32">
        <f t="shared" si="6"/>
        <v>45380</v>
      </c>
      <c r="C91" s="33">
        <v>4.0</v>
      </c>
      <c r="D91" s="33" t="s">
        <v>31</v>
      </c>
      <c r="E91" s="34"/>
      <c r="F91" s="42">
        <v>0.0</v>
      </c>
      <c r="H91" s="43">
        <v>0.0</v>
      </c>
      <c r="J91" s="43">
        <v>0.0</v>
      </c>
      <c r="L91" s="43">
        <v>0.0</v>
      </c>
      <c r="N91" s="43">
        <v>0.0</v>
      </c>
      <c r="P91" s="43">
        <v>0.0</v>
      </c>
      <c r="Q91" s="26"/>
      <c r="R91" s="42">
        <v>240.0</v>
      </c>
      <c r="T91" s="43">
        <v>240.0</v>
      </c>
      <c r="V91" s="43">
        <v>0.0</v>
      </c>
      <c r="X91" s="43">
        <v>0.0</v>
      </c>
      <c r="Z91" s="43">
        <v>0.0</v>
      </c>
      <c r="AB91" s="43">
        <v>0.0</v>
      </c>
      <c r="AC91" s="26"/>
      <c r="AD91" s="43">
        <v>0.0</v>
      </c>
      <c r="AF91" s="43">
        <v>0.0</v>
      </c>
      <c r="AH91" s="43">
        <v>0.0</v>
      </c>
      <c r="AJ91" s="27">
        <v>0.0</v>
      </c>
      <c r="AK91" s="26"/>
      <c r="AL91" s="42"/>
      <c r="AM91" s="26"/>
      <c r="AN91" s="42"/>
      <c r="AO91" s="26"/>
      <c r="AP91" s="42"/>
      <c r="AQ91" s="26"/>
      <c r="AR91" s="43"/>
      <c r="AT91" s="43"/>
      <c r="AU91" s="26"/>
      <c r="AV91" s="35">
        <f t="shared" si="1"/>
        <v>5130.0288</v>
      </c>
      <c r="AW91" s="33">
        <f t="shared" si="2"/>
        <v>480</v>
      </c>
      <c r="AX91" s="33">
        <f t="shared" si="3"/>
        <v>0</v>
      </c>
      <c r="AY91" s="33">
        <f t="shared" si="4"/>
        <v>480</v>
      </c>
      <c r="AZ91" s="30">
        <f t="shared" si="5"/>
        <v>10.68756</v>
      </c>
    </row>
    <row r="92" ht="15.75" customHeight="1">
      <c r="A92" s="31" t="s">
        <v>45</v>
      </c>
      <c r="B92" s="32">
        <f t="shared" si="6"/>
        <v>45381</v>
      </c>
      <c r="C92" s="33">
        <v>4.0</v>
      </c>
      <c r="D92" s="33" t="s">
        <v>31</v>
      </c>
      <c r="E92" s="34"/>
      <c r="F92" s="42">
        <v>0.0</v>
      </c>
      <c r="H92" s="43">
        <v>0.0</v>
      </c>
      <c r="J92" s="43">
        <v>0.0</v>
      </c>
      <c r="L92" s="43">
        <v>0.0</v>
      </c>
      <c r="N92" s="43">
        <v>0.0</v>
      </c>
      <c r="P92" s="43">
        <v>0.0</v>
      </c>
      <c r="Q92" s="26"/>
      <c r="R92" s="42">
        <v>150.0</v>
      </c>
      <c r="T92" s="43">
        <v>150.0</v>
      </c>
      <c r="V92" s="43">
        <v>0.0</v>
      </c>
      <c r="X92" s="43">
        <v>0.0</v>
      </c>
      <c r="Z92" s="43">
        <v>0.0</v>
      </c>
      <c r="AB92" s="43">
        <v>0.0</v>
      </c>
      <c r="AC92" s="26"/>
      <c r="AD92" s="43">
        <v>0.0</v>
      </c>
      <c r="AF92" s="43">
        <v>0.0</v>
      </c>
      <c r="AH92" s="43">
        <v>0.0</v>
      </c>
      <c r="AJ92" s="27">
        <v>0.0</v>
      </c>
      <c r="AK92" s="26"/>
      <c r="AL92" s="42"/>
      <c r="AM92" s="26"/>
      <c r="AN92" s="42"/>
      <c r="AO92" s="26"/>
      <c r="AP92" s="42"/>
      <c r="AQ92" s="26"/>
      <c r="AR92" s="43"/>
      <c r="AT92" s="43"/>
      <c r="AU92" s="26"/>
      <c r="AV92" s="35">
        <f t="shared" si="1"/>
        <v>3206.268</v>
      </c>
      <c r="AW92" s="33">
        <f t="shared" si="2"/>
        <v>300</v>
      </c>
      <c r="AX92" s="33">
        <f t="shared" si="3"/>
        <v>0</v>
      </c>
      <c r="AY92" s="33">
        <f t="shared" si="4"/>
        <v>300</v>
      </c>
      <c r="AZ92" s="30">
        <f t="shared" si="5"/>
        <v>10.68756</v>
      </c>
    </row>
    <row r="93" ht="15.75" customHeight="1">
      <c r="A93" s="44" t="s">
        <v>46</v>
      </c>
      <c r="B93" s="45">
        <f t="shared" si="6"/>
        <v>45382</v>
      </c>
      <c r="C93" s="46">
        <v>4.0</v>
      </c>
      <c r="D93" s="46" t="s">
        <v>31</v>
      </c>
      <c r="E93" s="47"/>
      <c r="F93" s="66">
        <v>0.0</v>
      </c>
      <c r="G93" s="51"/>
      <c r="H93" s="67">
        <v>0.0</v>
      </c>
      <c r="I93" s="51"/>
      <c r="J93" s="67">
        <v>0.0</v>
      </c>
      <c r="K93" s="51"/>
      <c r="L93" s="67">
        <v>0.0</v>
      </c>
      <c r="M93" s="51"/>
      <c r="N93" s="67">
        <v>0.0</v>
      </c>
      <c r="O93" s="51"/>
      <c r="P93" s="67">
        <v>0.0</v>
      </c>
      <c r="Q93" s="53"/>
      <c r="R93" s="66">
        <v>110.0</v>
      </c>
      <c r="S93" s="51"/>
      <c r="T93" s="67">
        <v>110.0</v>
      </c>
      <c r="U93" s="51"/>
      <c r="V93" s="67">
        <v>0.0</v>
      </c>
      <c r="W93" s="51"/>
      <c r="X93" s="67">
        <v>0.0</v>
      </c>
      <c r="Y93" s="51"/>
      <c r="Z93" s="67">
        <v>0.0</v>
      </c>
      <c r="AA93" s="51"/>
      <c r="AB93" s="67">
        <v>0.0</v>
      </c>
      <c r="AC93" s="53"/>
      <c r="AD93" s="67">
        <v>0.0</v>
      </c>
      <c r="AE93" s="51"/>
      <c r="AF93" s="67">
        <v>0.0</v>
      </c>
      <c r="AG93" s="51"/>
      <c r="AH93" s="67">
        <v>0.0</v>
      </c>
      <c r="AI93" s="51"/>
      <c r="AJ93" s="54">
        <v>0.0</v>
      </c>
      <c r="AK93" s="53"/>
      <c r="AL93" s="66"/>
      <c r="AM93" s="53"/>
      <c r="AN93" s="66"/>
      <c r="AO93" s="53"/>
      <c r="AP93" s="66"/>
      <c r="AQ93" s="53"/>
      <c r="AR93" s="67"/>
      <c r="AS93" s="51"/>
      <c r="AT93" s="67"/>
      <c r="AU93" s="53"/>
      <c r="AV93" s="55">
        <f t="shared" si="1"/>
        <v>2351.2632</v>
      </c>
      <c r="AW93" s="46">
        <f t="shared" si="2"/>
        <v>220</v>
      </c>
      <c r="AX93" s="46">
        <f t="shared" si="3"/>
        <v>0</v>
      </c>
      <c r="AY93" s="46">
        <f t="shared" si="4"/>
        <v>220</v>
      </c>
      <c r="AZ93" s="56">
        <f t="shared" si="5"/>
        <v>10.68756</v>
      </c>
    </row>
    <row r="94" ht="15.75" customHeight="1">
      <c r="A94" s="19" t="s">
        <v>30</v>
      </c>
      <c r="B94" s="57">
        <f t="shared" si="6"/>
        <v>45383</v>
      </c>
      <c r="C94" s="21">
        <v>4.0</v>
      </c>
      <c r="D94" s="21" t="s">
        <v>47</v>
      </c>
      <c r="E94" s="23"/>
      <c r="F94" s="42">
        <v>0.0</v>
      </c>
      <c r="H94" s="43">
        <v>0.0</v>
      </c>
      <c r="J94" s="43">
        <v>0.0</v>
      </c>
      <c r="L94" s="43">
        <v>0.0</v>
      </c>
      <c r="N94" s="43">
        <v>0.0</v>
      </c>
      <c r="P94" s="43">
        <v>0.0</v>
      </c>
      <c r="Q94" s="26"/>
      <c r="R94" s="42">
        <v>80.0</v>
      </c>
      <c r="T94" s="43">
        <v>70.0</v>
      </c>
      <c r="V94" s="43">
        <v>0.0</v>
      </c>
      <c r="X94" s="43">
        <v>0.0</v>
      </c>
      <c r="Z94" s="43">
        <v>0.0</v>
      </c>
      <c r="AB94" s="43">
        <v>0.0</v>
      </c>
      <c r="AC94" s="26"/>
      <c r="AD94" s="43">
        <v>0.0</v>
      </c>
      <c r="AF94" s="43">
        <v>0.0</v>
      </c>
      <c r="AH94" s="43">
        <v>0.0</v>
      </c>
      <c r="AJ94" s="27">
        <v>0.0</v>
      </c>
      <c r="AK94" s="26"/>
      <c r="AL94" s="42"/>
      <c r="AM94" s="26"/>
      <c r="AN94" s="42"/>
      <c r="AO94" s="26"/>
      <c r="AP94" s="42"/>
      <c r="AQ94" s="26"/>
      <c r="AR94" s="43"/>
      <c r="AT94" s="43"/>
      <c r="AU94" s="26"/>
      <c r="AV94" s="29">
        <f t="shared" si="1"/>
        <v>1603.134</v>
      </c>
      <c r="AW94" s="21">
        <f t="shared" si="2"/>
        <v>150</v>
      </c>
      <c r="AX94" s="21">
        <f t="shared" si="3"/>
        <v>0</v>
      </c>
      <c r="AY94" s="21">
        <f t="shared" si="4"/>
        <v>150</v>
      </c>
      <c r="AZ94" s="58">
        <f t="shared" si="5"/>
        <v>10.68756</v>
      </c>
    </row>
    <row r="95" ht="15.75" customHeight="1">
      <c r="A95" s="31" t="s">
        <v>33</v>
      </c>
      <c r="B95" s="32">
        <f t="shared" si="6"/>
        <v>45384</v>
      </c>
      <c r="C95" s="33">
        <v>4.0</v>
      </c>
      <c r="D95" s="33" t="s">
        <v>47</v>
      </c>
      <c r="E95" s="34"/>
      <c r="F95" s="42">
        <v>0.0</v>
      </c>
      <c r="H95" s="43">
        <v>0.0</v>
      </c>
      <c r="J95" s="43">
        <v>0.0</v>
      </c>
      <c r="L95" s="43">
        <v>0.0</v>
      </c>
      <c r="N95" s="43">
        <v>0.0</v>
      </c>
      <c r="P95" s="43">
        <v>0.0</v>
      </c>
      <c r="Q95" s="26"/>
      <c r="R95" s="42">
        <v>120.0</v>
      </c>
      <c r="T95" s="43">
        <v>120.0</v>
      </c>
      <c r="V95" s="43">
        <v>0.0</v>
      </c>
      <c r="X95" s="43">
        <v>0.0</v>
      </c>
      <c r="Z95" s="43">
        <v>0.0</v>
      </c>
      <c r="AB95" s="43">
        <v>0.0</v>
      </c>
      <c r="AC95" s="26"/>
      <c r="AD95" s="43">
        <v>0.0</v>
      </c>
      <c r="AF95" s="43">
        <v>0.0</v>
      </c>
      <c r="AH95" s="43">
        <v>0.0</v>
      </c>
      <c r="AJ95" s="27">
        <v>0.0</v>
      </c>
      <c r="AK95" s="26"/>
      <c r="AL95" s="42"/>
      <c r="AM95" s="26"/>
      <c r="AN95" s="42"/>
      <c r="AO95" s="26"/>
      <c r="AP95" s="42"/>
      <c r="AQ95" s="26"/>
      <c r="AR95" s="43"/>
      <c r="AT95" s="43"/>
      <c r="AU95" s="26"/>
      <c r="AV95" s="35">
        <f t="shared" si="1"/>
        <v>2565.0144</v>
      </c>
      <c r="AW95" s="33">
        <f t="shared" si="2"/>
        <v>240</v>
      </c>
      <c r="AX95" s="33">
        <f t="shared" si="3"/>
        <v>0</v>
      </c>
      <c r="AY95" s="33">
        <f t="shared" si="4"/>
        <v>240</v>
      </c>
      <c r="AZ95" s="30">
        <f t="shared" si="5"/>
        <v>10.68756</v>
      </c>
    </row>
    <row r="96" ht="15.75" customHeight="1">
      <c r="A96" s="31" t="s">
        <v>34</v>
      </c>
      <c r="B96" s="32">
        <f t="shared" si="6"/>
        <v>45385</v>
      </c>
      <c r="C96" s="33">
        <v>4.0</v>
      </c>
      <c r="D96" s="33" t="s">
        <v>47</v>
      </c>
      <c r="E96" s="34"/>
      <c r="F96" s="42">
        <v>0.0</v>
      </c>
      <c r="H96" s="43">
        <v>0.0</v>
      </c>
      <c r="J96" s="43">
        <v>0.0</v>
      </c>
      <c r="L96" s="43">
        <v>0.0</v>
      </c>
      <c r="N96" s="43">
        <v>0.0</v>
      </c>
      <c r="P96" s="43">
        <v>0.0</v>
      </c>
      <c r="Q96" s="26"/>
      <c r="R96" s="42">
        <v>133.0</v>
      </c>
      <c r="T96" s="43">
        <v>133.0</v>
      </c>
      <c r="V96" s="43">
        <v>0.0</v>
      </c>
      <c r="X96" s="43">
        <v>0.0</v>
      </c>
      <c r="Z96" s="43">
        <v>0.0</v>
      </c>
      <c r="AB96" s="43">
        <v>0.0</v>
      </c>
      <c r="AC96" s="26"/>
      <c r="AD96" s="43">
        <v>0.0</v>
      </c>
      <c r="AF96" s="43">
        <v>0.0</v>
      </c>
      <c r="AH96" s="43">
        <v>0.0</v>
      </c>
      <c r="AJ96" s="27">
        <v>0.0</v>
      </c>
      <c r="AK96" s="26"/>
      <c r="AL96" s="42"/>
      <c r="AM96" s="26"/>
      <c r="AN96" s="42"/>
      <c r="AO96" s="26"/>
      <c r="AP96" s="42"/>
      <c r="AQ96" s="26"/>
      <c r="AR96" s="43"/>
      <c r="AT96" s="43"/>
      <c r="AU96" s="26"/>
      <c r="AV96" s="35">
        <f t="shared" si="1"/>
        <v>2842.89096</v>
      </c>
      <c r="AW96" s="33">
        <f t="shared" si="2"/>
        <v>266</v>
      </c>
      <c r="AX96" s="33">
        <f t="shared" si="3"/>
        <v>0</v>
      </c>
      <c r="AY96" s="33">
        <f t="shared" si="4"/>
        <v>266</v>
      </c>
      <c r="AZ96" s="30">
        <f t="shared" si="5"/>
        <v>10.68756</v>
      </c>
    </row>
    <row r="97" ht="15.75" customHeight="1">
      <c r="A97" s="31" t="s">
        <v>35</v>
      </c>
      <c r="B97" s="32">
        <f t="shared" si="6"/>
        <v>45386</v>
      </c>
      <c r="C97" s="33">
        <v>4.0</v>
      </c>
      <c r="D97" s="33" t="s">
        <v>47</v>
      </c>
      <c r="E97" s="34"/>
      <c r="F97" s="42">
        <v>0.0</v>
      </c>
      <c r="H97" s="43">
        <v>0.0</v>
      </c>
      <c r="J97" s="43">
        <v>0.0</v>
      </c>
      <c r="L97" s="43">
        <v>0.0</v>
      </c>
      <c r="N97" s="43">
        <v>0.0</v>
      </c>
      <c r="P97" s="43">
        <v>0.0</v>
      </c>
      <c r="Q97" s="26"/>
      <c r="R97" s="42">
        <v>145.0</v>
      </c>
      <c r="T97" s="43">
        <v>145.0</v>
      </c>
      <c r="V97" s="43">
        <v>60.0</v>
      </c>
      <c r="X97" s="43">
        <v>0.0</v>
      </c>
      <c r="Z97" s="43">
        <v>0.0</v>
      </c>
      <c r="AB97" s="43">
        <v>0.0</v>
      </c>
      <c r="AC97" s="26"/>
      <c r="AD97" s="43">
        <v>0.0</v>
      </c>
      <c r="AF97" s="43">
        <v>0.0</v>
      </c>
      <c r="AH97" s="43">
        <v>0.0</v>
      </c>
      <c r="AJ97" s="27">
        <v>0.0</v>
      </c>
      <c r="AK97" s="26"/>
      <c r="AL97" s="42"/>
      <c r="AM97" s="26"/>
      <c r="AN97" s="42"/>
      <c r="AO97" s="26"/>
      <c r="AP97" s="42"/>
      <c r="AQ97" s="26"/>
      <c r="AR97" s="43"/>
      <c r="AT97" s="43"/>
      <c r="AU97" s="26"/>
      <c r="AV97" s="35">
        <f t="shared" si="1"/>
        <v>3740.646</v>
      </c>
      <c r="AW97" s="33">
        <f t="shared" si="2"/>
        <v>350</v>
      </c>
      <c r="AX97" s="33">
        <f t="shared" si="3"/>
        <v>0</v>
      </c>
      <c r="AY97" s="33">
        <f t="shared" si="4"/>
        <v>350</v>
      </c>
      <c r="AZ97" s="30">
        <f t="shared" si="5"/>
        <v>10.68756</v>
      </c>
    </row>
    <row r="98" ht="15.75" customHeight="1">
      <c r="A98" s="31" t="s">
        <v>38</v>
      </c>
      <c r="B98" s="32">
        <f t="shared" si="6"/>
        <v>45387</v>
      </c>
      <c r="C98" s="33">
        <v>4.0</v>
      </c>
      <c r="D98" s="33" t="s">
        <v>47</v>
      </c>
      <c r="E98" s="34"/>
      <c r="F98" s="42">
        <v>0.0</v>
      </c>
      <c r="H98" s="43">
        <v>0.0</v>
      </c>
      <c r="J98" s="43">
        <v>0.0</v>
      </c>
      <c r="L98" s="43">
        <v>0.0</v>
      </c>
      <c r="N98" s="43">
        <v>0.0</v>
      </c>
      <c r="P98" s="43">
        <v>0.0</v>
      </c>
      <c r="Q98" s="26"/>
      <c r="R98" s="42">
        <v>160.0</v>
      </c>
      <c r="T98" s="43">
        <v>160.0</v>
      </c>
      <c r="V98" s="43">
        <v>0.0</v>
      </c>
      <c r="X98" s="43">
        <v>0.0</v>
      </c>
      <c r="Z98" s="43">
        <v>0.0</v>
      </c>
      <c r="AB98" s="43">
        <v>0.0</v>
      </c>
      <c r="AC98" s="26"/>
      <c r="AD98" s="43">
        <v>0.0</v>
      </c>
      <c r="AF98" s="43">
        <v>0.0</v>
      </c>
      <c r="AH98" s="43">
        <v>0.0</v>
      </c>
      <c r="AJ98" s="27">
        <v>0.0</v>
      </c>
      <c r="AK98" s="26"/>
      <c r="AL98" s="42"/>
      <c r="AM98" s="26"/>
      <c r="AN98" s="42"/>
      <c r="AO98" s="26"/>
      <c r="AP98" s="42"/>
      <c r="AQ98" s="26"/>
      <c r="AR98" s="43"/>
      <c r="AT98" s="43"/>
      <c r="AU98" s="26"/>
      <c r="AV98" s="35">
        <f t="shared" si="1"/>
        <v>3420.0192</v>
      </c>
      <c r="AW98" s="33">
        <f t="shared" si="2"/>
        <v>320</v>
      </c>
      <c r="AX98" s="33">
        <f t="shared" si="3"/>
        <v>0</v>
      </c>
      <c r="AY98" s="33">
        <f t="shared" si="4"/>
        <v>320</v>
      </c>
      <c r="AZ98" s="30">
        <f t="shared" si="5"/>
        <v>10.68756</v>
      </c>
    </row>
    <row r="99" ht="15.75" customHeight="1">
      <c r="A99" s="31" t="s">
        <v>45</v>
      </c>
      <c r="B99" s="32">
        <f t="shared" si="6"/>
        <v>45388</v>
      </c>
      <c r="C99" s="33">
        <v>4.0</v>
      </c>
      <c r="D99" s="33" t="s">
        <v>47</v>
      </c>
      <c r="E99" s="34"/>
      <c r="F99" s="42">
        <v>0.0</v>
      </c>
      <c r="H99" s="43">
        <v>0.0</v>
      </c>
      <c r="J99" s="43">
        <v>0.0</v>
      </c>
      <c r="L99" s="43">
        <v>0.0</v>
      </c>
      <c r="N99" s="43">
        <v>0.0</v>
      </c>
      <c r="P99" s="43">
        <v>0.0</v>
      </c>
      <c r="Q99" s="26"/>
      <c r="R99" s="42">
        <v>160.0</v>
      </c>
      <c r="T99" s="43">
        <v>160.0</v>
      </c>
      <c r="V99" s="43">
        <v>0.0</v>
      </c>
      <c r="X99" s="43">
        <v>0.0</v>
      </c>
      <c r="Z99" s="43">
        <v>0.0</v>
      </c>
      <c r="AB99" s="43">
        <v>0.0</v>
      </c>
      <c r="AC99" s="26"/>
      <c r="AD99" s="43">
        <v>0.0</v>
      </c>
      <c r="AF99" s="43">
        <v>0.0</v>
      </c>
      <c r="AH99" s="43">
        <v>0.0</v>
      </c>
      <c r="AJ99" s="27">
        <v>0.0</v>
      </c>
      <c r="AK99" s="26"/>
      <c r="AL99" s="42"/>
      <c r="AM99" s="26"/>
      <c r="AN99" s="42"/>
      <c r="AO99" s="26"/>
      <c r="AP99" s="42"/>
      <c r="AQ99" s="26"/>
      <c r="AR99" s="43"/>
      <c r="AT99" s="43"/>
      <c r="AU99" s="26"/>
      <c r="AV99" s="35">
        <f t="shared" si="1"/>
        <v>3420.0192</v>
      </c>
      <c r="AW99" s="33">
        <f t="shared" si="2"/>
        <v>320</v>
      </c>
      <c r="AX99" s="33">
        <f t="shared" si="3"/>
        <v>0</v>
      </c>
      <c r="AY99" s="33">
        <f t="shared" si="4"/>
        <v>320</v>
      </c>
      <c r="AZ99" s="30">
        <f t="shared" si="5"/>
        <v>10.68756</v>
      </c>
    </row>
    <row r="100" ht="15.75" customHeight="1">
      <c r="A100" s="44" t="s">
        <v>46</v>
      </c>
      <c r="B100" s="45">
        <f t="shared" si="6"/>
        <v>45389</v>
      </c>
      <c r="C100" s="46">
        <v>4.0</v>
      </c>
      <c r="D100" s="46" t="s">
        <v>47</v>
      </c>
      <c r="E100" s="47"/>
      <c r="F100" s="66">
        <v>0.0</v>
      </c>
      <c r="G100" s="51"/>
      <c r="H100" s="67">
        <v>0.0</v>
      </c>
      <c r="I100" s="51"/>
      <c r="J100" s="67">
        <v>0.0</v>
      </c>
      <c r="K100" s="51"/>
      <c r="L100" s="67">
        <v>0.0</v>
      </c>
      <c r="M100" s="51"/>
      <c r="N100" s="67">
        <v>0.0</v>
      </c>
      <c r="O100" s="51"/>
      <c r="P100" s="67">
        <v>0.0</v>
      </c>
      <c r="Q100" s="53"/>
      <c r="R100" s="66">
        <v>0.0</v>
      </c>
      <c r="S100" s="51"/>
      <c r="T100" s="67">
        <v>0.0</v>
      </c>
      <c r="U100" s="51"/>
      <c r="V100" s="67">
        <v>0.0</v>
      </c>
      <c r="W100" s="51"/>
      <c r="X100" s="67">
        <v>0.0</v>
      </c>
      <c r="Y100" s="51"/>
      <c r="Z100" s="67">
        <v>0.0</v>
      </c>
      <c r="AA100" s="51"/>
      <c r="AB100" s="67">
        <v>0.0</v>
      </c>
      <c r="AC100" s="53"/>
      <c r="AD100" s="67">
        <v>0.0</v>
      </c>
      <c r="AE100" s="51"/>
      <c r="AF100" s="67">
        <v>0.0</v>
      </c>
      <c r="AG100" s="51"/>
      <c r="AH100" s="67">
        <v>0.0</v>
      </c>
      <c r="AI100" s="51"/>
      <c r="AJ100" s="54">
        <v>0.0</v>
      </c>
      <c r="AK100" s="53"/>
      <c r="AL100" s="66"/>
      <c r="AM100" s="53"/>
      <c r="AN100" s="66"/>
      <c r="AO100" s="53"/>
      <c r="AP100" s="66"/>
      <c r="AQ100" s="53"/>
      <c r="AR100" s="67"/>
      <c r="AS100" s="51"/>
      <c r="AT100" s="67"/>
      <c r="AU100" s="53"/>
      <c r="AV100" s="55">
        <f t="shared" si="1"/>
        <v>0</v>
      </c>
      <c r="AW100" s="46">
        <f t="shared" si="2"/>
        <v>0</v>
      </c>
      <c r="AX100" s="46">
        <f t="shared" si="3"/>
        <v>0</v>
      </c>
      <c r="AY100" s="46">
        <f t="shared" si="4"/>
        <v>0</v>
      </c>
      <c r="AZ100" s="56" t="str">
        <f t="shared" si="5"/>
        <v/>
      </c>
    </row>
    <row r="101" ht="15.75" customHeight="1">
      <c r="A101" s="19" t="s">
        <v>30</v>
      </c>
      <c r="B101" s="57">
        <f t="shared" si="6"/>
        <v>45390</v>
      </c>
      <c r="C101" s="21">
        <v>4.0</v>
      </c>
      <c r="D101" s="21" t="s">
        <v>48</v>
      </c>
      <c r="E101" s="23"/>
      <c r="F101" s="42">
        <v>0.0</v>
      </c>
      <c r="H101" s="43">
        <v>0.0</v>
      </c>
      <c r="J101" s="43">
        <v>0.0</v>
      </c>
      <c r="L101" s="43">
        <v>0.0</v>
      </c>
      <c r="N101" s="43">
        <v>0.0</v>
      </c>
      <c r="P101" s="43">
        <v>0.0</v>
      </c>
      <c r="Q101" s="26"/>
      <c r="R101" s="42">
        <v>160.0</v>
      </c>
      <c r="T101" s="43">
        <v>160.0</v>
      </c>
      <c r="V101" s="43">
        <v>0.0</v>
      </c>
      <c r="X101" s="43">
        <v>0.0</v>
      </c>
      <c r="Z101" s="43">
        <v>0.0</v>
      </c>
      <c r="AB101" s="43">
        <v>0.0</v>
      </c>
      <c r="AC101" s="26"/>
      <c r="AD101" s="43">
        <v>0.0</v>
      </c>
      <c r="AF101" s="43">
        <v>0.0</v>
      </c>
      <c r="AH101" s="43">
        <v>0.0</v>
      </c>
      <c r="AJ101" s="27">
        <v>0.0</v>
      </c>
      <c r="AK101" s="26"/>
      <c r="AL101" s="42"/>
      <c r="AM101" s="26"/>
      <c r="AN101" s="42"/>
      <c r="AO101" s="26"/>
      <c r="AP101" s="42"/>
      <c r="AQ101" s="26"/>
      <c r="AR101" s="43"/>
      <c r="AT101" s="43"/>
      <c r="AU101" s="26"/>
      <c r="AV101" s="29">
        <f t="shared" si="1"/>
        <v>3420.0192</v>
      </c>
      <c r="AW101" s="21">
        <f t="shared" si="2"/>
        <v>320</v>
      </c>
      <c r="AX101" s="21">
        <f t="shared" si="3"/>
        <v>0</v>
      </c>
      <c r="AY101" s="21">
        <f t="shared" si="4"/>
        <v>320</v>
      </c>
      <c r="AZ101" s="58">
        <f t="shared" si="5"/>
        <v>10.68756</v>
      </c>
    </row>
    <row r="102" ht="15.75" customHeight="1">
      <c r="A102" s="31" t="s">
        <v>33</v>
      </c>
      <c r="B102" s="32">
        <f t="shared" si="6"/>
        <v>45391</v>
      </c>
      <c r="C102" s="33">
        <v>4.0</v>
      </c>
      <c r="D102" s="33" t="s">
        <v>48</v>
      </c>
      <c r="E102" s="34"/>
      <c r="F102" s="42">
        <v>0.0</v>
      </c>
      <c r="H102" s="43">
        <v>0.0</v>
      </c>
      <c r="J102" s="43">
        <v>0.0</v>
      </c>
      <c r="L102" s="43">
        <v>0.0</v>
      </c>
      <c r="N102" s="43">
        <v>0.0</v>
      </c>
      <c r="P102" s="43">
        <v>0.0</v>
      </c>
      <c r="Q102" s="26"/>
      <c r="R102" s="42">
        <v>160.0</v>
      </c>
      <c r="T102" s="43">
        <v>160.0</v>
      </c>
      <c r="V102" s="43">
        <v>0.0</v>
      </c>
      <c r="X102" s="43">
        <v>0.0</v>
      </c>
      <c r="Z102" s="43">
        <v>0.0</v>
      </c>
      <c r="AB102" s="43">
        <v>0.0</v>
      </c>
      <c r="AC102" s="26"/>
      <c r="AD102" s="43">
        <v>0.0</v>
      </c>
      <c r="AF102" s="43">
        <v>50.0</v>
      </c>
      <c r="AH102" s="43">
        <v>50.0</v>
      </c>
      <c r="AJ102" s="27">
        <v>0.0</v>
      </c>
      <c r="AK102" s="26"/>
      <c r="AL102" s="42"/>
      <c r="AM102" s="26"/>
      <c r="AN102" s="42"/>
      <c r="AO102" s="26"/>
      <c r="AP102" s="42"/>
      <c r="AQ102" s="26"/>
      <c r="AR102" s="43"/>
      <c r="AT102" s="43"/>
      <c r="AU102" s="26"/>
      <c r="AV102" s="35">
        <f t="shared" si="1"/>
        <v>4948.3192</v>
      </c>
      <c r="AW102" s="33">
        <f t="shared" si="2"/>
        <v>420</v>
      </c>
      <c r="AX102" s="33">
        <f t="shared" si="3"/>
        <v>0</v>
      </c>
      <c r="AY102" s="33">
        <f t="shared" si="4"/>
        <v>420</v>
      </c>
      <c r="AZ102" s="30">
        <f t="shared" si="5"/>
        <v>11.78171238</v>
      </c>
    </row>
    <row r="103" ht="15.75" customHeight="1">
      <c r="A103" s="31" t="s">
        <v>34</v>
      </c>
      <c r="B103" s="32">
        <f t="shared" si="6"/>
        <v>45392</v>
      </c>
      <c r="C103" s="33">
        <v>4.0</v>
      </c>
      <c r="D103" s="33" t="s">
        <v>48</v>
      </c>
      <c r="E103" s="34"/>
      <c r="F103" s="42">
        <v>0.0</v>
      </c>
      <c r="H103" s="43">
        <v>0.0</v>
      </c>
      <c r="J103" s="43">
        <v>0.0</v>
      </c>
      <c r="L103" s="43">
        <v>0.0</v>
      </c>
      <c r="N103" s="43">
        <v>0.0</v>
      </c>
      <c r="P103" s="43">
        <v>0.0</v>
      </c>
      <c r="Q103" s="26"/>
      <c r="R103" s="42">
        <v>160.0</v>
      </c>
      <c r="T103" s="43">
        <v>160.0</v>
      </c>
      <c r="V103" s="43">
        <v>0.0</v>
      </c>
      <c r="X103" s="43">
        <v>0.0</v>
      </c>
      <c r="Z103" s="43">
        <v>0.0</v>
      </c>
      <c r="AB103" s="43">
        <v>0.0</v>
      </c>
      <c r="AC103" s="26"/>
      <c r="AD103" s="43">
        <v>0.0</v>
      </c>
      <c r="AF103" s="43">
        <v>50.0</v>
      </c>
      <c r="AH103" s="43">
        <v>50.0</v>
      </c>
      <c r="AJ103" s="27">
        <v>0.0</v>
      </c>
      <c r="AK103" s="26"/>
      <c r="AL103" s="42"/>
      <c r="AM103" s="26"/>
      <c r="AN103" s="42"/>
      <c r="AO103" s="26"/>
      <c r="AP103" s="42"/>
      <c r="AQ103" s="26"/>
      <c r="AR103" s="43"/>
      <c r="AT103" s="43"/>
      <c r="AU103" s="26"/>
      <c r="AV103" s="35">
        <f t="shared" si="1"/>
        <v>4948.3192</v>
      </c>
      <c r="AW103" s="33">
        <f t="shared" si="2"/>
        <v>420</v>
      </c>
      <c r="AX103" s="33">
        <f t="shared" si="3"/>
        <v>0</v>
      </c>
      <c r="AY103" s="33">
        <f t="shared" si="4"/>
        <v>420</v>
      </c>
      <c r="AZ103" s="30">
        <f t="shared" si="5"/>
        <v>11.78171238</v>
      </c>
    </row>
    <row r="104" ht="15.75" customHeight="1">
      <c r="A104" s="31" t="s">
        <v>35</v>
      </c>
      <c r="B104" s="32">
        <f t="shared" si="6"/>
        <v>45393</v>
      </c>
      <c r="C104" s="33">
        <v>4.0</v>
      </c>
      <c r="D104" s="33" t="s">
        <v>48</v>
      </c>
      <c r="E104" s="34"/>
      <c r="F104" s="42">
        <v>0.0</v>
      </c>
      <c r="H104" s="43">
        <v>0.0</v>
      </c>
      <c r="J104" s="43">
        <v>0.0</v>
      </c>
      <c r="L104" s="43">
        <v>0.0</v>
      </c>
      <c r="N104" s="43">
        <v>0.0</v>
      </c>
      <c r="P104" s="43">
        <v>0.0</v>
      </c>
      <c r="Q104" s="26"/>
      <c r="R104" s="42">
        <v>160.0</v>
      </c>
      <c r="T104" s="43">
        <v>160.0</v>
      </c>
      <c r="V104" s="43">
        <v>0.0</v>
      </c>
      <c r="X104" s="43">
        <v>0.0</v>
      </c>
      <c r="Z104" s="43">
        <v>0.0</v>
      </c>
      <c r="AB104" s="43">
        <v>0.0</v>
      </c>
      <c r="AC104" s="26"/>
      <c r="AD104" s="43">
        <v>0.0</v>
      </c>
      <c r="AF104" s="43">
        <v>0.0</v>
      </c>
      <c r="AH104" s="43">
        <v>50.0</v>
      </c>
      <c r="AJ104" s="27">
        <v>0.0</v>
      </c>
      <c r="AK104" s="26"/>
      <c r="AL104" s="42"/>
      <c r="AM104" s="26"/>
      <c r="AN104" s="42"/>
      <c r="AO104" s="26"/>
      <c r="AP104" s="42"/>
      <c r="AQ104" s="26"/>
      <c r="AR104" s="43"/>
      <c r="AT104" s="43"/>
      <c r="AU104" s="26"/>
      <c r="AV104" s="35">
        <f t="shared" si="1"/>
        <v>4184.1692</v>
      </c>
      <c r="AW104" s="33">
        <f t="shared" si="2"/>
        <v>370</v>
      </c>
      <c r="AX104" s="33">
        <f t="shared" si="3"/>
        <v>0</v>
      </c>
      <c r="AY104" s="33">
        <f t="shared" si="4"/>
        <v>370</v>
      </c>
      <c r="AZ104" s="30">
        <f t="shared" si="5"/>
        <v>11.30856541</v>
      </c>
    </row>
    <row r="105" ht="15.75" customHeight="1">
      <c r="A105" s="31" t="s">
        <v>38</v>
      </c>
      <c r="B105" s="32">
        <f t="shared" si="6"/>
        <v>45394</v>
      </c>
      <c r="C105" s="33">
        <v>4.0</v>
      </c>
      <c r="D105" s="33" t="s">
        <v>48</v>
      </c>
      <c r="E105" s="34"/>
      <c r="F105" s="42">
        <v>0.0</v>
      </c>
      <c r="H105" s="43">
        <v>0.0</v>
      </c>
      <c r="J105" s="43">
        <v>0.0</v>
      </c>
      <c r="L105" s="43">
        <v>0.0</v>
      </c>
      <c r="N105" s="43">
        <v>0.0</v>
      </c>
      <c r="P105" s="43">
        <v>0.0</v>
      </c>
      <c r="Q105" s="26"/>
      <c r="R105" s="42">
        <v>160.0</v>
      </c>
      <c r="T105" s="43">
        <v>160.0</v>
      </c>
      <c r="V105" s="43">
        <v>0.0</v>
      </c>
      <c r="X105" s="43">
        <v>0.0</v>
      </c>
      <c r="Z105" s="43">
        <v>0.0</v>
      </c>
      <c r="AB105" s="43">
        <v>0.0</v>
      </c>
      <c r="AC105" s="26"/>
      <c r="AD105" s="43">
        <v>0.0</v>
      </c>
      <c r="AF105" s="43">
        <v>50.0</v>
      </c>
      <c r="AH105" s="43">
        <v>50.0</v>
      </c>
      <c r="AJ105" s="27">
        <v>0.0</v>
      </c>
      <c r="AK105" s="26"/>
      <c r="AL105" s="42"/>
      <c r="AM105" s="26"/>
      <c r="AN105" s="42"/>
      <c r="AO105" s="26"/>
      <c r="AP105" s="42"/>
      <c r="AQ105" s="26"/>
      <c r="AR105" s="43"/>
      <c r="AT105" s="43"/>
      <c r="AU105" s="26"/>
      <c r="AV105" s="35">
        <f t="shared" si="1"/>
        <v>4948.3192</v>
      </c>
      <c r="AW105" s="33">
        <f t="shared" si="2"/>
        <v>420</v>
      </c>
      <c r="AX105" s="33">
        <f t="shared" si="3"/>
        <v>0</v>
      </c>
      <c r="AY105" s="33">
        <f t="shared" si="4"/>
        <v>420</v>
      </c>
      <c r="AZ105" s="30">
        <f t="shared" si="5"/>
        <v>11.78171238</v>
      </c>
    </row>
    <row r="106" ht="15.75" customHeight="1">
      <c r="A106" s="31" t="s">
        <v>45</v>
      </c>
      <c r="B106" s="32">
        <f t="shared" si="6"/>
        <v>45395</v>
      </c>
      <c r="C106" s="33">
        <v>4.0</v>
      </c>
      <c r="D106" s="33" t="s">
        <v>48</v>
      </c>
      <c r="E106" s="34"/>
      <c r="F106" s="42">
        <v>0.0</v>
      </c>
      <c r="H106" s="43">
        <v>0.0</v>
      </c>
      <c r="J106" s="43">
        <v>0.0</v>
      </c>
      <c r="L106" s="43">
        <v>0.0</v>
      </c>
      <c r="N106" s="43">
        <v>0.0</v>
      </c>
      <c r="P106" s="43">
        <v>0.0</v>
      </c>
      <c r="Q106" s="26"/>
      <c r="R106" s="42">
        <v>160.0</v>
      </c>
      <c r="T106" s="43">
        <v>160.0</v>
      </c>
      <c r="V106" s="43">
        <v>0.0</v>
      </c>
      <c r="X106" s="43">
        <v>0.0</v>
      </c>
      <c r="Z106" s="43">
        <v>0.0</v>
      </c>
      <c r="AB106" s="43">
        <v>0.0</v>
      </c>
      <c r="AC106" s="26"/>
      <c r="AD106" s="43">
        <v>0.0</v>
      </c>
      <c r="AF106" s="43">
        <v>50.0</v>
      </c>
      <c r="AH106" s="43">
        <v>0.0</v>
      </c>
      <c r="AJ106" s="27">
        <v>0.0</v>
      </c>
      <c r="AK106" s="26"/>
      <c r="AL106" s="42"/>
      <c r="AM106" s="26"/>
      <c r="AN106" s="42"/>
      <c r="AO106" s="26"/>
      <c r="AP106" s="42"/>
      <c r="AQ106" s="26"/>
      <c r="AR106" s="43"/>
      <c r="AT106" s="43"/>
      <c r="AU106" s="26"/>
      <c r="AV106" s="35">
        <f t="shared" si="1"/>
        <v>4184.1692</v>
      </c>
      <c r="AW106" s="33">
        <f t="shared" si="2"/>
        <v>370</v>
      </c>
      <c r="AX106" s="33">
        <f t="shared" si="3"/>
        <v>0</v>
      </c>
      <c r="AY106" s="33">
        <f t="shared" si="4"/>
        <v>370</v>
      </c>
      <c r="AZ106" s="30">
        <f t="shared" si="5"/>
        <v>11.30856541</v>
      </c>
    </row>
    <row r="107" ht="15.75" customHeight="1">
      <c r="A107" s="44" t="s">
        <v>46</v>
      </c>
      <c r="B107" s="45">
        <f t="shared" si="6"/>
        <v>45396</v>
      </c>
      <c r="C107" s="46">
        <v>4.0</v>
      </c>
      <c r="D107" s="46" t="s">
        <v>48</v>
      </c>
      <c r="E107" s="47"/>
      <c r="F107" s="66">
        <v>0.0</v>
      </c>
      <c r="G107" s="51"/>
      <c r="H107" s="67">
        <v>0.0</v>
      </c>
      <c r="I107" s="51"/>
      <c r="J107" s="67">
        <v>0.0</v>
      </c>
      <c r="K107" s="51"/>
      <c r="L107" s="67">
        <v>0.0</v>
      </c>
      <c r="M107" s="51"/>
      <c r="N107" s="67">
        <v>0.0</v>
      </c>
      <c r="O107" s="51"/>
      <c r="P107" s="67">
        <v>0.0</v>
      </c>
      <c r="Q107" s="53"/>
      <c r="R107" s="66">
        <v>0.0</v>
      </c>
      <c r="S107" s="51"/>
      <c r="T107" s="67">
        <v>0.0</v>
      </c>
      <c r="U107" s="51"/>
      <c r="V107" s="67">
        <v>0.0</v>
      </c>
      <c r="W107" s="51"/>
      <c r="X107" s="67">
        <v>0.0</v>
      </c>
      <c r="Y107" s="51"/>
      <c r="Z107" s="67">
        <v>0.0</v>
      </c>
      <c r="AA107" s="51"/>
      <c r="AB107" s="67">
        <v>0.0</v>
      </c>
      <c r="AC107" s="53"/>
      <c r="AD107" s="67">
        <v>0.0</v>
      </c>
      <c r="AE107" s="51"/>
      <c r="AF107" s="67">
        <v>0.0</v>
      </c>
      <c r="AG107" s="51"/>
      <c r="AH107" s="67">
        <v>0.0</v>
      </c>
      <c r="AI107" s="51"/>
      <c r="AJ107" s="54">
        <v>0.0</v>
      </c>
      <c r="AK107" s="53"/>
      <c r="AL107" s="66"/>
      <c r="AM107" s="53"/>
      <c r="AN107" s="66"/>
      <c r="AO107" s="53"/>
      <c r="AP107" s="66"/>
      <c r="AQ107" s="53"/>
      <c r="AR107" s="67"/>
      <c r="AS107" s="51"/>
      <c r="AT107" s="67"/>
      <c r="AU107" s="53"/>
      <c r="AV107" s="55">
        <f t="shared" si="1"/>
        <v>0</v>
      </c>
      <c r="AW107" s="46">
        <f t="shared" si="2"/>
        <v>0</v>
      </c>
      <c r="AX107" s="46">
        <f t="shared" si="3"/>
        <v>0</v>
      </c>
      <c r="AY107" s="46">
        <f t="shared" si="4"/>
        <v>0</v>
      </c>
      <c r="AZ107" s="56" t="str">
        <f t="shared" si="5"/>
        <v/>
      </c>
    </row>
    <row r="108" ht="15.75" customHeight="1">
      <c r="A108" s="19" t="s">
        <v>30</v>
      </c>
      <c r="B108" s="57">
        <f t="shared" si="6"/>
        <v>45397</v>
      </c>
      <c r="C108" s="21">
        <v>4.0</v>
      </c>
      <c r="D108" s="21" t="s">
        <v>49</v>
      </c>
      <c r="E108" s="23"/>
      <c r="F108" s="42">
        <v>0.0</v>
      </c>
      <c r="H108" s="43">
        <v>0.0</v>
      </c>
      <c r="J108" s="43">
        <v>0.0</v>
      </c>
      <c r="L108" s="43">
        <v>0.0</v>
      </c>
      <c r="N108" s="43">
        <v>0.0</v>
      </c>
      <c r="P108" s="43">
        <v>0.0</v>
      </c>
      <c r="Q108" s="26"/>
      <c r="R108" s="42">
        <v>160.0</v>
      </c>
      <c r="T108" s="43">
        <v>160.0</v>
      </c>
      <c r="V108" s="43">
        <v>0.0</v>
      </c>
      <c r="X108" s="43">
        <v>0.0</v>
      </c>
      <c r="Z108" s="43">
        <v>0.0</v>
      </c>
      <c r="AB108" s="43">
        <v>0.0</v>
      </c>
      <c r="AC108" s="26"/>
      <c r="AD108" s="43">
        <v>0.0</v>
      </c>
      <c r="AF108" s="43">
        <v>0.0</v>
      </c>
      <c r="AH108" s="43">
        <v>0.0</v>
      </c>
      <c r="AJ108" s="27">
        <v>0.0</v>
      </c>
      <c r="AK108" s="26"/>
      <c r="AL108" s="42"/>
      <c r="AM108" s="26"/>
      <c r="AN108" s="42"/>
      <c r="AO108" s="26"/>
      <c r="AP108" s="42"/>
      <c r="AQ108" s="26"/>
      <c r="AR108" s="43"/>
      <c r="AT108" s="43"/>
      <c r="AU108" s="26"/>
      <c r="AV108" s="29">
        <f t="shared" si="1"/>
        <v>3420.0192</v>
      </c>
      <c r="AW108" s="21">
        <f t="shared" si="2"/>
        <v>320</v>
      </c>
      <c r="AX108" s="21">
        <f t="shared" si="3"/>
        <v>0</v>
      </c>
      <c r="AY108" s="21">
        <f t="shared" si="4"/>
        <v>320</v>
      </c>
      <c r="AZ108" s="58">
        <f t="shared" si="5"/>
        <v>10.68756</v>
      </c>
    </row>
    <row r="109" ht="15.75" customHeight="1">
      <c r="A109" s="31" t="s">
        <v>33</v>
      </c>
      <c r="B109" s="32">
        <f t="shared" si="6"/>
        <v>45398</v>
      </c>
      <c r="C109" s="33">
        <v>4.0</v>
      </c>
      <c r="D109" s="33" t="s">
        <v>49</v>
      </c>
      <c r="E109" s="34"/>
      <c r="F109" s="42">
        <v>0.0</v>
      </c>
      <c r="H109" s="43">
        <v>0.0</v>
      </c>
      <c r="J109" s="43">
        <v>0.0</v>
      </c>
      <c r="L109" s="43">
        <v>0.0</v>
      </c>
      <c r="N109" s="43">
        <v>0.0</v>
      </c>
      <c r="P109" s="43">
        <v>0.0</v>
      </c>
      <c r="Q109" s="26"/>
      <c r="R109" s="42">
        <v>160.0</v>
      </c>
      <c r="T109" s="43">
        <v>160.0</v>
      </c>
      <c r="V109" s="43">
        <v>0.0</v>
      </c>
      <c r="X109" s="43">
        <v>0.0</v>
      </c>
      <c r="Z109" s="43">
        <v>0.0</v>
      </c>
      <c r="AB109" s="43">
        <v>0.0</v>
      </c>
      <c r="AC109" s="26"/>
      <c r="AD109" s="43">
        <v>0.0</v>
      </c>
      <c r="AF109" s="43">
        <v>0.0</v>
      </c>
      <c r="AH109" s="43">
        <v>0.0</v>
      </c>
      <c r="AJ109" s="27">
        <v>0.0</v>
      </c>
      <c r="AK109" s="26"/>
      <c r="AL109" s="42"/>
      <c r="AM109" s="26"/>
      <c r="AN109" s="42"/>
      <c r="AO109" s="26"/>
      <c r="AP109" s="42"/>
      <c r="AQ109" s="26"/>
      <c r="AR109" s="43"/>
      <c r="AT109" s="43"/>
      <c r="AU109" s="26"/>
      <c r="AV109" s="35">
        <f t="shared" si="1"/>
        <v>3420.0192</v>
      </c>
      <c r="AW109" s="33">
        <f t="shared" si="2"/>
        <v>320</v>
      </c>
      <c r="AX109" s="33">
        <f t="shared" si="3"/>
        <v>0</v>
      </c>
      <c r="AY109" s="33">
        <f t="shared" si="4"/>
        <v>320</v>
      </c>
      <c r="AZ109" s="30">
        <f t="shared" si="5"/>
        <v>10.68756</v>
      </c>
    </row>
    <row r="110" ht="15.75" customHeight="1">
      <c r="A110" s="31" t="s">
        <v>34</v>
      </c>
      <c r="B110" s="32">
        <f t="shared" si="6"/>
        <v>45399</v>
      </c>
      <c r="C110" s="33">
        <v>4.0</v>
      </c>
      <c r="D110" s="33" t="s">
        <v>49</v>
      </c>
      <c r="E110" s="34"/>
      <c r="F110" s="42">
        <v>0.0</v>
      </c>
      <c r="H110" s="43">
        <v>0.0</v>
      </c>
      <c r="J110" s="43">
        <v>0.0</v>
      </c>
      <c r="L110" s="43">
        <v>0.0</v>
      </c>
      <c r="N110" s="43">
        <v>0.0</v>
      </c>
      <c r="P110" s="43">
        <v>0.0</v>
      </c>
      <c r="Q110" s="26"/>
      <c r="R110" s="42">
        <v>160.0</v>
      </c>
      <c r="T110" s="43">
        <v>160.0</v>
      </c>
      <c r="V110" s="43">
        <v>0.0</v>
      </c>
      <c r="X110" s="43">
        <v>0.0</v>
      </c>
      <c r="Z110" s="43">
        <v>0.0</v>
      </c>
      <c r="AB110" s="43">
        <v>0.0</v>
      </c>
      <c r="AC110" s="26"/>
      <c r="AD110" s="43">
        <v>0.0</v>
      </c>
      <c r="AF110" s="43">
        <v>0.0</v>
      </c>
      <c r="AH110" s="43">
        <v>0.0</v>
      </c>
      <c r="AJ110" s="27">
        <v>0.0</v>
      </c>
      <c r="AK110" s="26"/>
      <c r="AL110" s="42"/>
      <c r="AM110" s="26"/>
      <c r="AN110" s="42"/>
      <c r="AO110" s="26"/>
      <c r="AP110" s="42"/>
      <c r="AQ110" s="26"/>
      <c r="AR110" s="43"/>
      <c r="AT110" s="43"/>
      <c r="AU110" s="26"/>
      <c r="AV110" s="35">
        <f t="shared" si="1"/>
        <v>3420.0192</v>
      </c>
      <c r="AW110" s="33">
        <f t="shared" si="2"/>
        <v>320</v>
      </c>
      <c r="AX110" s="33">
        <f t="shared" si="3"/>
        <v>0</v>
      </c>
      <c r="AY110" s="33">
        <f t="shared" si="4"/>
        <v>320</v>
      </c>
      <c r="AZ110" s="30">
        <f t="shared" si="5"/>
        <v>10.68756</v>
      </c>
    </row>
    <row r="111" ht="15.75" customHeight="1">
      <c r="A111" s="31" t="s">
        <v>35</v>
      </c>
      <c r="B111" s="32">
        <f t="shared" si="6"/>
        <v>45400</v>
      </c>
      <c r="C111" s="33">
        <v>4.0</v>
      </c>
      <c r="D111" s="33" t="s">
        <v>49</v>
      </c>
      <c r="E111" s="34"/>
      <c r="F111" s="42">
        <v>0.0</v>
      </c>
      <c r="H111" s="43">
        <v>0.0</v>
      </c>
      <c r="J111" s="43">
        <v>0.0</v>
      </c>
      <c r="L111" s="43">
        <v>0.0</v>
      </c>
      <c r="N111" s="43">
        <v>0.0</v>
      </c>
      <c r="P111" s="43">
        <v>0.0</v>
      </c>
      <c r="Q111" s="26"/>
      <c r="R111" s="42">
        <v>160.0</v>
      </c>
      <c r="T111" s="43">
        <v>160.0</v>
      </c>
      <c r="V111" s="43">
        <v>0.0</v>
      </c>
      <c r="X111" s="43">
        <v>0.0</v>
      </c>
      <c r="Z111" s="43">
        <v>0.0</v>
      </c>
      <c r="AB111" s="43">
        <v>0.0</v>
      </c>
      <c r="AC111" s="26"/>
      <c r="AD111" s="43">
        <v>0.0</v>
      </c>
      <c r="AF111" s="43">
        <v>0.0</v>
      </c>
      <c r="AH111" s="43">
        <v>0.0</v>
      </c>
      <c r="AJ111" s="27">
        <v>0.0</v>
      </c>
      <c r="AK111" s="26"/>
      <c r="AL111" s="42"/>
      <c r="AM111" s="26"/>
      <c r="AN111" s="42"/>
      <c r="AO111" s="26"/>
      <c r="AP111" s="42"/>
      <c r="AQ111" s="26"/>
      <c r="AR111" s="43"/>
      <c r="AT111" s="43"/>
      <c r="AU111" s="26"/>
      <c r="AV111" s="35">
        <f t="shared" si="1"/>
        <v>3420.0192</v>
      </c>
      <c r="AW111" s="33">
        <f t="shared" si="2"/>
        <v>320</v>
      </c>
      <c r="AX111" s="33">
        <f t="shared" si="3"/>
        <v>0</v>
      </c>
      <c r="AY111" s="33">
        <f t="shared" si="4"/>
        <v>320</v>
      </c>
      <c r="AZ111" s="30">
        <f t="shared" si="5"/>
        <v>10.68756</v>
      </c>
    </row>
    <row r="112" ht="15.75" customHeight="1">
      <c r="A112" s="31" t="s">
        <v>38</v>
      </c>
      <c r="B112" s="32">
        <f t="shared" si="6"/>
        <v>45401</v>
      </c>
      <c r="C112" s="33">
        <v>4.0</v>
      </c>
      <c r="D112" s="33" t="s">
        <v>49</v>
      </c>
      <c r="E112" s="34"/>
      <c r="F112" s="42">
        <v>0.0</v>
      </c>
      <c r="H112" s="43">
        <v>0.0</v>
      </c>
      <c r="J112" s="43">
        <v>0.0</v>
      </c>
      <c r="L112" s="43">
        <v>0.0</v>
      </c>
      <c r="N112" s="43">
        <v>0.0</v>
      </c>
      <c r="P112" s="43">
        <v>0.0</v>
      </c>
      <c r="Q112" s="26"/>
      <c r="R112" s="42">
        <v>155.0</v>
      </c>
      <c r="T112" s="43">
        <v>155.0</v>
      </c>
      <c r="V112" s="43">
        <v>0.0</v>
      </c>
      <c r="X112" s="43">
        <v>0.0</v>
      </c>
      <c r="Z112" s="43">
        <v>0.0</v>
      </c>
      <c r="AB112" s="43">
        <v>0.0</v>
      </c>
      <c r="AC112" s="26"/>
      <c r="AD112" s="43">
        <v>0.0</v>
      </c>
      <c r="AF112" s="43">
        <v>0.0</v>
      </c>
      <c r="AH112" s="43">
        <v>0.0</v>
      </c>
      <c r="AJ112" s="27">
        <v>0.0</v>
      </c>
      <c r="AK112" s="26"/>
      <c r="AL112" s="42"/>
      <c r="AM112" s="26"/>
      <c r="AN112" s="42"/>
      <c r="AO112" s="26"/>
      <c r="AP112" s="42"/>
      <c r="AQ112" s="26"/>
      <c r="AR112" s="43"/>
      <c r="AT112" s="43"/>
      <c r="AU112" s="26"/>
      <c r="AV112" s="35">
        <f t="shared" si="1"/>
        <v>3313.1436</v>
      </c>
      <c r="AW112" s="33">
        <f t="shared" si="2"/>
        <v>310</v>
      </c>
      <c r="AX112" s="33">
        <f t="shared" si="3"/>
        <v>0</v>
      </c>
      <c r="AY112" s="33">
        <f t="shared" si="4"/>
        <v>310</v>
      </c>
      <c r="AZ112" s="30">
        <f t="shared" si="5"/>
        <v>10.68756</v>
      </c>
    </row>
    <row r="113" ht="15.75" customHeight="1">
      <c r="A113" s="31" t="s">
        <v>45</v>
      </c>
      <c r="B113" s="32">
        <f t="shared" si="6"/>
        <v>45402</v>
      </c>
      <c r="C113" s="33">
        <v>4.0</v>
      </c>
      <c r="D113" s="33" t="s">
        <v>49</v>
      </c>
      <c r="E113" s="34"/>
      <c r="F113" s="42">
        <v>0.0</v>
      </c>
      <c r="H113" s="43">
        <v>0.0</v>
      </c>
      <c r="J113" s="43">
        <v>0.0</v>
      </c>
      <c r="L113" s="43">
        <v>0.0</v>
      </c>
      <c r="N113" s="43">
        <v>0.0</v>
      </c>
      <c r="P113" s="43">
        <v>0.0</v>
      </c>
      <c r="Q113" s="26"/>
      <c r="R113" s="42">
        <v>155.0</v>
      </c>
      <c r="T113" s="43">
        <v>155.0</v>
      </c>
      <c r="V113" s="43">
        <v>0.0</v>
      </c>
      <c r="X113" s="43">
        <v>0.0</v>
      </c>
      <c r="Z113" s="43">
        <v>0.0</v>
      </c>
      <c r="AB113" s="43">
        <v>0.0</v>
      </c>
      <c r="AC113" s="26"/>
      <c r="AD113" s="43">
        <v>0.0</v>
      </c>
      <c r="AF113" s="43">
        <v>0.0</v>
      </c>
      <c r="AH113" s="43">
        <v>0.0</v>
      </c>
      <c r="AJ113" s="27">
        <v>0.0</v>
      </c>
      <c r="AK113" s="26"/>
      <c r="AL113" s="42"/>
      <c r="AM113" s="26"/>
      <c r="AN113" s="42"/>
      <c r="AO113" s="26"/>
      <c r="AP113" s="42"/>
      <c r="AQ113" s="26"/>
      <c r="AR113" s="43"/>
      <c r="AT113" s="43"/>
      <c r="AU113" s="26"/>
      <c r="AV113" s="35">
        <f t="shared" si="1"/>
        <v>3313.1436</v>
      </c>
      <c r="AW113" s="33">
        <f t="shared" si="2"/>
        <v>310</v>
      </c>
      <c r="AX113" s="33">
        <f t="shared" si="3"/>
        <v>0</v>
      </c>
      <c r="AY113" s="33">
        <f t="shared" si="4"/>
        <v>310</v>
      </c>
      <c r="AZ113" s="30">
        <f t="shared" si="5"/>
        <v>10.68756</v>
      </c>
    </row>
    <row r="114" ht="15.75" customHeight="1">
      <c r="A114" s="44" t="s">
        <v>46</v>
      </c>
      <c r="B114" s="45">
        <f t="shared" si="6"/>
        <v>45403</v>
      </c>
      <c r="C114" s="46">
        <v>4.0</v>
      </c>
      <c r="D114" s="46" t="s">
        <v>49</v>
      </c>
      <c r="E114" s="47"/>
      <c r="F114" s="66">
        <v>0.0</v>
      </c>
      <c r="G114" s="51"/>
      <c r="H114" s="67">
        <v>0.0</v>
      </c>
      <c r="I114" s="51"/>
      <c r="J114" s="67">
        <v>0.0</v>
      </c>
      <c r="K114" s="51"/>
      <c r="L114" s="67">
        <v>0.0</v>
      </c>
      <c r="M114" s="51"/>
      <c r="N114" s="67">
        <v>0.0</v>
      </c>
      <c r="O114" s="51"/>
      <c r="P114" s="67">
        <v>0.0</v>
      </c>
      <c r="Q114" s="53"/>
      <c r="R114" s="66">
        <v>0.0</v>
      </c>
      <c r="S114" s="51"/>
      <c r="T114" s="67">
        <v>0.0</v>
      </c>
      <c r="U114" s="51"/>
      <c r="V114" s="67">
        <v>0.0</v>
      </c>
      <c r="W114" s="51"/>
      <c r="X114" s="67">
        <v>0.0</v>
      </c>
      <c r="Y114" s="51"/>
      <c r="Z114" s="67">
        <v>0.0</v>
      </c>
      <c r="AA114" s="51"/>
      <c r="AB114" s="67">
        <v>0.0</v>
      </c>
      <c r="AC114" s="53"/>
      <c r="AD114" s="67">
        <v>0.0</v>
      </c>
      <c r="AE114" s="51"/>
      <c r="AF114" s="67">
        <v>0.0</v>
      </c>
      <c r="AG114" s="51"/>
      <c r="AH114" s="67">
        <v>0.0</v>
      </c>
      <c r="AI114" s="51"/>
      <c r="AJ114" s="54">
        <v>0.0</v>
      </c>
      <c r="AK114" s="53"/>
      <c r="AL114" s="66"/>
      <c r="AM114" s="53"/>
      <c r="AN114" s="66"/>
      <c r="AO114" s="53"/>
      <c r="AP114" s="66"/>
      <c r="AQ114" s="53"/>
      <c r="AR114" s="67"/>
      <c r="AS114" s="51"/>
      <c r="AT114" s="67"/>
      <c r="AU114" s="53"/>
      <c r="AV114" s="55">
        <f t="shared" si="1"/>
        <v>0</v>
      </c>
      <c r="AW114" s="46">
        <f t="shared" si="2"/>
        <v>0</v>
      </c>
      <c r="AX114" s="46">
        <f t="shared" si="3"/>
        <v>0</v>
      </c>
      <c r="AY114" s="46">
        <f t="shared" si="4"/>
        <v>0</v>
      </c>
      <c r="AZ114" s="56" t="str">
        <f t="shared" si="5"/>
        <v/>
      </c>
    </row>
    <row r="115" ht="15.75" customHeight="1">
      <c r="A115" s="19" t="s">
        <v>30</v>
      </c>
      <c r="B115" s="57">
        <f t="shared" si="6"/>
        <v>45404</v>
      </c>
      <c r="C115" s="21">
        <v>5.0</v>
      </c>
      <c r="D115" s="21" t="s">
        <v>31</v>
      </c>
      <c r="E115" s="23"/>
      <c r="F115" s="42">
        <v>0.0</v>
      </c>
      <c r="H115" s="43">
        <v>0.0</v>
      </c>
      <c r="J115" s="43">
        <v>0.0</v>
      </c>
      <c r="L115" s="43">
        <v>0.0</v>
      </c>
      <c r="N115" s="43">
        <v>0.0</v>
      </c>
      <c r="P115" s="43">
        <v>0.0</v>
      </c>
      <c r="Q115" s="26"/>
      <c r="R115" s="42">
        <v>155.0</v>
      </c>
      <c r="T115" s="43">
        <v>155.0</v>
      </c>
      <c r="V115" s="43">
        <v>0.0</v>
      </c>
      <c r="X115" s="43">
        <v>0.0</v>
      </c>
      <c r="Z115" s="43">
        <v>0.0</v>
      </c>
      <c r="AB115" s="43">
        <v>0.0</v>
      </c>
      <c r="AC115" s="26"/>
      <c r="AD115" s="43">
        <v>0.0</v>
      </c>
      <c r="AF115" s="43">
        <v>0.0</v>
      </c>
      <c r="AH115" s="43">
        <v>0.0</v>
      </c>
      <c r="AJ115" s="27">
        <v>0.0</v>
      </c>
      <c r="AK115" s="26"/>
      <c r="AL115" s="42"/>
      <c r="AM115" s="26"/>
      <c r="AN115" s="42"/>
      <c r="AO115" s="26"/>
      <c r="AP115" s="42"/>
      <c r="AQ115" s="26"/>
      <c r="AR115" s="43"/>
      <c r="AT115" s="43"/>
      <c r="AU115" s="26"/>
      <c r="AV115" s="29">
        <f t="shared" si="1"/>
        <v>3313.1436</v>
      </c>
      <c r="AW115" s="21">
        <f t="shared" si="2"/>
        <v>310</v>
      </c>
      <c r="AX115" s="21">
        <f t="shared" si="3"/>
        <v>0</v>
      </c>
      <c r="AY115" s="21">
        <f t="shared" si="4"/>
        <v>310</v>
      </c>
      <c r="AZ115" s="58">
        <f t="shared" si="5"/>
        <v>10.68756</v>
      </c>
    </row>
    <row r="116" ht="15.75" customHeight="1">
      <c r="A116" s="31" t="s">
        <v>33</v>
      </c>
      <c r="B116" s="32">
        <f t="shared" si="6"/>
        <v>45405</v>
      </c>
      <c r="C116" s="33">
        <v>5.0</v>
      </c>
      <c r="D116" s="33" t="s">
        <v>31</v>
      </c>
      <c r="E116" s="34"/>
      <c r="F116" s="42">
        <v>0.0</v>
      </c>
      <c r="H116" s="43">
        <v>0.0</v>
      </c>
      <c r="J116" s="43">
        <v>0.0</v>
      </c>
      <c r="L116" s="43">
        <v>0.0</v>
      </c>
      <c r="N116" s="43">
        <v>0.0</v>
      </c>
      <c r="P116" s="43">
        <v>0.0</v>
      </c>
      <c r="Q116" s="26"/>
      <c r="R116" s="42">
        <v>155.0</v>
      </c>
      <c r="T116" s="43">
        <v>155.0</v>
      </c>
      <c r="V116" s="43">
        <v>0.0</v>
      </c>
      <c r="X116" s="43">
        <v>0.0</v>
      </c>
      <c r="Z116" s="43">
        <v>0.0</v>
      </c>
      <c r="AB116" s="43">
        <v>0.0</v>
      </c>
      <c r="AC116" s="26"/>
      <c r="AD116" s="43">
        <v>0.0</v>
      </c>
      <c r="AF116" s="43">
        <v>50.0</v>
      </c>
      <c r="AH116" s="43">
        <v>50.0</v>
      </c>
      <c r="AJ116" s="27">
        <v>0.0</v>
      </c>
      <c r="AK116" s="26"/>
      <c r="AL116" s="42"/>
      <c r="AM116" s="26"/>
      <c r="AN116" s="42"/>
      <c r="AO116" s="26"/>
      <c r="AP116" s="42"/>
      <c r="AQ116" s="26"/>
      <c r="AR116" s="43"/>
      <c r="AT116" s="43"/>
      <c r="AU116" s="26"/>
      <c r="AV116" s="35">
        <f t="shared" si="1"/>
        <v>4841.4436</v>
      </c>
      <c r="AW116" s="33">
        <f t="shared" si="2"/>
        <v>410</v>
      </c>
      <c r="AX116" s="33">
        <f t="shared" si="3"/>
        <v>0</v>
      </c>
      <c r="AY116" s="33">
        <f t="shared" si="4"/>
        <v>410</v>
      </c>
      <c r="AZ116" s="30">
        <f t="shared" si="5"/>
        <v>11.80839902</v>
      </c>
    </row>
    <row r="117" ht="15.75" customHeight="1">
      <c r="A117" s="31" t="s">
        <v>34</v>
      </c>
      <c r="B117" s="32">
        <f t="shared" si="6"/>
        <v>45406</v>
      </c>
      <c r="C117" s="33">
        <v>5.0</v>
      </c>
      <c r="D117" s="33" t="s">
        <v>31</v>
      </c>
      <c r="E117" s="34"/>
      <c r="F117" s="42">
        <v>0.0</v>
      </c>
      <c r="H117" s="43">
        <v>0.0</v>
      </c>
      <c r="J117" s="43">
        <v>0.0</v>
      </c>
      <c r="L117" s="43">
        <v>0.0</v>
      </c>
      <c r="N117" s="43">
        <v>0.0</v>
      </c>
      <c r="P117" s="43">
        <v>0.0</v>
      </c>
      <c r="Q117" s="26"/>
      <c r="R117" s="42">
        <v>155.0</v>
      </c>
      <c r="T117" s="43">
        <v>155.0</v>
      </c>
      <c r="V117" s="43">
        <v>0.0</v>
      </c>
      <c r="X117" s="43">
        <v>0.0</v>
      </c>
      <c r="Z117" s="43">
        <v>0.0</v>
      </c>
      <c r="AB117" s="43">
        <v>0.0</v>
      </c>
      <c r="AC117" s="26"/>
      <c r="AD117" s="43">
        <v>0.0</v>
      </c>
      <c r="AF117" s="43">
        <v>50.0</v>
      </c>
      <c r="AH117" s="43">
        <v>50.0</v>
      </c>
      <c r="AJ117" s="27">
        <v>0.0</v>
      </c>
      <c r="AK117" s="26"/>
      <c r="AL117" s="42"/>
      <c r="AM117" s="26"/>
      <c r="AN117" s="42"/>
      <c r="AO117" s="26"/>
      <c r="AP117" s="42"/>
      <c r="AQ117" s="26"/>
      <c r="AR117" s="43"/>
      <c r="AT117" s="43"/>
      <c r="AU117" s="26"/>
      <c r="AV117" s="35">
        <f t="shared" si="1"/>
        <v>4841.4436</v>
      </c>
      <c r="AW117" s="33">
        <f t="shared" si="2"/>
        <v>410</v>
      </c>
      <c r="AX117" s="33">
        <f t="shared" si="3"/>
        <v>0</v>
      </c>
      <c r="AY117" s="33">
        <f t="shared" si="4"/>
        <v>410</v>
      </c>
      <c r="AZ117" s="30">
        <f t="shared" si="5"/>
        <v>11.80839902</v>
      </c>
    </row>
    <row r="118" ht="15.75" customHeight="1">
      <c r="A118" s="31" t="s">
        <v>35</v>
      </c>
      <c r="B118" s="32">
        <f t="shared" si="6"/>
        <v>45407</v>
      </c>
      <c r="C118" s="33">
        <v>5.0</v>
      </c>
      <c r="D118" s="33" t="s">
        <v>31</v>
      </c>
      <c r="E118" s="34"/>
      <c r="F118" s="42">
        <v>0.0</v>
      </c>
      <c r="H118" s="43">
        <v>0.0</v>
      </c>
      <c r="J118" s="43">
        <v>0.0</v>
      </c>
      <c r="L118" s="43">
        <v>0.0</v>
      </c>
      <c r="N118" s="43">
        <v>0.0</v>
      </c>
      <c r="P118" s="43">
        <v>0.0</v>
      </c>
      <c r="Q118" s="26"/>
      <c r="R118" s="42">
        <v>155.0</v>
      </c>
      <c r="T118" s="43">
        <v>155.0</v>
      </c>
      <c r="V118" s="43">
        <v>0.0</v>
      </c>
      <c r="X118" s="43">
        <v>0.0</v>
      </c>
      <c r="Z118" s="43">
        <v>0.0</v>
      </c>
      <c r="AB118" s="43">
        <v>0.0</v>
      </c>
      <c r="AC118" s="26"/>
      <c r="AD118" s="43">
        <v>0.0</v>
      </c>
      <c r="AF118" s="43">
        <v>0.0</v>
      </c>
      <c r="AH118" s="43">
        <v>50.0</v>
      </c>
      <c r="AJ118" s="27">
        <v>0.0</v>
      </c>
      <c r="AK118" s="26"/>
      <c r="AL118" s="42"/>
      <c r="AM118" s="26"/>
      <c r="AN118" s="42"/>
      <c r="AO118" s="26"/>
      <c r="AP118" s="42"/>
      <c r="AQ118" s="26"/>
      <c r="AR118" s="43"/>
      <c r="AT118" s="43"/>
      <c r="AU118" s="26"/>
      <c r="AV118" s="35">
        <f t="shared" si="1"/>
        <v>4077.2936</v>
      </c>
      <c r="AW118" s="33">
        <f t="shared" si="2"/>
        <v>360</v>
      </c>
      <c r="AX118" s="33">
        <f t="shared" si="3"/>
        <v>0</v>
      </c>
      <c r="AY118" s="33">
        <f t="shared" si="4"/>
        <v>360</v>
      </c>
      <c r="AZ118" s="30">
        <f t="shared" si="5"/>
        <v>11.32581556</v>
      </c>
    </row>
    <row r="119" ht="15.75" customHeight="1">
      <c r="A119" s="31" t="s">
        <v>38</v>
      </c>
      <c r="B119" s="32">
        <f t="shared" si="6"/>
        <v>45408</v>
      </c>
      <c r="C119" s="33">
        <v>5.0</v>
      </c>
      <c r="D119" s="33" t="s">
        <v>31</v>
      </c>
      <c r="E119" s="34"/>
      <c r="F119" s="42">
        <v>0.0</v>
      </c>
      <c r="H119" s="43">
        <v>0.0</v>
      </c>
      <c r="J119" s="43">
        <v>0.0</v>
      </c>
      <c r="L119" s="43">
        <v>0.0</v>
      </c>
      <c r="N119" s="43">
        <v>0.0</v>
      </c>
      <c r="P119" s="43">
        <v>0.0</v>
      </c>
      <c r="Q119" s="26"/>
      <c r="R119" s="42">
        <v>155.0</v>
      </c>
      <c r="T119" s="43">
        <v>155.0</v>
      </c>
      <c r="V119" s="43">
        <v>0.0</v>
      </c>
      <c r="X119" s="43">
        <v>0.0</v>
      </c>
      <c r="Z119" s="43">
        <v>0.0</v>
      </c>
      <c r="AB119" s="43">
        <v>0.0</v>
      </c>
      <c r="AC119" s="26"/>
      <c r="AD119" s="43">
        <v>0.0</v>
      </c>
      <c r="AF119" s="43">
        <v>50.0</v>
      </c>
      <c r="AH119" s="43">
        <v>50.0</v>
      </c>
      <c r="AJ119" s="27">
        <v>0.0</v>
      </c>
      <c r="AK119" s="26"/>
      <c r="AL119" s="42"/>
      <c r="AM119" s="26"/>
      <c r="AN119" s="42"/>
      <c r="AO119" s="26"/>
      <c r="AP119" s="42"/>
      <c r="AQ119" s="26"/>
      <c r="AR119" s="43"/>
      <c r="AT119" s="43"/>
      <c r="AU119" s="26"/>
      <c r="AV119" s="35">
        <f t="shared" si="1"/>
        <v>4841.4436</v>
      </c>
      <c r="AW119" s="33">
        <f t="shared" si="2"/>
        <v>410</v>
      </c>
      <c r="AX119" s="33">
        <f t="shared" si="3"/>
        <v>0</v>
      </c>
      <c r="AY119" s="33">
        <f t="shared" si="4"/>
        <v>410</v>
      </c>
      <c r="AZ119" s="30">
        <f t="shared" si="5"/>
        <v>11.80839902</v>
      </c>
    </row>
    <row r="120" ht="15.75" customHeight="1">
      <c r="A120" s="31" t="s">
        <v>45</v>
      </c>
      <c r="B120" s="32">
        <f t="shared" si="6"/>
        <v>45409</v>
      </c>
      <c r="C120" s="33">
        <v>5.0</v>
      </c>
      <c r="D120" s="33" t="s">
        <v>31</v>
      </c>
      <c r="E120" s="34"/>
      <c r="F120" s="42">
        <v>0.0</v>
      </c>
      <c r="H120" s="43">
        <v>0.0</v>
      </c>
      <c r="J120" s="43">
        <v>0.0</v>
      </c>
      <c r="L120" s="43">
        <v>0.0</v>
      </c>
      <c r="N120" s="43">
        <v>0.0</v>
      </c>
      <c r="P120" s="43">
        <v>0.0</v>
      </c>
      <c r="Q120" s="26"/>
      <c r="R120" s="42">
        <v>155.0</v>
      </c>
      <c r="T120" s="43">
        <v>155.0</v>
      </c>
      <c r="V120" s="43">
        <v>0.0</v>
      </c>
      <c r="X120" s="43">
        <v>0.0</v>
      </c>
      <c r="Z120" s="43">
        <v>0.0</v>
      </c>
      <c r="AB120" s="43">
        <v>0.0</v>
      </c>
      <c r="AC120" s="26"/>
      <c r="AD120" s="43">
        <v>0.0</v>
      </c>
      <c r="AF120" s="43">
        <v>50.0</v>
      </c>
      <c r="AH120" s="43">
        <v>0.0</v>
      </c>
      <c r="AJ120" s="27">
        <v>0.0</v>
      </c>
      <c r="AK120" s="26"/>
      <c r="AL120" s="42"/>
      <c r="AM120" s="26"/>
      <c r="AN120" s="42"/>
      <c r="AO120" s="26"/>
      <c r="AP120" s="42"/>
      <c r="AQ120" s="26"/>
      <c r="AR120" s="43"/>
      <c r="AT120" s="43"/>
      <c r="AU120" s="26"/>
      <c r="AV120" s="35">
        <f t="shared" si="1"/>
        <v>4077.2936</v>
      </c>
      <c r="AW120" s="33">
        <f t="shared" si="2"/>
        <v>360</v>
      </c>
      <c r="AX120" s="33">
        <f t="shared" si="3"/>
        <v>0</v>
      </c>
      <c r="AY120" s="33">
        <f t="shared" si="4"/>
        <v>360</v>
      </c>
      <c r="AZ120" s="30">
        <f t="shared" si="5"/>
        <v>11.32581556</v>
      </c>
    </row>
    <row r="121" ht="15.75" customHeight="1">
      <c r="A121" s="44" t="s">
        <v>46</v>
      </c>
      <c r="B121" s="45">
        <f t="shared" si="6"/>
        <v>45410</v>
      </c>
      <c r="C121" s="46">
        <v>5.0</v>
      </c>
      <c r="D121" s="46" t="s">
        <v>31</v>
      </c>
      <c r="E121" s="47"/>
      <c r="F121" s="66">
        <v>0.0</v>
      </c>
      <c r="G121" s="51"/>
      <c r="H121" s="67">
        <v>0.0</v>
      </c>
      <c r="I121" s="51"/>
      <c r="J121" s="67">
        <v>0.0</v>
      </c>
      <c r="K121" s="51"/>
      <c r="L121" s="67">
        <v>0.0</v>
      </c>
      <c r="M121" s="51"/>
      <c r="N121" s="67">
        <v>0.0</v>
      </c>
      <c r="O121" s="51"/>
      <c r="P121" s="67">
        <v>0.0</v>
      </c>
      <c r="Q121" s="53"/>
      <c r="R121" s="66">
        <v>0.0</v>
      </c>
      <c r="S121" s="51"/>
      <c r="T121" s="67">
        <v>0.0</v>
      </c>
      <c r="U121" s="51"/>
      <c r="V121" s="67">
        <v>0.0</v>
      </c>
      <c r="W121" s="51"/>
      <c r="X121" s="67">
        <v>0.0</v>
      </c>
      <c r="Y121" s="51"/>
      <c r="Z121" s="67">
        <v>0.0</v>
      </c>
      <c r="AA121" s="51"/>
      <c r="AB121" s="67">
        <v>0.0</v>
      </c>
      <c r="AC121" s="53"/>
      <c r="AD121" s="67">
        <v>0.0</v>
      </c>
      <c r="AE121" s="51"/>
      <c r="AF121" s="67">
        <v>0.0</v>
      </c>
      <c r="AG121" s="51"/>
      <c r="AH121" s="67">
        <v>0.0</v>
      </c>
      <c r="AI121" s="51"/>
      <c r="AJ121" s="54">
        <v>0.0</v>
      </c>
      <c r="AK121" s="53"/>
      <c r="AL121" s="66"/>
      <c r="AM121" s="53"/>
      <c r="AN121" s="66"/>
      <c r="AO121" s="53"/>
      <c r="AP121" s="66"/>
      <c r="AQ121" s="53"/>
      <c r="AR121" s="67"/>
      <c r="AS121" s="51"/>
      <c r="AT121" s="67"/>
      <c r="AU121" s="53"/>
      <c r="AV121" s="55">
        <f t="shared" si="1"/>
        <v>0</v>
      </c>
      <c r="AW121" s="46">
        <f t="shared" si="2"/>
        <v>0</v>
      </c>
      <c r="AX121" s="46">
        <f t="shared" si="3"/>
        <v>0</v>
      </c>
      <c r="AY121" s="46">
        <f t="shared" si="4"/>
        <v>0</v>
      </c>
      <c r="AZ121" s="56" t="str">
        <f t="shared" si="5"/>
        <v/>
      </c>
    </row>
    <row r="122" ht="15.75" customHeight="1">
      <c r="A122" s="19" t="s">
        <v>30</v>
      </c>
      <c r="B122" s="57">
        <f t="shared" si="6"/>
        <v>45411</v>
      </c>
      <c r="C122" s="21">
        <v>5.0</v>
      </c>
      <c r="D122" s="21" t="s">
        <v>47</v>
      </c>
      <c r="E122" s="23"/>
      <c r="F122" s="42">
        <v>0.0</v>
      </c>
      <c r="H122" s="43">
        <v>0.0</v>
      </c>
      <c r="J122" s="43">
        <v>0.0</v>
      </c>
      <c r="L122" s="43">
        <v>0.0</v>
      </c>
      <c r="N122" s="43">
        <v>0.0</v>
      </c>
      <c r="P122" s="43">
        <v>0.0</v>
      </c>
      <c r="Q122" s="26"/>
      <c r="R122" s="42">
        <v>155.0</v>
      </c>
      <c r="T122" s="43">
        <v>155.0</v>
      </c>
      <c r="V122" s="43">
        <v>0.0</v>
      </c>
      <c r="X122" s="43">
        <v>0.0</v>
      </c>
      <c r="Z122" s="43">
        <v>0.0</v>
      </c>
      <c r="AB122" s="43">
        <v>0.0</v>
      </c>
      <c r="AC122" s="26"/>
      <c r="AD122" s="43">
        <v>0.0</v>
      </c>
      <c r="AF122" s="43">
        <v>0.0</v>
      </c>
      <c r="AH122" s="43">
        <v>0.0</v>
      </c>
      <c r="AJ122" s="27">
        <v>0.0</v>
      </c>
      <c r="AK122" s="26"/>
      <c r="AL122" s="42"/>
      <c r="AM122" s="26"/>
      <c r="AN122" s="42"/>
      <c r="AO122" s="26"/>
      <c r="AP122" s="42"/>
      <c r="AQ122" s="26"/>
      <c r="AR122" s="43"/>
      <c r="AT122" s="43"/>
      <c r="AU122" s="26"/>
      <c r="AV122" s="29">
        <f t="shared" si="1"/>
        <v>3313.1436</v>
      </c>
      <c r="AW122" s="21">
        <f t="shared" si="2"/>
        <v>310</v>
      </c>
      <c r="AX122" s="21">
        <f t="shared" si="3"/>
        <v>0</v>
      </c>
      <c r="AY122" s="21">
        <f t="shared" si="4"/>
        <v>310</v>
      </c>
      <c r="AZ122" s="58">
        <f t="shared" si="5"/>
        <v>10.68756</v>
      </c>
    </row>
    <row r="123" ht="15.75" customHeight="1">
      <c r="A123" s="31" t="s">
        <v>33</v>
      </c>
      <c r="B123" s="32">
        <f t="shared" si="6"/>
        <v>45412</v>
      </c>
      <c r="C123" s="33">
        <v>5.0</v>
      </c>
      <c r="D123" s="33" t="s">
        <v>47</v>
      </c>
      <c r="E123" s="34"/>
      <c r="F123" s="42">
        <v>0.0</v>
      </c>
      <c r="H123" s="43">
        <v>0.0</v>
      </c>
      <c r="J123" s="43">
        <v>0.0</v>
      </c>
      <c r="L123" s="43">
        <v>0.0</v>
      </c>
      <c r="N123" s="43">
        <v>0.0</v>
      </c>
      <c r="P123" s="43">
        <v>0.0</v>
      </c>
      <c r="Q123" s="26"/>
      <c r="R123" s="42">
        <v>155.0</v>
      </c>
      <c r="T123" s="43">
        <v>155.0</v>
      </c>
      <c r="V123" s="43">
        <v>0.0</v>
      </c>
      <c r="X123" s="43">
        <v>0.0</v>
      </c>
      <c r="Z123" s="43">
        <v>0.0</v>
      </c>
      <c r="AB123" s="43">
        <v>0.0</v>
      </c>
      <c r="AC123" s="26"/>
      <c r="AD123" s="43">
        <v>0.0</v>
      </c>
      <c r="AF123" s="43">
        <v>0.0</v>
      </c>
      <c r="AH123" s="43">
        <v>0.0</v>
      </c>
      <c r="AJ123" s="27">
        <v>0.0</v>
      </c>
      <c r="AK123" s="26"/>
      <c r="AL123" s="42"/>
      <c r="AM123" s="26"/>
      <c r="AN123" s="42"/>
      <c r="AO123" s="26"/>
      <c r="AP123" s="42"/>
      <c r="AQ123" s="26"/>
      <c r="AR123" s="43"/>
      <c r="AT123" s="43"/>
      <c r="AU123" s="26"/>
      <c r="AV123" s="35">
        <f t="shared" si="1"/>
        <v>3313.1436</v>
      </c>
      <c r="AW123" s="33">
        <f t="shared" si="2"/>
        <v>310</v>
      </c>
      <c r="AX123" s="33">
        <f t="shared" si="3"/>
        <v>0</v>
      </c>
      <c r="AY123" s="33">
        <f t="shared" si="4"/>
        <v>310</v>
      </c>
      <c r="AZ123" s="30">
        <f t="shared" si="5"/>
        <v>10.68756</v>
      </c>
    </row>
    <row r="124" ht="15.75" customHeight="1">
      <c r="A124" s="31" t="s">
        <v>34</v>
      </c>
      <c r="B124" s="32">
        <f t="shared" si="6"/>
        <v>45413</v>
      </c>
      <c r="C124" s="33">
        <v>5.0</v>
      </c>
      <c r="D124" s="33" t="s">
        <v>47</v>
      </c>
      <c r="E124" s="34"/>
      <c r="F124" s="42">
        <v>0.0</v>
      </c>
      <c r="H124" s="43">
        <v>0.0</v>
      </c>
      <c r="J124" s="43">
        <v>0.0</v>
      </c>
      <c r="L124" s="43">
        <v>0.0</v>
      </c>
      <c r="N124" s="43">
        <v>0.0</v>
      </c>
      <c r="P124" s="43">
        <v>0.0</v>
      </c>
      <c r="Q124" s="26"/>
      <c r="R124" s="42">
        <v>155.0</v>
      </c>
      <c r="T124" s="43">
        <v>155.0</v>
      </c>
      <c r="V124" s="43">
        <v>0.0</v>
      </c>
      <c r="X124" s="43">
        <v>0.0</v>
      </c>
      <c r="Z124" s="43">
        <v>0.0</v>
      </c>
      <c r="AB124" s="43">
        <v>0.0</v>
      </c>
      <c r="AC124" s="26"/>
      <c r="AD124" s="43">
        <v>0.0</v>
      </c>
      <c r="AF124" s="43">
        <v>0.0</v>
      </c>
      <c r="AH124" s="43">
        <v>0.0</v>
      </c>
      <c r="AJ124" s="27">
        <v>0.0</v>
      </c>
      <c r="AK124" s="26"/>
      <c r="AL124" s="42"/>
      <c r="AM124" s="26"/>
      <c r="AN124" s="42"/>
      <c r="AO124" s="26"/>
      <c r="AP124" s="42"/>
      <c r="AQ124" s="26"/>
      <c r="AR124" s="43"/>
      <c r="AT124" s="43"/>
      <c r="AU124" s="26"/>
      <c r="AV124" s="35">
        <f t="shared" si="1"/>
        <v>3313.1436</v>
      </c>
      <c r="AW124" s="33">
        <f t="shared" si="2"/>
        <v>310</v>
      </c>
      <c r="AX124" s="33">
        <f t="shared" si="3"/>
        <v>0</v>
      </c>
      <c r="AY124" s="33">
        <f t="shared" si="4"/>
        <v>310</v>
      </c>
      <c r="AZ124" s="30">
        <f t="shared" si="5"/>
        <v>10.68756</v>
      </c>
    </row>
    <row r="125" ht="15.75" customHeight="1">
      <c r="A125" s="31" t="s">
        <v>35</v>
      </c>
      <c r="B125" s="32">
        <f t="shared" si="6"/>
        <v>45414</v>
      </c>
      <c r="C125" s="33">
        <v>5.0</v>
      </c>
      <c r="D125" s="33" t="s">
        <v>47</v>
      </c>
      <c r="E125" s="34"/>
      <c r="F125" s="42">
        <v>0.0</v>
      </c>
      <c r="H125" s="43">
        <v>0.0</v>
      </c>
      <c r="J125" s="43">
        <v>0.0</v>
      </c>
      <c r="L125" s="43">
        <v>0.0</v>
      </c>
      <c r="N125" s="43">
        <v>0.0</v>
      </c>
      <c r="P125" s="43">
        <v>0.0</v>
      </c>
      <c r="Q125" s="26"/>
      <c r="R125" s="42">
        <v>155.0</v>
      </c>
      <c r="T125" s="43">
        <v>155.0</v>
      </c>
      <c r="V125" s="43">
        <v>0.0</v>
      </c>
      <c r="X125" s="43">
        <v>0.0</v>
      </c>
      <c r="Z125" s="43">
        <v>0.0</v>
      </c>
      <c r="AB125" s="43">
        <v>0.0</v>
      </c>
      <c r="AC125" s="26"/>
      <c r="AD125" s="43">
        <v>0.0</v>
      </c>
      <c r="AF125" s="43">
        <v>0.0</v>
      </c>
      <c r="AH125" s="43">
        <v>0.0</v>
      </c>
      <c r="AJ125" s="27">
        <v>0.0</v>
      </c>
      <c r="AK125" s="26"/>
      <c r="AL125" s="42"/>
      <c r="AM125" s="26"/>
      <c r="AN125" s="42"/>
      <c r="AO125" s="26"/>
      <c r="AP125" s="42"/>
      <c r="AQ125" s="26"/>
      <c r="AR125" s="43"/>
      <c r="AT125" s="43"/>
      <c r="AU125" s="26"/>
      <c r="AV125" s="35">
        <f t="shared" si="1"/>
        <v>3313.1436</v>
      </c>
      <c r="AW125" s="33">
        <f t="shared" si="2"/>
        <v>310</v>
      </c>
      <c r="AX125" s="33">
        <f t="shared" si="3"/>
        <v>0</v>
      </c>
      <c r="AY125" s="33">
        <f t="shared" si="4"/>
        <v>310</v>
      </c>
      <c r="AZ125" s="30">
        <f t="shared" si="5"/>
        <v>10.68756</v>
      </c>
    </row>
    <row r="126" ht="15.75" customHeight="1">
      <c r="A126" s="31" t="s">
        <v>38</v>
      </c>
      <c r="B126" s="32">
        <f t="shared" si="6"/>
        <v>45415</v>
      </c>
      <c r="C126" s="33">
        <v>5.0</v>
      </c>
      <c r="D126" s="33" t="s">
        <v>47</v>
      </c>
      <c r="E126" s="34"/>
      <c r="F126" s="42">
        <v>0.0</v>
      </c>
      <c r="H126" s="43">
        <v>0.0</v>
      </c>
      <c r="J126" s="43">
        <v>0.0</v>
      </c>
      <c r="L126" s="43">
        <v>0.0</v>
      </c>
      <c r="N126" s="43">
        <v>0.0</v>
      </c>
      <c r="P126" s="43">
        <v>0.0</v>
      </c>
      <c r="Q126" s="26"/>
      <c r="R126" s="42">
        <v>155.0</v>
      </c>
      <c r="T126" s="43">
        <v>155.0</v>
      </c>
      <c r="V126" s="43">
        <v>0.0</v>
      </c>
      <c r="X126" s="43">
        <v>0.0</v>
      </c>
      <c r="Z126" s="43">
        <v>0.0</v>
      </c>
      <c r="AB126" s="43">
        <v>0.0</v>
      </c>
      <c r="AC126" s="26"/>
      <c r="AD126" s="43">
        <v>0.0</v>
      </c>
      <c r="AF126" s="43">
        <v>0.0</v>
      </c>
      <c r="AH126" s="43">
        <v>0.0</v>
      </c>
      <c r="AJ126" s="27">
        <v>0.0</v>
      </c>
      <c r="AK126" s="26"/>
      <c r="AL126" s="42"/>
      <c r="AM126" s="26"/>
      <c r="AN126" s="42"/>
      <c r="AO126" s="26"/>
      <c r="AP126" s="42"/>
      <c r="AQ126" s="26"/>
      <c r="AR126" s="43"/>
      <c r="AT126" s="43"/>
      <c r="AU126" s="26"/>
      <c r="AV126" s="35">
        <f t="shared" si="1"/>
        <v>3313.1436</v>
      </c>
      <c r="AW126" s="33">
        <f t="shared" si="2"/>
        <v>310</v>
      </c>
      <c r="AX126" s="33">
        <f t="shared" si="3"/>
        <v>0</v>
      </c>
      <c r="AY126" s="33">
        <f t="shared" si="4"/>
        <v>310</v>
      </c>
      <c r="AZ126" s="30">
        <f t="shared" si="5"/>
        <v>10.68756</v>
      </c>
    </row>
    <row r="127" ht="15.75" customHeight="1">
      <c r="A127" s="31" t="s">
        <v>45</v>
      </c>
      <c r="B127" s="32">
        <f t="shared" si="6"/>
        <v>45416</v>
      </c>
      <c r="C127" s="33">
        <v>5.0</v>
      </c>
      <c r="D127" s="33" t="s">
        <v>47</v>
      </c>
      <c r="E127" s="34"/>
      <c r="F127" s="42">
        <v>0.0</v>
      </c>
      <c r="H127" s="43">
        <v>0.0</v>
      </c>
      <c r="J127" s="43">
        <v>0.0</v>
      </c>
      <c r="L127" s="43">
        <v>0.0</v>
      </c>
      <c r="N127" s="43">
        <v>0.0</v>
      </c>
      <c r="P127" s="43">
        <v>0.0</v>
      </c>
      <c r="Q127" s="26"/>
      <c r="R127" s="42">
        <v>155.0</v>
      </c>
      <c r="T127" s="43">
        <v>155.0</v>
      </c>
      <c r="V127" s="43">
        <v>0.0</v>
      </c>
      <c r="X127" s="43">
        <v>0.0</v>
      </c>
      <c r="Z127" s="43">
        <v>0.0</v>
      </c>
      <c r="AB127" s="43">
        <v>0.0</v>
      </c>
      <c r="AC127" s="26"/>
      <c r="AD127" s="43">
        <v>0.0</v>
      </c>
      <c r="AF127" s="43">
        <v>0.0</v>
      </c>
      <c r="AH127" s="43">
        <v>0.0</v>
      </c>
      <c r="AJ127" s="27">
        <v>0.0</v>
      </c>
      <c r="AK127" s="26"/>
      <c r="AL127" s="42"/>
      <c r="AM127" s="26"/>
      <c r="AN127" s="42"/>
      <c r="AO127" s="26"/>
      <c r="AP127" s="42"/>
      <c r="AQ127" s="26"/>
      <c r="AR127" s="43"/>
      <c r="AT127" s="43"/>
      <c r="AU127" s="26"/>
      <c r="AV127" s="35">
        <f t="shared" si="1"/>
        <v>3313.1436</v>
      </c>
      <c r="AW127" s="33">
        <f t="shared" si="2"/>
        <v>310</v>
      </c>
      <c r="AX127" s="33">
        <f t="shared" si="3"/>
        <v>0</v>
      </c>
      <c r="AY127" s="33">
        <f t="shared" si="4"/>
        <v>310</v>
      </c>
      <c r="AZ127" s="30">
        <f t="shared" si="5"/>
        <v>10.68756</v>
      </c>
    </row>
    <row r="128" ht="15.75" customHeight="1">
      <c r="A128" s="44" t="s">
        <v>46</v>
      </c>
      <c r="B128" s="45">
        <f t="shared" si="6"/>
        <v>45417</v>
      </c>
      <c r="C128" s="46">
        <v>5.0</v>
      </c>
      <c r="D128" s="46" t="s">
        <v>47</v>
      </c>
      <c r="E128" s="47"/>
      <c r="F128" s="66">
        <v>0.0</v>
      </c>
      <c r="G128" s="51"/>
      <c r="H128" s="67">
        <v>0.0</v>
      </c>
      <c r="I128" s="51"/>
      <c r="J128" s="67">
        <v>0.0</v>
      </c>
      <c r="K128" s="51"/>
      <c r="L128" s="67">
        <v>0.0</v>
      </c>
      <c r="M128" s="51"/>
      <c r="N128" s="67">
        <v>0.0</v>
      </c>
      <c r="O128" s="51"/>
      <c r="P128" s="67">
        <v>0.0</v>
      </c>
      <c r="Q128" s="53"/>
      <c r="R128" s="66">
        <v>0.0</v>
      </c>
      <c r="S128" s="51"/>
      <c r="T128" s="67">
        <v>0.0</v>
      </c>
      <c r="U128" s="51"/>
      <c r="V128" s="67">
        <v>0.0</v>
      </c>
      <c r="W128" s="51"/>
      <c r="X128" s="67">
        <v>0.0</v>
      </c>
      <c r="Y128" s="51"/>
      <c r="Z128" s="67">
        <v>0.0</v>
      </c>
      <c r="AA128" s="51"/>
      <c r="AB128" s="67">
        <v>0.0</v>
      </c>
      <c r="AC128" s="53"/>
      <c r="AD128" s="67">
        <v>0.0</v>
      </c>
      <c r="AE128" s="51"/>
      <c r="AF128" s="67">
        <v>0.0</v>
      </c>
      <c r="AG128" s="51"/>
      <c r="AH128" s="67">
        <v>0.0</v>
      </c>
      <c r="AI128" s="51"/>
      <c r="AJ128" s="54">
        <v>0.0</v>
      </c>
      <c r="AK128" s="53"/>
      <c r="AL128" s="66"/>
      <c r="AM128" s="53"/>
      <c r="AN128" s="66"/>
      <c r="AO128" s="53"/>
      <c r="AP128" s="66"/>
      <c r="AQ128" s="53"/>
      <c r="AR128" s="67"/>
      <c r="AS128" s="51"/>
      <c r="AT128" s="67"/>
      <c r="AU128" s="53"/>
      <c r="AV128" s="55">
        <f t="shared" si="1"/>
        <v>0</v>
      </c>
      <c r="AW128" s="46">
        <f t="shared" si="2"/>
        <v>0</v>
      </c>
      <c r="AX128" s="46">
        <f t="shared" si="3"/>
        <v>0</v>
      </c>
      <c r="AY128" s="46">
        <f t="shared" si="4"/>
        <v>0</v>
      </c>
      <c r="AZ128" s="56" t="str">
        <f t="shared" si="5"/>
        <v/>
      </c>
    </row>
    <row r="129" ht="15.75" customHeight="1">
      <c r="A129" s="19" t="s">
        <v>30</v>
      </c>
      <c r="B129" s="57">
        <f t="shared" si="6"/>
        <v>45418</v>
      </c>
      <c r="C129" s="21">
        <v>5.0</v>
      </c>
      <c r="D129" s="21" t="s">
        <v>48</v>
      </c>
      <c r="E129" s="23"/>
      <c r="F129" s="42">
        <v>0.0</v>
      </c>
      <c r="H129" s="43">
        <v>0.0</v>
      </c>
      <c r="J129" s="43">
        <v>0.0</v>
      </c>
      <c r="L129" s="43">
        <v>0.0</v>
      </c>
      <c r="N129" s="43">
        <v>0.0</v>
      </c>
      <c r="P129" s="43">
        <v>0.0</v>
      </c>
      <c r="Q129" s="26"/>
      <c r="R129" s="42">
        <v>155.0</v>
      </c>
      <c r="T129" s="43">
        <v>155.0</v>
      </c>
      <c r="V129" s="43">
        <v>0.0</v>
      </c>
      <c r="X129" s="43">
        <v>0.0</v>
      </c>
      <c r="Z129" s="43">
        <v>0.0</v>
      </c>
      <c r="AB129" s="43">
        <v>0.0</v>
      </c>
      <c r="AC129" s="26"/>
      <c r="AD129" s="43">
        <v>0.0</v>
      </c>
      <c r="AF129" s="43">
        <v>0.0</v>
      </c>
      <c r="AH129" s="43">
        <v>0.0</v>
      </c>
      <c r="AJ129" s="27">
        <v>0.0</v>
      </c>
      <c r="AK129" s="26"/>
      <c r="AL129" s="42"/>
      <c r="AM129" s="26"/>
      <c r="AN129" s="42"/>
      <c r="AO129" s="26"/>
      <c r="AP129" s="42"/>
      <c r="AQ129" s="26"/>
      <c r="AR129" s="43"/>
      <c r="AT129" s="43"/>
      <c r="AU129" s="26"/>
      <c r="AV129" s="29">
        <f t="shared" si="1"/>
        <v>3313.1436</v>
      </c>
      <c r="AW129" s="21">
        <f t="shared" si="2"/>
        <v>310</v>
      </c>
      <c r="AX129" s="21">
        <f t="shared" si="3"/>
        <v>0</v>
      </c>
      <c r="AY129" s="21">
        <f t="shared" si="4"/>
        <v>310</v>
      </c>
      <c r="AZ129" s="58">
        <f t="shared" si="5"/>
        <v>10.68756</v>
      </c>
    </row>
    <row r="130" ht="15.75" customHeight="1">
      <c r="A130" s="31" t="s">
        <v>33</v>
      </c>
      <c r="B130" s="32">
        <f t="shared" si="6"/>
        <v>45419</v>
      </c>
      <c r="C130" s="33">
        <v>5.0</v>
      </c>
      <c r="D130" s="33" t="s">
        <v>48</v>
      </c>
      <c r="E130" s="34"/>
      <c r="F130" s="42">
        <v>0.0</v>
      </c>
      <c r="H130" s="43">
        <v>0.0</v>
      </c>
      <c r="J130" s="43">
        <v>0.0</v>
      </c>
      <c r="L130" s="43">
        <v>0.0</v>
      </c>
      <c r="N130" s="43">
        <v>0.0</v>
      </c>
      <c r="P130" s="43">
        <v>0.0</v>
      </c>
      <c r="Q130" s="26"/>
      <c r="R130" s="42">
        <v>155.0</v>
      </c>
      <c r="T130" s="43">
        <v>155.0</v>
      </c>
      <c r="V130" s="43">
        <v>0.0</v>
      </c>
      <c r="X130" s="43">
        <v>0.0</v>
      </c>
      <c r="Z130" s="43">
        <v>0.0</v>
      </c>
      <c r="AB130" s="43">
        <v>0.0</v>
      </c>
      <c r="AC130" s="26"/>
      <c r="AD130" s="43">
        <v>0.0</v>
      </c>
      <c r="AF130" s="43">
        <v>50.0</v>
      </c>
      <c r="AH130" s="43">
        <v>50.0</v>
      </c>
      <c r="AJ130" s="27">
        <v>0.0</v>
      </c>
      <c r="AK130" s="26"/>
      <c r="AL130" s="42"/>
      <c r="AM130" s="26"/>
      <c r="AN130" s="42"/>
      <c r="AO130" s="26"/>
      <c r="AP130" s="42"/>
      <c r="AQ130" s="26"/>
      <c r="AR130" s="43"/>
      <c r="AT130" s="43"/>
      <c r="AU130" s="26"/>
      <c r="AV130" s="35">
        <f t="shared" si="1"/>
        <v>4841.4436</v>
      </c>
      <c r="AW130" s="33">
        <f t="shared" si="2"/>
        <v>410</v>
      </c>
      <c r="AX130" s="33">
        <f t="shared" si="3"/>
        <v>0</v>
      </c>
      <c r="AY130" s="33">
        <f t="shared" si="4"/>
        <v>410</v>
      </c>
      <c r="AZ130" s="30">
        <f t="shared" si="5"/>
        <v>11.80839902</v>
      </c>
    </row>
    <row r="131" ht="15.75" customHeight="1">
      <c r="A131" s="31" t="s">
        <v>34</v>
      </c>
      <c r="B131" s="32">
        <f t="shared" si="6"/>
        <v>45420</v>
      </c>
      <c r="C131" s="33">
        <v>5.0</v>
      </c>
      <c r="D131" s="33" t="s">
        <v>48</v>
      </c>
      <c r="E131" s="34"/>
      <c r="F131" s="42">
        <v>0.0</v>
      </c>
      <c r="H131" s="43">
        <v>0.0</v>
      </c>
      <c r="J131" s="43">
        <v>0.0</v>
      </c>
      <c r="L131" s="43">
        <v>0.0</v>
      </c>
      <c r="N131" s="43">
        <v>0.0</v>
      </c>
      <c r="P131" s="43">
        <v>0.0</v>
      </c>
      <c r="Q131" s="26"/>
      <c r="R131" s="42">
        <v>155.0</v>
      </c>
      <c r="T131" s="43">
        <v>155.0</v>
      </c>
      <c r="V131" s="43">
        <v>0.0</v>
      </c>
      <c r="X131" s="43">
        <v>0.0</v>
      </c>
      <c r="Z131" s="43">
        <v>0.0</v>
      </c>
      <c r="AB131" s="43">
        <v>0.0</v>
      </c>
      <c r="AC131" s="26"/>
      <c r="AD131" s="43">
        <v>0.0</v>
      </c>
      <c r="AF131" s="43">
        <v>50.0</v>
      </c>
      <c r="AH131" s="43">
        <v>50.0</v>
      </c>
      <c r="AJ131" s="27">
        <v>0.0</v>
      </c>
      <c r="AK131" s="26"/>
      <c r="AL131" s="42"/>
      <c r="AM131" s="26"/>
      <c r="AN131" s="42"/>
      <c r="AO131" s="26"/>
      <c r="AP131" s="42"/>
      <c r="AQ131" s="26"/>
      <c r="AR131" s="43"/>
      <c r="AT131" s="43"/>
      <c r="AU131" s="26"/>
      <c r="AV131" s="35">
        <f t="shared" si="1"/>
        <v>4841.4436</v>
      </c>
      <c r="AW131" s="33">
        <f t="shared" si="2"/>
        <v>410</v>
      </c>
      <c r="AX131" s="33">
        <f t="shared" si="3"/>
        <v>0</v>
      </c>
      <c r="AY131" s="33">
        <f t="shared" si="4"/>
        <v>410</v>
      </c>
      <c r="AZ131" s="30">
        <f t="shared" si="5"/>
        <v>11.80839902</v>
      </c>
    </row>
    <row r="132" ht="15.75" customHeight="1">
      <c r="A132" s="31" t="s">
        <v>35</v>
      </c>
      <c r="B132" s="32">
        <f t="shared" si="6"/>
        <v>45421</v>
      </c>
      <c r="C132" s="33">
        <v>5.0</v>
      </c>
      <c r="D132" s="33" t="s">
        <v>48</v>
      </c>
      <c r="E132" s="34"/>
      <c r="F132" s="42">
        <v>0.0</v>
      </c>
      <c r="H132" s="43">
        <v>0.0</v>
      </c>
      <c r="J132" s="43">
        <v>0.0</v>
      </c>
      <c r="L132" s="43">
        <v>0.0</v>
      </c>
      <c r="N132" s="43">
        <v>0.0</v>
      </c>
      <c r="P132" s="43">
        <v>0.0</v>
      </c>
      <c r="Q132" s="26"/>
      <c r="R132" s="42">
        <v>155.0</v>
      </c>
      <c r="T132" s="43">
        <v>155.0</v>
      </c>
      <c r="V132" s="43">
        <v>0.0</v>
      </c>
      <c r="X132" s="43">
        <v>0.0</v>
      </c>
      <c r="Z132" s="43">
        <v>0.0</v>
      </c>
      <c r="AB132" s="43">
        <v>0.0</v>
      </c>
      <c r="AC132" s="26"/>
      <c r="AD132" s="43">
        <v>0.0</v>
      </c>
      <c r="AF132" s="43">
        <v>0.0</v>
      </c>
      <c r="AH132" s="43">
        <v>50.0</v>
      </c>
      <c r="AJ132" s="27">
        <v>0.0</v>
      </c>
      <c r="AK132" s="26"/>
      <c r="AL132" s="42"/>
      <c r="AM132" s="26"/>
      <c r="AN132" s="42"/>
      <c r="AO132" s="26"/>
      <c r="AP132" s="42"/>
      <c r="AQ132" s="26"/>
      <c r="AR132" s="43"/>
      <c r="AT132" s="43"/>
      <c r="AU132" s="26"/>
      <c r="AV132" s="35">
        <f t="shared" si="1"/>
        <v>4077.2936</v>
      </c>
      <c r="AW132" s="33">
        <f t="shared" si="2"/>
        <v>360</v>
      </c>
      <c r="AX132" s="33">
        <f t="shared" si="3"/>
        <v>0</v>
      </c>
      <c r="AY132" s="33">
        <f t="shared" si="4"/>
        <v>360</v>
      </c>
      <c r="AZ132" s="30">
        <f t="shared" si="5"/>
        <v>11.32581556</v>
      </c>
    </row>
    <row r="133" ht="15.75" customHeight="1">
      <c r="A133" s="31" t="s">
        <v>38</v>
      </c>
      <c r="B133" s="32">
        <f t="shared" si="6"/>
        <v>45422</v>
      </c>
      <c r="C133" s="33">
        <v>5.0</v>
      </c>
      <c r="D133" s="33" t="s">
        <v>48</v>
      </c>
      <c r="E133" s="34"/>
      <c r="F133" s="42">
        <v>0.0</v>
      </c>
      <c r="H133" s="43">
        <v>0.0</v>
      </c>
      <c r="J133" s="43">
        <v>0.0</v>
      </c>
      <c r="L133" s="43">
        <v>0.0</v>
      </c>
      <c r="N133" s="43">
        <v>0.0</v>
      </c>
      <c r="P133" s="43">
        <v>0.0</v>
      </c>
      <c r="Q133" s="26"/>
      <c r="R133" s="42">
        <v>155.0</v>
      </c>
      <c r="T133" s="43">
        <v>155.0</v>
      </c>
      <c r="V133" s="43">
        <v>0.0</v>
      </c>
      <c r="X133" s="43">
        <v>0.0</v>
      </c>
      <c r="Z133" s="43">
        <v>0.0</v>
      </c>
      <c r="AB133" s="43">
        <v>0.0</v>
      </c>
      <c r="AC133" s="26"/>
      <c r="AD133" s="43">
        <v>0.0</v>
      </c>
      <c r="AF133" s="43">
        <v>0.0</v>
      </c>
      <c r="AH133" s="43">
        <v>50.0</v>
      </c>
      <c r="AJ133" s="27">
        <v>0.0</v>
      </c>
      <c r="AK133" s="26"/>
      <c r="AL133" s="42"/>
      <c r="AM133" s="26"/>
      <c r="AN133" s="42"/>
      <c r="AO133" s="26"/>
      <c r="AP133" s="42"/>
      <c r="AQ133" s="26"/>
      <c r="AR133" s="43"/>
      <c r="AT133" s="43"/>
      <c r="AU133" s="26"/>
      <c r="AV133" s="35">
        <f t="shared" si="1"/>
        <v>4077.2936</v>
      </c>
      <c r="AW133" s="33">
        <f t="shared" si="2"/>
        <v>360</v>
      </c>
      <c r="AX133" s="33">
        <f t="shared" si="3"/>
        <v>0</v>
      </c>
      <c r="AY133" s="33">
        <f t="shared" si="4"/>
        <v>360</v>
      </c>
      <c r="AZ133" s="30">
        <f t="shared" si="5"/>
        <v>11.32581556</v>
      </c>
    </row>
    <row r="134" ht="15.75" customHeight="1">
      <c r="A134" s="31" t="s">
        <v>45</v>
      </c>
      <c r="B134" s="32">
        <f t="shared" si="6"/>
        <v>45423</v>
      </c>
      <c r="C134" s="33">
        <v>5.0</v>
      </c>
      <c r="D134" s="33" t="s">
        <v>48</v>
      </c>
      <c r="E134" s="34"/>
      <c r="F134" s="42">
        <v>0.0</v>
      </c>
      <c r="H134" s="43">
        <v>0.0</v>
      </c>
      <c r="J134" s="43">
        <v>0.0</v>
      </c>
      <c r="L134" s="43">
        <v>0.0</v>
      </c>
      <c r="N134" s="43">
        <v>0.0</v>
      </c>
      <c r="P134" s="43">
        <v>0.0</v>
      </c>
      <c r="Q134" s="26"/>
      <c r="R134" s="42">
        <v>155.0</v>
      </c>
      <c r="T134" s="43">
        <v>155.0</v>
      </c>
      <c r="V134" s="43">
        <v>0.0</v>
      </c>
      <c r="X134" s="43">
        <v>0.0</v>
      </c>
      <c r="Z134" s="43">
        <v>0.0</v>
      </c>
      <c r="AB134" s="43">
        <v>0.0</v>
      </c>
      <c r="AC134" s="26"/>
      <c r="AD134" s="43">
        <v>0.0</v>
      </c>
      <c r="AF134" s="43">
        <v>50.0</v>
      </c>
      <c r="AH134" s="43">
        <v>0.0</v>
      </c>
      <c r="AJ134" s="27">
        <v>0.0</v>
      </c>
      <c r="AK134" s="26"/>
      <c r="AL134" s="42"/>
      <c r="AM134" s="26"/>
      <c r="AN134" s="42"/>
      <c r="AO134" s="26"/>
      <c r="AP134" s="42"/>
      <c r="AQ134" s="26"/>
      <c r="AR134" s="43"/>
      <c r="AT134" s="43"/>
      <c r="AU134" s="26"/>
      <c r="AV134" s="35">
        <f t="shared" si="1"/>
        <v>4077.2936</v>
      </c>
      <c r="AW134" s="33">
        <f t="shared" si="2"/>
        <v>360</v>
      </c>
      <c r="AX134" s="33">
        <f t="shared" si="3"/>
        <v>0</v>
      </c>
      <c r="AY134" s="33">
        <f t="shared" si="4"/>
        <v>360</v>
      </c>
      <c r="AZ134" s="30">
        <f t="shared" si="5"/>
        <v>11.32581556</v>
      </c>
    </row>
    <row r="135" ht="15.75" customHeight="1">
      <c r="A135" s="44" t="s">
        <v>46</v>
      </c>
      <c r="B135" s="45">
        <f t="shared" si="6"/>
        <v>45424</v>
      </c>
      <c r="C135" s="46">
        <v>5.0</v>
      </c>
      <c r="D135" s="46" t="s">
        <v>48</v>
      </c>
      <c r="E135" s="47"/>
      <c r="F135" s="66">
        <v>0.0</v>
      </c>
      <c r="G135" s="51"/>
      <c r="H135" s="67">
        <v>0.0</v>
      </c>
      <c r="I135" s="51"/>
      <c r="J135" s="67">
        <v>0.0</v>
      </c>
      <c r="K135" s="51"/>
      <c r="L135" s="67">
        <v>0.0</v>
      </c>
      <c r="M135" s="51"/>
      <c r="N135" s="67">
        <v>0.0</v>
      </c>
      <c r="O135" s="51"/>
      <c r="P135" s="67">
        <v>0.0</v>
      </c>
      <c r="Q135" s="53"/>
      <c r="R135" s="66">
        <v>0.0</v>
      </c>
      <c r="S135" s="51"/>
      <c r="T135" s="67">
        <v>0.0</v>
      </c>
      <c r="U135" s="51"/>
      <c r="V135" s="67">
        <v>0.0</v>
      </c>
      <c r="W135" s="51"/>
      <c r="X135" s="67">
        <v>0.0</v>
      </c>
      <c r="Y135" s="51"/>
      <c r="Z135" s="67">
        <v>0.0</v>
      </c>
      <c r="AA135" s="51"/>
      <c r="AB135" s="67">
        <v>0.0</v>
      </c>
      <c r="AC135" s="53"/>
      <c r="AD135" s="67">
        <v>0.0</v>
      </c>
      <c r="AE135" s="51"/>
      <c r="AF135" s="67">
        <v>0.0</v>
      </c>
      <c r="AG135" s="51"/>
      <c r="AH135" s="67">
        <v>0.0</v>
      </c>
      <c r="AI135" s="51"/>
      <c r="AJ135" s="54">
        <v>0.0</v>
      </c>
      <c r="AK135" s="53"/>
      <c r="AL135" s="66"/>
      <c r="AM135" s="53"/>
      <c r="AN135" s="66"/>
      <c r="AO135" s="53"/>
      <c r="AP135" s="66"/>
      <c r="AQ135" s="53"/>
      <c r="AR135" s="67"/>
      <c r="AS135" s="51"/>
      <c r="AT135" s="67"/>
      <c r="AU135" s="53"/>
      <c r="AV135" s="55">
        <f t="shared" si="1"/>
        <v>0</v>
      </c>
      <c r="AW135" s="46">
        <f t="shared" si="2"/>
        <v>0</v>
      </c>
      <c r="AX135" s="46">
        <f t="shared" si="3"/>
        <v>0</v>
      </c>
      <c r="AY135" s="46">
        <f t="shared" si="4"/>
        <v>0</v>
      </c>
      <c r="AZ135" s="56" t="str">
        <f t="shared" si="5"/>
        <v/>
      </c>
    </row>
    <row r="136" ht="15.75" customHeight="1">
      <c r="A136" s="19" t="s">
        <v>30</v>
      </c>
      <c r="B136" s="57">
        <f t="shared" si="6"/>
        <v>45425</v>
      </c>
      <c r="C136" s="21">
        <v>5.0</v>
      </c>
      <c r="D136" s="21" t="s">
        <v>49</v>
      </c>
      <c r="E136" s="23"/>
      <c r="F136" s="42">
        <v>0.0</v>
      </c>
      <c r="H136" s="43">
        <v>0.0</v>
      </c>
      <c r="J136" s="43">
        <v>0.0</v>
      </c>
      <c r="L136" s="43">
        <v>0.0</v>
      </c>
      <c r="N136" s="43">
        <v>0.0</v>
      </c>
      <c r="P136" s="43">
        <v>0.0</v>
      </c>
      <c r="Q136" s="26"/>
      <c r="R136" s="42">
        <v>155.0</v>
      </c>
      <c r="T136" s="43">
        <v>155.0</v>
      </c>
      <c r="V136" s="43">
        <v>0.0</v>
      </c>
      <c r="X136" s="43">
        <v>0.0</v>
      </c>
      <c r="Z136" s="43">
        <v>0.0</v>
      </c>
      <c r="AB136" s="43">
        <v>0.0</v>
      </c>
      <c r="AC136" s="26"/>
      <c r="AD136" s="43">
        <v>0.0</v>
      </c>
      <c r="AF136" s="43">
        <v>0.0</v>
      </c>
      <c r="AH136" s="43">
        <v>0.0</v>
      </c>
      <c r="AJ136" s="27">
        <v>0.0</v>
      </c>
      <c r="AK136" s="26"/>
      <c r="AL136" s="42"/>
      <c r="AM136" s="26"/>
      <c r="AN136" s="42"/>
      <c r="AO136" s="26"/>
      <c r="AP136" s="42"/>
      <c r="AQ136" s="26"/>
      <c r="AR136" s="43"/>
      <c r="AT136" s="43"/>
      <c r="AU136" s="26"/>
      <c r="AV136" s="29">
        <f t="shared" si="1"/>
        <v>3313.1436</v>
      </c>
      <c r="AW136" s="21">
        <f t="shared" si="2"/>
        <v>310</v>
      </c>
      <c r="AX136" s="21">
        <f t="shared" si="3"/>
        <v>0</v>
      </c>
      <c r="AY136" s="21">
        <f t="shared" si="4"/>
        <v>310</v>
      </c>
      <c r="AZ136" s="58">
        <f t="shared" si="5"/>
        <v>10.68756</v>
      </c>
    </row>
    <row r="137" ht="15.75" customHeight="1">
      <c r="A137" s="31" t="s">
        <v>33</v>
      </c>
      <c r="B137" s="32">
        <f t="shared" si="6"/>
        <v>45426</v>
      </c>
      <c r="C137" s="33">
        <v>5.0</v>
      </c>
      <c r="D137" s="33" t="s">
        <v>49</v>
      </c>
      <c r="E137" s="34"/>
      <c r="F137" s="42">
        <v>0.0</v>
      </c>
      <c r="H137" s="43">
        <v>0.0</v>
      </c>
      <c r="J137" s="43">
        <v>0.0</v>
      </c>
      <c r="L137" s="43">
        <v>0.0</v>
      </c>
      <c r="N137" s="43">
        <v>0.0</v>
      </c>
      <c r="P137" s="43">
        <v>0.0</v>
      </c>
      <c r="Q137" s="26"/>
      <c r="R137" s="42">
        <v>155.0</v>
      </c>
      <c r="T137" s="43">
        <v>155.0</v>
      </c>
      <c r="V137" s="43">
        <v>0.0</v>
      </c>
      <c r="X137" s="43">
        <v>0.0</v>
      </c>
      <c r="Z137" s="43">
        <v>0.0</v>
      </c>
      <c r="AB137" s="43">
        <v>0.0</v>
      </c>
      <c r="AC137" s="26"/>
      <c r="AD137" s="43">
        <v>0.0</v>
      </c>
      <c r="AF137" s="43">
        <v>0.0</v>
      </c>
      <c r="AH137" s="43">
        <v>0.0</v>
      </c>
      <c r="AJ137" s="27">
        <v>0.0</v>
      </c>
      <c r="AK137" s="26"/>
      <c r="AL137" s="42"/>
      <c r="AM137" s="26"/>
      <c r="AN137" s="42"/>
      <c r="AO137" s="26"/>
      <c r="AP137" s="42"/>
      <c r="AQ137" s="26"/>
      <c r="AR137" s="43"/>
      <c r="AT137" s="43"/>
      <c r="AU137" s="26"/>
      <c r="AV137" s="35">
        <f t="shared" si="1"/>
        <v>3313.1436</v>
      </c>
      <c r="AW137" s="33">
        <f t="shared" si="2"/>
        <v>310</v>
      </c>
      <c r="AX137" s="33">
        <f t="shared" si="3"/>
        <v>0</v>
      </c>
      <c r="AY137" s="33">
        <f t="shared" si="4"/>
        <v>310</v>
      </c>
      <c r="AZ137" s="30">
        <f t="shared" si="5"/>
        <v>10.68756</v>
      </c>
    </row>
    <row r="138" ht="15.75" customHeight="1">
      <c r="A138" s="31" t="s">
        <v>34</v>
      </c>
      <c r="B138" s="32">
        <f t="shared" si="6"/>
        <v>45427</v>
      </c>
      <c r="C138" s="33">
        <v>5.0</v>
      </c>
      <c r="D138" s="33" t="s">
        <v>49</v>
      </c>
      <c r="E138" s="34"/>
      <c r="F138" s="42">
        <v>0.0</v>
      </c>
      <c r="H138" s="43">
        <v>0.0</v>
      </c>
      <c r="J138" s="43">
        <v>0.0</v>
      </c>
      <c r="L138" s="43">
        <v>0.0</v>
      </c>
      <c r="N138" s="43">
        <v>0.0</v>
      </c>
      <c r="P138" s="43">
        <v>0.0</v>
      </c>
      <c r="Q138" s="26"/>
      <c r="R138" s="42">
        <v>155.0</v>
      </c>
      <c r="T138" s="43">
        <v>155.0</v>
      </c>
      <c r="V138" s="43">
        <v>0.0</v>
      </c>
      <c r="X138" s="43">
        <v>0.0</v>
      </c>
      <c r="Z138" s="43">
        <v>0.0</v>
      </c>
      <c r="AB138" s="43">
        <v>0.0</v>
      </c>
      <c r="AC138" s="26"/>
      <c r="AD138" s="43">
        <v>0.0</v>
      </c>
      <c r="AF138" s="43">
        <v>0.0</v>
      </c>
      <c r="AH138" s="43">
        <v>0.0</v>
      </c>
      <c r="AJ138" s="27">
        <v>0.0</v>
      </c>
      <c r="AK138" s="26"/>
      <c r="AL138" s="42"/>
      <c r="AM138" s="26"/>
      <c r="AN138" s="42"/>
      <c r="AO138" s="26"/>
      <c r="AP138" s="42"/>
      <c r="AQ138" s="26"/>
      <c r="AR138" s="43"/>
      <c r="AT138" s="43"/>
      <c r="AU138" s="26"/>
      <c r="AV138" s="35">
        <f t="shared" si="1"/>
        <v>3313.1436</v>
      </c>
      <c r="AW138" s="33">
        <f t="shared" si="2"/>
        <v>310</v>
      </c>
      <c r="AX138" s="33">
        <f t="shared" si="3"/>
        <v>0</v>
      </c>
      <c r="AY138" s="33">
        <f t="shared" si="4"/>
        <v>310</v>
      </c>
      <c r="AZ138" s="30">
        <f t="shared" si="5"/>
        <v>10.68756</v>
      </c>
    </row>
    <row r="139" ht="15.75" customHeight="1">
      <c r="A139" s="31" t="s">
        <v>35</v>
      </c>
      <c r="B139" s="32">
        <f t="shared" si="6"/>
        <v>45428</v>
      </c>
      <c r="C139" s="33">
        <v>5.0</v>
      </c>
      <c r="D139" s="33" t="s">
        <v>49</v>
      </c>
      <c r="E139" s="34"/>
      <c r="F139" s="42">
        <v>0.0</v>
      </c>
      <c r="H139" s="43">
        <v>0.0</v>
      </c>
      <c r="J139" s="43">
        <v>0.0</v>
      </c>
      <c r="L139" s="43">
        <v>0.0</v>
      </c>
      <c r="N139" s="43">
        <v>0.0</v>
      </c>
      <c r="P139" s="43">
        <v>0.0</v>
      </c>
      <c r="Q139" s="26"/>
      <c r="R139" s="42">
        <v>155.0</v>
      </c>
      <c r="T139" s="43">
        <v>155.0</v>
      </c>
      <c r="V139" s="43">
        <v>0.0</v>
      </c>
      <c r="X139" s="43">
        <v>0.0</v>
      </c>
      <c r="Z139" s="43">
        <v>0.0</v>
      </c>
      <c r="AB139" s="43">
        <v>0.0</v>
      </c>
      <c r="AC139" s="26"/>
      <c r="AD139" s="43">
        <v>0.0</v>
      </c>
      <c r="AF139" s="43">
        <v>0.0</v>
      </c>
      <c r="AH139" s="43">
        <v>0.0</v>
      </c>
      <c r="AJ139" s="27">
        <v>0.0</v>
      </c>
      <c r="AK139" s="26"/>
      <c r="AL139" s="42"/>
      <c r="AM139" s="26"/>
      <c r="AN139" s="42"/>
      <c r="AO139" s="26"/>
      <c r="AP139" s="42"/>
      <c r="AQ139" s="26"/>
      <c r="AR139" s="43"/>
      <c r="AT139" s="43"/>
      <c r="AU139" s="26"/>
      <c r="AV139" s="35">
        <f t="shared" si="1"/>
        <v>3313.1436</v>
      </c>
      <c r="AW139" s="33">
        <f t="shared" si="2"/>
        <v>310</v>
      </c>
      <c r="AX139" s="33">
        <f t="shared" si="3"/>
        <v>0</v>
      </c>
      <c r="AY139" s="33">
        <f t="shared" si="4"/>
        <v>310</v>
      </c>
      <c r="AZ139" s="30">
        <f t="shared" si="5"/>
        <v>10.68756</v>
      </c>
    </row>
    <row r="140" ht="15.75" customHeight="1">
      <c r="A140" s="31" t="s">
        <v>38</v>
      </c>
      <c r="B140" s="32">
        <f t="shared" si="6"/>
        <v>45429</v>
      </c>
      <c r="C140" s="33">
        <v>5.0</v>
      </c>
      <c r="D140" s="33" t="s">
        <v>49</v>
      </c>
      <c r="E140" s="34"/>
      <c r="F140" s="42">
        <v>0.0</v>
      </c>
      <c r="H140" s="43">
        <v>0.0</v>
      </c>
      <c r="J140" s="43">
        <v>0.0</v>
      </c>
      <c r="L140" s="43">
        <v>0.0</v>
      </c>
      <c r="N140" s="43">
        <v>0.0</v>
      </c>
      <c r="P140" s="43">
        <v>0.0</v>
      </c>
      <c r="Q140" s="26"/>
      <c r="R140" s="42">
        <v>155.0</v>
      </c>
      <c r="T140" s="43">
        <v>155.0</v>
      </c>
      <c r="V140" s="43">
        <v>0.0</v>
      </c>
      <c r="X140" s="43">
        <v>0.0</v>
      </c>
      <c r="Z140" s="43">
        <v>0.0</v>
      </c>
      <c r="AB140" s="43">
        <v>0.0</v>
      </c>
      <c r="AC140" s="26"/>
      <c r="AD140" s="43">
        <v>0.0</v>
      </c>
      <c r="AF140" s="43">
        <v>0.0</v>
      </c>
      <c r="AH140" s="43">
        <v>0.0</v>
      </c>
      <c r="AJ140" s="27">
        <v>0.0</v>
      </c>
      <c r="AK140" s="26"/>
      <c r="AL140" s="42"/>
      <c r="AM140" s="26"/>
      <c r="AN140" s="42"/>
      <c r="AO140" s="26"/>
      <c r="AP140" s="42"/>
      <c r="AQ140" s="26"/>
      <c r="AR140" s="43"/>
      <c r="AT140" s="43"/>
      <c r="AU140" s="26"/>
      <c r="AV140" s="35">
        <f t="shared" si="1"/>
        <v>3313.1436</v>
      </c>
      <c r="AW140" s="33">
        <f t="shared" si="2"/>
        <v>310</v>
      </c>
      <c r="AX140" s="33">
        <f t="shared" si="3"/>
        <v>0</v>
      </c>
      <c r="AY140" s="33">
        <f t="shared" si="4"/>
        <v>310</v>
      </c>
      <c r="AZ140" s="30">
        <f t="shared" si="5"/>
        <v>10.68756</v>
      </c>
    </row>
    <row r="141" ht="15.75" customHeight="1">
      <c r="A141" s="31" t="s">
        <v>45</v>
      </c>
      <c r="B141" s="32">
        <f t="shared" si="6"/>
        <v>45430</v>
      </c>
      <c r="C141" s="33">
        <v>5.0</v>
      </c>
      <c r="D141" s="33" t="s">
        <v>49</v>
      </c>
      <c r="E141" s="34"/>
      <c r="F141" s="42">
        <v>0.0</v>
      </c>
      <c r="H141" s="43">
        <v>0.0</v>
      </c>
      <c r="J141" s="43">
        <v>0.0</v>
      </c>
      <c r="L141" s="43">
        <v>0.0</v>
      </c>
      <c r="N141" s="43">
        <v>0.0</v>
      </c>
      <c r="P141" s="43">
        <v>0.0</v>
      </c>
      <c r="Q141" s="26"/>
      <c r="R141" s="42">
        <v>155.0</v>
      </c>
      <c r="T141" s="43">
        <v>155.0</v>
      </c>
      <c r="V141" s="43">
        <v>0.0</v>
      </c>
      <c r="X141" s="43">
        <v>0.0</v>
      </c>
      <c r="Z141" s="43">
        <v>0.0</v>
      </c>
      <c r="AB141" s="43">
        <v>0.0</v>
      </c>
      <c r="AC141" s="26"/>
      <c r="AD141" s="43">
        <v>0.0</v>
      </c>
      <c r="AF141" s="43">
        <v>0.0</v>
      </c>
      <c r="AH141" s="43">
        <v>0.0</v>
      </c>
      <c r="AJ141" s="27">
        <v>0.0</v>
      </c>
      <c r="AK141" s="26"/>
      <c r="AL141" s="42"/>
      <c r="AM141" s="26"/>
      <c r="AN141" s="42"/>
      <c r="AO141" s="26"/>
      <c r="AP141" s="42"/>
      <c r="AQ141" s="26"/>
      <c r="AR141" s="43"/>
      <c r="AT141" s="43"/>
      <c r="AU141" s="26"/>
      <c r="AV141" s="35">
        <f t="shared" si="1"/>
        <v>3313.1436</v>
      </c>
      <c r="AW141" s="33">
        <f t="shared" si="2"/>
        <v>310</v>
      </c>
      <c r="AX141" s="33">
        <f t="shared" si="3"/>
        <v>0</v>
      </c>
      <c r="AY141" s="33">
        <f t="shared" si="4"/>
        <v>310</v>
      </c>
      <c r="AZ141" s="30">
        <f t="shared" si="5"/>
        <v>10.68756</v>
      </c>
    </row>
    <row r="142" ht="15.75" customHeight="1">
      <c r="A142" s="44" t="s">
        <v>46</v>
      </c>
      <c r="B142" s="45">
        <f t="shared" si="6"/>
        <v>45431</v>
      </c>
      <c r="C142" s="46">
        <v>5.0</v>
      </c>
      <c r="D142" s="46" t="s">
        <v>49</v>
      </c>
      <c r="E142" s="47"/>
      <c r="F142" s="66">
        <v>0.0</v>
      </c>
      <c r="G142" s="51"/>
      <c r="H142" s="67">
        <v>0.0</v>
      </c>
      <c r="I142" s="51"/>
      <c r="J142" s="67">
        <v>0.0</v>
      </c>
      <c r="K142" s="51"/>
      <c r="L142" s="67">
        <v>0.0</v>
      </c>
      <c r="M142" s="51"/>
      <c r="N142" s="67">
        <v>0.0</v>
      </c>
      <c r="O142" s="51"/>
      <c r="P142" s="67">
        <v>0.0</v>
      </c>
      <c r="Q142" s="53"/>
      <c r="R142" s="66">
        <v>0.0</v>
      </c>
      <c r="S142" s="51"/>
      <c r="T142" s="67">
        <v>0.0</v>
      </c>
      <c r="U142" s="51"/>
      <c r="V142" s="67">
        <v>0.0</v>
      </c>
      <c r="W142" s="51"/>
      <c r="X142" s="67">
        <v>0.0</v>
      </c>
      <c r="Y142" s="51"/>
      <c r="Z142" s="67">
        <v>0.0</v>
      </c>
      <c r="AA142" s="51"/>
      <c r="AB142" s="67">
        <v>0.0</v>
      </c>
      <c r="AC142" s="53"/>
      <c r="AD142" s="67">
        <v>0.0</v>
      </c>
      <c r="AE142" s="51"/>
      <c r="AF142" s="67">
        <v>0.0</v>
      </c>
      <c r="AG142" s="51"/>
      <c r="AH142" s="67">
        <v>0.0</v>
      </c>
      <c r="AI142" s="51"/>
      <c r="AJ142" s="54">
        <v>0.0</v>
      </c>
      <c r="AK142" s="53"/>
      <c r="AL142" s="66"/>
      <c r="AM142" s="53"/>
      <c r="AN142" s="66"/>
      <c r="AO142" s="53"/>
      <c r="AP142" s="66"/>
      <c r="AQ142" s="53"/>
      <c r="AR142" s="67"/>
      <c r="AS142" s="51"/>
      <c r="AT142" s="67"/>
      <c r="AU142" s="53"/>
      <c r="AV142" s="55">
        <f t="shared" si="1"/>
        <v>0</v>
      </c>
      <c r="AW142" s="46">
        <f t="shared" si="2"/>
        <v>0</v>
      </c>
      <c r="AX142" s="46">
        <f t="shared" si="3"/>
        <v>0</v>
      </c>
      <c r="AY142" s="46">
        <f t="shared" si="4"/>
        <v>0</v>
      </c>
      <c r="AZ142" s="56" t="str">
        <f t="shared" si="5"/>
        <v/>
      </c>
    </row>
    <row r="143" ht="15.75" customHeight="1">
      <c r="A143" s="19" t="s">
        <v>30</v>
      </c>
      <c r="B143" s="57">
        <f t="shared" si="6"/>
        <v>45432</v>
      </c>
      <c r="C143" s="21">
        <v>6.0</v>
      </c>
      <c r="D143" s="21" t="s">
        <v>31</v>
      </c>
      <c r="E143" s="23"/>
      <c r="F143" s="42">
        <v>0.0</v>
      </c>
      <c r="H143" s="43">
        <v>0.0</v>
      </c>
      <c r="J143" s="43">
        <v>0.0</v>
      </c>
      <c r="L143" s="43">
        <v>0.0</v>
      </c>
      <c r="N143" s="43">
        <v>0.0</v>
      </c>
      <c r="P143" s="43">
        <v>0.0</v>
      </c>
      <c r="Q143" s="26"/>
      <c r="R143" s="42">
        <v>155.0</v>
      </c>
      <c r="T143" s="43">
        <v>155.0</v>
      </c>
      <c r="V143" s="43">
        <v>0.0</v>
      </c>
      <c r="X143" s="43">
        <v>0.0</v>
      </c>
      <c r="Z143" s="43">
        <v>0.0</v>
      </c>
      <c r="AB143" s="43">
        <v>0.0</v>
      </c>
      <c r="AC143" s="26"/>
      <c r="AD143" s="43">
        <v>0.0</v>
      </c>
      <c r="AF143" s="43">
        <v>0.0</v>
      </c>
      <c r="AH143" s="43">
        <v>0.0</v>
      </c>
      <c r="AJ143" s="27">
        <v>0.0</v>
      </c>
      <c r="AK143" s="26"/>
      <c r="AL143" s="42"/>
      <c r="AM143" s="26"/>
      <c r="AN143" s="42"/>
      <c r="AO143" s="26"/>
      <c r="AP143" s="42"/>
      <c r="AQ143" s="26"/>
      <c r="AR143" s="43"/>
      <c r="AT143" s="43"/>
      <c r="AU143" s="26"/>
      <c r="AV143" s="29">
        <f t="shared" si="1"/>
        <v>3313.1436</v>
      </c>
      <c r="AW143" s="21">
        <f t="shared" si="2"/>
        <v>310</v>
      </c>
      <c r="AX143" s="21">
        <f t="shared" si="3"/>
        <v>0</v>
      </c>
      <c r="AY143" s="21">
        <f t="shared" si="4"/>
        <v>310</v>
      </c>
      <c r="AZ143" s="58">
        <f t="shared" si="5"/>
        <v>10.68756</v>
      </c>
    </row>
    <row r="144" ht="15.75" customHeight="1">
      <c r="A144" s="31" t="s">
        <v>33</v>
      </c>
      <c r="B144" s="32">
        <f t="shared" si="6"/>
        <v>45433</v>
      </c>
      <c r="C144" s="33">
        <v>6.0</v>
      </c>
      <c r="D144" s="33" t="s">
        <v>31</v>
      </c>
      <c r="E144" s="34"/>
      <c r="F144" s="42">
        <v>0.0</v>
      </c>
      <c r="H144" s="43">
        <v>0.0</v>
      </c>
      <c r="J144" s="43">
        <v>0.0</v>
      </c>
      <c r="L144" s="43">
        <v>0.0</v>
      </c>
      <c r="N144" s="43">
        <v>0.0</v>
      </c>
      <c r="P144" s="43">
        <v>0.0</v>
      </c>
      <c r="Q144" s="26"/>
      <c r="R144" s="42">
        <v>155.0</v>
      </c>
      <c r="T144" s="43">
        <v>155.0</v>
      </c>
      <c r="V144" s="43">
        <v>0.0</v>
      </c>
      <c r="X144" s="43">
        <v>0.0</v>
      </c>
      <c r="Z144" s="43">
        <v>0.0</v>
      </c>
      <c r="AB144" s="43">
        <v>0.0</v>
      </c>
      <c r="AC144" s="26"/>
      <c r="AD144" s="43">
        <v>0.0</v>
      </c>
      <c r="AF144" s="43">
        <v>50.0</v>
      </c>
      <c r="AH144" s="43">
        <v>50.0</v>
      </c>
      <c r="AJ144" s="27">
        <v>0.0</v>
      </c>
      <c r="AK144" s="26"/>
      <c r="AL144" s="42"/>
      <c r="AM144" s="26"/>
      <c r="AN144" s="42"/>
      <c r="AO144" s="26"/>
      <c r="AP144" s="42"/>
      <c r="AQ144" s="26"/>
      <c r="AR144" s="43"/>
      <c r="AT144" s="43"/>
      <c r="AU144" s="26"/>
      <c r="AV144" s="35">
        <f t="shared" si="1"/>
        <v>4841.4436</v>
      </c>
      <c r="AW144" s="33">
        <f t="shared" si="2"/>
        <v>410</v>
      </c>
      <c r="AX144" s="33">
        <f t="shared" si="3"/>
        <v>0</v>
      </c>
      <c r="AY144" s="33">
        <f t="shared" si="4"/>
        <v>410</v>
      </c>
      <c r="AZ144" s="30">
        <f t="shared" si="5"/>
        <v>11.80839902</v>
      </c>
    </row>
    <row r="145" ht="15.75" customHeight="1">
      <c r="A145" s="31" t="s">
        <v>34</v>
      </c>
      <c r="B145" s="32">
        <f t="shared" si="6"/>
        <v>45434</v>
      </c>
      <c r="C145" s="33">
        <v>6.0</v>
      </c>
      <c r="D145" s="33" t="s">
        <v>31</v>
      </c>
      <c r="E145" s="34"/>
      <c r="F145" s="42">
        <v>0.0</v>
      </c>
      <c r="H145" s="43">
        <v>0.0</v>
      </c>
      <c r="J145" s="43">
        <v>0.0</v>
      </c>
      <c r="L145" s="43">
        <v>0.0</v>
      </c>
      <c r="N145" s="43">
        <v>0.0</v>
      </c>
      <c r="P145" s="43">
        <v>0.0</v>
      </c>
      <c r="Q145" s="26"/>
      <c r="R145" s="42">
        <v>155.0</v>
      </c>
      <c r="T145" s="43">
        <v>155.0</v>
      </c>
      <c r="V145" s="43">
        <v>0.0</v>
      </c>
      <c r="X145" s="43">
        <v>0.0</v>
      </c>
      <c r="Z145" s="43">
        <v>0.0</v>
      </c>
      <c r="AB145" s="43">
        <v>0.0</v>
      </c>
      <c r="AC145" s="26"/>
      <c r="AD145" s="43">
        <v>0.0</v>
      </c>
      <c r="AF145" s="43">
        <v>50.0</v>
      </c>
      <c r="AH145" s="43">
        <v>50.0</v>
      </c>
      <c r="AJ145" s="27">
        <v>0.0</v>
      </c>
      <c r="AK145" s="26"/>
      <c r="AL145" s="42"/>
      <c r="AM145" s="26"/>
      <c r="AN145" s="42"/>
      <c r="AO145" s="26"/>
      <c r="AP145" s="42"/>
      <c r="AQ145" s="26"/>
      <c r="AR145" s="43"/>
      <c r="AT145" s="43"/>
      <c r="AU145" s="26"/>
      <c r="AV145" s="35">
        <f t="shared" si="1"/>
        <v>4841.4436</v>
      </c>
      <c r="AW145" s="33">
        <f t="shared" si="2"/>
        <v>410</v>
      </c>
      <c r="AX145" s="33">
        <f t="shared" si="3"/>
        <v>0</v>
      </c>
      <c r="AY145" s="33">
        <f t="shared" si="4"/>
        <v>410</v>
      </c>
      <c r="AZ145" s="30">
        <f t="shared" si="5"/>
        <v>11.80839902</v>
      </c>
    </row>
    <row r="146" ht="15.75" customHeight="1">
      <c r="A146" s="31" t="s">
        <v>35</v>
      </c>
      <c r="B146" s="32">
        <f t="shared" si="6"/>
        <v>45435</v>
      </c>
      <c r="C146" s="33">
        <v>6.0</v>
      </c>
      <c r="D146" s="33" t="s">
        <v>31</v>
      </c>
      <c r="E146" s="34"/>
      <c r="F146" s="42">
        <v>0.0</v>
      </c>
      <c r="H146" s="43">
        <v>0.0</v>
      </c>
      <c r="J146" s="43">
        <v>0.0</v>
      </c>
      <c r="L146" s="43">
        <v>0.0</v>
      </c>
      <c r="N146" s="43">
        <v>0.0</v>
      </c>
      <c r="P146" s="43">
        <v>0.0</v>
      </c>
      <c r="Q146" s="26"/>
      <c r="R146" s="42">
        <v>155.0</v>
      </c>
      <c r="T146" s="43">
        <v>155.0</v>
      </c>
      <c r="V146" s="43">
        <v>0.0</v>
      </c>
      <c r="X146" s="43">
        <v>0.0</v>
      </c>
      <c r="Z146" s="43">
        <v>0.0</v>
      </c>
      <c r="AB146" s="43">
        <v>0.0</v>
      </c>
      <c r="AC146" s="26"/>
      <c r="AD146" s="43">
        <v>0.0</v>
      </c>
      <c r="AF146" s="43">
        <v>0.0</v>
      </c>
      <c r="AH146" s="43">
        <v>50.0</v>
      </c>
      <c r="AJ146" s="27">
        <v>0.0</v>
      </c>
      <c r="AK146" s="26"/>
      <c r="AL146" s="42"/>
      <c r="AM146" s="26"/>
      <c r="AN146" s="42"/>
      <c r="AO146" s="26"/>
      <c r="AP146" s="42"/>
      <c r="AQ146" s="26"/>
      <c r="AR146" s="43"/>
      <c r="AT146" s="43"/>
      <c r="AU146" s="26"/>
      <c r="AV146" s="35">
        <f t="shared" si="1"/>
        <v>4077.2936</v>
      </c>
      <c r="AW146" s="33">
        <f t="shared" si="2"/>
        <v>360</v>
      </c>
      <c r="AX146" s="33">
        <f t="shared" si="3"/>
        <v>0</v>
      </c>
      <c r="AY146" s="33">
        <f t="shared" si="4"/>
        <v>360</v>
      </c>
      <c r="AZ146" s="30">
        <f t="shared" si="5"/>
        <v>11.32581556</v>
      </c>
    </row>
    <row r="147" ht="15.75" customHeight="1">
      <c r="A147" s="31" t="s">
        <v>38</v>
      </c>
      <c r="B147" s="32">
        <f t="shared" si="6"/>
        <v>45436</v>
      </c>
      <c r="C147" s="33">
        <v>6.0</v>
      </c>
      <c r="D147" s="33" t="s">
        <v>31</v>
      </c>
      <c r="E147" s="34"/>
      <c r="F147" s="42">
        <v>0.0</v>
      </c>
      <c r="H147" s="43">
        <v>0.0</v>
      </c>
      <c r="J147" s="43">
        <v>0.0</v>
      </c>
      <c r="L147" s="43">
        <v>0.0</v>
      </c>
      <c r="N147" s="43">
        <v>0.0</v>
      </c>
      <c r="P147" s="43">
        <v>0.0</v>
      </c>
      <c r="Q147" s="26"/>
      <c r="R147" s="42">
        <v>155.0</v>
      </c>
      <c r="T147" s="43">
        <v>155.0</v>
      </c>
      <c r="V147" s="43">
        <v>0.0</v>
      </c>
      <c r="X147" s="43">
        <v>0.0</v>
      </c>
      <c r="Z147" s="43">
        <v>0.0</v>
      </c>
      <c r="AB147" s="43">
        <v>0.0</v>
      </c>
      <c r="AC147" s="26"/>
      <c r="AD147" s="43">
        <v>0.0</v>
      </c>
      <c r="AF147" s="43">
        <v>50.0</v>
      </c>
      <c r="AH147" s="43">
        <v>50.0</v>
      </c>
      <c r="AJ147" s="27">
        <v>0.0</v>
      </c>
      <c r="AK147" s="26"/>
      <c r="AL147" s="42"/>
      <c r="AM147" s="26"/>
      <c r="AN147" s="42"/>
      <c r="AO147" s="26"/>
      <c r="AP147" s="42"/>
      <c r="AQ147" s="26"/>
      <c r="AR147" s="43"/>
      <c r="AT147" s="43"/>
      <c r="AU147" s="26"/>
      <c r="AV147" s="35">
        <f t="shared" si="1"/>
        <v>4841.4436</v>
      </c>
      <c r="AW147" s="33">
        <f t="shared" si="2"/>
        <v>410</v>
      </c>
      <c r="AX147" s="33">
        <f t="shared" si="3"/>
        <v>0</v>
      </c>
      <c r="AY147" s="33">
        <f t="shared" si="4"/>
        <v>410</v>
      </c>
      <c r="AZ147" s="30">
        <f t="shared" si="5"/>
        <v>11.80839902</v>
      </c>
    </row>
    <row r="148" ht="15.75" customHeight="1">
      <c r="A148" s="31" t="s">
        <v>45</v>
      </c>
      <c r="B148" s="32">
        <f t="shared" si="6"/>
        <v>45437</v>
      </c>
      <c r="C148" s="33">
        <v>6.0</v>
      </c>
      <c r="D148" s="33" t="s">
        <v>31</v>
      </c>
      <c r="E148" s="34"/>
      <c r="F148" s="42">
        <v>0.0</v>
      </c>
      <c r="H148" s="43">
        <v>0.0</v>
      </c>
      <c r="J148" s="43">
        <v>0.0</v>
      </c>
      <c r="L148" s="43">
        <v>0.0</v>
      </c>
      <c r="N148" s="43">
        <v>0.0</v>
      </c>
      <c r="P148" s="43">
        <v>0.0</v>
      </c>
      <c r="Q148" s="26"/>
      <c r="R148" s="42">
        <v>155.0</v>
      </c>
      <c r="T148" s="43">
        <v>155.0</v>
      </c>
      <c r="V148" s="43">
        <v>0.0</v>
      </c>
      <c r="X148" s="43">
        <v>0.0</v>
      </c>
      <c r="Z148" s="43">
        <v>0.0</v>
      </c>
      <c r="AB148" s="43">
        <v>0.0</v>
      </c>
      <c r="AC148" s="26"/>
      <c r="AD148" s="43">
        <v>0.0</v>
      </c>
      <c r="AF148" s="43">
        <v>50.0</v>
      </c>
      <c r="AH148" s="43">
        <v>0.0</v>
      </c>
      <c r="AJ148" s="27">
        <v>0.0</v>
      </c>
      <c r="AK148" s="26"/>
      <c r="AL148" s="42"/>
      <c r="AM148" s="26"/>
      <c r="AN148" s="42"/>
      <c r="AO148" s="26"/>
      <c r="AP148" s="42"/>
      <c r="AQ148" s="26"/>
      <c r="AR148" s="43"/>
      <c r="AT148" s="43"/>
      <c r="AU148" s="26"/>
      <c r="AV148" s="35">
        <f t="shared" si="1"/>
        <v>4077.2936</v>
      </c>
      <c r="AW148" s="33">
        <f t="shared" si="2"/>
        <v>360</v>
      </c>
      <c r="AX148" s="33">
        <f t="shared" si="3"/>
        <v>0</v>
      </c>
      <c r="AY148" s="33">
        <f t="shared" si="4"/>
        <v>360</v>
      </c>
      <c r="AZ148" s="30">
        <f t="shared" si="5"/>
        <v>11.32581556</v>
      </c>
    </row>
    <row r="149" ht="15.75" customHeight="1">
      <c r="A149" s="44" t="s">
        <v>46</v>
      </c>
      <c r="B149" s="45">
        <f t="shared" si="6"/>
        <v>45438</v>
      </c>
      <c r="C149" s="46">
        <v>6.0</v>
      </c>
      <c r="D149" s="46" t="s">
        <v>31</v>
      </c>
      <c r="E149" s="47"/>
      <c r="F149" s="66">
        <v>0.0</v>
      </c>
      <c r="G149" s="51"/>
      <c r="H149" s="67">
        <v>0.0</v>
      </c>
      <c r="I149" s="51"/>
      <c r="J149" s="67">
        <v>0.0</v>
      </c>
      <c r="K149" s="51"/>
      <c r="L149" s="67">
        <v>0.0</v>
      </c>
      <c r="M149" s="51"/>
      <c r="N149" s="67">
        <v>0.0</v>
      </c>
      <c r="O149" s="51"/>
      <c r="P149" s="67">
        <v>0.0</v>
      </c>
      <c r="Q149" s="53"/>
      <c r="R149" s="66">
        <v>0.0</v>
      </c>
      <c r="S149" s="51"/>
      <c r="T149" s="67">
        <v>0.0</v>
      </c>
      <c r="U149" s="51"/>
      <c r="V149" s="67">
        <v>0.0</v>
      </c>
      <c r="W149" s="51"/>
      <c r="X149" s="67">
        <v>0.0</v>
      </c>
      <c r="Y149" s="51"/>
      <c r="Z149" s="67">
        <v>0.0</v>
      </c>
      <c r="AA149" s="51"/>
      <c r="AB149" s="67">
        <v>0.0</v>
      </c>
      <c r="AC149" s="53"/>
      <c r="AD149" s="67">
        <v>0.0</v>
      </c>
      <c r="AE149" s="51"/>
      <c r="AF149" s="67">
        <v>0.0</v>
      </c>
      <c r="AG149" s="51"/>
      <c r="AH149" s="67">
        <v>0.0</v>
      </c>
      <c r="AI149" s="51"/>
      <c r="AJ149" s="54">
        <v>0.0</v>
      </c>
      <c r="AK149" s="53"/>
      <c r="AL149" s="66"/>
      <c r="AM149" s="53"/>
      <c r="AN149" s="66"/>
      <c r="AO149" s="53"/>
      <c r="AP149" s="66"/>
      <c r="AQ149" s="53"/>
      <c r="AR149" s="67"/>
      <c r="AS149" s="51"/>
      <c r="AT149" s="67"/>
      <c r="AU149" s="53"/>
      <c r="AV149" s="55">
        <f t="shared" si="1"/>
        <v>0</v>
      </c>
      <c r="AW149" s="46">
        <f t="shared" si="2"/>
        <v>0</v>
      </c>
      <c r="AX149" s="46">
        <f t="shared" si="3"/>
        <v>0</v>
      </c>
      <c r="AY149" s="46">
        <f t="shared" si="4"/>
        <v>0</v>
      </c>
      <c r="AZ149" s="56" t="str">
        <f t="shared" si="5"/>
        <v/>
      </c>
    </row>
    <row r="150" ht="15.75" customHeight="1">
      <c r="A150" s="19" t="s">
        <v>30</v>
      </c>
      <c r="B150" s="57">
        <f t="shared" si="6"/>
        <v>45439</v>
      </c>
      <c r="C150" s="21">
        <v>6.0</v>
      </c>
      <c r="D150" s="21" t="s">
        <v>47</v>
      </c>
      <c r="E150" s="23"/>
      <c r="F150" s="42">
        <v>0.0</v>
      </c>
      <c r="H150" s="43">
        <v>0.0</v>
      </c>
      <c r="J150" s="43">
        <v>0.0</v>
      </c>
      <c r="L150" s="43">
        <v>0.0</v>
      </c>
      <c r="N150" s="43">
        <v>0.0</v>
      </c>
      <c r="P150" s="43">
        <v>0.0</v>
      </c>
      <c r="Q150" s="26"/>
      <c r="R150" s="42">
        <v>155.0</v>
      </c>
      <c r="T150" s="43">
        <v>155.0</v>
      </c>
      <c r="V150" s="43">
        <v>0.0</v>
      </c>
      <c r="X150" s="43">
        <v>0.0</v>
      </c>
      <c r="Z150" s="43">
        <v>0.0</v>
      </c>
      <c r="AB150" s="43">
        <v>0.0</v>
      </c>
      <c r="AC150" s="26"/>
      <c r="AD150" s="43">
        <v>0.0</v>
      </c>
      <c r="AF150" s="43">
        <v>0.0</v>
      </c>
      <c r="AH150" s="43">
        <v>0.0</v>
      </c>
      <c r="AJ150" s="27">
        <v>0.0</v>
      </c>
      <c r="AK150" s="26"/>
      <c r="AL150" s="42"/>
      <c r="AM150" s="26"/>
      <c r="AN150" s="42"/>
      <c r="AO150" s="26"/>
      <c r="AP150" s="42"/>
      <c r="AQ150" s="26"/>
      <c r="AR150" s="43"/>
      <c r="AT150" s="43"/>
      <c r="AU150" s="26"/>
      <c r="AV150" s="29">
        <f t="shared" si="1"/>
        <v>3313.1436</v>
      </c>
      <c r="AW150" s="21">
        <f t="shared" si="2"/>
        <v>310</v>
      </c>
      <c r="AX150" s="21">
        <f t="shared" si="3"/>
        <v>0</v>
      </c>
      <c r="AY150" s="21">
        <f t="shared" si="4"/>
        <v>310</v>
      </c>
      <c r="AZ150" s="58">
        <f t="shared" si="5"/>
        <v>10.68756</v>
      </c>
    </row>
    <row r="151" ht="15.75" customHeight="1">
      <c r="A151" s="31" t="s">
        <v>33</v>
      </c>
      <c r="B151" s="32">
        <f t="shared" si="6"/>
        <v>45440</v>
      </c>
      <c r="C151" s="33">
        <v>6.0</v>
      </c>
      <c r="D151" s="33" t="s">
        <v>47</v>
      </c>
      <c r="E151" s="34"/>
      <c r="F151" s="42">
        <v>0.0</v>
      </c>
      <c r="H151" s="43">
        <v>0.0</v>
      </c>
      <c r="J151" s="43">
        <v>0.0</v>
      </c>
      <c r="L151" s="43">
        <v>0.0</v>
      </c>
      <c r="N151" s="43">
        <v>0.0</v>
      </c>
      <c r="P151" s="43">
        <v>0.0</v>
      </c>
      <c r="Q151" s="26"/>
      <c r="R151" s="42">
        <v>155.0</v>
      </c>
      <c r="T151" s="43">
        <v>167.0</v>
      </c>
      <c r="V151" s="43">
        <v>0.0</v>
      </c>
      <c r="X151" s="43">
        <v>0.0</v>
      </c>
      <c r="Z151" s="43">
        <v>0.0</v>
      </c>
      <c r="AB151" s="43">
        <v>0.0</v>
      </c>
      <c r="AC151" s="26"/>
      <c r="AD151" s="43">
        <v>0.0</v>
      </c>
      <c r="AF151" s="43">
        <v>0.0</v>
      </c>
      <c r="AH151" s="43">
        <v>58.0</v>
      </c>
      <c r="AJ151" s="27">
        <v>0.0</v>
      </c>
      <c r="AK151" s="26"/>
      <c r="AL151" s="42"/>
      <c r="AM151" s="26"/>
      <c r="AN151" s="42"/>
      <c r="AO151" s="26"/>
      <c r="AP151" s="42"/>
      <c r="AQ151" s="26"/>
      <c r="AR151" s="43"/>
      <c r="AT151" s="43"/>
      <c r="AU151" s="26"/>
      <c r="AV151" s="35">
        <f t="shared" si="1"/>
        <v>4327.80832</v>
      </c>
      <c r="AW151" s="33">
        <f t="shared" si="2"/>
        <v>380</v>
      </c>
      <c r="AX151" s="33">
        <f t="shared" si="3"/>
        <v>0</v>
      </c>
      <c r="AY151" s="33">
        <f t="shared" si="4"/>
        <v>380</v>
      </c>
      <c r="AZ151" s="30">
        <f t="shared" si="5"/>
        <v>11.38896926</v>
      </c>
    </row>
    <row r="152" ht="15.75" customHeight="1">
      <c r="A152" s="31" t="s">
        <v>34</v>
      </c>
      <c r="B152" s="32">
        <f t="shared" si="6"/>
        <v>45441</v>
      </c>
      <c r="C152" s="33">
        <v>6.0</v>
      </c>
      <c r="D152" s="33" t="s">
        <v>47</v>
      </c>
      <c r="E152" s="34"/>
      <c r="F152" s="42">
        <v>0.0</v>
      </c>
      <c r="H152" s="43">
        <v>0.0</v>
      </c>
      <c r="J152" s="43">
        <v>0.0</v>
      </c>
      <c r="L152" s="43">
        <v>0.0</v>
      </c>
      <c r="N152" s="43">
        <v>0.0</v>
      </c>
      <c r="P152" s="43">
        <v>0.0</v>
      </c>
      <c r="Q152" s="26"/>
      <c r="R152" s="43">
        <v>155.0</v>
      </c>
      <c r="T152" s="43">
        <v>155.0</v>
      </c>
      <c r="V152" s="43">
        <v>0.0</v>
      </c>
      <c r="X152" s="43">
        <v>0.0</v>
      </c>
      <c r="Z152" s="43">
        <v>0.0</v>
      </c>
      <c r="AB152" s="43">
        <v>0.0</v>
      </c>
      <c r="AC152" s="26"/>
      <c r="AD152" s="43">
        <v>0.0</v>
      </c>
      <c r="AF152" s="43">
        <v>0.0</v>
      </c>
      <c r="AH152" s="43">
        <v>0.0</v>
      </c>
      <c r="AJ152" s="27">
        <v>0.0</v>
      </c>
      <c r="AK152" s="26"/>
      <c r="AL152" s="42"/>
      <c r="AM152" s="26"/>
      <c r="AN152" s="42"/>
      <c r="AO152" s="26"/>
      <c r="AP152" s="42"/>
      <c r="AQ152" s="26"/>
      <c r="AR152" s="43"/>
      <c r="AT152" s="43"/>
      <c r="AU152" s="26"/>
      <c r="AV152" s="35">
        <f t="shared" si="1"/>
        <v>3313.1436</v>
      </c>
      <c r="AW152" s="33">
        <f t="shared" si="2"/>
        <v>310</v>
      </c>
      <c r="AX152" s="33">
        <f t="shared" si="3"/>
        <v>0</v>
      </c>
      <c r="AY152" s="33">
        <f t="shared" si="4"/>
        <v>310</v>
      </c>
      <c r="AZ152" s="30">
        <f t="shared" si="5"/>
        <v>10.68756</v>
      </c>
    </row>
    <row r="153" ht="15.75" customHeight="1">
      <c r="A153" s="31" t="s">
        <v>35</v>
      </c>
      <c r="B153" s="32">
        <f t="shared" si="6"/>
        <v>45442</v>
      </c>
      <c r="C153" s="33">
        <v>6.0</v>
      </c>
      <c r="D153" s="33" t="s">
        <v>47</v>
      </c>
      <c r="E153" s="34"/>
      <c r="F153" s="42">
        <v>0.0</v>
      </c>
      <c r="H153" s="43">
        <v>0.0</v>
      </c>
      <c r="J153" s="43">
        <v>0.0</v>
      </c>
      <c r="L153" s="43">
        <v>0.0</v>
      </c>
      <c r="N153" s="43">
        <v>0.0</v>
      </c>
      <c r="P153" s="43">
        <v>0.0</v>
      </c>
      <c r="Q153" s="26"/>
      <c r="R153" s="43">
        <v>155.0</v>
      </c>
      <c r="T153" s="43">
        <v>155.0</v>
      </c>
      <c r="V153" s="43">
        <v>0.0</v>
      </c>
      <c r="X153" s="43">
        <v>0.0</v>
      </c>
      <c r="Z153" s="43">
        <v>0.0</v>
      </c>
      <c r="AB153" s="43">
        <v>0.0</v>
      </c>
      <c r="AC153" s="26"/>
      <c r="AD153" s="43">
        <v>0.0</v>
      </c>
      <c r="AF153" s="43">
        <v>0.0</v>
      </c>
      <c r="AH153" s="43">
        <v>58.0</v>
      </c>
      <c r="AJ153" s="27">
        <v>0.0</v>
      </c>
      <c r="AK153" s="26"/>
      <c r="AL153" s="42"/>
      <c r="AM153" s="26"/>
      <c r="AN153" s="42"/>
      <c r="AO153" s="26"/>
      <c r="AP153" s="42"/>
      <c r="AQ153" s="26"/>
      <c r="AR153" s="43"/>
      <c r="AT153" s="43"/>
      <c r="AU153" s="26"/>
      <c r="AV153" s="35">
        <f t="shared" si="1"/>
        <v>4199.5576</v>
      </c>
      <c r="AW153" s="33">
        <f t="shared" si="2"/>
        <v>368</v>
      </c>
      <c r="AX153" s="33">
        <f t="shared" si="3"/>
        <v>0</v>
      </c>
      <c r="AY153" s="33">
        <f t="shared" si="4"/>
        <v>368</v>
      </c>
      <c r="AZ153" s="30">
        <f t="shared" si="5"/>
        <v>11.4118413</v>
      </c>
    </row>
    <row r="154" ht="15.75" customHeight="1">
      <c r="A154" s="31" t="s">
        <v>38</v>
      </c>
      <c r="B154" s="32">
        <f t="shared" si="6"/>
        <v>45443</v>
      </c>
      <c r="C154" s="33">
        <v>6.0</v>
      </c>
      <c r="D154" s="33" t="s">
        <v>47</v>
      </c>
      <c r="E154" s="34"/>
      <c r="F154" s="42">
        <v>0.0</v>
      </c>
      <c r="H154" s="43">
        <v>0.0</v>
      </c>
      <c r="J154" s="43">
        <v>0.0</v>
      </c>
      <c r="L154" s="43">
        <v>0.0</v>
      </c>
      <c r="N154" s="43">
        <v>0.0</v>
      </c>
      <c r="P154" s="43">
        <v>0.0</v>
      </c>
      <c r="Q154" s="26"/>
      <c r="R154" s="43">
        <v>155.0</v>
      </c>
      <c r="T154" s="43">
        <v>155.0</v>
      </c>
      <c r="V154" s="43">
        <v>0.0</v>
      </c>
      <c r="X154" s="43">
        <v>0.0</v>
      </c>
      <c r="Z154" s="43">
        <v>0.0</v>
      </c>
      <c r="AB154" s="43">
        <v>0.0</v>
      </c>
      <c r="AC154" s="26"/>
      <c r="AD154" s="43">
        <v>0.0</v>
      </c>
      <c r="AF154" s="43">
        <v>0.0</v>
      </c>
      <c r="AH154" s="43">
        <v>0.0</v>
      </c>
      <c r="AJ154" s="27">
        <v>0.0</v>
      </c>
      <c r="AK154" s="26"/>
      <c r="AL154" s="42"/>
      <c r="AM154" s="26"/>
      <c r="AN154" s="42"/>
      <c r="AO154" s="26"/>
      <c r="AP154" s="42"/>
      <c r="AQ154" s="26"/>
      <c r="AR154" s="43"/>
      <c r="AT154" s="43"/>
      <c r="AU154" s="26"/>
      <c r="AV154" s="35">
        <f t="shared" si="1"/>
        <v>3313.1436</v>
      </c>
      <c r="AW154" s="33">
        <f t="shared" si="2"/>
        <v>310</v>
      </c>
      <c r="AX154" s="33">
        <f t="shared" si="3"/>
        <v>0</v>
      </c>
      <c r="AY154" s="33">
        <f t="shared" si="4"/>
        <v>310</v>
      </c>
      <c r="AZ154" s="30">
        <f t="shared" si="5"/>
        <v>10.68756</v>
      </c>
    </row>
    <row r="155" ht="15.75" customHeight="1">
      <c r="A155" s="31" t="s">
        <v>45</v>
      </c>
      <c r="B155" s="32">
        <f t="shared" si="6"/>
        <v>45444</v>
      </c>
      <c r="C155" s="33">
        <v>6.0</v>
      </c>
      <c r="D155" s="33" t="s">
        <v>47</v>
      </c>
      <c r="E155" s="34"/>
      <c r="F155" s="42">
        <v>0.0</v>
      </c>
      <c r="H155" s="43">
        <v>0.0</v>
      </c>
      <c r="J155" s="43">
        <v>0.0</v>
      </c>
      <c r="L155" s="43">
        <v>0.0</v>
      </c>
      <c r="N155" s="43">
        <v>0.0</v>
      </c>
      <c r="P155" s="43">
        <v>0.0</v>
      </c>
      <c r="Q155" s="26"/>
      <c r="R155" s="43">
        <v>155.0</v>
      </c>
      <c r="T155" s="43">
        <v>155.0</v>
      </c>
      <c r="V155" s="43">
        <v>0.0</v>
      </c>
      <c r="X155" s="43">
        <v>0.0</v>
      </c>
      <c r="Z155" s="43">
        <v>0.0</v>
      </c>
      <c r="AB155" s="43">
        <v>0.0</v>
      </c>
      <c r="AC155" s="26"/>
      <c r="AD155" s="43">
        <v>0.0</v>
      </c>
      <c r="AF155" s="43">
        <v>0.0</v>
      </c>
      <c r="AH155" s="43">
        <v>58.0</v>
      </c>
      <c r="AJ155" s="27">
        <v>0.0</v>
      </c>
      <c r="AK155" s="26"/>
      <c r="AL155" s="42"/>
      <c r="AM155" s="26"/>
      <c r="AN155" s="42"/>
      <c r="AO155" s="26"/>
      <c r="AP155" s="42"/>
      <c r="AQ155" s="26"/>
      <c r="AR155" s="43"/>
      <c r="AT155" s="43"/>
      <c r="AU155" s="26"/>
      <c r="AV155" s="35">
        <f t="shared" si="1"/>
        <v>4199.5576</v>
      </c>
      <c r="AW155" s="33">
        <f t="shared" si="2"/>
        <v>368</v>
      </c>
      <c r="AX155" s="33">
        <f t="shared" si="3"/>
        <v>0</v>
      </c>
      <c r="AY155" s="33">
        <f t="shared" si="4"/>
        <v>368</v>
      </c>
      <c r="AZ155" s="30">
        <f t="shared" si="5"/>
        <v>11.4118413</v>
      </c>
    </row>
    <row r="156" ht="15.75" customHeight="1">
      <c r="A156" s="44" t="s">
        <v>46</v>
      </c>
      <c r="B156" s="45">
        <f t="shared" si="6"/>
        <v>45445</v>
      </c>
      <c r="C156" s="46">
        <v>6.0</v>
      </c>
      <c r="D156" s="46" t="s">
        <v>47</v>
      </c>
      <c r="E156" s="47"/>
      <c r="F156" s="66">
        <v>0.0</v>
      </c>
      <c r="G156" s="51"/>
      <c r="H156" s="67">
        <v>0.0</v>
      </c>
      <c r="I156" s="51"/>
      <c r="J156" s="67">
        <v>0.0</v>
      </c>
      <c r="K156" s="51"/>
      <c r="L156" s="67">
        <v>0.0</v>
      </c>
      <c r="M156" s="51"/>
      <c r="N156" s="67">
        <v>0.0</v>
      </c>
      <c r="O156" s="51"/>
      <c r="P156" s="67">
        <v>0.0</v>
      </c>
      <c r="Q156" s="53"/>
      <c r="R156" s="66">
        <v>0.0</v>
      </c>
      <c r="S156" s="51"/>
      <c r="T156" s="67">
        <v>0.0</v>
      </c>
      <c r="U156" s="51"/>
      <c r="V156" s="67">
        <v>0.0</v>
      </c>
      <c r="W156" s="51"/>
      <c r="X156" s="67">
        <v>0.0</v>
      </c>
      <c r="Y156" s="51"/>
      <c r="Z156" s="67">
        <v>0.0</v>
      </c>
      <c r="AA156" s="51"/>
      <c r="AB156" s="67">
        <v>0.0</v>
      </c>
      <c r="AC156" s="53"/>
      <c r="AD156" s="67">
        <v>0.0</v>
      </c>
      <c r="AE156" s="51"/>
      <c r="AF156" s="67">
        <v>0.0</v>
      </c>
      <c r="AG156" s="51"/>
      <c r="AH156" s="67">
        <v>0.0</v>
      </c>
      <c r="AI156" s="51"/>
      <c r="AJ156" s="54">
        <v>0.0</v>
      </c>
      <c r="AK156" s="53"/>
      <c r="AL156" s="66"/>
      <c r="AM156" s="53"/>
      <c r="AN156" s="66"/>
      <c r="AO156" s="53"/>
      <c r="AP156" s="66"/>
      <c r="AQ156" s="53"/>
      <c r="AR156" s="67"/>
      <c r="AS156" s="51"/>
      <c r="AT156" s="67"/>
      <c r="AU156" s="53"/>
      <c r="AV156" s="55">
        <f t="shared" si="1"/>
        <v>0</v>
      </c>
      <c r="AW156" s="46">
        <f t="shared" si="2"/>
        <v>0</v>
      </c>
      <c r="AX156" s="46">
        <f t="shared" si="3"/>
        <v>0</v>
      </c>
      <c r="AY156" s="46">
        <f t="shared" si="4"/>
        <v>0</v>
      </c>
      <c r="AZ156" s="56" t="str">
        <f t="shared" si="5"/>
        <v/>
      </c>
    </row>
    <row r="157" ht="15.75" customHeight="1">
      <c r="A157" s="19" t="s">
        <v>30</v>
      </c>
      <c r="B157" s="57">
        <f t="shared" si="6"/>
        <v>45446</v>
      </c>
      <c r="C157" s="21">
        <v>6.0</v>
      </c>
      <c r="D157" s="21" t="s">
        <v>48</v>
      </c>
      <c r="E157" s="23"/>
      <c r="F157" s="42">
        <v>0.0</v>
      </c>
      <c r="H157" s="43">
        <v>0.0</v>
      </c>
      <c r="J157" s="43">
        <v>0.0</v>
      </c>
      <c r="L157" s="43">
        <v>0.0</v>
      </c>
      <c r="N157" s="43">
        <v>0.0</v>
      </c>
      <c r="P157" s="43">
        <v>0.0</v>
      </c>
      <c r="Q157" s="26"/>
      <c r="R157" s="42">
        <v>155.0</v>
      </c>
      <c r="T157" s="43">
        <v>155.0</v>
      </c>
      <c r="V157" s="43">
        <v>0.0</v>
      </c>
      <c r="X157" s="43">
        <v>0.0</v>
      </c>
      <c r="Z157" s="43">
        <v>0.0</v>
      </c>
      <c r="AB157" s="43">
        <v>0.0</v>
      </c>
      <c r="AC157" s="26"/>
      <c r="AD157" s="43">
        <v>0.0</v>
      </c>
      <c r="AF157" s="43">
        <v>0.0</v>
      </c>
      <c r="AH157" s="43">
        <v>0.0</v>
      </c>
      <c r="AJ157" s="27">
        <v>0.0</v>
      </c>
      <c r="AK157" s="26"/>
      <c r="AL157" s="42"/>
      <c r="AM157" s="26"/>
      <c r="AN157" s="42"/>
      <c r="AO157" s="26"/>
      <c r="AP157" s="42"/>
      <c r="AQ157" s="26"/>
      <c r="AR157" s="43"/>
      <c r="AT157" s="43"/>
      <c r="AU157" s="26"/>
      <c r="AV157" s="29">
        <f t="shared" si="1"/>
        <v>3313.1436</v>
      </c>
      <c r="AW157" s="21">
        <f t="shared" si="2"/>
        <v>310</v>
      </c>
      <c r="AX157" s="21">
        <f t="shared" si="3"/>
        <v>0</v>
      </c>
      <c r="AY157" s="21">
        <f t="shared" si="4"/>
        <v>310</v>
      </c>
      <c r="AZ157" s="58">
        <f t="shared" si="5"/>
        <v>10.68756</v>
      </c>
    </row>
    <row r="158" ht="15.75" customHeight="1">
      <c r="A158" s="31" t="s">
        <v>33</v>
      </c>
      <c r="B158" s="32">
        <f t="shared" si="6"/>
        <v>45447</v>
      </c>
      <c r="C158" s="33">
        <v>6.0</v>
      </c>
      <c r="D158" s="33" t="s">
        <v>48</v>
      </c>
      <c r="E158" s="74"/>
      <c r="F158" s="42">
        <v>0.0</v>
      </c>
      <c r="H158" s="43">
        <v>0.0</v>
      </c>
      <c r="J158" s="43">
        <v>0.0</v>
      </c>
      <c r="L158" s="43">
        <v>0.0</v>
      </c>
      <c r="N158" s="43">
        <v>0.0</v>
      </c>
      <c r="P158" s="43">
        <v>0.0</v>
      </c>
      <c r="Q158" s="26"/>
      <c r="R158" s="42">
        <v>155.0</v>
      </c>
      <c r="T158" s="43">
        <v>155.0</v>
      </c>
      <c r="V158" s="43">
        <v>0.0</v>
      </c>
      <c r="X158" s="43">
        <v>0.0</v>
      </c>
      <c r="Z158" s="43">
        <v>0.0</v>
      </c>
      <c r="AB158" s="43">
        <v>0.0</v>
      </c>
      <c r="AC158" s="26"/>
      <c r="AD158" s="43">
        <v>0.0</v>
      </c>
      <c r="AF158" s="43">
        <v>0.0</v>
      </c>
      <c r="AH158" s="43">
        <v>0.0</v>
      </c>
      <c r="AJ158" s="27">
        <v>0.0</v>
      </c>
      <c r="AK158" s="26"/>
      <c r="AL158" s="42"/>
      <c r="AM158" s="26"/>
      <c r="AN158" s="42"/>
      <c r="AO158" s="26"/>
      <c r="AP158" s="42"/>
      <c r="AQ158" s="26"/>
      <c r="AR158" s="43"/>
      <c r="AT158" s="43"/>
      <c r="AU158" s="26"/>
      <c r="AV158" s="35">
        <f t="shared" si="1"/>
        <v>3313.1436</v>
      </c>
      <c r="AW158" s="33">
        <f t="shared" si="2"/>
        <v>310</v>
      </c>
      <c r="AX158" s="33">
        <f t="shared" si="3"/>
        <v>0</v>
      </c>
      <c r="AY158" s="33">
        <f t="shared" si="4"/>
        <v>310</v>
      </c>
      <c r="AZ158" s="30">
        <f t="shared" si="5"/>
        <v>10.68756</v>
      </c>
    </row>
    <row r="159" ht="15.75" customHeight="1">
      <c r="A159" s="31" t="s">
        <v>34</v>
      </c>
      <c r="B159" s="32">
        <f t="shared" si="6"/>
        <v>45448</v>
      </c>
      <c r="C159" s="33">
        <v>6.0</v>
      </c>
      <c r="D159" s="33" t="s">
        <v>48</v>
      </c>
      <c r="E159" s="34"/>
      <c r="F159" s="42">
        <v>0.0</v>
      </c>
      <c r="H159" s="43">
        <v>0.0</v>
      </c>
      <c r="J159" s="43">
        <v>0.0</v>
      </c>
      <c r="L159" s="43">
        <v>0.0</v>
      </c>
      <c r="N159" s="43">
        <v>0.0</v>
      </c>
      <c r="P159" s="43">
        <v>0.0</v>
      </c>
      <c r="Q159" s="26"/>
      <c r="R159" s="42">
        <v>155.0</v>
      </c>
      <c r="T159" s="43">
        <v>155.0</v>
      </c>
      <c r="V159" s="43">
        <v>0.0</v>
      </c>
      <c r="X159" s="43">
        <v>0.0</v>
      </c>
      <c r="Z159" s="43">
        <v>0.0</v>
      </c>
      <c r="AB159" s="43">
        <v>0.0</v>
      </c>
      <c r="AC159" s="26"/>
      <c r="AD159" s="43">
        <v>0.0</v>
      </c>
      <c r="AF159" s="43">
        <v>0.0</v>
      </c>
      <c r="AH159" s="43">
        <v>0.0</v>
      </c>
      <c r="AJ159" s="27">
        <v>0.0</v>
      </c>
      <c r="AK159" s="26"/>
      <c r="AL159" s="42"/>
      <c r="AM159" s="26"/>
      <c r="AN159" s="42"/>
      <c r="AO159" s="26"/>
      <c r="AP159" s="42"/>
      <c r="AQ159" s="26"/>
      <c r="AR159" s="43"/>
      <c r="AT159" s="43"/>
      <c r="AU159" s="26"/>
      <c r="AV159" s="35">
        <f t="shared" si="1"/>
        <v>3313.1436</v>
      </c>
      <c r="AW159" s="33">
        <f t="shared" si="2"/>
        <v>310</v>
      </c>
      <c r="AX159" s="33">
        <f t="shared" si="3"/>
        <v>0</v>
      </c>
      <c r="AY159" s="33">
        <f t="shared" si="4"/>
        <v>310</v>
      </c>
      <c r="AZ159" s="30">
        <f t="shared" si="5"/>
        <v>10.68756</v>
      </c>
    </row>
    <row r="160" ht="15.75" customHeight="1">
      <c r="A160" s="31" t="s">
        <v>35</v>
      </c>
      <c r="B160" s="32">
        <f t="shared" si="6"/>
        <v>45449</v>
      </c>
      <c r="C160" s="33">
        <v>6.0</v>
      </c>
      <c r="D160" s="33" t="s">
        <v>48</v>
      </c>
      <c r="E160" s="34"/>
      <c r="F160" s="42">
        <v>0.0</v>
      </c>
      <c r="H160" s="43">
        <v>0.0</v>
      </c>
      <c r="J160" s="43">
        <v>0.0</v>
      </c>
      <c r="L160" s="43">
        <v>0.0</v>
      </c>
      <c r="N160" s="43">
        <v>0.0</v>
      </c>
      <c r="P160" s="43">
        <v>0.0</v>
      </c>
      <c r="Q160" s="26"/>
      <c r="R160" s="42">
        <v>155.0</v>
      </c>
      <c r="T160" s="43">
        <v>155.0</v>
      </c>
      <c r="V160" s="43">
        <v>0.0</v>
      </c>
      <c r="X160" s="43">
        <v>0.0</v>
      </c>
      <c r="Z160" s="43">
        <v>0.0</v>
      </c>
      <c r="AB160" s="43">
        <v>0.0</v>
      </c>
      <c r="AC160" s="26"/>
      <c r="AD160" s="43">
        <v>0.0</v>
      </c>
      <c r="AF160" s="43">
        <v>0.0</v>
      </c>
      <c r="AH160" s="43">
        <v>0.0</v>
      </c>
      <c r="AJ160" s="27">
        <v>0.0</v>
      </c>
      <c r="AK160" s="26"/>
      <c r="AL160" s="42"/>
      <c r="AM160" s="26"/>
      <c r="AN160" s="42"/>
      <c r="AO160" s="26"/>
      <c r="AP160" s="42"/>
      <c r="AQ160" s="26"/>
      <c r="AR160" s="43"/>
      <c r="AT160" s="43"/>
      <c r="AU160" s="26"/>
      <c r="AV160" s="35">
        <f t="shared" si="1"/>
        <v>3313.1436</v>
      </c>
      <c r="AW160" s="33">
        <f t="shared" si="2"/>
        <v>310</v>
      </c>
      <c r="AX160" s="33">
        <f t="shared" si="3"/>
        <v>0</v>
      </c>
      <c r="AY160" s="33">
        <f t="shared" si="4"/>
        <v>310</v>
      </c>
      <c r="AZ160" s="30">
        <f t="shared" si="5"/>
        <v>10.68756</v>
      </c>
    </row>
    <row r="161" ht="15.75" customHeight="1">
      <c r="A161" s="31" t="s">
        <v>38</v>
      </c>
      <c r="B161" s="32">
        <f t="shared" si="6"/>
        <v>45450</v>
      </c>
      <c r="C161" s="33">
        <v>6.0</v>
      </c>
      <c r="D161" s="33" t="s">
        <v>48</v>
      </c>
      <c r="E161" s="34"/>
      <c r="F161" s="42">
        <v>0.0</v>
      </c>
      <c r="H161" s="43">
        <v>0.0</v>
      </c>
      <c r="J161" s="43">
        <v>0.0</v>
      </c>
      <c r="L161" s="43">
        <v>0.0</v>
      </c>
      <c r="N161" s="43">
        <v>0.0</v>
      </c>
      <c r="P161" s="43">
        <v>0.0</v>
      </c>
      <c r="Q161" s="26"/>
      <c r="R161" s="42">
        <v>155.0</v>
      </c>
      <c r="T161" s="43">
        <v>155.0</v>
      </c>
      <c r="V161" s="43">
        <v>0.0</v>
      </c>
      <c r="X161" s="43">
        <v>0.0</v>
      </c>
      <c r="Z161" s="43">
        <v>0.0</v>
      </c>
      <c r="AB161" s="43">
        <v>0.0</v>
      </c>
      <c r="AC161" s="26"/>
      <c r="AD161" s="43">
        <v>0.0</v>
      </c>
      <c r="AF161" s="43">
        <v>0.0</v>
      </c>
      <c r="AH161" s="43">
        <v>0.0</v>
      </c>
      <c r="AJ161" s="27">
        <v>0.0</v>
      </c>
      <c r="AK161" s="26"/>
      <c r="AL161" s="42"/>
      <c r="AM161" s="26"/>
      <c r="AN161" s="42"/>
      <c r="AO161" s="26"/>
      <c r="AP161" s="42"/>
      <c r="AQ161" s="26"/>
      <c r="AR161" s="43"/>
      <c r="AT161" s="43"/>
      <c r="AU161" s="26"/>
      <c r="AV161" s="35">
        <f t="shared" si="1"/>
        <v>3313.1436</v>
      </c>
      <c r="AW161" s="33">
        <f t="shared" si="2"/>
        <v>310</v>
      </c>
      <c r="AX161" s="33">
        <f t="shared" si="3"/>
        <v>0</v>
      </c>
      <c r="AY161" s="33">
        <f t="shared" si="4"/>
        <v>310</v>
      </c>
      <c r="AZ161" s="30">
        <f t="shared" si="5"/>
        <v>10.68756</v>
      </c>
    </row>
    <row r="162" ht="15.75" customHeight="1">
      <c r="A162" s="31" t="s">
        <v>45</v>
      </c>
      <c r="B162" s="32">
        <f t="shared" si="6"/>
        <v>45451</v>
      </c>
      <c r="C162" s="33">
        <v>6.0</v>
      </c>
      <c r="D162" s="33" t="s">
        <v>48</v>
      </c>
      <c r="E162" s="74"/>
      <c r="F162" s="42">
        <v>0.0</v>
      </c>
      <c r="H162" s="43">
        <v>0.0</v>
      </c>
      <c r="J162" s="43">
        <v>0.0</v>
      </c>
      <c r="L162" s="43">
        <v>0.0</v>
      </c>
      <c r="N162" s="43">
        <v>0.0</v>
      </c>
      <c r="P162" s="43">
        <v>0.0</v>
      </c>
      <c r="Q162" s="26"/>
      <c r="R162" s="42">
        <v>155.0</v>
      </c>
      <c r="T162" s="43">
        <v>155.0</v>
      </c>
      <c r="V162" s="43">
        <v>0.0</v>
      </c>
      <c r="X162" s="43">
        <v>0.0</v>
      </c>
      <c r="Z162" s="43">
        <v>0.0</v>
      </c>
      <c r="AB162" s="43">
        <v>0.0</v>
      </c>
      <c r="AC162" s="26"/>
      <c r="AD162" s="43">
        <v>0.0</v>
      </c>
      <c r="AF162" s="43">
        <v>0.0</v>
      </c>
      <c r="AH162" s="43">
        <v>0.0</v>
      </c>
      <c r="AJ162" s="27">
        <v>0.0</v>
      </c>
      <c r="AK162" s="26"/>
      <c r="AL162" s="42"/>
      <c r="AM162" s="26"/>
      <c r="AN162" s="42"/>
      <c r="AO162" s="26"/>
      <c r="AP162" s="42"/>
      <c r="AQ162" s="26"/>
      <c r="AR162" s="43"/>
      <c r="AT162" s="43"/>
      <c r="AU162" s="26"/>
      <c r="AV162" s="35">
        <f t="shared" si="1"/>
        <v>3313.1436</v>
      </c>
      <c r="AW162" s="33">
        <f t="shared" si="2"/>
        <v>310</v>
      </c>
      <c r="AX162" s="33">
        <f t="shared" si="3"/>
        <v>0</v>
      </c>
      <c r="AY162" s="33">
        <f t="shared" si="4"/>
        <v>310</v>
      </c>
      <c r="AZ162" s="30">
        <f t="shared" si="5"/>
        <v>10.68756</v>
      </c>
    </row>
    <row r="163" ht="15.75" customHeight="1">
      <c r="A163" s="44" t="s">
        <v>46</v>
      </c>
      <c r="B163" s="45">
        <f t="shared" si="6"/>
        <v>45452</v>
      </c>
      <c r="C163" s="46">
        <v>6.0</v>
      </c>
      <c r="D163" s="46" t="s">
        <v>48</v>
      </c>
      <c r="E163" s="77"/>
      <c r="F163" s="66">
        <v>0.0</v>
      </c>
      <c r="G163" s="51"/>
      <c r="H163" s="67">
        <v>0.0</v>
      </c>
      <c r="I163" s="51"/>
      <c r="J163" s="67">
        <v>0.0</v>
      </c>
      <c r="K163" s="51"/>
      <c r="L163" s="67">
        <v>0.0</v>
      </c>
      <c r="M163" s="51"/>
      <c r="N163" s="67">
        <v>0.0</v>
      </c>
      <c r="O163" s="51"/>
      <c r="P163" s="67">
        <v>0.0</v>
      </c>
      <c r="Q163" s="53"/>
      <c r="R163" s="66"/>
      <c r="S163" s="51"/>
      <c r="T163" s="67"/>
      <c r="U163" s="51"/>
      <c r="V163" s="67">
        <v>0.0</v>
      </c>
      <c r="W163" s="51"/>
      <c r="X163" s="67">
        <v>0.0</v>
      </c>
      <c r="Y163" s="51"/>
      <c r="Z163" s="67">
        <v>0.0</v>
      </c>
      <c r="AA163" s="51"/>
      <c r="AB163" s="67">
        <v>0.0</v>
      </c>
      <c r="AC163" s="53"/>
      <c r="AD163" s="67">
        <v>0.0</v>
      </c>
      <c r="AE163" s="51"/>
      <c r="AF163" s="67">
        <v>0.0</v>
      </c>
      <c r="AG163" s="51"/>
      <c r="AH163" s="67">
        <v>0.0</v>
      </c>
      <c r="AI163" s="51"/>
      <c r="AJ163" s="54">
        <v>0.0</v>
      </c>
      <c r="AK163" s="53"/>
      <c r="AL163" s="66"/>
      <c r="AM163" s="53"/>
      <c r="AN163" s="66"/>
      <c r="AO163" s="53"/>
      <c r="AP163" s="66"/>
      <c r="AQ163" s="53"/>
      <c r="AR163" s="67"/>
      <c r="AS163" s="51"/>
      <c r="AT163" s="67"/>
      <c r="AU163" s="53"/>
      <c r="AV163" s="55">
        <f t="shared" si="1"/>
        <v>0</v>
      </c>
      <c r="AW163" s="46">
        <f t="shared" si="2"/>
        <v>0</v>
      </c>
      <c r="AX163" s="46">
        <f t="shared" si="3"/>
        <v>0</v>
      </c>
      <c r="AY163" s="46">
        <f t="shared" si="4"/>
        <v>0</v>
      </c>
      <c r="AZ163" s="56" t="str">
        <f t="shared" si="5"/>
        <v/>
      </c>
    </row>
    <row r="164" ht="15.75" customHeight="1">
      <c r="A164" s="19" t="s">
        <v>30</v>
      </c>
      <c r="B164" s="57">
        <f t="shared" si="6"/>
        <v>45453</v>
      </c>
      <c r="C164" s="21">
        <v>6.0</v>
      </c>
      <c r="D164" s="21" t="s">
        <v>49</v>
      </c>
      <c r="E164" s="23"/>
      <c r="F164" s="42">
        <v>0.0</v>
      </c>
      <c r="H164" s="43">
        <v>0.0</v>
      </c>
      <c r="J164" s="43">
        <v>0.0</v>
      </c>
      <c r="L164" s="43">
        <v>0.0</v>
      </c>
      <c r="N164" s="43">
        <v>0.0</v>
      </c>
      <c r="P164" s="43">
        <v>0.0</v>
      </c>
      <c r="Q164" s="26"/>
      <c r="R164" s="42">
        <v>155.0</v>
      </c>
      <c r="T164" s="43">
        <v>155.0</v>
      </c>
      <c r="V164" s="43">
        <v>0.0</v>
      </c>
      <c r="X164" s="43">
        <v>0.0</v>
      </c>
      <c r="Z164" s="43">
        <v>0.0</v>
      </c>
      <c r="AB164" s="43">
        <v>0.0</v>
      </c>
      <c r="AC164" s="26"/>
      <c r="AD164" s="43">
        <v>0.0</v>
      </c>
      <c r="AF164" s="43">
        <v>0.0</v>
      </c>
      <c r="AH164" s="43">
        <v>0.0</v>
      </c>
      <c r="AJ164" s="27">
        <v>0.0</v>
      </c>
      <c r="AK164" s="26"/>
      <c r="AL164" s="42"/>
      <c r="AM164" s="26"/>
      <c r="AN164" s="42"/>
      <c r="AO164" s="26"/>
      <c r="AP164" s="42"/>
      <c r="AQ164" s="26"/>
      <c r="AR164" s="43"/>
      <c r="AT164" s="43"/>
      <c r="AU164" s="26"/>
      <c r="AV164" s="29">
        <f t="shared" si="1"/>
        <v>3313.1436</v>
      </c>
      <c r="AW164" s="21">
        <f t="shared" si="2"/>
        <v>310</v>
      </c>
      <c r="AX164" s="21">
        <f t="shared" si="3"/>
        <v>0</v>
      </c>
      <c r="AY164" s="21">
        <f t="shared" si="4"/>
        <v>310</v>
      </c>
      <c r="AZ164" s="58">
        <f t="shared" si="5"/>
        <v>10.68756</v>
      </c>
    </row>
    <row r="165" ht="15.75" customHeight="1">
      <c r="A165" s="31" t="s">
        <v>33</v>
      </c>
      <c r="B165" s="32">
        <f t="shared" si="6"/>
        <v>45454</v>
      </c>
      <c r="C165" s="33">
        <v>6.0</v>
      </c>
      <c r="D165" s="33" t="s">
        <v>49</v>
      </c>
      <c r="E165" s="34"/>
      <c r="F165" s="42">
        <v>0.0</v>
      </c>
      <c r="H165" s="43">
        <v>0.0</v>
      </c>
      <c r="J165" s="43">
        <v>0.0</v>
      </c>
      <c r="L165" s="43">
        <v>0.0</v>
      </c>
      <c r="N165" s="43">
        <v>0.0</v>
      </c>
      <c r="P165" s="43">
        <v>0.0</v>
      </c>
      <c r="Q165" s="26"/>
      <c r="R165" s="42">
        <v>155.0</v>
      </c>
      <c r="T165" s="43">
        <v>155.0</v>
      </c>
      <c r="V165" s="43">
        <v>0.0</v>
      </c>
      <c r="X165" s="43">
        <v>0.0</v>
      </c>
      <c r="Z165" s="43">
        <v>0.0</v>
      </c>
      <c r="AB165" s="43">
        <v>0.0</v>
      </c>
      <c r="AC165" s="26"/>
      <c r="AD165" s="43">
        <v>0.0</v>
      </c>
      <c r="AF165" s="43">
        <v>55.0</v>
      </c>
      <c r="AH165" s="43">
        <v>55.0</v>
      </c>
      <c r="AJ165" s="27">
        <v>0.0</v>
      </c>
      <c r="AK165" s="26"/>
      <c r="AL165" s="42"/>
      <c r="AM165" s="26"/>
      <c r="AN165" s="42"/>
      <c r="AO165" s="26"/>
      <c r="AP165" s="42"/>
      <c r="AQ165" s="26"/>
      <c r="AR165" s="43"/>
      <c r="AT165" s="43"/>
      <c r="AU165" s="26"/>
      <c r="AV165" s="35">
        <f t="shared" si="1"/>
        <v>4994.2736</v>
      </c>
      <c r="AW165" s="33">
        <f t="shared" si="2"/>
        <v>420</v>
      </c>
      <c r="AX165" s="33">
        <f t="shared" si="3"/>
        <v>0</v>
      </c>
      <c r="AY165" s="33">
        <f t="shared" si="4"/>
        <v>420</v>
      </c>
      <c r="AZ165" s="30">
        <f t="shared" si="5"/>
        <v>11.89112762</v>
      </c>
    </row>
    <row r="166" ht="15.75" customHeight="1">
      <c r="A166" s="31" t="s">
        <v>34</v>
      </c>
      <c r="B166" s="32">
        <f t="shared" si="6"/>
        <v>45455</v>
      </c>
      <c r="C166" s="33">
        <v>6.0</v>
      </c>
      <c r="D166" s="33" t="s">
        <v>49</v>
      </c>
      <c r="E166" s="34"/>
      <c r="F166" s="42">
        <v>0.0</v>
      </c>
      <c r="H166" s="43">
        <v>0.0</v>
      </c>
      <c r="J166" s="43">
        <v>0.0</v>
      </c>
      <c r="L166" s="43">
        <v>0.0</v>
      </c>
      <c r="N166" s="43">
        <v>0.0</v>
      </c>
      <c r="P166" s="43">
        <v>0.0</v>
      </c>
      <c r="Q166" s="26"/>
      <c r="R166" s="42">
        <v>155.0</v>
      </c>
      <c r="T166" s="43">
        <v>155.0</v>
      </c>
      <c r="V166" s="43">
        <v>0.0</v>
      </c>
      <c r="X166" s="43">
        <v>0.0</v>
      </c>
      <c r="Z166" s="43">
        <v>0.0</v>
      </c>
      <c r="AB166" s="43">
        <v>0.0</v>
      </c>
      <c r="AC166" s="26"/>
      <c r="AD166" s="43">
        <v>0.0</v>
      </c>
      <c r="AF166" s="43">
        <v>55.0</v>
      </c>
      <c r="AH166" s="43">
        <v>55.0</v>
      </c>
      <c r="AJ166" s="27">
        <v>0.0</v>
      </c>
      <c r="AK166" s="26"/>
      <c r="AL166" s="42"/>
      <c r="AM166" s="26"/>
      <c r="AN166" s="42"/>
      <c r="AO166" s="26"/>
      <c r="AP166" s="42"/>
      <c r="AQ166" s="26"/>
      <c r="AR166" s="43"/>
      <c r="AT166" s="43"/>
      <c r="AU166" s="26"/>
      <c r="AV166" s="35">
        <f t="shared" si="1"/>
        <v>4994.2736</v>
      </c>
      <c r="AW166" s="33">
        <f t="shared" si="2"/>
        <v>420</v>
      </c>
      <c r="AX166" s="33">
        <f t="shared" si="3"/>
        <v>0</v>
      </c>
      <c r="AY166" s="33">
        <f t="shared" si="4"/>
        <v>420</v>
      </c>
      <c r="AZ166" s="30">
        <f t="shared" si="5"/>
        <v>11.89112762</v>
      </c>
    </row>
    <row r="167" ht="15.75" customHeight="1">
      <c r="A167" s="31" t="s">
        <v>35</v>
      </c>
      <c r="B167" s="32">
        <f t="shared" si="6"/>
        <v>45456</v>
      </c>
      <c r="C167" s="33">
        <v>6.0</v>
      </c>
      <c r="D167" s="33" t="s">
        <v>49</v>
      </c>
      <c r="E167" s="34"/>
      <c r="F167" s="42">
        <v>0.0</v>
      </c>
      <c r="H167" s="43">
        <v>0.0</v>
      </c>
      <c r="J167" s="43">
        <v>0.0</v>
      </c>
      <c r="L167" s="43">
        <v>0.0</v>
      </c>
      <c r="N167" s="43">
        <v>0.0</v>
      </c>
      <c r="P167" s="43">
        <v>0.0</v>
      </c>
      <c r="Q167" s="26"/>
      <c r="R167" s="42">
        <v>155.0</v>
      </c>
      <c r="T167" s="43">
        <v>155.0</v>
      </c>
      <c r="V167" s="43">
        <v>0.0</v>
      </c>
      <c r="X167" s="43">
        <v>0.0</v>
      </c>
      <c r="Z167" s="43">
        <v>0.0</v>
      </c>
      <c r="AB167" s="43">
        <v>0.0</v>
      </c>
      <c r="AC167" s="26"/>
      <c r="AD167" s="43">
        <v>0.0</v>
      </c>
      <c r="AF167" s="43">
        <v>0.0</v>
      </c>
      <c r="AH167" s="43">
        <v>55.0</v>
      </c>
      <c r="AJ167" s="27">
        <v>0.0</v>
      </c>
      <c r="AK167" s="26"/>
      <c r="AL167" s="42"/>
      <c r="AM167" s="26"/>
      <c r="AN167" s="42"/>
      <c r="AO167" s="26"/>
      <c r="AP167" s="42"/>
      <c r="AQ167" s="26"/>
      <c r="AR167" s="43"/>
      <c r="AT167" s="43"/>
      <c r="AU167" s="26"/>
      <c r="AV167" s="35">
        <f t="shared" si="1"/>
        <v>4153.7086</v>
      </c>
      <c r="AW167" s="33">
        <f t="shared" si="2"/>
        <v>365</v>
      </c>
      <c r="AX167" s="33">
        <f t="shared" si="3"/>
        <v>0</v>
      </c>
      <c r="AY167" s="33">
        <f t="shared" si="4"/>
        <v>365</v>
      </c>
      <c r="AZ167" s="30">
        <f t="shared" si="5"/>
        <v>11.38002356</v>
      </c>
    </row>
    <row r="168" ht="15.75" customHeight="1">
      <c r="A168" s="31" t="s">
        <v>38</v>
      </c>
      <c r="B168" s="32">
        <f t="shared" si="6"/>
        <v>45457</v>
      </c>
      <c r="C168" s="33">
        <v>6.0</v>
      </c>
      <c r="D168" s="33" t="s">
        <v>49</v>
      </c>
      <c r="E168" s="34"/>
      <c r="F168" s="42">
        <v>0.0</v>
      </c>
      <c r="H168" s="43">
        <v>0.0</v>
      </c>
      <c r="J168" s="43">
        <v>0.0</v>
      </c>
      <c r="L168" s="43">
        <v>0.0</v>
      </c>
      <c r="N168" s="43">
        <v>0.0</v>
      </c>
      <c r="P168" s="43">
        <v>0.0</v>
      </c>
      <c r="Q168" s="26"/>
      <c r="R168" s="42">
        <v>155.0</v>
      </c>
      <c r="T168" s="43">
        <v>155.0</v>
      </c>
      <c r="V168" s="43">
        <v>0.0</v>
      </c>
      <c r="X168" s="43">
        <v>0.0</v>
      </c>
      <c r="Z168" s="43">
        <v>0.0</v>
      </c>
      <c r="AB168" s="43">
        <v>0.0</v>
      </c>
      <c r="AC168" s="26"/>
      <c r="AD168" s="43">
        <v>0.0</v>
      </c>
      <c r="AF168" s="43">
        <v>55.0</v>
      </c>
      <c r="AH168" s="43">
        <v>55.0</v>
      </c>
      <c r="AJ168" s="27">
        <v>0.0</v>
      </c>
      <c r="AK168" s="26"/>
      <c r="AL168" s="42"/>
      <c r="AM168" s="26"/>
      <c r="AN168" s="42"/>
      <c r="AO168" s="26"/>
      <c r="AP168" s="42"/>
      <c r="AQ168" s="26"/>
      <c r="AR168" s="43"/>
      <c r="AT168" s="43"/>
      <c r="AU168" s="26"/>
      <c r="AV168" s="35">
        <f t="shared" si="1"/>
        <v>4994.2736</v>
      </c>
      <c r="AW168" s="33">
        <f t="shared" si="2"/>
        <v>420</v>
      </c>
      <c r="AX168" s="33">
        <f t="shared" si="3"/>
        <v>0</v>
      </c>
      <c r="AY168" s="33">
        <f t="shared" si="4"/>
        <v>420</v>
      </c>
      <c r="AZ168" s="30">
        <f t="shared" si="5"/>
        <v>11.89112762</v>
      </c>
    </row>
    <row r="169" ht="15.75" customHeight="1">
      <c r="A169" s="31" t="s">
        <v>45</v>
      </c>
      <c r="B169" s="32">
        <f t="shared" si="6"/>
        <v>45458</v>
      </c>
      <c r="C169" s="33">
        <v>6.0</v>
      </c>
      <c r="D169" s="33" t="s">
        <v>49</v>
      </c>
      <c r="E169" s="34"/>
      <c r="F169" s="42">
        <v>0.0</v>
      </c>
      <c r="H169" s="43">
        <v>0.0</v>
      </c>
      <c r="J169" s="43">
        <v>0.0</v>
      </c>
      <c r="L169" s="43">
        <v>0.0</v>
      </c>
      <c r="N169" s="43">
        <v>0.0</v>
      </c>
      <c r="P169" s="43">
        <v>0.0</v>
      </c>
      <c r="Q169" s="26"/>
      <c r="R169" s="42">
        <v>155.0</v>
      </c>
      <c r="T169" s="43">
        <v>155.0</v>
      </c>
      <c r="V169" s="43">
        <v>0.0</v>
      </c>
      <c r="X169" s="43">
        <v>0.0</v>
      </c>
      <c r="Z169" s="43">
        <v>0.0</v>
      </c>
      <c r="AB169" s="43">
        <v>0.0</v>
      </c>
      <c r="AC169" s="26"/>
      <c r="AD169" s="43">
        <v>0.0</v>
      </c>
      <c r="AF169" s="43">
        <v>55.0</v>
      </c>
      <c r="AH169" s="43">
        <v>0.0</v>
      </c>
      <c r="AJ169" s="27">
        <v>0.0</v>
      </c>
      <c r="AK169" s="26"/>
      <c r="AL169" s="42"/>
      <c r="AM169" s="26"/>
      <c r="AN169" s="42"/>
      <c r="AO169" s="26"/>
      <c r="AP169" s="42"/>
      <c r="AQ169" s="26"/>
      <c r="AR169" s="43"/>
      <c r="AT169" s="43"/>
      <c r="AU169" s="26"/>
      <c r="AV169" s="35">
        <f t="shared" si="1"/>
        <v>4153.7086</v>
      </c>
      <c r="AW169" s="33">
        <f t="shared" si="2"/>
        <v>365</v>
      </c>
      <c r="AX169" s="33">
        <f t="shared" si="3"/>
        <v>0</v>
      </c>
      <c r="AY169" s="33">
        <f t="shared" si="4"/>
        <v>365</v>
      </c>
      <c r="AZ169" s="30">
        <f t="shared" si="5"/>
        <v>11.38002356</v>
      </c>
    </row>
    <row r="170" ht="15.75" customHeight="1">
      <c r="A170" s="44" t="s">
        <v>46</v>
      </c>
      <c r="B170" s="45">
        <f t="shared" si="6"/>
        <v>45459</v>
      </c>
      <c r="C170" s="46">
        <v>6.0</v>
      </c>
      <c r="D170" s="46" t="s">
        <v>49</v>
      </c>
      <c r="E170" s="47"/>
      <c r="F170" s="66">
        <v>0.0</v>
      </c>
      <c r="G170" s="51"/>
      <c r="H170" s="67">
        <v>0.0</v>
      </c>
      <c r="I170" s="51"/>
      <c r="J170" s="67">
        <v>0.0</v>
      </c>
      <c r="K170" s="51"/>
      <c r="L170" s="67">
        <v>0.0</v>
      </c>
      <c r="M170" s="51"/>
      <c r="N170" s="67">
        <v>0.0</v>
      </c>
      <c r="O170" s="51"/>
      <c r="P170" s="67">
        <v>0.0</v>
      </c>
      <c r="Q170" s="53"/>
      <c r="R170" s="66"/>
      <c r="S170" s="51"/>
      <c r="T170" s="67"/>
      <c r="U170" s="51"/>
      <c r="V170" s="67">
        <v>0.0</v>
      </c>
      <c r="W170" s="51"/>
      <c r="X170" s="67">
        <v>0.0</v>
      </c>
      <c r="Y170" s="51"/>
      <c r="Z170" s="67">
        <v>0.0</v>
      </c>
      <c r="AA170" s="51"/>
      <c r="AB170" s="67">
        <v>0.0</v>
      </c>
      <c r="AC170" s="53"/>
      <c r="AD170" s="67">
        <v>0.0</v>
      </c>
      <c r="AE170" s="51"/>
      <c r="AF170" s="67">
        <v>0.0</v>
      </c>
      <c r="AG170" s="51"/>
      <c r="AH170" s="67">
        <v>0.0</v>
      </c>
      <c r="AI170" s="51"/>
      <c r="AJ170" s="54">
        <v>0.0</v>
      </c>
      <c r="AK170" s="53"/>
      <c r="AL170" s="66"/>
      <c r="AM170" s="53"/>
      <c r="AN170" s="66"/>
      <c r="AO170" s="53"/>
      <c r="AP170" s="66"/>
      <c r="AQ170" s="53"/>
      <c r="AR170" s="67"/>
      <c r="AS170" s="51"/>
      <c r="AT170" s="67"/>
      <c r="AU170" s="53"/>
      <c r="AV170" s="55">
        <f t="shared" si="1"/>
        <v>0</v>
      </c>
      <c r="AW170" s="46">
        <f t="shared" si="2"/>
        <v>0</v>
      </c>
      <c r="AX170" s="46">
        <f t="shared" si="3"/>
        <v>0</v>
      </c>
      <c r="AY170" s="46">
        <f t="shared" si="4"/>
        <v>0</v>
      </c>
      <c r="AZ170" s="56" t="str">
        <f t="shared" si="5"/>
        <v/>
      </c>
    </row>
    <row r="171" ht="15.75" customHeight="1">
      <c r="A171" s="19" t="s">
        <v>30</v>
      </c>
      <c r="B171" s="57">
        <f t="shared" si="6"/>
        <v>45460</v>
      </c>
      <c r="C171" s="21">
        <v>7.0</v>
      </c>
      <c r="D171" s="21" t="s">
        <v>31</v>
      </c>
      <c r="E171" s="23"/>
      <c r="F171" s="42">
        <v>0.0</v>
      </c>
      <c r="H171" s="43">
        <v>0.0</v>
      </c>
      <c r="J171" s="43">
        <v>0.0</v>
      </c>
      <c r="L171" s="43">
        <v>0.0</v>
      </c>
      <c r="N171" s="43">
        <v>0.0</v>
      </c>
      <c r="P171" s="43">
        <v>0.0</v>
      </c>
      <c r="Q171" s="26"/>
      <c r="R171" s="42">
        <v>155.0</v>
      </c>
      <c r="T171" s="43">
        <v>155.0</v>
      </c>
      <c r="V171" s="43">
        <v>0.0</v>
      </c>
      <c r="X171" s="43">
        <v>0.0</v>
      </c>
      <c r="Z171" s="43">
        <v>0.0</v>
      </c>
      <c r="AB171" s="43">
        <v>0.0</v>
      </c>
      <c r="AC171" s="26"/>
      <c r="AD171" s="43">
        <v>0.0</v>
      </c>
      <c r="AF171" s="43">
        <v>0.0</v>
      </c>
      <c r="AH171" s="43">
        <v>0.0</v>
      </c>
      <c r="AJ171" s="27">
        <v>0.0</v>
      </c>
      <c r="AK171" s="26"/>
      <c r="AL171" s="42"/>
      <c r="AM171" s="26"/>
      <c r="AN171" s="42"/>
      <c r="AO171" s="26"/>
      <c r="AP171" s="42"/>
      <c r="AQ171" s="26"/>
      <c r="AR171" s="43"/>
      <c r="AT171" s="43"/>
      <c r="AU171" s="26"/>
      <c r="AV171" s="29">
        <f t="shared" si="1"/>
        <v>3313.1436</v>
      </c>
      <c r="AW171" s="21">
        <f t="shared" si="2"/>
        <v>310</v>
      </c>
      <c r="AX171" s="21">
        <f t="shared" si="3"/>
        <v>0</v>
      </c>
      <c r="AY171" s="21">
        <f t="shared" si="4"/>
        <v>310</v>
      </c>
      <c r="AZ171" s="58">
        <f t="shared" si="5"/>
        <v>10.68756</v>
      </c>
    </row>
    <row r="172" ht="15.75" customHeight="1">
      <c r="A172" s="31" t="s">
        <v>33</v>
      </c>
      <c r="B172" s="32">
        <f t="shared" si="6"/>
        <v>45461</v>
      </c>
      <c r="C172" s="33">
        <v>7.0</v>
      </c>
      <c r="D172" s="33" t="s">
        <v>31</v>
      </c>
      <c r="E172" s="34"/>
      <c r="F172" s="42">
        <v>0.0</v>
      </c>
      <c r="H172" s="43">
        <v>0.0</v>
      </c>
      <c r="J172" s="43">
        <v>0.0</v>
      </c>
      <c r="L172" s="43">
        <v>0.0</v>
      </c>
      <c r="N172" s="43">
        <v>0.0</v>
      </c>
      <c r="P172" s="43">
        <v>0.0</v>
      </c>
      <c r="Q172" s="26"/>
      <c r="R172" s="42">
        <v>155.0</v>
      </c>
      <c r="T172" s="43">
        <v>155.0</v>
      </c>
      <c r="V172" s="43">
        <v>0.0</v>
      </c>
      <c r="X172" s="43">
        <v>0.0</v>
      </c>
      <c r="Z172" s="43">
        <v>0.0</v>
      </c>
      <c r="AB172" s="43">
        <v>0.0</v>
      </c>
      <c r="AC172" s="26"/>
      <c r="AD172" s="43">
        <v>0.0</v>
      </c>
      <c r="AF172" s="43">
        <v>55.0</v>
      </c>
      <c r="AH172" s="43">
        <v>55.0</v>
      </c>
      <c r="AJ172" s="27">
        <v>0.0</v>
      </c>
      <c r="AK172" s="26"/>
      <c r="AL172" s="42"/>
      <c r="AM172" s="26"/>
      <c r="AN172" s="42"/>
      <c r="AO172" s="26"/>
      <c r="AP172" s="42"/>
      <c r="AQ172" s="26"/>
      <c r="AR172" s="43"/>
      <c r="AT172" s="43"/>
      <c r="AU172" s="26"/>
      <c r="AV172" s="35">
        <f t="shared" si="1"/>
        <v>4994.2736</v>
      </c>
      <c r="AW172" s="33">
        <f t="shared" si="2"/>
        <v>420</v>
      </c>
      <c r="AX172" s="33">
        <f t="shared" si="3"/>
        <v>0</v>
      </c>
      <c r="AY172" s="33">
        <f t="shared" si="4"/>
        <v>420</v>
      </c>
      <c r="AZ172" s="30">
        <f t="shared" si="5"/>
        <v>11.89112762</v>
      </c>
    </row>
    <row r="173" ht="15.75" customHeight="1">
      <c r="A173" s="31" t="s">
        <v>34</v>
      </c>
      <c r="B173" s="32">
        <f t="shared" si="6"/>
        <v>45462</v>
      </c>
      <c r="C173" s="33">
        <v>7.0</v>
      </c>
      <c r="D173" s="33" t="s">
        <v>31</v>
      </c>
      <c r="E173" s="34"/>
      <c r="F173" s="42">
        <v>0.0</v>
      </c>
      <c r="H173" s="43">
        <v>0.0</v>
      </c>
      <c r="J173" s="43">
        <v>0.0</v>
      </c>
      <c r="L173" s="43">
        <v>0.0</v>
      </c>
      <c r="N173" s="43">
        <v>0.0</v>
      </c>
      <c r="P173" s="43">
        <v>0.0</v>
      </c>
      <c r="Q173" s="26"/>
      <c r="R173" s="42">
        <v>155.0</v>
      </c>
      <c r="T173" s="43">
        <v>155.0</v>
      </c>
      <c r="V173" s="43">
        <v>0.0</v>
      </c>
      <c r="X173" s="43">
        <v>0.0</v>
      </c>
      <c r="Z173" s="43">
        <v>0.0</v>
      </c>
      <c r="AB173" s="43">
        <v>0.0</v>
      </c>
      <c r="AC173" s="26"/>
      <c r="AD173" s="43">
        <v>0.0</v>
      </c>
      <c r="AF173" s="43">
        <v>55.0</v>
      </c>
      <c r="AH173" s="43">
        <v>55.0</v>
      </c>
      <c r="AJ173" s="27">
        <v>0.0</v>
      </c>
      <c r="AK173" s="26"/>
      <c r="AL173" s="42"/>
      <c r="AM173" s="26"/>
      <c r="AN173" s="42"/>
      <c r="AO173" s="26"/>
      <c r="AP173" s="42"/>
      <c r="AQ173" s="26"/>
      <c r="AR173" s="43"/>
      <c r="AT173" s="43"/>
      <c r="AU173" s="26"/>
      <c r="AV173" s="35">
        <f t="shared" si="1"/>
        <v>4994.2736</v>
      </c>
      <c r="AW173" s="33">
        <f t="shared" si="2"/>
        <v>420</v>
      </c>
      <c r="AX173" s="33">
        <f t="shared" si="3"/>
        <v>0</v>
      </c>
      <c r="AY173" s="33">
        <f t="shared" si="4"/>
        <v>420</v>
      </c>
      <c r="AZ173" s="30">
        <f t="shared" si="5"/>
        <v>11.89112762</v>
      </c>
    </row>
    <row r="174" ht="15.75" customHeight="1">
      <c r="A174" s="31" t="s">
        <v>35</v>
      </c>
      <c r="B174" s="32">
        <f t="shared" si="6"/>
        <v>45463</v>
      </c>
      <c r="C174" s="33">
        <v>7.0</v>
      </c>
      <c r="D174" s="33" t="s">
        <v>31</v>
      </c>
      <c r="E174" s="34"/>
      <c r="F174" s="42">
        <v>0.0</v>
      </c>
      <c r="H174" s="43">
        <v>0.0</v>
      </c>
      <c r="J174" s="43">
        <v>0.0</v>
      </c>
      <c r="L174" s="43">
        <v>0.0</v>
      </c>
      <c r="N174" s="43">
        <v>0.0</v>
      </c>
      <c r="P174" s="43">
        <v>0.0</v>
      </c>
      <c r="Q174" s="26"/>
      <c r="R174" s="42">
        <v>155.0</v>
      </c>
      <c r="T174" s="43">
        <v>155.0</v>
      </c>
      <c r="V174" s="43">
        <v>0.0</v>
      </c>
      <c r="X174" s="43">
        <v>0.0</v>
      </c>
      <c r="Z174" s="43">
        <v>0.0</v>
      </c>
      <c r="AB174" s="43">
        <v>0.0</v>
      </c>
      <c r="AC174" s="26"/>
      <c r="AD174" s="43">
        <v>0.0</v>
      </c>
      <c r="AF174" s="43">
        <v>0.0</v>
      </c>
      <c r="AH174" s="43">
        <v>55.0</v>
      </c>
      <c r="AJ174" s="27">
        <v>0.0</v>
      </c>
      <c r="AK174" s="26"/>
      <c r="AL174" s="42"/>
      <c r="AM174" s="26"/>
      <c r="AN174" s="42"/>
      <c r="AO174" s="26"/>
      <c r="AP174" s="42"/>
      <c r="AQ174" s="26"/>
      <c r="AR174" s="43"/>
      <c r="AT174" s="43"/>
      <c r="AU174" s="26"/>
      <c r="AV174" s="35">
        <f t="shared" si="1"/>
        <v>4153.7086</v>
      </c>
      <c r="AW174" s="33">
        <f t="shared" si="2"/>
        <v>365</v>
      </c>
      <c r="AX174" s="33">
        <f t="shared" si="3"/>
        <v>0</v>
      </c>
      <c r="AY174" s="33">
        <f t="shared" si="4"/>
        <v>365</v>
      </c>
      <c r="AZ174" s="30">
        <f t="shared" si="5"/>
        <v>11.38002356</v>
      </c>
    </row>
    <row r="175" ht="15.75" customHeight="1">
      <c r="A175" s="31" t="s">
        <v>38</v>
      </c>
      <c r="B175" s="32">
        <f t="shared" si="6"/>
        <v>45464</v>
      </c>
      <c r="C175" s="33">
        <v>7.0</v>
      </c>
      <c r="D175" s="33" t="s">
        <v>31</v>
      </c>
      <c r="E175" s="34"/>
      <c r="F175" s="42">
        <v>0.0</v>
      </c>
      <c r="H175" s="43">
        <v>0.0</v>
      </c>
      <c r="J175" s="43">
        <v>0.0</v>
      </c>
      <c r="L175" s="43">
        <v>0.0</v>
      </c>
      <c r="N175" s="43">
        <v>0.0</v>
      </c>
      <c r="P175" s="43">
        <v>0.0</v>
      </c>
      <c r="Q175" s="26"/>
      <c r="R175" s="42">
        <v>155.0</v>
      </c>
      <c r="T175" s="43">
        <v>155.0</v>
      </c>
      <c r="V175" s="43">
        <v>0.0</v>
      </c>
      <c r="X175" s="43">
        <v>0.0</v>
      </c>
      <c r="Z175" s="43">
        <v>0.0</v>
      </c>
      <c r="AB175" s="43">
        <v>0.0</v>
      </c>
      <c r="AC175" s="26"/>
      <c r="AD175" s="43">
        <v>0.0</v>
      </c>
      <c r="AF175" s="43">
        <v>55.0</v>
      </c>
      <c r="AH175" s="43">
        <v>55.0</v>
      </c>
      <c r="AJ175" s="27">
        <v>0.0</v>
      </c>
      <c r="AK175" s="26"/>
      <c r="AL175" s="42"/>
      <c r="AM175" s="26"/>
      <c r="AN175" s="42"/>
      <c r="AO175" s="26"/>
      <c r="AP175" s="42"/>
      <c r="AQ175" s="26"/>
      <c r="AR175" s="43"/>
      <c r="AT175" s="43"/>
      <c r="AU175" s="26"/>
      <c r="AV175" s="35">
        <f t="shared" si="1"/>
        <v>4994.2736</v>
      </c>
      <c r="AW175" s="33">
        <f t="shared" si="2"/>
        <v>420</v>
      </c>
      <c r="AX175" s="33">
        <f t="shared" si="3"/>
        <v>0</v>
      </c>
      <c r="AY175" s="33">
        <f t="shared" si="4"/>
        <v>420</v>
      </c>
      <c r="AZ175" s="30">
        <f t="shared" si="5"/>
        <v>11.89112762</v>
      </c>
    </row>
    <row r="176" ht="15.75" customHeight="1">
      <c r="A176" s="31" t="s">
        <v>45</v>
      </c>
      <c r="B176" s="32">
        <f t="shared" si="6"/>
        <v>45465</v>
      </c>
      <c r="C176" s="33">
        <v>7.0</v>
      </c>
      <c r="D176" s="33" t="s">
        <v>31</v>
      </c>
      <c r="E176" s="34"/>
      <c r="F176" s="42">
        <v>0.0</v>
      </c>
      <c r="H176" s="43">
        <v>0.0</v>
      </c>
      <c r="J176" s="43">
        <v>0.0</v>
      </c>
      <c r="L176" s="43">
        <v>0.0</v>
      </c>
      <c r="N176" s="43">
        <v>0.0</v>
      </c>
      <c r="P176" s="43">
        <v>0.0</v>
      </c>
      <c r="Q176" s="26"/>
      <c r="R176" s="42">
        <v>155.0</v>
      </c>
      <c r="T176" s="43">
        <v>155.0</v>
      </c>
      <c r="V176" s="43">
        <v>0.0</v>
      </c>
      <c r="X176" s="43">
        <v>0.0</v>
      </c>
      <c r="Z176" s="43">
        <v>0.0</v>
      </c>
      <c r="AB176" s="43">
        <v>0.0</v>
      </c>
      <c r="AC176" s="26"/>
      <c r="AD176" s="43">
        <v>0.0</v>
      </c>
      <c r="AF176" s="43">
        <v>55.0</v>
      </c>
      <c r="AH176" s="43">
        <v>0.0</v>
      </c>
      <c r="AJ176" s="27">
        <v>0.0</v>
      </c>
      <c r="AK176" s="26"/>
      <c r="AL176" s="42"/>
      <c r="AM176" s="26"/>
      <c r="AN176" s="42"/>
      <c r="AO176" s="26"/>
      <c r="AP176" s="42"/>
      <c r="AQ176" s="26"/>
      <c r="AR176" s="43"/>
      <c r="AT176" s="43"/>
      <c r="AU176" s="26"/>
      <c r="AV176" s="35">
        <f t="shared" si="1"/>
        <v>4153.7086</v>
      </c>
      <c r="AW176" s="33">
        <f t="shared" si="2"/>
        <v>365</v>
      </c>
      <c r="AX176" s="33">
        <f t="shared" si="3"/>
        <v>0</v>
      </c>
      <c r="AY176" s="33">
        <f t="shared" si="4"/>
        <v>365</v>
      </c>
      <c r="AZ176" s="30">
        <f t="shared" si="5"/>
        <v>11.38002356</v>
      </c>
    </row>
    <row r="177" ht="15.75" customHeight="1">
      <c r="A177" s="44" t="s">
        <v>46</v>
      </c>
      <c r="B177" s="45">
        <f t="shared" si="6"/>
        <v>45466</v>
      </c>
      <c r="C177" s="46">
        <v>7.0</v>
      </c>
      <c r="D177" s="46" t="s">
        <v>31</v>
      </c>
      <c r="E177" s="47"/>
      <c r="F177" s="66">
        <v>0.0</v>
      </c>
      <c r="G177" s="51"/>
      <c r="H177" s="67">
        <v>0.0</v>
      </c>
      <c r="I177" s="51"/>
      <c r="J177" s="67">
        <v>0.0</v>
      </c>
      <c r="K177" s="51"/>
      <c r="L177" s="67">
        <v>0.0</v>
      </c>
      <c r="M177" s="51"/>
      <c r="N177" s="67">
        <v>0.0</v>
      </c>
      <c r="O177" s="51"/>
      <c r="P177" s="67">
        <v>0.0</v>
      </c>
      <c r="Q177" s="53"/>
      <c r="R177" s="66"/>
      <c r="S177" s="51"/>
      <c r="T177" s="67"/>
      <c r="U177" s="51"/>
      <c r="V177" s="67">
        <v>0.0</v>
      </c>
      <c r="W177" s="51"/>
      <c r="X177" s="67">
        <v>0.0</v>
      </c>
      <c r="Y177" s="51"/>
      <c r="Z177" s="67">
        <v>0.0</v>
      </c>
      <c r="AA177" s="51"/>
      <c r="AB177" s="67">
        <v>0.0</v>
      </c>
      <c r="AC177" s="53"/>
      <c r="AD177" s="67">
        <v>0.0</v>
      </c>
      <c r="AE177" s="51"/>
      <c r="AF177" s="67">
        <v>0.0</v>
      </c>
      <c r="AG177" s="51"/>
      <c r="AH177" s="67">
        <v>0.0</v>
      </c>
      <c r="AI177" s="51"/>
      <c r="AJ177" s="54">
        <v>0.0</v>
      </c>
      <c r="AK177" s="53"/>
      <c r="AL177" s="66"/>
      <c r="AM177" s="53"/>
      <c r="AN177" s="66"/>
      <c r="AO177" s="53"/>
      <c r="AP177" s="66"/>
      <c r="AQ177" s="53"/>
      <c r="AR177" s="67"/>
      <c r="AS177" s="51"/>
      <c r="AT177" s="67"/>
      <c r="AU177" s="53"/>
      <c r="AV177" s="55">
        <f t="shared" si="1"/>
        <v>0</v>
      </c>
      <c r="AW177" s="46">
        <f t="shared" si="2"/>
        <v>0</v>
      </c>
      <c r="AX177" s="46">
        <f t="shared" si="3"/>
        <v>0</v>
      </c>
      <c r="AY177" s="46">
        <f t="shared" si="4"/>
        <v>0</v>
      </c>
      <c r="AZ177" s="56" t="str">
        <f t="shared" si="5"/>
        <v/>
      </c>
    </row>
    <row r="178" ht="15.75" customHeight="1">
      <c r="A178" s="19" t="s">
        <v>30</v>
      </c>
      <c r="B178" s="57">
        <f t="shared" si="6"/>
        <v>45467</v>
      </c>
      <c r="C178" s="21">
        <v>7.0</v>
      </c>
      <c r="D178" s="21" t="s">
        <v>47</v>
      </c>
      <c r="E178" s="23"/>
      <c r="F178" s="42">
        <v>0.0</v>
      </c>
      <c r="H178" s="43">
        <v>0.0</v>
      </c>
      <c r="J178" s="43">
        <v>0.0</v>
      </c>
      <c r="L178" s="43">
        <v>0.0</v>
      </c>
      <c r="N178" s="43">
        <v>0.0</v>
      </c>
      <c r="P178" s="43">
        <v>0.0</v>
      </c>
      <c r="Q178" s="26"/>
      <c r="R178" s="42">
        <v>155.0</v>
      </c>
      <c r="T178" s="43">
        <v>155.0</v>
      </c>
      <c r="V178" s="43">
        <v>0.0</v>
      </c>
      <c r="X178" s="43">
        <v>0.0</v>
      </c>
      <c r="Z178" s="43">
        <v>0.0</v>
      </c>
      <c r="AB178" s="43">
        <v>0.0</v>
      </c>
      <c r="AC178" s="26"/>
      <c r="AD178" s="43">
        <v>0.0</v>
      </c>
      <c r="AF178" s="43">
        <v>0.0</v>
      </c>
      <c r="AH178" s="43">
        <v>0.0</v>
      </c>
      <c r="AJ178" s="27">
        <v>0.0</v>
      </c>
      <c r="AK178" s="26"/>
      <c r="AL178" s="42"/>
      <c r="AM178" s="26"/>
      <c r="AN178" s="42"/>
      <c r="AO178" s="26"/>
      <c r="AP178" s="42"/>
      <c r="AQ178" s="26"/>
      <c r="AR178" s="43"/>
      <c r="AT178" s="43"/>
      <c r="AU178" s="26"/>
      <c r="AV178" s="29">
        <f t="shared" si="1"/>
        <v>3313.1436</v>
      </c>
      <c r="AW178" s="21">
        <f t="shared" si="2"/>
        <v>310</v>
      </c>
      <c r="AX178" s="21">
        <f t="shared" si="3"/>
        <v>0</v>
      </c>
      <c r="AY178" s="21">
        <f t="shared" si="4"/>
        <v>310</v>
      </c>
      <c r="AZ178" s="58">
        <f t="shared" si="5"/>
        <v>10.68756</v>
      </c>
    </row>
    <row r="179" ht="15.75" customHeight="1">
      <c r="A179" s="31" t="s">
        <v>33</v>
      </c>
      <c r="B179" s="32">
        <f t="shared" si="6"/>
        <v>45468</v>
      </c>
      <c r="C179" s="33">
        <v>7.0</v>
      </c>
      <c r="D179" s="33" t="s">
        <v>47</v>
      </c>
      <c r="E179" s="34"/>
      <c r="F179" s="42">
        <v>0.0</v>
      </c>
      <c r="H179" s="43">
        <v>0.0</v>
      </c>
      <c r="J179" s="43">
        <v>0.0</v>
      </c>
      <c r="L179" s="43">
        <v>0.0</v>
      </c>
      <c r="N179" s="43">
        <v>0.0</v>
      </c>
      <c r="P179" s="43">
        <v>0.0</v>
      </c>
      <c r="Q179" s="26"/>
      <c r="R179" s="42">
        <v>155.0</v>
      </c>
      <c r="T179" s="43">
        <v>155.0</v>
      </c>
      <c r="V179" s="43">
        <v>0.0</v>
      </c>
      <c r="X179" s="43">
        <v>0.0</v>
      </c>
      <c r="Z179" s="43">
        <v>0.0</v>
      </c>
      <c r="AB179" s="43">
        <v>0.0</v>
      </c>
      <c r="AC179" s="26"/>
      <c r="AD179" s="43">
        <v>0.0</v>
      </c>
      <c r="AF179" s="43">
        <v>0.0</v>
      </c>
      <c r="AH179" s="43">
        <v>0.0</v>
      </c>
      <c r="AJ179" s="27">
        <v>0.0</v>
      </c>
      <c r="AK179" s="26"/>
      <c r="AL179" s="42"/>
      <c r="AM179" s="26"/>
      <c r="AN179" s="42"/>
      <c r="AO179" s="26"/>
      <c r="AP179" s="42"/>
      <c r="AQ179" s="26"/>
      <c r="AR179" s="43"/>
      <c r="AT179" s="43"/>
      <c r="AU179" s="26"/>
      <c r="AV179" s="35">
        <f t="shared" si="1"/>
        <v>3313.1436</v>
      </c>
      <c r="AW179" s="33">
        <f t="shared" si="2"/>
        <v>310</v>
      </c>
      <c r="AX179" s="33">
        <f t="shared" si="3"/>
        <v>0</v>
      </c>
      <c r="AY179" s="33">
        <f t="shared" si="4"/>
        <v>310</v>
      </c>
      <c r="AZ179" s="30">
        <f t="shared" si="5"/>
        <v>10.68756</v>
      </c>
    </row>
    <row r="180" ht="15.75" customHeight="1">
      <c r="A180" s="31" t="s">
        <v>34</v>
      </c>
      <c r="B180" s="32">
        <f t="shared" si="6"/>
        <v>45469</v>
      </c>
      <c r="C180" s="33">
        <v>7.0</v>
      </c>
      <c r="D180" s="33" t="s">
        <v>47</v>
      </c>
      <c r="E180" s="34"/>
      <c r="F180" s="42">
        <v>0.0</v>
      </c>
      <c r="H180" s="43">
        <v>0.0</v>
      </c>
      <c r="J180" s="43">
        <v>0.0</v>
      </c>
      <c r="L180" s="43">
        <v>0.0</v>
      </c>
      <c r="N180" s="43">
        <v>0.0</v>
      </c>
      <c r="P180" s="43">
        <v>0.0</v>
      </c>
      <c r="Q180" s="26"/>
      <c r="R180" s="42">
        <v>155.0</v>
      </c>
      <c r="T180" s="43">
        <v>155.0</v>
      </c>
      <c r="V180" s="43">
        <v>0.0</v>
      </c>
      <c r="X180" s="43">
        <v>0.0</v>
      </c>
      <c r="Z180" s="43">
        <v>0.0</v>
      </c>
      <c r="AB180" s="43">
        <v>0.0</v>
      </c>
      <c r="AC180" s="26"/>
      <c r="AD180" s="43">
        <v>0.0</v>
      </c>
      <c r="AF180" s="43">
        <v>0.0</v>
      </c>
      <c r="AH180" s="43">
        <v>0.0</v>
      </c>
      <c r="AJ180" s="27">
        <v>0.0</v>
      </c>
      <c r="AK180" s="26"/>
      <c r="AL180" s="42"/>
      <c r="AM180" s="26"/>
      <c r="AN180" s="42"/>
      <c r="AO180" s="26"/>
      <c r="AP180" s="42"/>
      <c r="AQ180" s="26"/>
      <c r="AR180" s="43"/>
      <c r="AT180" s="43"/>
      <c r="AU180" s="26"/>
      <c r="AV180" s="35">
        <f t="shared" si="1"/>
        <v>3313.1436</v>
      </c>
      <c r="AW180" s="33">
        <f t="shared" si="2"/>
        <v>310</v>
      </c>
      <c r="AX180" s="33">
        <f t="shared" si="3"/>
        <v>0</v>
      </c>
      <c r="AY180" s="33">
        <f t="shared" si="4"/>
        <v>310</v>
      </c>
      <c r="AZ180" s="30">
        <f t="shared" si="5"/>
        <v>10.68756</v>
      </c>
    </row>
    <row r="181" ht="15.75" customHeight="1">
      <c r="A181" s="31" t="s">
        <v>35</v>
      </c>
      <c r="B181" s="32">
        <f t="shared" si="6"/>
        <v>45470</v>
      </c>
      <c r="C181" s="33">
        <v>7.0</v>
      </c>
      <c r="D181" s="33" t="s">
        <v>47</v>
      </c>
      <c r="E181" s="34"/>
      <c r="F181" s="42">
        <v>0.0</v>
      </c>
      <c r="H181" s="43">
        <v>0.0</v>
      </c>
      <c r="J181" s="43">
        <v>0.0</v>
      </c>
      <c r="L181" s="43">
        <v>0.0</v>
      </c>
      <c r="N181" s="43">
        <v>0.0</v>
      </c>
      <c r="P181" s="43">
        <v>0.0</v>
      </c>
      <c r="Q181" s="26"/>
      <c r="R181" s="42">
        <v>155.0</v>
      </c>
      <c r="T181" s="43">
        <v>155.0</v>
      </c>
      <c r="V181" s="43">
        <v>0.0</v>
      </c>
      <c r="X181" s="43">
        <v>0.0</v>
      </c>
      <c r="Z181" s="43">
        <v>0.0</v>
      </c>
      <c r="AB181" s="43">
        <v>0.0</v>
      </c>
      <c r="AC181" s="26"/>
      <c r="AD181" s="43">
        <v>0.0</v>
      </c>
      <c r="AF181" s="43">
        <v>0.0</v>
      </c>
      <c r="AH181" s="43">
        <v>0.0</v>
      </c>
      <c r="AJ181" s="27">
        <v>0.0</v>
      </c>
      <c r="AK181" s="26"/>
      <c r="AL181" s="42"/>
      <c r="AM181" s="26"/>
      <c r="AN181" s="42"/>
      <c r="AO181" s="26"/>
      <c r="AP181" s="42"/>
      <c r="AQ181" s="26"/>
      <c r="AR181" s="43"/>
      <c r="AT181" s="43"/>
      <c r="AU181" s="26"/>
      <c r="AV181" s="35">
        <f t="shared" si="1"/>
        <v>3313.1436</v>
      </c>
      <c r="AW181" s="33">
        <f t="shared" si="2"/>
        <v>310</v>
      </c>
      <c r="AX181" s="33">
        <f t="shared" si="3"/>
        <v>0</v>
      </c>
      <c r="AY181" s="33">
        <f t="shared" si="4"/>
        <v>310</v>
      </c>
      <c r="AZ181" s="30">
        <f t="shared" si="5"/>
        <v>10.68756</v>
      </c>
    </row>
    <row r="182" ht="15.75" customHeight="1">
      <c r="A182" s="31" t="s">
        <v>38</v>
      </c>
      <c r="B182" s="32">
        <f t="shared" si="6"/>
        <v>45471</v>
      </c>
      <c r="C182" s="33">
        <v>7.0</v>
      </c>
      <c r="D182" s="33" t="s">
        <v>47</v>
      </c>
      <c r="E182" s="34"/>
      <c r="F182" s="42">
        <v>0.0</v>
      </c>
      <c r="H182" s="43">
        <v>0.0</v>
      </c>
      <c r="J182" s="43">
        <v>0.0</v>
      </c>
      <c r="L182" s="43">
        <v>0.0</v>
      </c>
      <c r="N182" s="43">
        <v>0.0</v>
      </c>
      <c r="P182" s="43">
        <v>0.0</v>
      </c>
      <c r="Q182" s="26"/>
      <c r="R182" s="42">
        <v>155.0</v>
      </c>
      <c r="T182" s="43">
        <v>155.0</v>
      </c>
      <c r="V182" s="43">
        <v>0.0</v>
      </c>
      <c r="X182" s="43">
        <v>0.0</v>
      </c>
      <c r="Z182" s="43">
        <v>0.0</v>
      </c>
      <c r="AB182" s="43">
        <v>0.0</v>
      </c>
      <c r="AC182" s="26"/>
      <c r="AD182" s="43">
        <v>0.0</v>
      </c>
      <c r="AF182" s="43">
        <v>0.0</v>
      </c>
      <c r="AH182" s="43">
        <v>0.0</v>
      </c>
      <c r="AJ182" s="27">
        <v>0.0</v>
      </c>
      <c r="AK182" s="26"/>
      <c r="AL182" s="42"/>
      <c r="AM182" s="26"/>
      <c r="AN182" s="42"/>
      <c r="AO182" s="26"/>
      <c r="AP182" s="42"/>
      <c r="AQ182" s="26"/>
      <c r="AR182" s="43"/>
      <c r="AT182" s="43"/>
      <c r="AU182" s="26"/>
      <c r="AV182" s="35">
        <f t="shared" si="1"/>
        <v>3313.1436</v>
      </c>
      <c r="AW182" s="33">
        <f t="shared" si="2"/>
        <v>310</v>
      </c>
      <c r="AX182" s="33">
        <f t="shared" si="3"/>
        <v>0</v>
      </c>
      <c r="AY182" s="33">
        <f t="shared" si="4"/>
        <v>310</v>
      </c>
      <c r="AZ182" s="30">
        <f t="shared" si="5"/>
        <v>10.68756</v>
      </c>
    </row>
    <row r="183" ht="15.75" customHeight="1">
      <c r="A183" s="31" t="s">
        <v>45</v>
      </c>
      <c r="B183" s="32">
        <f t="shared" si="6"/>
        <v>45472</v>
      </c>
      <c r="C183" s="33">
        <v>7.0</v>
      </c>
      <c r="D183" s="33" t="s">
        <v>47</v>
      </c>
      <c r="E183" s="34"/>
      <c r="F183" s="42">
        <v>0.0</v>
      </c>
      <c r="H183" s="43">
        <v>0.0</v>
      </c>
      <c r="J183" s="43">
        <v>0.0</v>
      </c>
      <c r="L183" s="43">
        <v>0.0</v>
      </c>
      <c r="N183" s="43">
        <v>0.0</v>
      </c>
      <c r="P183" s="43">
        <v>0.0</v>
      </c>
      <c r="Q183" s="26"/>
      <c r="R183" s="42">
        <v>155.0</v>
      </c>
      <c r="T183" s="43">
        <v>155.0</v>
      </c>
      <c r="V183" s="43">
        <v>0.0</v>
      </c>
      <c r="X183" s="43">
        <v>0.0</v>
      </c>
      <c r="Z183" s="43">
        <v>0.0</v>
      </c>
      <c r="AB183" s="43">
        <v>0.0</v>
      </c>
      <c r="AC183" s="26"/>
      <c r="AD183" s="43">
        <v>0.0</v>
      </c>
      <c r="AF183" s="43">
        <v>0.0</v>
      </c>
      <c r="AH183" s="43">
        <v>0.0</v>
      </c>
      <c r="AJ183" s="27">
        <v>0.0</v>
      </c>
      <c r="AK183" s="26"/>
      <c r="AL183" s="42"/>
      <c r="AM183" s="26"/>
      <c r="AN183" s="42"/>
      <c r="AO183" s="26"/>
      <c r="AP183" s="42"/>
      <c r="AQ183" s="26"/>
      <c r="AR183" s="43"/>
      <c r="AT183" s="43"/>
      <c r="AU183" s="26"/>
      <c r="AV183" s="35">
        <f t="shared" si="1"/>
        <v>3313.1436</v>
      </c>
      <c r="AW183" s="33">
        <f t="shared" si="2"/>
        <v>310</v>
      </c>
      <c r="AX183" s="33">
        <f t="shared" si="3"/>
        <v>0</v>
      </c>
      <c r="AY183" s="33">
        <f t="shared" si="4"/>
        <v>310</v>
      </c>
      <c r="AZ183" s="30">
        <f t="shared" si="5"/>
        <v>10.68756</v>
      </c>
    </row>
    <row r="184" ht="15.75" customHeight="1">
      <c r="A184" s="44" t="s">
        <v>46</v>
      </c>
      <c r="B184" s="45">
        <f t="shared" si="6"/>
        <v>45473</v>
      </c>
      <c r="C184" s="46">
        <v>7.0</v>
      </c>
      <c r="D184" s="46" t="s">
        <v>47</v>
      </c>
      <c r="E184" s="47"/>
      <c r="F184" s="66">
        <v>0.0</v>
      </c>
      <c r="G184" s="51"/>
      <c r="H184" s="67">
        <v>0.0</v>
      </c>
      <c r="I184" s="51"/>
      <c r="J184" s="67">
        <v>0.0</v>
      </c>
      <c r="K184" s="51"/>
      <c r="L184" s="67">
        <v>0.0</v>
      </c>
      <c r="M184" s="51"/>
      <c r="N184" s="67">
        <v>0.0</v>
      </c>
      <c r="O184" s="51"/>
      <c r="P184" s="67">
        <v>0.0</v>
      </c>
      <c r="Q184" s="53"/>
      <c r="R184" s="66">
        <v>0.0</v>
      </c>
      <c r="S184" s="51"/>
      <c r="T184" s="67">
        <v>0.0</v>
      </c>
      <c r="U184" s="51"/>
      <c r="V184" s="67">
        <v>0.0</v>
      </c>
      <c r="W184" s="51"/>
      <c r="X184" s="67">
        <v>0.0</v>
      </c>
      <c r="Y184" s="51"/>
      <c r="Z184" s="67">
        <v>0.0</v>
      </c>
      <c r="AA184" s="51"/>
      <c r="AB184" s="67">
        <v>0.0</v>
      </c>
      <c r="AC184" s="53"/>
      <c r="AD184" s="67">
        <v>0.0</v>
      </c>
      <c r="AE184" s="51"/>
      <c r="AF184" s="67">
        <v>0.0</v>
      </c>
      <c r="AG184" s="51"/>
      <c r="AH184" s="67">
        <v>0.0</v>
      </c>
      <c r="AI184" s="51"/>
      <c r="AJ184" s="54">
        <v>0.0</v>
      </c>
      <c r="AK184" s="53"/>
      <c r="AL184" s="66"/>
      <c r="AM184" s="53"/>
      <c r="AN184" s="66"/>
      <c r="AO184" s="53"/>
      <c r="AP184" s="66"/>
      <c r="AQ184" s="53"/>
      <c r="AR184" s="67"/>
      <c r="AS184" s="51"/>
      <c r="AT184" s="67"/>
      <c r="AU184" s="53"/>
      <c r="AV184" s="55">
        <f t="shared" si="1"/>
        <v>0</v>
      </c>
      <c r="AW184" s="46">
        <f t="shared" si="2"/>
        <v>0</v>
      </c>
      <c r="AX184" s="46">
        <f t="shared" si="3"/>
        <v>0</v>
      </c>
      <c r="AY184" s="46">
        <f t="shared" si="4"/>
        <v>0</v>
      </c>
      <c r="AZ184" s="56" t="str">
        <f t="shared" si="5"/>
        <v/>
      </c>
    </row>
    <row r="185" ht="15.75" customHeight="1">
      <c r="A185" s="19" t="s">
        <v>30</v>
      </c>
      <c r="B185" s="57">
        <f t="shared" si="6"/>
        <v>45474</v>
      </c>
      <c r="C185" s="21">
        <v>7.0</v>
      </c>
      <c r="D185" s="21" t="s">
        <v>48</v>
      </c>
      <c r="E185" s="23"/>
      <c r="F185" s="42">
        <v>0.0</v>
      </c>
      <c r="H185" s="43">
        <v>0.0</v>
      </c>
      <c r="J185" s="43">
        <v>0.0</v>
      </c>
      <c r="L185" s="43">
        <v>0.0</v>
      </c>
      <c r="N185" s="43">
        <v>0.0</v>
      </c>
      <c r="P185" s="43">
        <v>0.0</v>
      </c>
      <c r="Q185" s="26"/>
      <c r="R185" s="42">
        <v>155.0</v>
      </c>
      <c r="T185" s="43">
        <v>155.0</v>
      </c>
      <c r="V185" s="43">
        <v>0.0</v>
      </c>
      <c r="X185" s="43">
        <v>0.0</v>
      </c>
      <c r="Z185" s="43">
        <v>0.0</v>
      </c>
      <c r="AB185" s="43">
        <v>0.0</v>
      </c>
      <c r="AC185" s="26"/>
      <c r="AD185" s="43">
        <v>0.0</v>
      </c>
      <c r="AF185" s="43">
        <v>0.0</v>
      </c>
      <c r="AH185" s="43">
        <v>0.0</v>
      </c>
      <c r="AJ185" s="27">
        <v>0.0</v>
      </c>
      <c r="AK185" s="26"/>
      <c r="AL185" s="42"/>
      <c r="AM185" s="26"/>
      <c r="AN185" s="42"/>
      <c r="AO185" s="26"/>
      <c r="AP185" s="42"/>
      <c r="AQ185" s="26"/>
      <c r="AR185" s="43"/>
      <c r="AT185" s="43"/>
      <c r="AU185" s="26"/>
      <c r="AV185" s="29">
        <f t="shared" si="1"/>
        <v>3313.1436</v>
      </c>
      <c r="AW185" s="21">
        <f t="shared" si="2"/>
        <v>310</v>
      </c>
      <c r="AX185" s="21">
        <f t="shared" si="3"/>
        <v>0</v>
      </c>
      <c r="AY185" s="21">
        <f t="shared" si="4"/>
        <v>310</v>
      </c>
      <c r="AZ185" s="58">
        <f t="shared" si="5"/>
        <v>10.68756</v>
      </c>
    </row>
    <row r="186" ht="15.75" customHeight="1">
      <c r="A186" s="31" t="s">
        <v>33</v>
      </c>
      <c r="B186" s="32">
        <f t="shared" si="6"/>
        <v>45475</v>
      </c>
      <c r="C186" s="33">
        <v>7.0</v>
      </c>
      <c r="D186" s="33" t="s">
        <v>48</v>
      </c>
      <c r="E186" s="34"/>
      <c r="F186" s="42">
        <v>0.0</v>
      </c>
      <c r="H186" s="43">
        <v>0.0</v>
      </c>
      <c r="J186" s="43">
        <v>0.0</v>
      </c>
      <c r="L186" s="43">
        <v>0.0</v>
      </c>
      <c r="N186" s="43">
        <v>0.0</v>
      </c>
      <c r="P186" s="43">
        <v>0.0</v>
      </c>
      <c r="Q186" s="26"/>
      <c r="R186" s="42">
        <v>155.0</v>
      </c>
      <c r="T186" s="43">
        <v>155.0</v>
      </c>
      <c r="V186" s="43">
        <v>0.0</v>
      </c>
      <c r="X186" s="43">
        <v>0.0</v>
      </c>
      <c r="Z186" s="43">
        <v>0.0</v>
      </c>
      <c r="AB186" s="43">
        <v>0.0</v>
      </c>
      <c r="AC186" s="26"/>
      <c r="AD186" s="43">
        <v>0.0</v>
      </c>
      <c r="AF186" s="43">
        <v>50.0</v>
      </c>
      <c r="AH186" s="43">
        <v>50.0</v>
      </c>
      <c r="AJ186" s="27">
        <v>0.0</v>
      </c>
      <c r="AK186" s="26"/>
      <c r="AL186" s="42"/>
      <c r="AM186" s="26"/>
      <c r="AN186" s="42"/>
      <c r="AO186" s="26"/>
      <c r="AP186" s="42"/>
      <c r="AQ186" s="26"/>
      <c r="AR186" s="43"/>
      <c r="AT186" s="43"/>
      <c r="AU186" s="26"/>
      <c r="AV186" s="35">
        <f t="shared" si="1"/>
        <v>4841.4436</v>
      </c>
      <c r="AW186" s="33">
        <f t="shared" si="2"/>
        <v>410</v>
      </c>
      <c r="AX186" s="33">
        <f t="shared" si="3"/>
        <v>0</v>
      </c>
      <c r="AY186" s="33">
        <f t="shared" si="4"/>
        <v>410</v>
      </c>
      <c r="AZ186" s="30">
        <f t="shared" si="5"/>
        <v>11.80839902</v>
      </c>
    </row>
    <row r="187" ht="15.75" customHeight="1">
      <c r="A187" s="31" t="s">
        <v>34</v>
      </c>
      <c r="B187" s="32">
        <f t="shared" si="6"/>
        <v>45476</v>
      </c>
      <c r="C187" s="33">
        <v>7.0</v>
      </c>
      <c r="D187" s="33" t="s">
        <v>48</v>
      </c>
      <c r="E187" s="34"/>
      <c r="F187" s="42">
        <v>0.0</v>
      </c>
      <c r="H187" s="43">
        <v>0.0</v>
      </c>
      <c r="J187" s="43">
        <v>0.0</v>
      </c>
      <c r="L187" s="43">
        <v>0.0</v>
      </c>
      <c r="N187" s="43">
        <v>0.0</v>
      </c>
      <c r="P187" s="43">
        <v>0.0</v>
      </c>
      <c r="Q187" s="26"/>
      <c r="R187" s="42">
        <v>155.0</v>
      </c>
      <c r="T187" s="43">
        <v>50.0</v>
      </c>
      <c r="V187" s="43">
        <v>0.0</v>
      </c>
      <c r="X187" s="43">
        <v>0.0</v>
      </c>
      <c r="Z187" s="43">
        <v>0.0</v>
      </c>
      <c r="AB187" s="43">
        <v>0.0</v>
      </c>
      <c r="AC187" s="26"/>
      <c r="AD187" s="43">
        <v>0.0</v>
      </c>
      <c r="AF187" s="43">
        <v>50.0</v>
      </c>
      <c r="AH187" s="43">
        <v>50.0</v>
      </c>
      <c r="AJ187" s="27">
        <v>0.0</v>
      </c>
      <c r="AK187" s="26"/>
      <c r="AL187" s="42"/>
      <c r="AM187" s="26"/>
      <c r="AN187" s="42"/>
      <c r="AO187" s="26"/>
      <c r="AP187" s="42"/>
      <c r="AQ187" s="26"/>
      <c r="AR187" s="43"/>
      <c r="AT187" s="43"/>
      <c r="AU187" s="26"/>
      <c r="AV187" s="35">
        <f t="shared" si="1"/>
        <v>3719.2498</v>
      </c>
      <c r="AW187" s="33">
        <f t="shared" si="2"/>
        <v>305</v>
      </c>
      <c r="AX187" s="33">
        <f t="shared" si="3"/>
        <v>0</v>
      </c>
      <c r="AY187" s="33">
        <f t="shared" si="4"/>
        <v>305</v>
      </c>
      <c r="AZ187" s="30">
        <f t="shared" si="5"/>
        <v>12.19426164</v>
      </c>
    </row>
    <row r="188" ht="15.75" customHeight="1">
      <c r="A188" s="31" t="s">
        <v>35</v>
      </c>
      <c r="B188" s="32">
        <f t="shared" si="6"/>
        <v>45477</v>
      </c>
      <c r="C188" s="33">
        <v>7.0</v>
      </c>
      <c r="D188" s="33" t="s">
        <v>48</v>
      </c>
      <c r="E188" s="34"/>
      <c r="F188" s="42">
        <v>0.0</v>
      </c>
      <c r="H188" s="43">
        <v>0.0</v>
      </c>
      <c r="J188" s="43">
        <v>0.0</v>
      </c>
      <c r="L188" s="43">
        <v>0.0</v>
      </c>
      <c r="N188" s="43">
        <v>0.0</v>
      </c>
      <c r="P188" s="43">
        <v>0.0</v>
      </c>
      <c r="Q188" s="26"/>
      <c r="R188" s="42">
        <v>155.0</v>
      </c>
      <c r="T188" s="43">
        <v>155.0</v>
      </c>
      <c r="V188" s="43">
        <v>0.0</v>
      </c>
      <c r="X188" s="43">
        <v>0.0</v>
      </c>
      <c r="Z188" s="43">
        <v>0.0</v>
      </c>
      <c r="AB188" s="43">
        <v>0.0</v>
      </c>
      <c r="AC188" s="26"/>
      <c r="AD188" s="43">
        <v>0.0</v>
      </c>
      <c r="AF188" s="43">
        <v>0.0</v>
      </c>
      <c r="AH188" s="43">
        <v>50.0</v>
      </c>
      <c r="AJ188" s="27">
        <v>0.0</v>
      </c>
      <c r="AK188" s="26"/>
      <c r="AL188" s="42"/>
      <c r="AM188" s="26"/>
      <c r="AN188" s="42"/>
      <c r="AO188" s="26"/>
      <c r="AP188" s="42"/>
      <c r="AQ188" s="26"/>
      <c r="AR188" s="43"/>
      <c r="AT188" s="43"/>
      <c r="AU188" s="26"/>
      <c r="AV188" s="35">
        <f t="shared" si="1"/>
        <v>4077.2936</v>
      </c>
      <c r="AW188" s="33">
        <f t="shared" si="2"/>
        <v>360</v>
      </c>
      <c r="AX188" s="33">
        <f t="shared" si="3"/>
        <v>0</v>
      </c>
      <c r="AY188" s="33">
        <f t="shared" si="4"/>
        <v>360</v>
      </c>
      <c r="AZ188" s="30">
        <f t="shared" si="5"/>
        <v>11.32581556</v>
      </c>
    </row>
    <row r="189" ht="15.75" customHeight="1">
      <c r="A189" s="31" t="s">
        <v>38</v>
      </c>
      <c r="B189" s="32">
        <f t="shared" si="6"/>
        <v>45478</v>
      </c>
      <c r="C189" s="33">
        <v>7.0</v>
      </c>
      <c r="D189" s="33" t="s">
        <v>48</v>
      </c>
      <c r="E189" s="34"/>
      <c r="F189" s="42">
        <v>0.0</v>
      </c>
      <c r="H189" s="43">
        <v>0.0</v>
      </c>
      <c r="J189" s="43">
        <v>0.0</v>
      </c>
      <c r="L189" s="43">
        <v>0.0</v>
      </c>
      <c r="N189" s="43">
        <v>0.0</v>
      </c>
      <c r="P189" s="43">
        <v>0.0</v>
      </c>
      <c r="Q189" s="26"/>
      <c r="R189" s="42">
        <v>155.0</v>
      </c>
      <c r="T189" s="43">
        <v>115.0</v>
      </c>
      <c r="V189" s="43">
        <v>0.0</v>
      </c>
      <c r="X189" s="43">
        <v>0.0</v>
      </c>
      <c r="Z189" s="43">
        <v>0.0</v>
      </c>
      <c r="AB189" s="43">
        <v>0.0</v>
      </c>
      <c r="AC189" s="26"/>
      <c r="AD189" s="43">
        <v>0.0</v>
      </c>
      <c r="AF189" s="43">
        <v>50.0</v>
      </c>
      <c r="AH189" s="43">
        <v>50.0</v>
      </c>
      <c r="AJ189" s="27">
        <v>0.0</v>
      </c>
      <c r="AK189" s="26"/>
      <c r="AL189" s="42"/>
      <c r="AM189" s="26"/>
      <c r="AN189" s="42"/>
      <c r="AO189" s="26"/>
      <c r="AP189" s="42"/>
      <c r="AQ189" s="26"/>
      <c r="AR189" s="43"/>
      <c r="AT189" s="43"/>
      <c r="AU189" s="26"/>
      <c r="AV189" s="35">
        <f t="shared" si="1"/>
        <v>4413.9412</v>
      </c>
      <c r="AW189" s="33">
        <f t="shared" si="2"/>
        <v>370</v>
      </c>
      <c r="AX189" s="33">
        <f t="shared" si="3"/>
        <v>0</v>
      </c>
      <c r="AY189" s="33">
        <f t="shared" si="4"/>
        <v>370</v>
      </c>
      <c r="AZ189" s="30">
        <f t="shared" si="5"/>
        <v>11.92957081</v>
      </c>
    </row>
    <row r="190" ht="15.75" customHeight="1">
      <c r="A190" s="31" t="s">
        <v>45</v>
      </c>
      <c r="B190" s="32">
        <f t="shared" si="6"/>
        <v>45479</v>
      </c>
      <c r="C190" s="33">
        <v>7.0</v>
      </c>
      <c r="D190" s="33" t="s">
        <v>48</v>
      </c>
      <c r="E190" s="34"/>
      <c r="F190" s="42">
        <v>0.0</v>
      </c>
      <c r="H190" s="43">
        <v>0.0</v>
      </c>
      <c r="J190" s="43">
        <v>0.0</v>
      </c>
      <c r="L190" s="43">
        <v>0.0</v>
      </c>
      <c r="N190" s="43">
        <v>0.0</v>
      </c>
      <c r="P190" s="43">
        <v>0.0</v>
      </c>
      <c r="Q190" s="26"/>
      <c r="R190" s="42">
        <v>155.0</v>
      </c>
      <c r="T190" s="43">
        <v>155.0</v>
      </c>
      <c r="V190" s="43">
        <v>0.0</v>
      </c>
      <c r="X190" s="43">
        <v>0.0</v>
      </c>
      <c r="Z190" s="43">
        <v>0.0</v>
      </c>
      <c r="AB190" s="43">
        <v>0.0</v>
      </c>
      <c r="AC190" s="26"/>
      <c r="AD190" s="43">
        <v>0.0</v>
      </c>
      <c r="AF190" s="43">
        <v>50.0</v>
      </c>
      <c r="AH190" s="43">
        <v>0.0</v>
      </c>
      <c r="AJ190" s="27">
        <v>0.0</v>
      </c>
      <c r="AK190" s="26"/>
      <c r="AL190" s="42"/>
      <c r="AM190" s="26"/>
      <c r="AN190" s="42"/>
      <c r="AO190" s="26"/>
      <c r="AP190" s="42"/>
      <c r="AQ190" s="26"/>
      <c r="AR190" s="43"/>
      <c r="AT190" s="43"/>
      <c r="AU190" s="26"/>
      <c r="AV190" s="35">
        <f t="shared" si="1"/>
        <v>4077.2936</v>
      </c>
      <c r="AW190" s="33">
        <f t="shared" si="2"/>
        <v>360</v>
      </c>
      <c r="AX190" s="33">
        <f t="shared" si="3"/>
        <v>0</v>
      </c>
      <c r="AY190" s="33">
        <f t="shared" si="4"/>
        <v>360</v>
      </c>
      <c r="AZ190" s="30">
        <f t="shared" si="5"/>
        <v>11.32581556</v>
      </c>
    </row>
    <row r="191" ht="15.75" customHeight="1">
      <c r="A191" s="44" t="s">
        <v>46</v>
      </c>
      <c r="B191" s="45">
        <f t="shared" si="6"/>
        <v>45480</v>
      </c>
      <c r="C191" s="46">
        <v>7.0</v>
      </c>
      <c r="D191" s="46" t="s">
        <v>48</v>
      </c>
      <c r="E191" s="47"/>
      <c r="F191" s="66">
        <v>0.0</v>
      </c>
      <c r="G191" s="51"/>
      <c r="H191" s="67">
        <v>0.0</v>
      </c>
      <c r="I191" s="51"/>
      <c r="J191" s="67">
        <v>0.0</v>
      </c>
      <c r="K191" s="51"/>
      <c r="L191" s="67">
        <v>0.0</v>
      </c>
      <c r="M191" s="51"/>
      <c r="N191" s="67">
        <v>0.0</v>
      </c>
      <c r="O191" s="51"/>
      <c r="P191" s="67">
        <v>0.0</v>
      </c>
      <c r="Q191" s="53"/>
      <c r="R191" s="66">
        <v>0.0</v>
      </c>
      <c r="S191" s="51"/>
      <c r="T191" s="67">
        <v>0.0</v>
      </c>
      <c r="U191" s="51"/>
      <c r="V191" s="67">
        <v>0.0</v>
      </c>
      <c r="W191" s="51"/>
      <c r="X191" s="67">
        <v>0.0</v>
      </c>
      <c r="Y191" s="51"/>
      <c r="Z191" s="67">
        <v>0.0</v>
      </c>
      <c r="AA191" s="51"/>
      <c r="AB191" s="67">
        <v>0.0</v>
      </c>
      <c r="AC191" s="53"/>
      <c r="AD191" s="67">
        <v>0.0</v>
      </c>
      <c r="AE191" s="51"/>
      <c r="AF191" s="67">
        <v>0.0</v>
      </c>
      <c r="AG191" s="51"/>
      <c r="AH191" s="67">
        <v>0.0</v>
      </c>
      <c r="AI191" s="51"/>
      <c r="AJ191" s="54">
        <v>0.0</v>
      </c>
      <c r="AK191" s="53"/>
      <c r="AL191" s="66"/>
      <c r="AM191" s="53"/>
      <c r="AN191" s="66"/>
      <c r="AO191" s="53"/>
      <c r="AP191" s="66"/>
      <c r="AQ191" s="53"/>
      <c r="AR191" s="67"/>
      <c r="AS191" s="51"/>
      <c r="AT191" s="67"/>
      <c r="AU191" s="53"/>
      <c r="AV191" s="55">
        <f t="shared" si="1"/>
        <v>0</v>
      </c>
      <c r="AW191" s="46">
        <f t="shared" si="2"/>
        <v>0</v>
      </c>
      <c r="AX191" s="46">
        <f t="shared" si="3"/>
        <v>0</v>
      </c>
      <c r="AY191" s="46">
        <f t="shared" si="4"/>
        <v>0</v>
      </c>
      <c r="AZ191" s="56" t="str">
        <f t="shared" si="5"/>
        <v/>
      </c>
    </row>
    <row r="192" ht="15.75" customHeight="1">
      <c r="A192" s="19" t="s">
        <v>30</v>
      </c>
      <c r="B192" s="57">
        <f t="shared" si="6"/>
        <v>45481</v>
      </c>
      <c r="C192" s="21">
        <v>7.0</v>
      </c>
      <c r="D192" s="21" t="s">
        <v>49</v>
      </c>
      <c r="E192" s="72" t="s">
        <v>56</v>
      </c>
      <c r="F192" s="42">
        <v>0.0</v>
      </c>
      <c r="H192" s="43">
        <v>0.0</v>
      </c>
      <c r="J192" s="43">
        <v>0.0</v>
      </c>
      <c r="L192" s="43">
        <v>0.0</v>
      </c>
      <c r="N192" s="43">
        <v>0.0</v>
      </c>
      <c r="P192" s="43">
        <v>0.0</v>
      </c>
      <c r="Q192" s="26"/>
      <c r="R192" s="42">
        <v>0.0</v>
      </c>
      <c r="T192" s="43">
        <v>0.0</v>
      </c>
      <c r="V192" s="43">
        <v>0.0</v>
      </c>
      <c r="X192" s="43">
        <v>0.0</v>
      </c>
      <c r="Z192" s="43">
        <v>0.0</v>
      </c>
      <c r="AB192" s="43">
        <v>0.0</v>
      </c>
      <c r="AC192" s="26"/>
      <c r="AD192" s="43">
        <v>0.0</v>
      </c>
      <c r="AF192" s="43">
        <v>0.0</v>
      </c>
      <c r="AH192" s="43">
        <v>0.0</v>
      </c>
      <c r="AJ192" s="27">
        <v>0.0</v>
      </c>
      <c r="AK192" s="26"/>
      <c r="AL192" s="42"/>
      <c r="AM192" s="26"/>
      <c r="AN192" s="42"/>
      <c r="AO192" s="26"/>
      <c r="AP192" s="42"/>
      <c r="AQ192" s="26"/>
      <c r="AR192" s="43"/>
      <c r="AT192" s="43"/>
      <c r="AU192" s="26"/>
      <c r="AV192" s="29">
        <f t="shared" si="1"/>
        <v>0</v>
      </c>
      <c r="AW192" s="21">
        <f t="shared" si="2"/>
        <v>0</v>
      </c>
      <c r="AX192" s="21">
        <f t="shared" si="3"/>
        <v>0</v>
      </c>
      <c r="AY192" s="21">
        <f t="shared" si="4"/>
        <v>0</v>
      </c>
      <c r="AZ192" s="58" t="str">
        <f t="shared" si="5"/>
        <v/>
      </c>
    </row>
    <row r="193" ht="15.75" customHeight="1">
      <c r="A193" s="31" t="s">
        <v>33</v>
      </c>
      <c r="B193" s="32">
        <f t="shared" si="6"/>
        <v>45482</v>
      </c>
      <c r="C193" s="33">
        <v>7.0</v>
      </c>
      <c r="D193" s="33" t="s">
        <v>49</v>
      </c>
      <c r="E193" s="34"/>
      <c r="F193" s="42">
        <v>0.0</v>
      </c>
      <c r="H193" s="43">
        <v>0.0</v>
      </c>
      <c r="J193" s="43">
        <v>0.0</v>
      </c>
      <c r="L193" s="43">
        <v>0.0</v>
      </c>
      <c r="N193" s="43">
        <v>0.0</v>
      </c>
      <c r="P193" s="43">
        <v>0.0</v>
      </c>
      <c r="Q193" s="26"/>
      <c r="R193" s="42">
        <v>50.0</v>
      </c>
      <c r="T193" s="43">
        <v>50.0</v>
      </c>
      <c r="V193" s="43">
        <v>0.0</v>
      </c>
      <c r="X193" s="43">
        <v>0.0</v>
      </c>
      <c r="Z193" s="43">
        <v>0.0</v>
      </c>
      <c r="AB193" s="43">
        <v>0.0</v>
      </c>
      <c r="AC193" s="26"/>
      <c r="AD193" s="43">
        <v>0.0</v>
      </c>
      <c r="AF193" s="43">
        <v>0.0</v>
      </c>
      <c r="AH193" s="43">
        <v>0.0</v>
      </c>
      <c r="AJ193" s="27">
        <v>0.0</v>
      </c>
      <c r="AK193" s="26"/>
      <c r="AL193" s="42"/>
      <c r="AM193" s="26"/>
      <c r="AN193" s="42"/>
      <c r="AO193" s="26"/>
      <c r="AP193" s="42"/>
      <c r="AQ193" s="26"/>
      <c r="AR193" s="43"/>
      <c r="AT193" s="43"/>
      <c r="AU193" s="26"/>
      <c r="AV193" s="35">
        <f t="shared" si="1"/>
        <v>1068.756</v>
      </c>
      <c r="AW193" s="33">
        <f t="shared" si="2"/>
        <v>100</v>
      </c>
      <c r="AX193" s="33">
        <f t="shared" si="3"/>
        <v>0</v>
      </c>
      <c r="AY193" s="33">
        <f t="shared" si="4"/>
        <v>100</v>
      </c>
      <c r="AZ193" s="30">
        <f t="shared" si="5"/>
        <v>10.68756</v>
      </c>
    </row>
    <row r="194" ht="15.75" customHeight="1">
      <c r="A194" s="31" t="s">
        <v>34</v>
      </c>
      <c r="B194" s="32">
        <f t="shared" si="6"/>
        <v>45483</v>
      </c>
      <c r="C194" s="33">
        <v>7.0</v>
      </c>
      <c r="D194" s="33" t="s">
        <v>49</v>
      </c>
      <c r="E194" s="34"/>
      <c r="F194" s="42">
        <v>0.0</v>
      </c>
      <c r="H194" s="43">
        <v>0.0</v>
      </c>
      <c r="J194" s="43">
        <v>0.0</v>
      </c>
      <c r="L194" s="43">
        <v>0.0</v>
      </c>
      <c r="N194" s="43">
        <v>0.0</v>
      </c>
      <c r="P194" s="43">
        <v>0.0</v>
      </c>
      <c r="Q194" s="26"/>
      <c r="R194" s="42">
        <v>50.0</v>
      </c>
      <c r="T194" s="43">
        <v>155.0</v>
      </c>
      <c r="V194" s="43">
        <v>0.0</v>
      </c>
      <c r="X194" s="43">
        <v>0.0</v>
      </c>
      <c r="Z194" s="43">
        <v>0.0</v>
      </c>
      <c r="AB194" s="43">
        <v>0.0</v>
      </c>
      <c r="AC194" s="26"/>
      <c r="AD194" s="43">
        <v>0.0</v>
      </c>
      <c r="AF194" s="43">
        <v>0.0</v>
      </c>
      <c r="AH194" s="43">
        <v>0.0</v>
      </c>
      <c r="AJ194" s="27">
        <v>0.0</v>
      </c>
      <c r="AK194" s="26"/>
      <c r="AL194" s="42"/>
      <c r="AM194" s="26"/>
      <c r="AN194" s="42"/>
      <c r="AO194" s="26"/>
      <c r="AP194" s="42"/>
      <c r="AQ194" s="26"/>
      <c r="AR194" s="43"/>
      <c r="AT194" s="43"/>
      <c r="AU194" s="26"/>
      <c r="AV194" s="35">
        <f t="shared" si="1"/>
        <v>2190.9498</v>
      </c>
      <c r="AW194" s="33">
        <f t="shared" si="2"/>
        <v>205</v>
      </c>
      <c r="AX194" s="33">
        <f t="shared" si="3"/>
        <v>0</v>
      </c>
      <c r="AY194" s="33">
        <f t="shared" si="4"/>
        <v>205</v>
      </c>
      <c r="AZ194" s="30">
        <f t="shared" si="5"/>
        <v>10.68756</v>
      </c>
    </row>
    <row r="195" ht="15.75" customHeight="1">
      <c r="A195" s="31" t="s">
        <v>35</v>
      </c>
      <c r="B195" s="32">
        <f t="shared" si="6"/>
        <v>45484</v>
      </c>
      <c r="C195" s="33">
        <v>7.0</v>
      </c>
      <c r="D195" s="33" t="s">
        <v>49</v>
      </c>
      <c r="E195" s="34"/>
      <c r="F195" s="42">
        <v>0.0</v>
      </c>
      <c r="H195" s="43">
        <v>0.0</v>
      </c>
      <c r="J195" s="43">
        <v>0.0</v>
      </c>
      <c r="L195" s="43">
        <v>0.0</v>
      </c>
      <c r="N195" s="43">
        <v>0.0</v>
      </c>
      <c r="P195" s="43">
        <v>0.0</v>
      </c>
      <c r="Q195" s="26"/>
      <c r="R195" s="42">
        <v>155.0</v>
      </c>
      <c r="T195" s="43">
        <v>155.0</v>
      </c>
      <c r="V195" s="43">
        <v>0.0</v>
      </c>
      <c r="X195" s="43">
        <v>0.0</v>
      </c>
      <c r="Z195" s="43">
        <v>0.0</v>
      </c>
      <c r="AB195" s="43">
        <v>0.0</v>
      </c>
      <c r="AC195" s="26"/>
      <c r="AD195" s="43">
        <v>0.0</v>
      </c>
      <c r="AF195" s="43">
        <v>0.0</v>
      </c>
      <c r="AH195" s="43">
        <v>0.0</v>
      </c>
      <c r="AJ195" s="27">
        <v>0.0</v>
      </c>
      <c r="AK195" s="26"/>
      <c r="AL195" s="42"/>
      <c r="AM195" s="26"/>
      <c r="AN195" s="42"/>
      <c r="AO195" s="26"/>
      <c r="AP195" s="42"/>
      <c r="AQ195" s="26"/>
      <c r="AR195" s="43"/>
      <c r="AT195" s="43"/>
      <c r="AU195" s="26"/>
      <c r="AV195" s="35">
        <f t="shared" si="1"/>
        <v>3313.1436</v>
      </c>
      <c r="AW195" s="33">
        <f t="shared" si="2"/>
        <v>310</v>
      </c>
      <c r="AX195" s="33">
        <f t="shared" si="3"/>
        <v>0</v>
      </c>
      <c r="AY195" s="33">
        <f t="shared" si="4"/>
        <v>310</v>
      </c>
      <c r="AZ195" s="30">
        <f t="shared" si="5"/>
        <v>10.68756</v>
      </c>
    </row>
    <row r="196" ht="15.75" customHeight="1">
      <c r="A196" s="31" t="s">
        <v>38</v>
      </c>
      <c r="B196" s="32">
        <f t="shared" si="6"/>
        <v>45485</v>
      </c>
      <c r="C196" s="33">
        <v>7.0</v>
      </c>
      <c r="D196" s="33" t="s">
        <v>49</v>
      </c>
      <c r="E196" s="34"/>
      <c r="F196" s="42">
        <v>0.0</v>
      </c>
      <c r="H196" s="43">
        <v>0.0</v>
      </c>
      <c r="J196" s="43">
        <v>0.0</v>
      </c>
      <c r="L196" s="43">
        <v>0.0</v>
      </c>
      <c r="N196" s="43">
        <v>0.0</v>
      </c>
      <c r="P196" s="43">
        <v>0.0</v>
      </c>
      <c r="Q196" s="26"/>
      <c r="R196" s="42">
        <v>155.0</v>
      </c>
      <c r="T196" s="43">
        <v>115.0</v>
      </c>
      <c r="V196" s="43">
        <v>0.0</v>
      </c>
      <c r="X196" s="43">
        <v>0.0</v>
      </c>
      <c r="Z196" s="43">
        <v>0.0</v>
      </c>
      <c r="AB196" s="43">
        <v>0.0</v>
      </c>
      <c r="AC196" s="26"/>
      <c r="AD196" s="43">
        <v>0.0</v>
      </c>
      <c r="AF196" s="43">
        <v>0.0</v>
      </c>
      <c r="AH196" s="43">
        <v>0.0</v>
      </c>
      <c r="AJ196" s="27">
        <v>0.0</v>
      </c>
      <c r="AK196" s="26"/>
      <c r="AL196" s="42"/>
      <c r="AM196" s="26"/>
      <c r="AN196" s="42"/>
      <c r="AO196" s="26"/>
      <c r="AP196" s="42"/>
      <c r="AQ196" s="26"/>
      <c r="AR196" s="43"/>
      <c r="AT196" s="43"/>
      <c r="AU196" s="26"/>
      <c r="AV196" s="35">
        <f t="shared" si="1"/>
        <v>2885.6412</v>
      </c>
      <c r="AW196" s="33">
        <f t="shared" si="2"/>
        <v>270</v>
      </c>
      <c r="AX196" s="33">
        <f t="shared" si="3"/>
        <v>0</v>
      </c>
      <c r="AY196" s="33">
        <f t="shared" si="4"/>
        <v>270</v>
      </c>
      <c r="AZ196" s="30">
        <f t="shared" si="5"/>
        <v>10.68756</v>
      </c>
    </row>
    <row r="197" ht="15.75" customHeight="1">
      <c r="A197" s="31" t="s">
        <v>45</v>
      </c>
      <c r="B197" s="32">
        <f t="shared" si="6"/>
        <v>45486</v>
      </c>
      <c r="C197" s="33">
        <v>7.0</v>
      </c>
      <c r="D197" s="33" t="s">
        <v>49</v>
      </c>
      <c r="E197" s="74" t="s">
        <v>57</v>
      </c>
      <c r="F197" s="42">
        <v>0.0</v>
      </c>
      <c r="H197" s="43">
        <v>0.0</v>
      </c>
      <c r="J197" s="43">
        <v>0.0</v>
      </c>
      <c r="L197" s="43">
        <v>0.0</v>
      </c>
      <c r="N197" s="43">
        <v>0.0</v>
      </c>
      <c r="P197" s="43">
        <v>0.0</v>
      </c>
      <c r="Q197" s="26"/>
      <c r="R197" s="42">
        <v>155.0</v>
      </c>
      <c r="T197" s="43">
        <v>155.0</v>
      </c>
      <c r="V197" s="43">
        <v>65.0</v>
      </c>
      <c r="X197" s="43">
        <v>0.0</v>
      </c>
      <c r="Z197" s="43">
        <v>0.0</v>
      </c>
      <c r="AB197" s="43">
        <v>0.0</v>
      </c>
      <c r="AC197" s="26"/>
      <c r="AD197" s="43">
        <v>0.0</v>
      </c>
      <c r="AF197" s="43">
        <v>0.0</v>
      </c>
      <c r="AH197" s="43">
        <v>0.0</v>
      </c>
      <c r="AJ197" s="27">
        <v>0.0</v>
      </c>
      <c r="AK197" s="26"/>
      <c r="AL197" s="42"/>
      <c r="AM197" s="26"/>
      <c r="AN197" s="42"/>
      <c r="AO197" s="26"/>
      <c r="AP197" s="42"/>
      <c r="AQ197" s="26"/>
      <c r="AR197" s="43"/>
      <c r="AT197" s="43"/>
      <c r="AU197" s="26"/>
      <c r="AV197" s="35">
        <f t="shared" si="1"/>
        <v>4007.835</v>
      </c>
      <c r="AW197" s="33">
        <f t="shared" si="2"/>
        <v>375</v>
      </c>
      <c r="AX197" s="33">
        <f t="shared" si="3"/>
        <v>0</v>
      </c>
      <c r="AY197" s="33">
        <f t="shared" si="4"/>
        <v>375</v>
      </c>
      <c r="AZ197" s="30">
        <f t="shared" si="5"/>
        <v>10.68756</v>
      </c>
    </row>
    <row r="198" ht="15.75" customHeight="1">
      <c r="A198" s="44" t="s">
        <v>46</v>
      </c>
      <c r="B198" s="45">
        <f t="shared" si="6"/>
        <v>45487</v>
      </c>
      <c r="C198" s="46">
        <v>7.0</v>
      </c>
      <c r="D198" s="46" t="s">
        <v>49</v>
      </c>
      <c r="E198" s="47"/>
      <c r="F198" s="66">
        <v>0.0</v>
      </c>
      <c r="G198" s="51"/>
      <c r="H198" s="67">
        <v>0.0</v>
      </c>
      <c r="I198" s="51"/>
      <c r="J198" s="67">
        <v>0.0</v>
      </c>
      <c r="K198" s="51"/>
      <c r="L198" s="67">
        <v>0.0</v>
      </c>
      <c r="M198" s="51"/>
      <c r="N198" s="67">
        <v>0.0</v>
      </c>
      <c r="O198" s="51"/>
      <c r="P198" s="67">
        <v>0.0</v>
      </c>
      <c r="Q198" s="53"/>
      <c r="R198" s="66">
        <v>0.0</v>
      </c>
      <c r="S198" s="51"/>
      <c r="T198" s="67">
        <v>0.0</v>
      </c>
      <c r="U198" s="51"/>
      <c r="V198" s="67">
        <v>0.0</v>
      </c>
      <c r="W198" s="51"/>
      <c r="X198" s="67">
        <v>0.0</v>
      </c>
      <c r="Y198" s="51"/>
      <c r="Z198" s="67">
        <v>0.0</v>
      </c>
      <c r="AA198" s="51"/>
      <c r="AB198" s="67">
        <v>0.0</v>
      </c>
      <c r="AC198" s="53"/>
      <c r="AD198" s="67">
        <v>0.0</v>
      </c>
      <c r="AE198" s="51"/>
      <c r="AF198" s="67">
        <v>0.0</v>
      </c>
      <c r="AG198" s="51"/>
      <c r="AH198" s="67">
        <v>0.0</v>
      </c>
      <c r="AI198" s="51"/>
      <c r="AJ198" s="54">
        <v>0.0</v>
      </c>
      <c r="AK198" s="53"/>
      <c r="AL198" s="66"/>
      <c r="AM198" s="53"/>
      <c r="AN198" s="66"/>
      <c r="AO198" s="53"/>
      <c r="AP198" s="66"/>
      <c r="AQ198" s="53"/>
      <c r="AR198" s="67"/>
      <c r="AS198" s="51"/>
      <c r="AT198" s="67"/>
      <c r="AU198" s="53"/>
      <c r="AV198" s="55">
        <f t="shared" si="1"/>
        <v>0</v>
      </c>
      <c r="AW198" s="46">
        <f t="shared" si="2"/>
        <v>0</v>
      </c>
      <c r="AX198" s="46">
        <f t="shared" si="3"/>
        <v>0</v>
      </c>
      <c r="AY198" s="46">
        <f t="shared" si="4"/>
        <v>0</v>
      </c>
      <c r="AZ198" s="56" t="str">
        <f t="shared" si="5"/>
        <v/>
      </c>
    </row>
    <row r="199" ht="15.75" customHeight="1">
      <c r="A199" s="19" t="s">
        <v>30</v>
      </c>
      <c r="B199" s="57">
        <f t="shared" si="6"/>
        <v>45488</v>
      </c>
      <c r="C199" s="21">
        <v>8.0</v>
      </c>
      <c r="D199" s="21" t="s">
        <v>31</v>
      </c>
      <c r="E199" s="23"/>
      <c r="F199" s="42">
        <v>0.0</v>
      </c>
      <c r="H199" s="43">
        <v>0.0</v>
      </c>
      <c r="J199" s="43">
        <v>0.0</v>
      </c>
      <c r="L199" s="43">
        <v>0.0</v>
      </c>
      <c r="N199" s="43">
        <v>0.0</v>
      </c>
      <c r="P199" s="43">
        <v>0.0</v>
      </c>
      <c r="Q199" s="26"/>
      <c r="R199" s="42">
        <v>185.0</v>
      </c>
      <c r="T199" s="43">
        <v>185.0</v>
      </c>
      <c r="V199" s="43">
        <v>0.0</v>
      </c>
      <c r="X199" s="43">
        <v>0.0</v>
      </c>
      <c r="Z199" s="43">
        <v>0.0</v>
      </c>
      <c r="AB199" s="43">
        <v>0.0</v>
      </c>
      <c r="AC199" s="26"/>
      <c r="AD199" s="43">
        <v>0.0</v>
      </c>
      <c r="AF199" s="43">
        <v>0.0</v>
      </c>
      <c r="AH199" s="43">
        <v>0.0</v>
      </c>
      <c r="AJ199" s="27">
        <v>0.0</v>
      </c>
      <c r="AK199" s="26"/>
      <c r="AL199" s="42"/>
      <c r="AM199" s="26"/>
      <c r="AN199" s="42"/>
      <c r="AO199" s="26"/>
      <c r="AP199" s="42"/>
      <c r="AQ199" s="26"/>
      <c r="AR199" s="43"/>
      <c r="AT199" s="43"/>
      <c r="AU199" s="26"/>
      <c r="AV199" s="29">
        <f t="shared" si="1"/>
        <v>3954.3972</v>
      </c>
      <c r="AW199" s="21">
        <f t="shared" si="2"/>
        <v>370</v>
      </c>
      <c r="AX199" s="21">
        <f t="shared" si="3"/>
        <v>0</v>
      </c>
      <c r="AY199" s="21">
        <f t="shared" si="4"/>
        <v>370</v>
      </c>
      <c r="AZ199" s="58">
        <f t="shared" si="5"/>
        <v>10.68756</v>
      </c>
    </row>
    <row r="200" ht="15.75" customHeight="1">
      <c r="A200" s="31" t="s">
        <v>33</v>
      </c>
      <c r="B200" s="32">
        <f t="shared" si="6"/>
        <v>45489</v>
      </c>
      <c r="C200" s="33">
        <v>8.0</v>
      </c>
      <c r="D200" s="33" t="s">
        <v>31</v>
      </c>
      <c r="E200" s="74" t="s">
        <v>58</v>
      </c>
      <c r="F200" s="42">
        <v>0.0</v>
      </c>
      <c r="H200" s="43">
        <v>0.0</v>
      </c>
      <c r="J200" s="43">
        <v>0.0</v>
      </c>
      <c r="L200" s="43">
        <v>0.0</v>
      </c>
      <c r="N200" s="43">
        <v>0.0</v>
      </c>
      <c r="P200" s="43">
        <v>0.0</v>
      </c>
      <c r="Q200" s="26"/>
      <c r="R200" s="42">
        <v>185.0</v>
      </c>
      <c r="T200" s="43">
        <v>185.0</v>
      </c>
      <c r="V200" s="43">
        <v>0.0</v>
      </c>
      <c r="X200" s="43">
        <v>0.0</v>
      </c>
      <c r="Z200" s="43">
        <v>0.0</v>
      </c>
      <c r="AB200" s="43">
        <v>0.0</v>
      </c>
      <c r="AC200" s="26"/>
      <c r="AD200" s="43">
        <v>50.0</v>
      </c>
      <c r="AF200" s="43">
        <v>50.0</v>
      </c>
      <c r="AH200" s="43">
        <v>0.0</v>
      </c>
      <c r="AJ200" s="27">
        <v>0.0</v>
      </c>
      <c r="AK200" s="26"/>
      <c r="AL200" s="42"/>
      <c r="AM200" s="26"/>
      <c r="AN200" s="42"/>
      <c r="AO200" s="26"/>
      <c r="AP200" s="42"/>
      <c r="AQ200" s="26"/>
      <c r="AR200" s="43"/>
      <c r="AT200" s="43"/>
      <c r="AU200" s="26"/>
      <c r="AV200" s="35">
        <f t="shared" si="1"/>
        <v>5482.6972</v>
      </c>
      <c r="AW200" s="33">
        <f t="shared" si="2"/>
        <v>470</v>
      </c>
      <c r="AX200" s="33">
        <f t="shared" si="3"/>
        <v>0</v>
      </c>
      <c r="AY200" s="33">
        <f t="shared" si="4"/>
        <v>470</v>
      </c>
      <c r="AZ200" s="30">
        <f t="shared" si="5"/>
        <v>11.66531319</v>
      </c>
    </row>
    <row r="201" ht="15.75" customHeight="1">
      <c r="A201" s="31" t="s">
        <v>34</v>
      </c>
      <c r="B201" s="32">
        <f t="shared" si="6"/>
        <v>45490</v>
      </c>
      <c r="C201" s="33">
        <v>8.0</v>
      </c>
      <c r="D201" s="33" t="s">
        <v>31</v>
      </c>
      <c r="E201" s="34"/>
      <c r="F201" s="42">
        <v>0.0</v>
      </c>
      <c r="H201" s="43">
        <v>0.0</v>
      </c>
      <c r="J201" s="43">
        <v>0.0</v>
      </c>
      <c r="L201" s="43">
        <v>0.0</v>
      </c>
      <c r="N201" s="43">
        <v>0.0</v>
      </c>
      <c r="P201" s="43">
        <v>0.0</v>
      </c>
      <c r="Q201" s="26"/>
      <c r="R201" s="42">
        <v>185.0</v>
      </c>
      <c r="T201" s="43">
        <v>185.0</v>
      </c>
      <c r="V201" s="43">
        <v>0.0</v>
      </c>
      <c r="X201" s="43">
        <v>0.0</v>
      </c>
      <c r="Z201" s="43">
        <v>0.0</v>
      </c>
      <c r="AB201" s="43">
        <v>0.0</v>
      </c>
      <c r="AC201" s="26"/>
      <c r="AD201" s="43">
        <v>50.0</v>
      </c>
      <c r="AF201" s="43">
        <v>50.0</v>
      </c>
      <c r="AH201" s="43">
        <v>0.0</v>
      </c>
      <c r="AJ201" s="27">
        <v>0.0</v>
      </c>
      <c r="AK201" s="26"/>
      <c r="AL201" s="42"/>
      <c r="AM201" s="26"/>
      <c r="AN201" s="42"/>
      <c r="AO201" s="26"/>
      <c r="AP201" s="42"/>
      <c r="AQ201" s="26"/>
      <c r="AR201" s="43"/>
      <c r="AT201" s="43"/>
      <c r="AU201" s="26"/>
      <c r="AV201" s="35">
        <f t="shared" si="1"/>
        <v>5482.6972</v>
      </c>
      <c r="AW201" s="33">
        <f t="shared" si="2"/>
        <v>470</v>
      </c>
      <c r="AX201" s="33">
        <f t="shared" si="3"/>
        <v>0</v>
      </c>
      <c r="AY201" s="33">
        <f t="shared" si="4"/>
        <v>470</v>
      </c>
      <c r="AZ201" s="30">
        <f t="shared" si="5"/>
        <v>11.66531319</v>
      </c>
    </row>
    <row r="202" ht="15.75" customHeight="1">
      <c r="A202" s="31" t="s">
        <v>35</v>
      </c>
      <c r="B202" s="32">
        <f t="shared" si="6"/>
        <v>45491</v>
      </c>
      <c r="C202" s="33">
        <v>8.0</v>
      </c>
      <c r="D202" s="33" t="s">
        <v>31</v>
      </c>
      <c r="E202" s="34"/>
      <c r="F202" s="42">
        <v>0.0</v>
      </c>
      <c r="H202" s="43">
        <v>0.0</v>
      </c>
      <c r="J202" s="43">
        <v>0.0</v>
      </c>
      <c r="L202" s="43">
        <v>0.0</v>
      </c>
      <c r="N202" s="43">
        <v>0.0</v>
      </c>
      <c r="P202" s="43">
        <v>0.0</v>
      </c>
      <c r="Q202" s="26"/>
      <c r="R202" s="42">
        <v>185.0</v>
      </c>
      <c r="T202" s="43">
        <v>185.0</v>
      </c>
      <c r="V202" s="43">
        <v>0.0</v>
      </c>
      <c r="X202" s="43">
        <v>0.0</v>
      </c>
      <c r="Z202" s="43">
        <v>0.0</v>
      </c>
      <c r="AB202" s="43">
        <v>0.0</v>
      </c>
      <c r="AC202" s="26"/>
      <c r="AD202" s="43">
        <v>0.0</v>
      </c>
      <c r="AF202" s="43">
        <v>50.0</v>
      </c>
      <c r="AH202" s="43">
        <v>0.0</v>
      </c>
      <c r="AJ202" s="27">
        <v>0.0</v>
      </c>
      <c r="AK202" s="26"/>
      <c r="AL202" s="42"/>
      <c r="AM202" s="26"/>
      <c r="AN202" s="42"/>
      <c r="AO202" s="26"/>
      <c r="AP202" s="42"/>
      <c r="AQ202" s="26"/>
      <c r="AR202" s="43"/>
      <c r="AT202" s="43"/>
      <c r="AU202" s="26"/>
      <c r="AV202" s="35">
        <f t="shared" si="1"/>
        <v>4718.5472</v>
      </c>
      <c r="AW202" s="33">
        <f t="shared" si="2"/>
        <v>420</v>
      </c>
      <c r="AX202" s="33">
        <f t="shared" si="3"/>
        <v>0</v>
      </c>
      <c r="AY202" s="33">
        <f t="shared" si="4"/>
        <v>420</v>
      </c>
      <c r="AZ202" s="30">
        <f t="shared" si="5"/>
        <v>11.23463619</v>
      </c>
    </row>
    <row r="203" ht="15.75" customHeight="1">
      <c r="A203" s="31" t="s">
        <v>38</v>
      </c>
      <c r="B203" s="32">
        <f t="shared" si="6"/>
        <v>45492</v>
      </c>
      <c r="C203" s="33">
        <v>8.0</v>
      </c>
      <c r="D203" s="33" t="s">
        <v>31</v>
      </c>
      <c r="E203" s="34"/>
      <c r="F203" s="42">
        <v>0.0</v>
      </c>
      <c r="H203" s="43">
        <v>0.0</v>
      </c>
      <c r="J203" s="43">
        <v>0.0</v>
      </c>
      <c r="L203" s="43">
        <v>0.0</v>
      </c>
      <c r="N203" s="43">
        <v>0.0</v>
      </c>
      <c r="P203" s="43">
        <v>0.0</v>
      </c>
      <c r="Q203" s="26"/>
      <c r="R203" s="42">
        <v>185.0</v>
      </c>
      <c r="T203" s="43">
        <v>185.0</v>
      </c>
      <c r="V203" s="43">
        <v>0.0</v>
      </c>
      <c r="X203" s="43">
        <v>0.0</v>
      </c>
      <c r="Z203" s="43">
        <v>0.0</v>
      </c>
      <c r="AB203" s="43">
        <v>0.0</v>
      </c>
      <c r="AC203" s="26"/>
      <c r="AD203" s="43">
        <v>50.0</v>
      </c>
      <c r="AF203" s="43">
        <v>50.0</v>
      </c>
      <c r="AH203" s="43">
        <v>0.0</v>
      </c>
      <c r="AJ203" s="27">
        <v>0.0</v>
      </c>
      <c r="AK203" s="26"/>
      <c r="AL203" s="42"/>
      <c r="AM203" s="26"/>
      <c r="AN203" s="42"/>
      <c r="AO203" s="26"/>
      <c r="AP203" s="42"/>
      <c r="AQ203" s="26"/>
      <c r="AR203" s="43"/>
      <c r="AT203" s="43"/>
      <c r="AU203" s="26"/>
      <c r="AV203" s="35">
        <f t="shared" si="1"/>
        <v>5482.6972</v>
      </c>
      <c r="AW203" s="33">
        <f t="shared" si="2"/>
        <v>470</v>
      </c>
      <c r="AX203" s="33">
        <f t="shared" si="3"/>
        <v>0</v>
      </c>
      <c r="AY203" s="33">
        <f t="shared" si="4"/>
        <v>470</v>
      </c>
      <c r="AZ203" s="30">
        <f t="shared" si="5"/>
        <v>11.66531319</v>
      </c>
    </row>
    <row r="204" ht="15.75" customHeight="1">
      <c r="A204" s="31" t="s">
        <v>45</v>
      </c>
      <c r="B204" s="32">
        <f t="shared" si="6"/>
        <v>45493</v>
      </c>
      <c r="C204" s="33">
        <v>8.0</v>
      </c>
      <c r="D204" s="33" t="s">
        <v>31</v>
      </c>
      <c r="E204" s="34"/>
      <c r="F204" s="42">
        <v>0.0</v>
      </c>
      <c r="H204" s="43">
        <v>0.0</v>
      </c>
      <c r="J204" s="43">
        <v>0.0</v>
      </c>
      <c r="L204" s="43">
        <v>0.0</v>
      </c>
      <c r="N204" s="43">
        <v>0.0</v>
      </c>
      <c r="P204" s="43">
        <v>0.0</v>
      </c>
      <c r="Q204" s="26"/>
      <c r="R204" s="42">
        <v>185.0</v>
      </c>
      <c r="T204" s="43">
        <v>185.0</v>
      </c>
      <c r="V204" s="43">
        <v>0.0</v>
      </c>
      <c r="X204" s="43">
        <v>0.0</v>
      </c>
      <c r="Z204" s="43">
        <v>0.0</v>
      </c>
      <c r="AB204" s="43">
        <v>0.0</v>
      </c>
      <c r="AC204" s="26"/>
      <c r="AD204" s="43">
        <v>50.0</v>
      </c>
      <c r="AF204" s="43">
        <v>0.0</v>
      </c>
      <c r="AH204" s="43">
        <v>0.0</v>
      </c>
      <c r="AJ204" s="27">
        <v>0.0</v>
      </c>
      <c r="AK204" s="26"/>
      <c r="AL204" s="42"/>
      <c r="AM204" s="26"/>
      <c r="AN204" s="42"/>
      <c r="AO204" s="26"/>
      <c r="AP204" s="42"/>
      <c r="AQ204" s="26"/>
      <c r="AR204" s="43"/>
      <c r="AT204" s="43"/>
      <c r="AU204" s="26"/>
      <c r="AV204" s="35">
        <f t="shared" si="1"/>
        <v>4718.5472</v>
      </c>
      <c r="AW204" s="33">
        <f t="shared" si="2"/>
        <v>420</v>
      </c>
      <c r="AX204" s="33">
        <f t="shared" si="3"/>
        <v>0</v>
      </c>
      <c r="AY204" s="33">
        <f t="shared" si="4"/>
        <v>420</v>
      </c>
      <c r="AZ204" s="30">
        <f t="shared" si="5"/>
        <v>11.23463619</v>
      </c>
    </row>
    <row r="205" ht="15.75" customHeight="1">
      <c r="A205" s="44" t="s">
        <v>46</v>
      </c>
      <c r="B205" s="45">
        <f t="shared" si="6"/>
        <v>45494</v>
      </c>
      <c r="C205" s="46">
        <v>8.0</v>
      </c>
      <c r="D205" s="46" t="s">
        <v>31</v>
      </c>
      <c r="E205" s="47"/>
      <c r="F205" s="66">
        <v>0.0</v>
      </c>
      <c r="G205" s="51"/>
      <c r="H205" s="67">
        <v>0.0</v>
      </c>
      <c r="I205" s="51"/>
      <c r="J205" s="67">
        <v>0.0</v>
      </c>
      <c r="K205" s="51"/>
      <c r="L205" s="67">
        <v>0.0</v>
      </c>
      <c r="M205" s="51"/>
      <c r="N205" s="67">
        <v>0.0</v>
      </c>
      <c r="O205" s="51"/>
      <c r="P205" s="67">
        <v>0.0</v>
      </c>
      <c r="Q205" s="53"/>
      <c r="R205" s="66">
        <v>0.0</v>
      </c>
      <c r="S205" s="51"/>
      <c r="T205" s="67">
        <v>0.0</v>
      </c>
      <c r="U205" s="51"/>
      <c r="V205" s="67">
        <v>0.0</v>
      </c>
      <c r="W205" s="51"/>
      <c r="X205" s="67">
        <v>0.0</v>
      </c>
      <c r="Y205" s="51"/>
      <c r="Z205" s="67">
        <v>0.0</v>
      </c>
      <c r="AA205" s="51"/>
      <c r="AB205" s="67">
        <v>0.0</v>
      </c>
      <c r="AC205" s="53"/>
      <c r="AD205" s="67">
        <v>0.0</v>
      </c>
      <c r="AE205" s="51"/>
      <c r="AF205" s="67">
        <v>0.0</v>
      </c>
      <c r="AG205" s="51"/>
      <c r="AH205" s="67">
        <v>0.0</v>
      </c>
      <c r="AI205" s="51"/>
      <c r="AJ205" s="54">
        <v>0.0</v>
      </c>
      <c r="AK205" s="53"/>
      <c r="AL205" s="66"/>
      <c r="AM205" s="53"/>
      <c r="AN205" s="66"/>
      <c r="AO205" s="53"/>
      <c r="AP205" s="66"/>
      <c r="AQ205" s="53"/>
      <c r="AR205" s="67"/>
      <c r="AS205" s="51"/>
      <c r="AT205" s="67"/>
      <c r="AU205" s="53"/>
      <c r="AV205" s="55">
        <f t="shared" si="1"/>
        <v>0</v>
      </c>
      <c r="AW205" s="46">
        <f t="shared" si="2"/>
        <v>0</v>
      </c>
      <c r="AX205" s="46">
        <f t="shared" si="3"/>
        <v>0</v>
      </c>
      <c r="AY205" s="46">
        <f t="shared" si="4"/>
        <v>0</v>
      </c>
      <c r="AZ205" s="56" t="str">
        <f t="shared" si="5"/>
        <v/>
      </c>
    </row>
    <row r="206" ht="15.75" customHeight="1">
      <c r="A206" s="19" t="s">
        <v>30</v>
      </c>
      <c r="B206" s="57">
        <f t="shared" si="6"/>
        <v>45495</v>
      </c>
      <c r="C206" s="21">
        <v>8.0</v>
      </c>
      <c r="D206" s="21" t="s">
        <v>47</v>
      </c>
      <c r="E206" s="23"/>
      <c r="F206" s="42">
        <v>0.0</v>
      </c>
      <c r="H206" s="43">
        <v>0.0</v>
      </c>
      <c r="J206" s="43">
        <v>0.0</v>
      </c>
      <c r="L206" s="43">
        <v>0.0</v>
      </c>
      <c r="N206" s="43">
        <v>0.0</v>
      </c>
      <c r="P206" s="43">
        <v>0.0</v>
      </c>
      <c r="Q206" s="26"/>
      <c r="R206" s="42">
        <v>185.0</v>
      </c>
      <c r="T206" s="43">
        <v>185.0</v>
      </c>
      <c r="V206" s="43">
        <v>0.0</v>
      </c>
      <c r="X206" s="43">
        <v>0.0</v>
      </c>
      <c r="Z206" s="43">
        <v>0.0</v>
      </c>
      <c r="AB206" s="43">
        <v>0.0</v>
      </c>
      <c r="AC206" s="26"/>
      <c r="AD206" s="43">
        <v>0.0</v>
      </c>
      <c r="AF206" s="43">
        <v>0.0</v>
      </c>
      <c r="AH206" s="43">
        <v>0.0</v>
      </c>
      <c r="AJ206" s="27">
        <v>0.0</v>
      </c>
      <c r="AK206" s="26"/>
      <c r="AL206" s="42"/>
      <c r="AM206" s="26"/>
      <c r="AN206" s="42"/>
      <c r="AO206" s="26"/>
      <c r="AP206" s="42"/>
      <c r="AQ206" s="26"/>
      <c r="AR206" s="43"/>
      <c r="AT206" s="43"/>
      <c r="AU206" s="26"/>
      <c r="AV206" s="29">
        <f t="shared" si="1"/>
        <v>3954.3972</v>
      </c>
      <c r="AW206" s="21">
        <f t="shared" si="2"/>
        <v>370</v>
      </c>
      <c r="AX206" s="21">
        <f t="shared" si="3"/>
        <v>0</v>
      </c>
      <c r="AY206" s="21">
        <f t="shared" si="4"/>
        <v>370</v>
      </c>
      <c r="AZ206" s="58">
        <f t="shared" si="5"/>
        <v>10.68756</v>
      </c>
    </row>
    <row r="207" ht="15.75" customHeight="1">
      <c r="A207" s="31" t="s">
        <v>33</v>
      </c>
      <c r="B207" s="32">
        <f t="shared" si="6"/>
        <v>45496</v>
      </c>
      <c r="C207" s="33">
        <v>8.0</v>
      </c>
      <c r="D207" s="33" t="s">
        <v>47</v>
      </c>
      <c r="E207" s="34"/>
      <c r="F207" s="42">
        <v>0.0</v>
      </c>
      <c r="H207" s="43">
        <v>0.0</v>
      </c>
      <c r="J207" s="43">
        <v>0.0</v>
      </c>
      <c r="L207" s="43">
        <v>0.0</v>
      </c>
      <c r="N207" s="43">
        <v>0.0</v>
      </c>
      <c r="P207" s="43">
        <v>0.0</v>
      </c>
      <c r="Q207" s="26"/>
      <c r="R207" s="42">
        <v>185.0</v>
      </c>
      <c r="T207" s="43">
        <v>185.0</v>
      </c>
      <c r="V207" s="43">
        <v>0.0</v>
      </c>
      <c r="X207" s="43">
        <v>0.0</v>
      </c>
      <c r="Z207" s="43">
        <v>0.0</v>
      </c>
      <c r="AB207" s="43">
        <v>0.0</v>
      </c>
      <c r="AC207" s="26"/>
      <c r="AD207" s="43">
        <v>0.0</v>
      </c>
      <c r="AF207" s="43">
        <v>0.0</v>
      </c>
      <c r="AH207" s="43">
        <v>0.0</v>
      </c>
      <c r="AJ207" s="27">
        <v>0.0</v>
      </c>
      <c r="AK207" s="26"/>
      <c r="AL207" s="42"/>
      <c r="AM207" s="26"/>
      <c r="AN207" s="42"/>
      <c r="AO207" s="26"/>
      <c r="AP207" s="42"/>
      <c r="AQ207" s="26"/>
      <c r="AR207" s="43"/>
      <c r="AT207" s="43"/>
      <c r="AU207" s="26"/>
      <c r="AV207" s="35">
        <f t="shared" si="1"/>
        <v>3954.3972</v>
      </c>
      <c r="AW207" s="33">
        <f t="shared" si="2"/>
        <v>370</v>
      </c>
      <c r="AX207" s="33">
        <f t="shared" si="3"/>
        <v>0</v>
      </c>
      <c r="AY207" s="33">
        <f t="shared" si="4"/>
        <v>370</v>
      </c>
      <c r="AZ207" s="30">
        <f t="shared" si="5"/>
        <v>10.68756</v>
      </c>
    </row>
    <row r="208" ht="15.75" customHeight="1">
      <c r="A208" s="31" t="s">
        <v>34</v>
      </c>
      <c r="B208" s="32">
        <f t="shared" si="6"/>
        <v>45497</v>
      </c>
      <c r="C208" s="33">
        <v>8.0</v>
      </c>
      <c r="D208" s="33" t="s">
        <v>47</v>
      </c>
      <c r="E208" s="34"/>
      <c r="F208" s="42">
        <v>0.0</v>
      </c>
      <c r="H208" s="43">
        <v>0.0</v>
      </c>
      <c r="J208" s="43">
        <v>0.0</v>
      </c>
      <c r="L208" s="43">
        <v>0.0</v>
      </c>
      <c r="N208" s="43">
        <v>0.0</v>
      </c>
      <c r="P208" s="43">
        <v>0.0</v>
      </c>
      <c r="Q208" s="26"/>
      <c r="R208" s="42">
        <v>185.0</v>
      </c>
      <c r="T208" s="43">
        <v>185.0</v>
      </c>
      <c r="V208" s="43">
        <v>0.0</v>
      </c>
      <c r="X208" s="43">
        <v>0.0</v>
      </c>
      <c r="Z208" s="43">
        <v>0.0</v>
      </c>
      <c r="AB208" s="43">
        <v>0.0</v>
      </c>
      <c r="AC208" s="26"/>
      <c r="AD208" s="43">
        <v>0.0</v>
      </c>
      <c r="AF208" s="43">
        <v>0.0</v>
      </c>
      <c r="AH208" s="43">
        <v>0.0</v>
      </c>
      <c r="AJ208" s="27">
        <v>0.0</v>
      </c>
      <c r="AK208" s="26"/>
      <c r="AL208" s="42"/>
      <c r="AM208" s="26"/>
      <c r="AN208" s="42"/>
      <c r="AO208" s="26"/>
      <c r="AP208" s="42"/>
      <c r="AQ208" s="26"/>
      <c r="AR208" s="43"/>
      <c r="AT208" s="43"/>
      <c r="AU208" s="26"/>
      <c r="AV208" s="35">
        <f t="shared" si="1"/>
        <v>3954.3972</v>
      </c>
      <c r="AW208" s="33">
        <f t="shared" si="2"/>
        <v>370</v>
      </c>
      <c r="AX208" s="33">
        <f t="shared" si="3"/>
        <v>0</v>
      </c>
      <c r="AY208" s="33">
        <f t="shared" si="4"/>
        <v>370</v>
      </c>
      <c r="AZ208" s="30">
        <f t="shared" si="5"/>
        <v>10.68756</v>
      </c>
    </row>
    <row r="209" ht="15.75" customHeight="1">
      <c r="A209" s="31" t="s">
        <v>35</v>
      </c>
      <c r="B209" s="32">
        <f t="shared" si="6"/>
        <v>45498</v>
      </c>
      <c r="C209" s="33">
        <v>8.0</v>
      </c>
      <c r="D209" s="33" t="s">
        <v>47</v>
      </c>
      <c r="E209" s="34"/>
      <c r="F209" s="42">
        <v>0.0</v>
      </c>
      <c r="H209" s="43">
        <v>0.0</v>
      </c>
      <c r="J209" s="43">
        <v>0.0</v>
      </c>
      <c r="L209" s="43">
        <v>0.0</v>
      </c>
      <c r="N209" s="43">
        <v>0.0</v>
      </c>
      <c r="P209" s="43">
        <v>0.0</v>
      </c>
      <c r="Q209" s="26"/>
      <c r="R209" s="42">
        <v>185.0</v>
      </c>
      <c r="T209" s="43">
        <v>185.0</v>
      </c>
      <c r="V209" s="43">
        <v>0.0</v>
      </c>
      <c r="X209" s="43">
        <v>0.0</v>
      </c>
      <c r="Z209" s="43">
        <v>0.0</v>
      </c>
      <c r="AB209" s="43">
        <v>0.0</v>
      </c>
      <c r="AC209" s="26"/>
      <c r="AD209" s="43">
        <v>0.0</v>
      </c>
      <c r="AF209" s="43">
        <v>0.0</v>
      </c>
      <c r="AH209" s="43">
        <v>0.0</v>
      </c>
      <c r="AJ209" s="27">
        <v>0.0</v>
      </c>
      <c r="AK209" s="26"/>
      <c r="AL209" s="42"/>
      <c r="AM209" s="26"/>
      <c r="AN209" s="42"/>
      <c r="AO209" s="26"/>
      <c r="AP209" s="42"/>
      <c r="AQ209" s="26"/>
      <c r="AR209" s="43"/>
      <c r="AT209" s="43"/>
      <c r="AU209" s="26"/>
      <c r="AV209" s="35">
        <f t="shared" si="1"/>
        <v>3954.3972</v>
      </c>
      <c r="AW209" s="33">
        <f t="shared" si="2"/>
        <v>370</v>
      </c>
      <c r="AX209" s="33">
        <f t="shared" si="3"/>
        <v>0</v>
      </c>
      <c r="AY209" s="33">
        <f t="shared" si="4"/>
        <v>370</v>
      </c>
      <c r="AZ209" s="30">
        <f t="shared" si="5"/>
        <v>10.68756</v>
      </c>
    </row>
    <row r="210" ht="15.75" customHeight="1">
      <c r="A210" s="31" t="s">
        <v>38</v>
      </c>
      <c r="B210" s="32">
        <f t="shared" si="6"/>
        <v>45499</v>
      </c>
      <c r="C210" s="33">
        <v>8.0</v>
      </c>
      <c r="D210" s="33" t="s">
        <v>47</v>
      </c>
      <c r="E210" s="34"/>
      <c r="F210" s="42">
        <v>0.0</v>
      </c>
      <c r="H210" s="43">
        <v>0.0</v>
      </c>
      <c r="J210" s="43">
        <v>0.0</v>
      </c>
      <c r="L210" s="43">
        <v>0.0</v>
      </c>
      <c r="N210" s="43">
        <v>0.0</v>
      </c>
      <c r="P210" s="43">
        <v>0.0</v>
      </c>
      <c r="Q210" s="26"/>
      <c r="R210" s="42">
        <v>185.0</v>
      </c>
      <c r="T210" s="43">
        <v>185.0</v>
      </c>
      <c r="V210" s="43">
        <v>0.0</v>
      </c>
      <c r="X210" s="43">
        <v>0.0</v>
      </c>
      <c r="Z210" s="43">
        <v>0.0</v>
      </c>
      <c r="AB210" s="43">
        <v>0.0</v>
      </c>
      <c r="AC210" s="26"/>
      <c r="AD210" s="43">
        <v>0.0</v>
      </c>
      <c r="AF210" s="43">
        <v>0.0</v>
      </c>
      <c r="AH210" s="43">
        <v>0.0</v>
      </c>
      <c r="AJ210" s="27">
        <v>0.0</v>
      </c>
      <c r="AK210" s="26"/>
      <c r="AL210" s="42"/>
      <c r="AM210" s="26"/>
      <c r="AN210" s="42"/>
      <c r="AO210" s="26"/>
      <c r="AP210" s="42"/>
      <c r="AQ210" s="26"/>
      <c r="AR210" s="43"/>
      <c r="AT210" s="43"/>
      <c r="AU210" s="26"/>
      <c r="AV210" s="35">
        <f t="shared" si="1"/>
        <v>3954.3972</v>
      </c>
      <c r="AW210" s="33">
        <f t="shared" si="2"/>
        <v>370</v>
      </c>
      <c r="AX210" s="33">
        <f t="shared" si="3"/>
        <v>0</v>
      </c>
      <c r="AY210" s="33">
        <f t="shared" si="4"/>
        <v>370</v>
      </c>
      <c r="AZ210" s="30">
        <f t="shared" si="5"/>
        <v>10.68756</v>
      </c>
    </row>
    <row r="211" ht="15.75" customHeight="1">
      <c r="A211" s="31" t="s">
        <v>45</v>
      </c>
      <c r="B211" s="32">
        <f t="shared" si="6"/>
        <v>45500</v>
      </c>
      <c r="C211" s="33">
        <v>8.0</v>
      </c>
      <c r="D211" s="33" t="s">
        <v>47</v>
      </c>
      <c r="E211" s="34"/>
      <c r="F211" s="42">
        <v>0.0</v>
      </c>
      <c r="H211" s="43">
        <v>0.0</v>
      </c>
      <c r="J211" s="43">
        <v>0.0</v>
      </c>
      <c r="L211" s="43">
        <v>0.0</v>
      </c>
      <c r="N211" s="43">
        <v>0.0</v>
      </c>
      <c r="P211" s="43">
        <v>0.0</v>
      </c>
      <c r="Q211" s="26"/>
      <c r="R211" s="42">
        <v>185.0</v>
      </c>
      <c r="T211" s="43">
        <v>185.0</v>
      </c>
      <c r="V211" s="43">
        <v>0.0</v>
      </c>
      <c r="X211" s="43">
        <v>0.0</v>
      </c>
      <c r="Z211" s="43">
        <v>0.0</v>
      </c>
      <c r="AB211" s="43">
        <v>0.0</v>
      </c>
      <c r="AC211" s="26"/>
      <c r="AD211" s="43">
        <v>0.0</v>
      </c>
      <c r="AF211" s="43">
        <v>0.0</v>
      </c>
      <c r="AH211" s="43">
        <v>0.0</v>
      </c>
      <c r="AJ211" s="27">
        <v>0.0</v>
      </c>
      <c r="AK211" s="26"/>
      <c r="AL211" s="42"/>
      <c r="AM211" s="26"/>
      <c r="AN211" s="42"/>
      <c r="AO211" s="26"/>
      <c r="AP211" s="42"/>
      <c r="AQ211" s="26"/>
      <c r="AR211" s="43"/>
      <c r="AT211" s="43"/>
      <c r="AU211" s="26"/>
      <c r="AV211" s="35">
        <f t="shared" si="1"/>
        <v>3954.3972</v>
      </c>
      <c r="AW211" s="33">
        <f t="shared" si="2"/>
        <v>370</v>
      </c>
      <c r="AX211" s="33">
        <f t="shared" si="3"/>
        <v>0</v>
      </c>
      <c r="AY211" s="33">
        <f t="shared" si="4"/>
        <v>370</v>
      </c>
      <c r="AZ211" s="30">
        <f t="shared" si="5"/>
        <v>10.68756</v>
      </c>
    </row>
    <row r="212" ht="15.75" customHeight="1">
      <c r="A212" s="44" t="s">
        <v>46</v>
      </c>
      <c r="B212" s="45">
        <f t="shared" si="6"/>
        <v>45501</v>
      </c>
      <c r="C212" s="46">
        <v>8.0</v>
      </c>
      <c r="D212" s="46" t="s">
        <v>47</v>
      </c>
      <c r="E212" s="47"/>
      <c r="F212" s="66">
        <v>0.0</v>
      </c>
      <c r="G212" s="51"/>
      <c r="H212" s="67">
        <v>0.0</v>
      </c>
      <c r="I212" s="51"/>
      <c r="J212" s="67">
        <v>0.0</v>
      </c>
      <c r="K212" s="51"/>
      <c r="L212" s="67">
        <v>0.0</v>
      </c>
      <c r="M212" s="51"/>
      <c r="N212" s="67">
        <v>0.0</v>
      </c>
      <c r="O212" s="51"/>
      <c r="P212" s="67">
        <v>0.0</v>
      </c>
      <c r="Q212" s="53"/>
      <c r="R212" s="66">
        <v>0.0</v>
      </c>
      <c r="S212" s="51"/>
      <c r="T212" s="67">
        <v>0.0</v>
      </c>
      <c r="U212" s="51"/>
      <c r="V212" s="67">
        <v>0.0</v>
      </c>
      <c r="W212" s="51"/>
      <c r="X212" s="67">
        <v>0.0</v>
      </c>
      <c r="Y212" s="51"/>
      <c r="Z212" s="67">
        <v>0.0</v>
      </c>
      <c r="AA212" s="51"/>
      <c r="AB212" s="67">
        <v>0.0</v>
      </c>
      <c r="AC212" s="53"/>
      <c r="AD212" s="67">
        <v>0.0</v>
      </c>
      <c r="AE212" s="51"/>
      <c r="AF212" s="67">
        <v>0.0</v>
      </c>
      <c r="AG212" s="51"/>
      <c r="AH212" s="67">
        <v>0.0</v>
      </c>
      <c r="AI212" s="51"/>
      <c r="AJ212" s="54">
        <v>0.0</v>
      </c>
      <c r="AK212" s="53"/>
      <c r="AL212" s="66"/>
      <c r="AM212" s="53"/>
      <c r="AN212" s="66"/>
      <c r="AO212" s="53"/>
      <c r="AP212" s="66"/>
      <c r="AQ212" s="53"/>
      <c r="AR212" s="67"/>
      <c r="AS212" s="51"/>
      <c r="AT212" s="67"/>
      <c r="AU212" s="53"/>
      <c r="AV212" s="55">
        <f t="shared" si="1"/>
        <v>0</v>
      </c>
      <c r="AW212" s="46">
        <f t="shared" si="2"/>
        <v>0</v>
      </c>
      <c r="AX212" s="46">
        <f t="shared" si="3"/>
        <v>0</v>
      </c>
      <c r="AY212" s="46">
        <f t="shared" si="4"/>
        <v>0</v>
      </c>
      <c r="AZ212" s="56" t="str">
        <f t="shared" si="5"/>
        <v/>
      </c>
    </row>
    <row r="213" ht="15.75" customHeight="1">
      <c r="A213" s="19" t="s">
        <v>30</v>
      </c>
      <c r="B213" s="57">
        <f t="shared" si="6"/>
        <v>45502</v>
      </c>
      <c r="C213" s="21">
        <v>8.0</v>
      </c>
      <c r="D213" s="21" t="s">
        <v>48</v>
      </c>
      <c r="E213" s="23"/>
      <c r="F213" s="42">
        <v>0.0</v>
      </c>
      <c r="H213" s="43">
        <v>0.0</v>
      </c>
      <c r="J213" s="43">
        <v>0.0</v>
      </c>
      <c r="L213" s="43">
        <v>0.0</v>
      </c>
      <c r="N213" s="43">
        <v>0.0</v>
      </c>
      <c r="P213" s="43">
        <v>0.0</v>
      </c>
      <c r="Q213" s="26"/>
      <c r="R213" s="42">
        <v>160.0</v>
      </c>
      <c r="T213" s="43">
        <v>160.0</v>
      </c>
      <c r="V213" s="43">
        <v>0.0</v>
      </c>
      <c r="X213" s="43">
        <v>0.0</v>
      </c>
      <c r="Z213" s="43">
        <v>0.0</v>
      </c>
      <c r="AB213" s="43">
        <v>0.0</v>
      </c>
      <c r="AC213" s="26"/>
      <c r="AD213" s="43">
        <v>0.0</v>
      </c>
      <c r="AF213" s="43">
        <v>0.0</v>
      </c>
      <c r="AH213" s="43">
        <v>0.0</v>
      </c>
      <c r="AJ213" s="27">
        <v>0.0</v>
      </c>
      <c r="AK213" s="26"/>
      <c r="AL213" s="42"/>
      <c r="AM213" s="26"/>
      <c r="AN213" s="42"/>
      <c r="AO213" s="26"/>
      <c r="AP213" s="42"/>
      <c r="AQ213" s="26"/>
      <c r="AR213" s="43"/>
      <c r="AT213" s="43"/>
      <c r="AU213" s="26"/>
      <c r="AV213" s="29">
        <f t="shared" si="1"/>
        <v>3420.0192</v>
      </c>
      <c r="AW213" s="21">
        <f t="shared" si="2"/>
        <v>320</v>
      </c>
      <c r="AX213" s="21">
        <f t="shared" si="3"/>
        <v>0</v>
      </c>
      <c r="AY213" s="21">
        <f t="shared" si="4"/>
        <v>320</v>
      </c>
      <c r="AZ213" s="58">
        <f t="shared" si="5"/>
        <v>10.68756</v>
      </c>
    </row>
    <row r="214" ht="15.75" customHeight="1">
      <c r="A214" s="31" t="s">
        <v>33</v>
      </c>
      <c r="B214" s="32">
        <f t="shared" si="6"/>
        <v>45503</v>
      </c>
      <c r="C214" s="33">
        <v>8.0</v>
      </c>
      <c r="D214" s="33" t="s">
        <v>48</v>
      </c>
      <c r="E214" s="34"/>
      <c r="F214" s="42">
        <v>0.0</v>
      </c>
      <c r="H214" s="43">
        <v>0.0</v>
      </c>
      <c r="J214" s="43">
        <v>0.0</v>
      </c>
      <c r="L214" s="43">
        <v>0.0</v>
      </c>
      <c r="N214" s="43">
        <v>0.0</v>
      </c>
      <c r="P214" s="43">
        <v>0.0</v>
      </c>
      <c r="Q214" s="26"/>
      <c r="R214" s="42">
        <v>160.0</v>
      </c>
      <c r="T214" s="43">
        <v>160.0</v>
      </c>
      <c r="V214" s="43">
        <v>0.0</v>
      </c>
      <c r="X214" s="43">
        <v>0.0</v>
      </c>
      <c r="Z214" s="43">
        <v>0.0</v>
      </c>
      <c r="AB214" s="43">
        <v>0.0</v>
      </c>
      <c r="AC214" s="26"/>
      <c r="AD214" s="43">
        <v>50.0</v>
      </c>
      <c r="AF214" s="43">
        <v>50.0</v>
      </c>
      <c r="AH214" s="43">
        <v>0.0</v>
      </c>
      <c r="AJ214" s="27">
        <v>0.0</v>
      </c>
      <c r="AK214" s="26"/>
      <c r="AL214" s="42"/>
      <c r="AM214" s="26"/>
      <c r="AN214" s="42"/>
      <c r="AO214" s="26"/>
      <c r="AP214" s="42"/>
      <c r="AQ214" s="26"/>
      <c r="AR214" s="43"/>
      <c r="AT214" s="43"/>
      <c r="AU214" s="26"/>
      <c r="AV214" s="35">
        <f t="shared" si="1"/>
        <v>4948.3192</v>
      </c>
      <c r="AW214" s="33">
        <f t="shared" si="2"/>
        <v>420</v>
      </c>
      <c r="AX214" s="33">
        <f t="shared" si="3"/>
        <v>0</v>
      </c>
      <c r="AY214" s="33">
        <f t="shared" si="4"/>
        <v>420</v>
      </c>
      <c r="AZ214" s="30">
        <f t="shared" si="5"/>
        <v>11.78171238</v>
      </c>
    </row>
    <row r="215" ht="15.75" customHeight="1">
      <c r="A215" s="31" t="s">
        <v>34</v>
      </c>
      <c r="B215" s="32">
        <f t="shared" si="6"/>
        <v>45504</v>
      </c>
      <c r="C215" s="33">
        <v>8.0</v>
      </c>
      <c r="D215" s="33" t="s">
        <v>48</v>
      </c>
      <c r="E215" s="34"/>
      <c r="F215" s="42">
        <v>0.0</v>
      </c>
      <c r="H215" s="43">
        <v>0.0</v>
      </c>
      <c r="J215" s="43">
        <v>0.0</v>
      </c>
      <c r="L215" s="43">
        <v>0.0</v>
      </c>
      <c r="N215" s="43">
        <v>0.0</v>
      </c>
      <c r="P215" s="43">
        <v>0.0</v>
      </c>
      <c r="Q215" s="26"/>
      <c r="R215" s="42">
        <v>160.0</v>
      </c>
      <c r="T215" s="43">
        <v>160.0</v>
      </c>
      <c r="V215" s="43">
        <v>0.0</v>
      </c>
      <c r="X215" s="43">
        <v>0.0</v>
      </c>
      <c r="Z215" s="43">
        <v>0.0</v>
      </c>
      <c r="AB215" s="43">
        <v>0.0</v>
      </c>
      <c r="AC215" s="26"/>
      <c r="AD215" s="43">
        <v>50.0</v>
      </c>
      <c r="AF215" s="43">
        <v>50.0</v>
      </c>
      <c r="AH215" s="43">
        <v>0.0</v>
      </c>
      <c r="AJ215" s="27">
        <v>0.0</v>
      </c>
      <c r="AK215" s="26"/>
      <c r="AL215" s="42"/>
      <c r="AM215" s="26"/>
      <c r="AN215" s="42"/>
      <c r="AO215" s="26"/>
      <c r="AP215" s="42"/>
      <c r="AQ215" s="26"/>
      <c r="AR215" s="43"/>
      <c r="AT215" s="43"/>
      <c r="AU215" s="26"/>
      <c r="AV215" s="35">
        <f t="shared" si="1"/>
        <v>4948.3192</v>
      </c>
      <c r="AW215" s="33">
        <f t="shared" si="2"/>
        <v>420</v>
      </c>
      <c r="AX215" s="33">
        <f t="shared" si="3"/>
        <v>0</v>
      </c>
      <c r="AY215" s="33">
        <f t="shared" si="4"/>
        <v>420</v>
      </c>
      <c r="AZ215" s="30">
        <f t="shared" si="5"/>
        <v>11.78171238</v>
      </c>
    </row>
    <row r="216" ht="15.75" customHeight="1">
      <c r="A216" s="31" t="s">
        <v>35</v>
      </c>
      <c r="B216" s="32">
        <f t="shared" si="6"/>
        <v>45505</v>
      </c>
      <c r="C216" s="33">
        <v>8.0</v>
      </c>
      <c r="D216" s="33" t="s">
        <v>48</v>
      </c>
      <c r="E216" s="34"/>
      <c r="F216" s="42">
        <v>0.0</v>
      </c>
      <c r="H216" s="43">
        <v>0.0</v>
      </c>
      <c r="J216" s="43">
        <v>0.0</v>
      </c>
      <c r="L216" s="43">
        <v>0.0</v>
      </c>
      <c r="N216" s="43">
        <v>0.0</v>
      </c>
      <c r="P216" s="43">
        <v>0.0</v>
      </c>
      <c r="Q216" s="26"/>
      <c r="R216" s="42">
        <v>160.0</v>
      </c>
      <c r="T216" s="43">
        <v>160.0</v>
      </c>
      <c r="V216" s="43">
        <v>0.0</v>
      </c>
      <c r="X216" s="43">
        <v>0.0</v>
      </c>
      <c r="Z216" s="43">
        <v>0.0</v>
      </c>
      <c r="AB216" s="43">
        <v>0.0</v>
      </c>
      <c r="AC216" s="26"/>
      <c r="AD216" s="43">
        <v>0.0</v>
      </c>
      <c r="AF216" s="43">
        <v>50.0</v>
      </c>
      <c r="AH216" s="43">
        <v>0.0</v>
      </c>
      <c r="AJ216" s="27">
        <v>0.0</v>
      </c>
      <c r="AK216" s="26"/>
      <c r="AL216" s="42"/>
      <c r="AM216" s="26"/>
      <c r="AN216" s="42"/>
      <c r="AO216" s="26"/>
      <c r="AP216" s="42"/>
      <c r="AQ216" s="26"/>
      <c r="AR216" s="43"/>
      <c r="AT216" s="43"/>
      <c r="AU216" s="26"/>
      <c r="AV216" s="35">
        <f t="shared" si="1"/>
        <v>4184.1692</v>
      </c>
      <c r="AW216" s="33">
        <f t="shared" si="2"/>
        <v>370</v>
      </c>
      <c r="AX216" s="33">
        <f t="shared" si="3"/>
        <v>0</v>
      </c>
      <c r="AY216" s="33">
        <f t="shared" si="4"/>
        <v>370</v>
      </c>
      <c r="AZ216" s="30">
        <f t="shared" si="5"/>
        <v>11.30856541</v>
      </c>
    </row>
    <row r="217" ht="15.75" customHeight="1">
      <c r="A217" s="31" t="s">
        <v>38</v>
      </c>
      <c r="B217" s="32">
        <f t="shared" si="6"/>
        <v>45506</v>
      </c>
      <c r="C217" s="33">
        <v>8.0</v>
      </c>
      <c r="D217" s="33" t="s">
        <v>48</v>
      </c>
      <c r="E217" s="34"/>
      <c r="F217" s="42">
        <v>0.0</v>
      </c>
      <c r="H217" s="43">
        <v>0.0</v>
      </c>
      <c r="J217" s="43">
        <v>0.0</v>
      </c>
      <c r="L217" s="43">
        <v>0.0</v>
      </c>
      <c r="N217" s="43">
        <v>0.0</v>
      </c>
      <c r="P217" s="43">
        <v>0.0</v>
      </c>
      <c r="Q217" s="26"/>
      <c r="R217" s="42">
        <v>160.0</v>
      </c>
      <c r="T217" s="43">
        <v>160.0</v>
      </c>
      <c r="V217" s="43">
        <v>0.0</v>
      </c>
      <c r="X217" s="43">
        <v>0.0</v>
      </c>
      <c r="Z217" s="43">
        <v>0.0</v>
      </c>
      <c r="AB217" s="43">
        <v>0.0</v>
      </c>
      <c r="AC217" s="26"/>
      <c r="AD217" s="43">
        <v>50.0</v>
      </c>
      <c r="AF217" s="43">
        <v>50.0</v>
      </c>
      <c r="AH217" s="43">
        <v>0.0</v>
      </c>
      <c r="AJ217" s="27">
        <v>0.0</v>
      </c>
      <c r="AK217" s="26"/>
      <c r="AL217" s="42"/>
      <c r="AM217" s="26"/>
      <c r="AN217" s="42"/>
      <c r="AO217" s="26"/>
      <c r="AP217" s="42"/>
      <c r="AQ217" s="26"/>
      <c r="AR217" s="43"/>
      <c r="AT217" s="43"/>
      <c r="AU217" s="26"/>
      <c r="AV217" s="35">
        <f t="shared" si="1"/>
        <v>4948.3192</v>
      </c>
      <c r="AW217" s="33">
        <f t="shared" si="2"/>
        <v>420</v>
      </c>
      <c r="AX217" s="33">
        <f t="shared" si="3"/>
        <v>0</v>
      </c>
      <c r="AY217" s="33">
        <f t="shared" si="4"/>
        <v>420</v>
      </c>
      <c r="AZ217" s="30">
        <f t="shared" si="5"/>
        <v>11.78171238</v>
      </c>
    </row>
    <row r="218" ht="15.75" customHeight="1">
      <c r="A218" s="31" t="s">
        <v>45</v>
      </c>
      <c r="B218" s="32">
        <f t="shared" si="6"/>
        <v>45507</v>
      </c>
      <c r="C218" s="33">
        <v>8.0</v>
      </c>
      <c r="D218" s="33" t="s">
        <v>48</v>
      </c>
      <c r="E218" s="34"/>
      <c r="F218" s="42">
        <v>0.0</v>
      </c>
      <c r="H218" s="43">
        <v>0.0</v>
      </c>
      <c r="J218" s="43">
        <v>0.0</v>
      </c>
      <c r="L218" s="43">
        <v>0.0</v>
      </c>
      <c r="N218" s="43">
        <v>0.0</v>
      </c>
      <c r="P218" s="43">
        <v>0.0</v>
      </c>
      <c r="Q218" s="26"/>
      <c r="R218" s="42">
        <v>160.0</v>
      </c>
      <c r="T218" s="43">
        <v>160.0</v>
      </c>
      <c r="V218" s="43">
        <v>0.0</v>
      </c>
      <c r="X218" s="43">
        <v>0.0</v>
      </c>
      <c r="Z218" s="43">
        <v>0.0</v>
      </c>
      <c r="AB218" s="43">
        <v>0.0</v>
      </c>
      <c r="AC218" s="26"/>
      <c r="AD218" s="43">
        <v>50.0</v>
      </c>
      <c r="AF218" s="43">
        <v>0.0</v>
      </c>
      <c r="AH218" s="43">
        <v>0.0</v>
      </c>
      <c r="AJ218" s="27">
        <v>0.0</v>
      </c>
      <c r="AK218" s="26"/>
      <c r="AL218" s="42"/>
      <c r="AM218" s="26"/>
      <c r="AN218" s="42"/>
      <c r="AO218" s="26"/>
      <c r="AP218" s="42"/>
      <c r="AQ218" s="26"/>
      <c r="AR218" s="43"/>
      <c r="AT218" s="43"/>
      <c r="AU218" s="26"/>
      <c r="AV218" s="35">
        <f t="shared" si="1"/>
        <v>4184.1692</v>
      </c>
      <c r="AW218" s="33">
        <f t="shared" si="2"/>
        <v>370</v>
      </c>
      <c r="AX218" s="33">
        <f t="shared" si="3"/>
        <v>0</v>
      </c>
      <c r="AY218" s="33">
        <f t="shared" si="4"/>
        <v>370</v>
      </c>
      <c r="AZ218" s="30">
        <f t="shared" si="5"/>
        <v>11.30856541</v>
      </c>
    </row>
    <row r="219" ht="15.75" customHeight="1">
      <c r="A219" s="44" t="s">
        <v>46</v>
      </c>
      <c r="B219" s="45">
        <f t="shared" si="6"/>
        <v>45508</v>
      </c>
      <c r="C219" s="46">
        <v>8.0</v>
      </c>
      <c r="D219" s="46" t="s">
        <v>48</v>
      </c>
      <c r="E219" s="47"/>
      <c r="F219" s="66">
        <v>0.0</v>
      </c>
      <c r="G219" s="51"/>
      <c r="H219" s="67">
        <v>0.0</v>
      </c>
      <c r="I219" s="51"/>
      <c r="J219" s="67">
        <v>0.0</v>
      </c>
      <c r="K219" s="51"/>
      <c r="L219" s="67">
        <v>0.0</v>
      </c>
      <c r="M219" s="51"/>
      <c r="N219" s="67">
        <v>0.0</v>
      </c>
      <c r="O219" s="51"/>
      <c r="P219" s="67">
        <v>0.0</v>
      </c>
      <c r="Q219" s="53"/>
      <c r="R219" s="66">
        <v>0.0</v>
      </c>
      <c r="S219" s="51"/>
      <c r="T219" s="67">
        <v>0.0</v>
      </c>
      <c r="U219" s="51"/>
      <c r="V219" s="67">
        <v>0.0</v>
      </c>
      <c r="W219" s="51"/>
      <c r="X219" s="67">
        <v>0.0</v>
      </c>
      <c r="Y219" s="51"/>
      <c r="Z219" s="67">
        <v>0.0</v>
      </c>
      <c r="AA219" s="51"/>
      <c r="AB219" s="67">
        <v>0.0</v>
      </c>
      <c r="AC219" s="53"/>
      <c r="AD219" s="67">
        <v>0.0</v>
      </c>
      <c r="AE219" s="51"/>
      <c r="AF219" s="67">
        <v>0.0</v>
      </c>
      <c r="AG219" s="51"/>
      <c r="AH219" s="67">
        <v>0.0</v>
      </c>
      <c r="AI219" s="51"/>
      <c r="AJ219" s="54">
        <v>0.0</v>
      </c>
      <c r="AK219" s="53"/>
      <c r="AL219" s="66"/>
      <c r="AM219" s="53"/>
      <c r="AN219" s="66"/>
      <c r="AO219" s="53"/>
      <c r="AP219" s="66"/>
      <c r="AQ219" s="53"/>
      <c r="AR219" s="67"/>
      <c r="AS219" s="51"/>
      <c r="AT219" s="67"/>
      <c r="AU219" s="53"/>
      <c r="AV219" s="55">
        <f t="shared" si="1"/>
        <v>0</v>
      </c>
      <c r="AW219" s="46">
        <f t="shared" si="2"/>
        <v>0</v>
      </c>
      <c r="AX219" s="46">
        <f t="shared" si="3"/>
        <v>0</v>
      </c>
      <c r="AY219" s="46">
        <f t="shared" si="4"/>
        <v>0</v>
      </c>
      <c r="AZ219" s="56" t="str">
        <f t="shared" si="5"/>
        <v/>
      </c>
    </row>
    <row r="220" ht="15.75" customHeight="1">
      <c r="A220" s="19" t="s">
        <v>30</v>
      </c>
      <c r="B220" s="57">
        <f t="shared" si="6"/>
        <v>45509</v>
      </c>
      <c r="C220" s="21">
        <v>8.0</v>
      </c>
      <c r="D220" s="21" t="s">
        <v>49</v>
      </c>
      <c r="E220" s="23"/>
      <c r="F220" s="42">
        <v>0.0</v>
      </c>
      <c r="H220" s="43">
        <v>0.0</v>
      </c>
      <c r="J220" s="43">
        <v>0.0</v>
      </c>
      <c r="L220" s="43">
        <v>0.0</v>
      </c>
      <c r="N220" s="43">
        <v>0.0</v>
      </c>
      <c r="P220" s="43">
        <v>0.0</v>
      </c>
      <c r="Q220" s="26"/>
      <c r="R220" s="42">
        <v>160.0</v>
      </c>
      <c r="T220" s="43">
        <v>160.0</v>
      </c>
      <c r="V220" s="43">
        <v>0.0</v>
      </c>
      <c r="X220" s="43">
        <v>0.0</v>
      </c>
      <c r="Z220" s="43">
        <v>0.0</v>
      </c>
      <c r="AB220" s="43">
        <v>0.0</v>
      </c>
      <c r="AC220" s="26"/>
      <c r="AD220" s="43">
        <v>0.0</v>
      </c>
      <c r="AF220" s="43">
        <v>0.0</v>
      </c>
      <c r="AH220" s="43">
        <v>0.0</v>
      </c>
      <c r="AJ220" s="27">
        <v>0.0</v>
      </c>
      <c r="AK220" s="26"/>
      <c r="AL220" s="42"/>
      <c r="AM220" s="26"/>
      <c r="AN220" s="42"/>
      <c r="AO220" s="26"/>
      <c r="AP220" s="42"/>
      <c r="AQ220" s="26"/>
      <c r="AR220" s="43"/>
      <c r="AT220" s="43"/>
      <c r="AU220" s="26"/>
      <c r="AV220" s="29">
        <f t="shared" si="1"/>
        <v>3420.0192</v>
      </c>
      <c r="AW220" s="21">
        <f t="shared" si="2"/>
        <v>320</v>
      </c>
      <c r="AX220" s="21">
        <f t="shared" si="3"/>
        <v>0</v>
      </c>
      <c r="AY220" s="21">
        <f t="shared" si="4"/>
        <v>320</v>
      </c>
      <c r="AZ220" s="58">
        <f t="shared" si="5"/>
        <v>10.68756</v>
      </c>
    </row>
    <row r="221" ht="15.75" customHeight="1">
      <c r="A221" s="31" t="s">
        <v>33</v>
      </c>
      <c r="B221" s="32">
        <f t="shared" si="6"/>
        <v>45510</v>
      </c>
      <c r="C221" s="33">
        <v>8.0</v>
      </c>
      <c r="D221" s="33" t="s">
        <v>49</v>
      </c>
      <c r="E221" s="34"/>
      <c r="F221" s="42">
        <v>0.0</v>
      </c>
      <c r="H221" s="43">
        <v>0.0</v>
      </c>
      <c r="J221" s="43">
        <v>0.0</v>
      </c>
      <c r="L221" s="43">
        <v>0.0</v>
      </c>
      <c r="N221" s="43">
        <v>0.0</v>
      </c>
      <c r="P221" s="43">
        <v>0.0</v>
      </c>
      <c r="Q221" s="26"/>
      <c r="R221" s="42">
        <v>172.0</v>
      </c>
      <c r="T221" s="43">
        <v>172.0</v>
      </c>
      <c r="V221" s="43">
        <v>0.0</v>
      </c>
      <c r="X221" s="43">
        <v>0.0</v>
      </c>
      <c r="Z221" s="43">
        <v>0.0</v>
      </c>
      <c r="AB221" s="43">
        <v>0.0</v>
      </c>
      <c r="AC221" s="26"/>
      <c r="AD221" s="43">
        <v>0.0</v>
      </c>
      <c r="AF221" s="43">
        <v>0.0</v>
      </c>
      <c r="AH221" s="43">
        <v>0.0</v>
      </c>
      <c r="AJ221" s="27">
        <v>0.0</v>
      </c>
      <c r="AK221" s="26"/>
      <c r="AL221" s="42"/>
      <c r="AM221" s="26"/>
      <c r="AN221" s="42"/>
      <c r="AO221" s="26"/>
      <c r="AP221" s="42"/>
      <c r="AQ221" s="26"/>
      <c r="AR221" s="43"/>
      <c r="AT221" s="43"/>
      <c r="AU221" s="26"/>
      <c r="AV221" s="35">
        <f t="shared" si="1"/>
        <v>3676.52064</v>
      </c>
      <c r="AW221" s="33">
        <f t="shared" si="2"/>
        <v>344</v>
      </c>
      <c r="AX221" s="33">
        <f t="shared" si="3"/>
        <v>0</v>
      </c>
      <c r="AY221" s="33">
        <f t="shared" si="4"/>
        <v>344</v>
      </c>
      <c r="AZ221" s="30">
        <f t="shared" si="5"/>
        <v>10.68756</v>
      </c>
    </row>
    <row r="222" ht="15.75" customHeight="1">
      <c r="A222" s="31" t="s">
        <v>34</v>
      </c>
      <c r="B222" s="32">
        <f t="shared" si="6"/>
        <v>45511</v>
      </c>
      <c r="C222" s="33">
        <v>8.0</v>
      </c>
      <c r="D222" s="33" t="s">
        <v>49</v>
      </c>
      <c r="E222" s="34"/>
      <c r="F222" s="42">
        <v>0.0</v>
      </c>
      <c r="H222" s="43">
        <v>0.0</v>
      </c>
      <c r="J222" s="43">
        <v>0.0</v>
      </c>
      <c r="L222" s="43">
        <v>0.0</v>
      </c>
      <c r="N222" s="43">
        <v>0.0</v>
      </c>
      <c r="P222" s="43">
        <v>0.0</v>
      </c>
      <c r="Q222" s="26"/>
      <c r="R222" s="42">
        <v>172.0</v>
      </c>
      <c r="T222" s="43">
        <v>172.0</v>
      </c>
      <c r="V222" s="43">
        <v>0.0</v>
      </c>
      <c r="X222" s="43">
        <v>0.0</v>
      </c>
      <c r="Z222" s="43">
        <v>0.0</v>
      </c>
      <c r="AB222" s="43">
        <v>0.0</v>
      </c>
      <c r="AC222" s="26"/>
      <c r="AD222" s="43">
        <v>0.0</v>
      </c>
      <c r="AF222" s="43">
        <v>0.0</v>
      </c>
      <c r="AH222" s="43">
        <v>0.0</v>
      </c>
      <c r="AJ222" s="27">
        <v>0.0</v>
      </c>
      <c r="AK222" s="26"/>
      <c r="AL222" s="42"/>
      <c r="AM222" s="26"/>
      <c r="AN222" s="42"/>
      <c r="AO222" s="26"/>
      <c r="AP222" s="42"/>
      <c r="AQ222" s="26"/>
      <c r="AR222" s="43"/>
      <c r="AT222" s="43"/>
      <c r="AU222" s="26"/>
      <c r="AV222" s="35">
        <f t="shared" si="1"/>
        <v>3676.52064</v>
      </c>
      <c r="AW222" s="33">
        <f t="shared" si="2"/>
        <v>344</v>
      </c>
      <c r="AX222" s="33">
        <f t="shared" si="3"/>
        <v>0</v>
      </c>
      <c r="AY222" s="33">
        <f t="shared" si="4"/>
        <v>344</v>
      </c>
      <c r="AZ222" s="30">
        <f t="shared" si="5"/>
        <v>10.68756</v>
      </c>
    </row>
    <row r="223" ht="15.75" customHeight="1">
      <c r="A223" s="31" t="s">
        <v>35</v>
      </c>
      <c r="B223" s="32">
        <f t="shared" si="6"/>
        <v>45512</v>
      </c>
      <c r="C223" s="33">
        <v>8.0</v>
      </c>
      <c r="D223" s="33" t="s">
        <v>49</v>
      </c>
      <c r="E223" s="34"/>
      <c r="F223" s="42">
        <v>0.0</v>
      </c>
      <c r="H223" s="43">
        <v>0.0</v>
      </c>
      <c r="J223" s="43">
        <v>0.0</v>
      </c>
      <c r="L223" s="43">
        <v>0.0</v>
      </c>
      <c r="N223" s="43">
        <v>0.0</v>
      </c>
      <c r="P223" s="43">
        <v>0.0</v>
      </c>
      <c r="Q223" s="26"/>
      <c r="R223" s="42">
        <v>172.0</v>
      </c>
      <c r="T223" s="43">
        <v>172.0</v>
      </c>
      <c r="V223" s="43">
        <v>0.0</v>
      </c>
      <c r="X223" s="43">
        <v>0.0</v>
      </c>
      <c r="Z223" s="43">
        <v>0.0</v>
      </c>
      <c r="AB223" s="43">
        <v>0.0</v>
      </c>
      <c r="AC223" s="26"/>
      <c r="AD223" s="43">
        <v>0.0</v>
      </c>
      <c r="AF223" s="43">
        <v>0.0</v>
      </c>
      <c r="AH223" s="43">
        <v>0.0</v>
      </c>
      <c r="AJ223" s="27">
        <v>0.0</v>
      </c>
      <c r="AK223" s="26"/>
      <c r="AL223" s="42"/>
      <c r="AM223" s="26"/>
      <c r="AN223" s="42"/>
      <c r="AO223" s="26"/>
      <c r="AP223" s="42"/>
      <c r="AQ223" s="26"/>
      <c r="AR223" s="43"/>
      <c r="AT223" s="43"/>
      <c r="AU223" s="26"/>
      <c r="AV223" s="35">
        <f t="shared" si="1"/>
        <v>3676.52064</v>
      </c>
      <c r="AW223" s="33">
        <f t="shared" si="2"/>
        <v>344</v>
      </c>
      <c r="AX223" s="33">
        <f t="shared" si="3"/>
        <v>0</v>
      </c>
      <c r="AY223" s="33">
        <f t="shared" si="4"/>
        <v>344</v>
      </c>
      <c r="AZ223" s="30">
        <f t="shared" si="5"/>
        <v>10.68756</v>
      </c>
    </row>
    <row r="224" ht="15.75" customHeight="1">
      <c r="A224" s="31" t="s">
        <v>38</v>
      </c>
      <c r="B224" s="32">
        <f t="shared" si="6"/>
        <v>45513</v>
      </c>
      <c r="C224" s="33">
        <v>8.0</v>
      </c>
      <c r="D224" s="33" t="s">
        <v>49</v>
      </c>
      <c r="E224" s="34"/>
      <c r="F224" s="42">
        <v>0.0</v>
      </c>
      <c r="H224" s="43">
        <v>0.0</v>
      </c>
      <c r="J224" s="43">
        <v>0.0</v>
      </c>
      <c r="L224" s="43">
        <v>0.0</v>
      </c>
      <c r="N224" s="43">
        <v>0.0</v>
      </c>
      <c r="P224" s="43">
        <v>0.0</v>
      </c>
      <c r="Q224" s="26"/>
      <c r="R224" s="42">
        <v>172.0</v>
      </c>
      <c r="T224" s="43">
        <v>172.0</v>
      </c>
      <c r="V224" s="43">
        <v>0.0</v>
      </c>
      <c r="X224" s="43">
        <v>0.0</v>
      </c>
      <c r="Z224" s="43">
        <v>0.0</v>
      </c>
      <c r="AB224" s="43">
        <v>0.0</v>
      </c>
      <c r="AC224" s="26"/>
      <c r="AD224" s="43">
        <v>0.0</v>
      </c>
      <c r="AF224" s="43">
        <v>0.0</v>
      </c>
      <c r="AH224" s="43">
        <v>0.0</v>
      </c>
      <c r="AJ224" s="27">
        <v>0.0</v>
      </c>
      <c r="AK224" s="26"/>
      <c r="AL224" s="42"/>
      <c r="AM224" s="26"/>
      <c r="AN224" s="42"/>
      <c r="AO224" s="26"/>
      <c r="AP224" s="42"/>
      <c r="AQ224" s="26"/>
      <c r="AR224" s="43"/>
      <c r="AT224" s="43"/>
      <c r="AU224" s="26"/>
      <c r="AV224" s="35">
        <f t="shared" si="1"/>
        <v>3676.52064</v>
      </c>
      <c r="AW224" s="33">
        <f t="shared" si="2"/>
        <v>344</v>
      </c>
      <c r="AX224" s="33">
        <f t="shared" si="3"/>
        <v>0</v>
      </c>
      <c r="AY224" s="33">
        <f t="shared" si="4"/>
        <v>344</v>
      </c>
      <c r="AZ224" s="30">
        <f t="shared" si="5"/>
        <v>10.68756</v>
      </c>
    </row>
    <row r="225" ht="15.75" customHeight="1">
      <c r="A225" s="31" t="s">
        <v>45</v>
      </c>
      <c r="B225" s="32">
        <f t="shared" si="6"/>
        <v>45514</v>
      </c>
      <c r="C225" s="33">
        <v>8.0</v>
      </c>
      <c r="D225" s="33" t="s">
        <v>49</v>
      </c>
      <c r="E225" s="34"/>
      <c r="F225" s="42">
        <v>0.0</v>
      </c>
      <c r="H225" s="43">
        <v>0.0</v>
      </c>
      <c r="J225" s="43">
        <v>0.0</v>
      </c>
      <c r="L225" s="43">
        <v>0.0</v>
      </c>
      <c r="N225" s="43">
        <v>0.0</v>
      </c>
      <c r="P225" s="43">
        <v>0.0</v>
      </c>
      <c r="Q225" s="26"/>
      <c r="R225" s="42">
        <v>160.0</v>
      </c>
      <c r="T225" s="43">
        <v>160.0</v>
      </c>
      <c r="V225" s="43">
        <v>0.0</v>
      </c>
      <c r="X225" s="43">
        <v>0.0</v>
      </c>
      <c r="Z225" s="43">
        <v>0.0</v>
      </c>
      <c r="AB225" s="43">
        <v>0.0</v>
      </c>
      <c r="AC225" s="26"/>
      <c r="AD225" s="43">
        <v>0.0</v>
      </c>
      <c r="AF225" s="43">
        <v>0.0</v>
      </c>
      <c r="AH225" s="43">
        <v>0.0</v>
      </c>
      <c r="AJ225" s="27">
        <v>0.0</v>
      </c>
      <c r="AK225" s="26"/>
      <c r="AL225" s="42"/>
      <c r="AM225" s="26"/>
      <c r="AN225" s="42"/>
      <c r="AO225" s="26"/>
      <c r="AP225" s="42"/>
      <c r="AQ225" s="26"/>
      <c r="AR225" s="43"/>
      <c r="AT225" s="43"/>
      <c r="AU225" s="26"/>
      <c r="AV225" s="35">
        <f t="shared" si="1"/>
        <v>3420.0192</v>
      </c>
      <c r="AW225" s="33">
        <f t="shared" si="2"/>
        <v>320</v>
      </c>
      <c r="AX225" s="33">
        <f t="shared" si="3"/>
        <v>0</v>
      </c>
      <c r="AY225" s="33">
        <f t="shared" si="4"/>
        <v>320</v>
      </c>
      <c r="AZ225" s="30">
        <f t="shared" si="5"/>
        <v>10.68756</v>
      </c>
    </row>
    <row r="226" ht="15.75" customHeight="1">
      <c r="A226" s="44" t="s">
        <v>46</v>
      </c>
      <c r="B226" s="45">
        <f t="shared" si="6"/>
        <v>45515</v>
      </c>
      <c r="C226" s="46">
        <v>8.0</v>
      </c>
      <c r="D226" s="46" t="s">
        <v>49</v>
      </c>
      <c r="E226" s="47"/>
      <c r="F226" s="66">
        <v>0.0</v>
      </c>
      <c r="G226" s="51"/>
      <c r="H226" s="67">
        <v>0.0</v>
      </c>
      <c r="I226" s="51"/>
      <c r="J226" s="67">
        <v>0.0</v>
      </c>
      <c r="K226" s="51"/>
      <c r="L226" s="67">
        <v>0.0</v>
      </c>
      <c r="M226" s="51"/>
      <c r="N226" s="67">
        <v>0.0</v>
      </c>
      <c r="O226" s="51"/>
      <c r="P226" s="67">
        <v>0.0</v>
      </c>
      <c r="Q226" s="53"/>
      <c r="R226" s="66">
        <v>0.0</v>
      </c>
      <c r="S226" s="51"/>
      <c r="T226" s="67">
        <v>0.0</v>
      </c>
      <c r="U226" s="51"/>
      <c r="V226" s="67">
        <v>0.0</v>
      </c>
      <c r="W226" s="51"/>
      <c r="X226" s="67">
        <v>0.0</v>
      </c>
      <c r="Y226" s="51"/>
      <c r="Z226" s="67">
        <v>0.0</v>
      </c>
      <c r="AA226" s="51"/>
      <c r="AB226" s="67">
        <v>0.0</v>
      </c>
      <c r="AC226" s="53"/>
      <c r="AD226" s="67">
        <v>0.0</v>
      </c>
      <c r="AE226" s="51"/>
      <c r="AF226" s="67">
        <v>0.0</v>
      </c>
      <c r="AG226" s="51"/>
      <c r="AH226" s="67">
        <v>0.0</v>
      </c>
      <c r="AI226" s="51"/>
      <c r="AJ226" s="54">
        <v>0.0</v>
      </c>
      <c r="AK226" s="53"/>
      <c r="AL226" s="66"/>
      <c r="AM226" s="53"/>
      <c r="AN226" s="66"/>
      <c r="AO226" s="53"/>
      <c r="AP226" s="66"/>
      <c r="AQ226" s="53"/>
      <c r="AR226" s="67"/>
      <c r="AS226" s="51"/>
      <c r="AT226" s="67"/>
      <c r="AU226" s="53"/>
      <c r="AV226" s="55">
        <f t="shared" si="1"/>
        <v>0</v>
      </c>
      <c r="AW226" s="46">
        <f t="shared" si="2"/>
        <v>0</v>
      </c>
      <c r="AX226" s="46">
        <f t="shared" si="3"/>
        <v>0</v>
      </c>
      <c r="AY226" s="46">
        <f t="shared" si="4"/>
        <v>0</v>
      </c>
      <c r="AZ226" s="56" t="str">
        <f t="shared" si="5"/>
        <v/>
      </c>
    </row>
    <row r="227" ht="15.75" customHeight="1">
      <c r="A227" s="19" t="s">
        <v>30</v>
      </c>
      <c r="B227" s="57">
        <f t="shared" si="6"/>
        <v>45516</v>
      </c>
      <c r="C227" s="21">
        <v>9.0</v>
      </c>
      <c r="D227" s="21" t="s">
        <v>31</v>
      </c>
      <c r="E227" s="23"/>
      <c r="F227" s="42">
        <v>0.0</v>
      </c>
      <c r="H227" s="43">
        <v>0.0</v>
      </c>
      <c r="J227" s="43">
        <v>0.0</v>
      </c>
      <c r="L227" s="43">
        <v>0.0</v>
      </c>
      <c r="N227" s="43">
        <v>0.0</v>
      </c>
      <c r="P227" s="43">
        <v>0.0</v>
      </c>
      <c r="Q227" s="26"/>
      <c r="R227" s="42">
        <v>160.0</v>
      </c>
      <c r="T227" s="43">
        <v>160.0</v>
      </c>
      <c r="V227" s="43">
        <v>0.0</v>
      </c>
      <c r="X227" s="43">
        <v>0.0</v>
      </c>
      <c r="Z227" s="43">
        <v>0.0</v>
      </c>
      <c r="AB227" s="43">
        <v>0.0</v>
      </c>
      <c r="AC227" s="26"/>
      <c r="AD227" s="43">
        <v>0.0</v>
      </c>
      <c r="AF227" s="43">
        <v>0.0</v>
      </c>
      <c r="AH227" s="43">
        <v>0.0</v>
      </c>
      <c r="AJ227" s="27">
        <v>0.0</v>
      </c>
      <c r="AK227" s="26"/>
      <c r="AL227" s="42"/>
      <c r="AM227" s="26"/>
      <c r="AN227" s="42"/>
      <c r="AO227" s="26"/>
      <c r="AP227" s="42"/>
      <c r="AQ227" s="26"/>
      <c r="AR227" s="43"/>
      <c r="AT227" s="43"/>
      <c r="AU227" s="26"/>
      <c r="AV227" s="29">
        <f t="shared" si="1"/>
        <v>3420.0192</v>
      </c>
      <c r="AW227" s="21">
        <f t="shared" si="2"/>
        <v>320</v>
      </c>
      <c r="AX227" s="21">
        <f t="shared" si="3"/>
        <v>0</v>
      </c>
      <c r="AY227" s="21">
        <f t="shared" si="4"/>
        <v>320</v>
      </c>
      <c r="AZ227" s="58">
        <f t="shared" si="5"/>
        <v>10.68756</v>
      </c>
    </row>
    <row r="228" ht="15.75" customHeight="1">
      <c r="A228" s="31" t="s">
        <v>33</v>
      </c>
      <c r="B228" s="32">
        <f t="shared" si="6"/>
        <v>45517</v>
      </c>
      <c r="C228" s="33">
        <v>9.0</v>
      </c>
      <c r="D228" s="33" t="s">
        <v>31</v>
      </c>
      <c r="E228" s="34"/>
      <c r="F228" s="42">
        <v>0.0</v>
      </c>
      <c r="H228" s="43">
        <v>0.0</v>
      </c>
      <c r="J228" s="43">
        <v>0.0</v>
      </c>
      <c r="L228" s="43">
        <v>0.0</v>
      </c>
      <c r="N228" s="43">
        <v>0.0</v>
      </c>
      <c r="P228" s="43">
        <v>0.0</v>
      </c>
      <c r="Q228" s="26"/>
      <c r="R228" s="42">
        <v>160.0</v>
      </c>
      <c r="T228" s="43">
        <v>160.0</v>
      </c>
      <c r="V228" s="43">
        <v>0.0</v>
      </c>
      <c r="X228" s="43">
        <v>0.0</v>
      </c>
      <c r="Z228" s="43">
        <v>0.0</v>
      </c>
      <c r="AB228" s="43">
        <v>0.0</v>
      </c>
      <c r="AC228" s="26"/>
      <c r="AD228" s="43">
        <v>0.0</v>
      </c>
      <c r="AF228" s="43">
        <v>0.0</v>
      </c>
      <c r="AH228" s="43">
        <v>50.0</v>
      </c>
      <c r="AJ228" s="27">
        <v>0.0</v>
      </c>
      <c r="AK228" s="26"/>
      <c r="AL228" s="42"/>
      <c r="AM228" s="26"/>
      <c r="AN228" s="42"/>
      <c r="AO228" s="26"/>
      <c r="AP228" s="42"/>
      <c r="AQ228" s="26"/>
      <c r="AR228" s="43"/>
      <c r="AT228" s="43"/>
      <c r="AU228" s="26"/>
      <c r="AV228" s="35">
        <f t="shared" si="1"/>
        <v>4184.1692</v>
      </c>
      <c r="AW228" s="33">
        <f t="shared" si="2"/>
        <v>370</v>
      </c>
      <c r="AX228" s="33">
        <f t="shared" si="3"/>
        <v>0</v>
      </c>
      <c r="AY228" s="33">
        <f t="shared" si="4"/>
        <v>370</v>
      </c>
      <c r="AZ228" s="30">
        <f t="shared" si="5"/>
        <v>11.30856541</v>
      </c>
    </row>
    <row r="229" ht="15.75" customHeight="1">
      <c r="A229" s="31" t="s">
        <v>34</v>
      </c>
      <c r="B229" s="32">
        <f t="shared" si="6"/>
        <v>45518</v>
      </c>
      <c r="C229" s="33">
        <v>9.0</v>
      </c>
      <c r="D229" s="33" t="s">
        <v>31</v>
      </c>
      <c r="E229" s="74"/>
      <c r="F229" s="42">
        <v>0.0</v>
      </c>
      <c r="H229" s="43">
        <v>0.0</v>
      </c>
      <c r="J229" s="43">
        <v>0.0</v>
      </c>
      <c r="L229" s="43">
        <v>0.0</v>
      </c>
      <c r="N229" s="43">
        <v>0.0</v>
      </c>
      <c r="P229" s="43">
        <v>0.0</v>
      </c>
      <c r="Q229" s="26"/>
      <c r="R229" s="42">
        <v>160.0</v>
      </c>
      <c r="T229" s="43">
        <v>160.0</v>
      </c>
      <c r="V229" s="43">
        <v>0.0</v>
      </c>
      <c r="X229" s="43">
        <v>0.0</v>
      </c>
      <c r="Z229" s="43">
        <v>0.0</v>
      </c>
      <c r="AB229" s="43">
        <v>0.0</v>
      </c>
      <c r="AC229" s="26"/>
      <c r="AD229" s="43">
        <v>0.0</v>
      </c>
      <c r="AF229" s="43">
        <v>0.0</v>
      </c>
      <c r="AH229" s="43">
        <v>50.0</v>
      </c>
      <c r="AJ229" s="78"/>
      <c r="AK229" s="26"/>
      <c r="AL229" s="42"/>
      <c r="AM229" s="26"/>
      <c r="AN229" s="42"/>
      <c r="AO229" s="26"/>
      <c r="AP229" s="42"/>
      <c r="AQ229" s="26"/>
      <c r="AR229" s="43"/>
      <c r="AT229" s="43"/>
      <c r="AU229" s="26"/>
      <c r="AV229" s="35">
        <f t="shared" si="1"/>
        <v>4184.1692</v>
      </c>
      <c r="AW229" s="33">
        <f t="shared" si="2"/>
        <v>370</v>
      </c>
      <c r="AX229" s="33">
        <f t="shared" si="3"/>
        <v>0</v>
      </c>
      <c r="AY229" s="33">
        <f t="shared" si="4"/>
        <v>370</v>
      </c>
      <c r="AZ229" s="30">
        <f t="shared" si="5"/>
        <v>11.30856541</v>
      </c>
    </row>
    <row r="230" ht="15.75" customHeight="1">
      <c r="A230" s="31" t="s">
        <v>35</v>
      </c>
      <c r="B230" s="32">
        <f t="shared" si="6"/>
        <v>45519</v>
      </c>
      <c r="C230" s="33">
        <v>9.0</v>
      </c>
      <c r="D230" s="33" t="s">
        <v>31</v>
      </c>
      <c r="E230" s="34"/>
      <c r="F230" s="42">
        <v>0.0</v>
      </c>
      <c r="H230" s="43">
        <v>0.0</v>
      </c>
      <c r="J230" s="43">
        <v>0.0</v>
      </c>
      <c r="L230" s="43">
        <v>0.0</v>
      </c>
      <c r="N230" s="43">
        <v>0.0</v>
      </c>
      <c r="P230" s="43">
        <v>0.0</v>
      </c>
      <c r="Q230" s="26"/>
      <c r="R230" s="42">
        <v>160.0</v>
      </c>
      <c r="T230" s="43">
        <v>160.0</v>
      </c>
      <c r="V230" s="43">
        <v>0.0</v>
      </c>
      <c r="X230" s="43">
        <v>0.0</v>
      </c>
      <c r="Z230" s="43">
        <v>0.0</v>
      </c>
      <c r="AB230" s="43">
        <v>0.0</v>
      </c>
      <c r="AC230" s="26"/>
      <c r="AD230" s="43">
        <v>0.0</v>
      </c>
      <c r="AF230" s="43">
        <v>0.0</v>
      </c>
      <c r="AH230" s="43">
        <v>50.0</v>
      </c>
      <c r="AJ230" s="27">
        <v>0.0</v>
      </c>
      <c r="AK230" s="26"/>
      <c r="AL230" s="42"/>
      <c r="AM230" s="26"/>
      <c r="AN230" s="42"/>
      <c r="AO230" s="26"/>
      <c r="AP230" s="42"/>
      <c r="AQ230" s="26"/>
      <c r="AR230" s="43"/>
      <c r="AT230" s="43"/>
      <c r="AU230" s="26"/>
      <c r="AV230" s="35">
        <f t="shared" si="1"/>
        <v>4184.1692</v>
      </c>
      <c r="AW230" s="33">
        <f t="shared" si="2"/>
        <v>370</v>
      </c>
      <c r="AX230" s="33">
        <f t="shared" si="3"/>
        <v>0</v>
      </c>
      <c r="AY230" s="33">
        <f t="shared" si="4"/>
        <v>370</v>
      </c>
      <c r="AZ230" s="30">
        <f t="shared" si="5"/>
        <v>11.30856541</v>
      </c>
    </row>
    <row r="231" ht="15.75" customHeight="1">
      <c r="A231" s="31" t="s">
        <v>38</v>
      </c>
      <c r="B231" s="32">
        <f t="shared" si="6"/>
        <v>45520</v>
      </c>
      <c r="C231" s="33">
        <v>9.0</v>
      </c>
      <c r="D231" s="33" t="s">
        <v>31</v>
      </c>
      <c r="E231" s="34"/>
      <c r="F231" s="42">
        <v>0.0</v>
      </c>
      <c r="H231" s="43">
        <v>0.0</v>
      </c>
      <c r="J231" s="43">
        <v>0.0</v>
      </c>
      <c r="L231" s="43">
        <v>0.0</v>
      </c>
      <c r="N231" s="43">
        <v>0.0</v>
      </c>
      <c r="P231" s="43">
        <v>0.0</v>
      </c>
      <c r="Q231" s="26"/>
      <c r="R231" s="42">
        <v>160.0</v>
      </c>
      <c r="T231" s="43">
        <v>160.0</v>
      </c>
      <c r="V231" s="43">
        <v>0.0</v>
      </c>
      <c r="X231" s="43">
        <v>0.0</v>
      </c>
      <c r="Z231" s="43">
        <v>0.0</v>
      </c>
      <c r="AB231" s="43">
        <v>0.0</v>
      </c>
      <c r="AC231" s="26"/>
      <c r="AD231" s="43">
        <v>0.0</v>
      </c>
      <c r="AF231" s="43">
        <v>0.0</v>
      </c>
      <c r="AH231" s="43">
        <v>50.0</v>
      </c>
      <c r="AJ231" s="27">
        <v>0.0</v>
      </c>
      <c r="AK231" s="26"/>
      <c r="AL231" s="42"/>
      <c r="AM231" s="26"/>
      <c r="AN231" s="42"/>
      <c r="AO231" s="26"/>
      <c r="AP231" s="42"/>
      <c r="AQ231" s="26"/>
      <c r="AR231" s="43"/>
      <c r="AT231" s="43"/>
      <c r="AU231" s="26"/>
      <c r="AV231" s="35">
        <f t="shared" si="1"/>
        <v>4184.1692</v>
      </c>
      <c r="AW231" s="33">
        <f t="shared" si="2"/>
        <v>370</v>
      </c>
      <c r="AX231" s="33">
        <f t="shared" si="3"/>
        <v>0</v>
      </c>
      <c r="AY231" s="33">
        <f t="shared" si="4"/>
        <v>370</v>
      </c>
      <c r="AZ231" s="30">
        <f t="shared" si="5"/>
        <v>11.30856541</v>
      </c>
    </row>
    <row r="232" ht="15.75" customHeight="1">
      <c r="A232" s="31" t="s">
        <v>45</v>
      </c>
      <c r="B232" s="32">
        <f t="shared" si="6"/>
        <v>45521</v>
      </c>
      <c r="C232" s="33">
        <v>9.0</v>
      </c>
      <c r="D232" s="33" t="s">
        <v>31</v>
      </c>
      <c r="E232" s="34"/>
      <c r="F232" s="42">
        <v>0.0</v>
      </c>
      <c r="H232" s="43">
        <v>0.0</v>
      </c>
      <c r="J232" s="43">
        <v>0.0</v>
      </c>
      <c r="L232" s="43">
        <v>0.0</v>
      </c>
      <c r="N232" s="43">
        <v>0.0</v>
      </c>
      <c r="P232" s="43">
        <v>0.0</v>
      </c>
      <c r="Q232" s="26"/>
      <c r="R232" s="42">
        <v>160.0</v>
      </c>
      <c r="T232" s="43">
        <v>160.0</v>
      </c>
      <c r="V232" s="43">
        <v>0.0</v>
      </c>
      <c r="X232" s="43">
        <v>0.0</v>
      </c>
      <c r="Z232" s="43">
        <v>0.0</v>
      </c>
      <c r="AB232" s="43">
        <v>0.0</v>
      </c>
      <c r="AC232" s="26"/>
      <c r="AD232" s="43">
        <v>0.0</v>
      </c>
      <c r="AF232" s="43">
        <v>0.0</v>
      </c>
      <c r="AH232" s="43">
        <v>50.0</v>
      </c>
      <c r="AJ232" s="27">
        <v>0.0</v>
      </c>
      <c r="AK232" s="26"/>
      <c r="AL232" s="42"/>
      <c r="AM232" s="26"/>
      <c r="AN232" s="42"/>
      <c r="AO232" s="26"/>
      <c r="AP232" s="42"/>
      <c r="AQ232" s="26"/>
      <c r="AR232" s="43"/>
      <c r="AT232" s="43"/>
      <c r="AU232" s="26"/>
      <c r="AV232" s="35">
        <f t="shared" si="1"/>
        <v>4184.1692</v>
      </c>
      <c r="AW232" s="33">
        <f t="shared" si="2"/>
        <v>370</v>
      </c>
      <c r="AX232" s="33">
        <f t="shared" si="3"/>
        <v>0</v>
      </c>
      <c r="AY232" s="33">
        <f t="shared" si="4"/>
        <v>370</v>
      </c>
      <c r="AZ232" s="30">
        <f t="shared" si="5"/>
        <v>11.30856541</v>
      </c>
    </row>
    <row r="233" ht="15.75" customHeight="1">
      <c r="A233" s="44" t="s">
        <v>46</v>
      </c>
      <c r="B233" s="45">
        <f t="shared" si="6"/>
        <v>45522</v>
      </c>
      <c r="C233" s="46">
        <v>9.0</v>
      </c>
      <c r="D233" s="46" t="s">
        <v>31</v>
      </c>
      <c r="E233" s="47"/>
      <c r="F233" s="66">
        <v>0.0</v>
      </c>
      <c r="G233" s="51"/>
      <c r="H233" s="67">
        <v>0.0</v>
      </c>
      <c r="I233" s="51"/>
      <c r="J233" s="67">
        <v>0.0</v>
      </c>
      <c r="K233" s="51"/>
      <c r="L233" s="67">
        <v>0.0</v>
      </c>
      <c r="M233" s="51"/>
      <c r="N233" s="67">
        <v>0.0</v>
      </c>
      <c r="O233" s="51"/>
      <c r="P233" s="67">
        <v>0.0</v>
      </c>
      <c r="Q233" s="53"/>
      <c r="R233" s="66">
        <v>0.0</v>
      </c>
      <c r="S233" s="51"/>
      <c r="T233" s="67">
        <v>0.0</v>
      </c>
      <c r="U233" s="51"/>
      <c r="V233" s="67">
        <v>0.0</v>
      </c>
      <c r="W233" s="51"/>
      <c r="X233" s="67">
        <v>0.0</v>
      </c>
      <c r="Y233" s="51"/>
      <c r="Z233" s="67">
        <v>0.0</v>
      </c>
      <c r="AA233" s="51"/>
      <c r="AB233" s="67">
        <v>0.0</v>
      </c>
      <c r="AC233" s="53"/>
      <c r="AD233" s="67">
        <v>0.0</v>
      </c>
      <c r="AE233" s="51"/>
      <c r="AF233" s="67">
        <v>0.0</v>
      </c>
      <c r="AG233" s="51"/>
      <c r="AH233" s="67">
        <v>0.0</v>
      </c>
      <c r="AI233" s="51"/>
      <c r="AJ233" s="54">
        <v>0.0</v>
      </c>
      <c r="AK233" s="53"/>
      <c r="AL233" s="66"/>
      <c r="AM233" s="53"/>
      <c r="AN233" s="66"/>
      <c r="AO233" s="53"/>
      <c r="AP233" s="66"/>
      <c r="AQ233" s="53"/>
      <c r="AR233" s="67"/>
      <c r="AS233" s="51"/>
      <c r="AT233" s="67"/>
      <c r="AU233" s="53"/>
      <c r="AV233" s="55">
        <f t="shared" si="1"/>
        <v>0</v>
      </c>
      <c r="AW233" s="46">
        <f t="shared" si="2"/>
        <v>0</v>
      </c>
      <c r="AX233" s="46">
        <f t="shared" si="3"/>
        <v>0</v>
      </c>
      <c r="AY233" s="46">
        <f t="shared" si="4"/>
        <v>0</v>
      </c>
      <c r="AZ233" s="56" t="str">
        <f t="shared" si="5"/>
        <v/>
      </c>
    </row>
    <row r="234" ht="15.75" customHeight="1">
      <c r="A234" s="19" t="s">
        <v>30</v>
      </c>
      <c r="B234" s="57">
        <f t="shared" si="6"/>
        <v>45523</v>
      </c>
      <c r="C234" s="21">
        <v>9.0</v>
      </c>
      <c r="D234" s="21" t="s">
        <v>47</v>
      </c>
      <c r="E234" s="23"/>
      <c r="F234" s="42">
        <v>0.0</v>
      </c>
      <c r="H234" s="43">
        <v>0.0</v>
      </c>
      <c r="J234" s="43">
        <v>0.0</v>
      </c>
      <c r="L234" s="43">
        <v>0.0</v>
      </c>
      <c r="N234" s="43">
        <v>0.0</v>
      </c>
      <c r="P234" s="43">
        <v>0.0</v>
      </c>
      <c r="Q234" s="26"/>
      <c r="R234" s="42">
        <v>160.0</v>
      </c>
      <c r="T234" s="43">
        <v>160.0</v>
      </c>
      <c r="V234" s="43">
        <v>0.0</v>
      </c>
      <c r="X234" s="43">
        <v>0.0</v>
      </c>
      <c r="Z234" s="43">
        <v>0.0</v>
      </c>
      <c r="AB234" s="43">
        <v>0.0</v>
      </c>
      <c r="AC234" s="26"/>
      <c r="AD234" s="43">
        <v>0.0</v>
      </c>
      <c r="AF234" s="43">
        <v>0.0</v>
      </c>
      <c r="AH234" s="43">
        <v>0.0</v>
      </c>
      <c r="AJ234" s="27">
        <v>0.0</v>
      </c>
      <c r="AK234" s="26"/>
      <c r="AL234" s="42"/>
      <c r="AM234" s="26"/>
      <c r="AN234" s="42"/>
      <c r="AO234" s="26"/>
      <c r="AP234" s="42"/>
      <c r="AQ234" s="26"/>
      <c r="AR234" s="43"/>
      <c r="AT234" s="43"/>
      <c r="AU234" s="26"/>
      <c r="AV234" s="29">
        <f t="shared" si="1"/>
        <v>3420.0192</v>
      </c>
      <c r="AW234" s="21">
        <f t="shared" si="2"/>
        <v>320</v>
      </c>
      <c r="AX234" s="21">
        <f t="shared" si="3"/>
        <v>0</v>
      </c>
      <c r="AY234" s="21">
        <f t="shared" si="4"/>
        <v>320</v>
      </c>
      <c r="AZ234" s="58">
        <f t="shared" si="5"/>
        <v>10.68756</v>
      </c>
    </row>
    <row r="235" ht="15.75" customHeight="1">
      <c r="A235" s="31" t="s">
        <v>33</v>
      </c>
      <c r="B235" s="32">
        <f t="shared" si="6"/>
        <v>45524</v>
      </c>
      <c r="C235" s="33">
        <v>9.0</v>
      </c>
      <c r="D235" s="33" t="s">
        <v>47</v>
      </c>
      <c r="E235" s="34"/>
      <c r="F235" s="42">
        <v>0.0</v>
      </c>
      <c r="H235" s="43">
        <v>0.0</v>
      </c>
      <c r="J235" s="43">
        <v>0.0</v>
      </c>
      <c r="L235" s="43">
        <v>0.0</v>
      </c>
      <c r="N235" s="43">
        <v>0.0</v>
      </c>
      <c r="P235" s="43">
        <v>0.0</v>
      </c>
      <c r="Q235" s="26"/>
      <c r="R235" s="42">
        <v>160.0</v>
      </c>
      <c r="T235" s="43">
        <v>160.0</v>
      </c>
      <c r="V235" s="43">
        <v>0.0</v>
      </c>
      <c r="X235" s="43">
        <v>0.0</v>
      </c>
      <c r="Z235" s="43">
        <v>0.0</v>
      </c>
      <c r="AB235" s="43">
        <v>0.0</v>
      </c>
      <c r="AC235" s="26"/>
      <c r="AD235" s="43">
        <v>0.0</v>
      </c>
      <c r="AF235" s="43">
        <v>50.0</v>
      </c>
      <c r="AH235" s="43">
        <v>50.0</v>
      </c>
      <c r="AJ235" s="27">
        <v>0.0</v>
      </c>
      <c r="AK235" s="26"/>
      <c r="AL235" s="42"/>
      <c r="AM235" s="26"/>
      <c r="AN235" s="42"/>
      <c r="AO235" s="26"/>
      <c r="AP235" s="42"/>
      <c r="AQ235" s="26"/>
      <c r="AR235" s="43"/>
      <c r="AT235" s="43"/>
      <c r="AU235" s="26"/>
      <c r="AV235" s="35">
        <f t="shared" si="1"/>
        <v>4948.3192</v>
      </c>
      <c r="AW235" s="33">
        <f t="shared" si="2"/>
        <v>420</v>
      </c>
      <c r="AX235" s="33">
        <f t="shared" si="3"/>
        <v>0</v>
      </c>
      <c r="AY235" s="33">
        <f t="shared" si="4"/>
        <v>420</v>
      </c>
      <c r="AZ235" s="30">
        <f t="shared" si="5"/>
        <v>11.78171238</v>
      </c>
    </row>
    <row r="236" ht="15.75" customHeight="1">
      <c r="A236" s="31" t="s">
        <v>34</v>
      </c>
      <c r="B236" s="32">
        <f t="shared" si="6"/>
        <v>45525</v>
      </c>
      <c r="C236" s="33">
        <v>9.0</v>
      </c>
      <c r="D236" s="33" t="s">
        <v>47</v>
      </c>
      <c r="E236" s="34"/>
      <c r="F236" s="42">
        <v>0.0</v>
      </c>
      <c r="H236" s="43">
        <v>0.0</v>
      </c>
      <c r="J236" s="43">
        <v>0.0</v>
      </c>
      <c r="L236" s="43">
        <v>0.0</v>
      </c>
      <c r="N236" s="43">
        <v>0.0</v>
      </c>
      <c r="P236" s="43">
        <v>0.0</v>
      </c>
      <c r="Q236" s="26"/>
      <c r="R236" s="42">
        <v>50.0</v>
      </c>
      <c r="T236" s="43">
        <v>50.0</v>
      </c>
      <c r="V236" s="43">
        <v>0.0</v>
      </c>
      <c r="X236" s="43">
        <v>0.0</v>
      </c>
      <c r="Z236" s="43">
        <v>0.0</v>
      </c>
      <c r="AB236" s="43">
        <v>0.0</v>
      </c>
      <c r="AC236" s="26"/>
      <c r="AD236" s="43">
        <v>0.0</v>
      </c>
      <c r="AF236" s="43">
        <v>50.0</v>
      </c>
      <c r="AH236" s="43">
        <v>50.0</v>
      </c>
      <c r="AJ236" s="27">
        <v>0.0</v>
      </c>
      <c r="AK236" s="26"/>
      <c r="AL236" s="42"/>
      <c r="AM236" s="26"/>
      <c r="AN236" s="42"/>
      <c r="AO236" s="26"/>
      <c r="AP236" s="42"/>
      <c r="AQ236" s="26"/>
      <c r="AR236" s="43"/>
      <c r="AT236" s="43"/>
      <c r="AU236" s="26"/>
      <c r="AV236" s="35">
        <f t="shared" si="1"/>
        <v>2597.056</v>
      </c>
      <c r="AW236" s="33">
        <f t="shared" si="2"/>
        <v>200</v>
      </c>
      <c r="AX236" s="33">
        <f t="shared" si="3"/>
        <v>0</v>
      </c>
      <c r="AY236" s="33">
        <f t="shared" si="4"/>
        <v>200</v>
      </c>
      <c r="AZ236" s="30">
        <f t="shared" si="5"/>
        <v>12.98528</v>
      </c>
    </row>
    <row r="237" ht="15.75" customHeight="1">
      <c r="A237" s="31" t="s">
        <v>35</v>
      </c>
      <c r="B237" s="32">
        <f t="shared" si="6"/>
        <v>45526</v>
      </c>
      <c r="C237" s="33">
        <v>9.0</v>
      </c>
      <c r="D237" s="33" t="s">
        <v>47</v>
      </c>
      <c r="E237" s="34"/>
      <c r="F237" s="42">
        <v>0.0</v>
      </c>
      <c r="H237" s="43">
        <v>0.0</v>
      </c>
      <c r="J237" s="43">
        <v>0.0</v>
      </c>
      <c r="L237" s="43">
        <v>0.0</v>
      </c>
      <c r="N237" s="43">
        <v>0.0</v>
      </c>
      <c r="P237" s="43">
        <v>0.0</v>
      </c>
      <c r="Q237" s="26"/>
      <c r="R237" s="42">
        <v>50.0</v>
      </c>
      <c r="T237" s="43">
        <v>50.0</v>
      </c>
      <c r="V237" s="43">
        <v>0.0</v>
      </c>
      <c r="X237" s="43">
        <v>0.0</v>
      </c>
      <c r="Z237" s="43">
        <v>0.0</v>
      </c>
      <c r="AB237" s="43">
        <v>0.0</v>
      </c>
      <c r="AC237" s="26"/>
      <c r="AD237" s="43">
        <v>0.0</v>
      </c>
      <c r="AF237" s="43">
        <v>0.0</v>
      </c>
      <c r="AH237" s="43">
        <v>50.0</v>
      </c>
      <c r="AJ237" s="27">
        <v>0.0</v>
      </c>
      <c r="AK237" s="26"/>
      <c r="AL237" s="42"/>
      <c r="AM237" s="26"/>
      <c r="AN237" s="42"/>
      <c r="AO237" s="26"/>
      <c r="AP237" s="42"/>
      <c r="AQ237" s="26"/>
      <c r="AR237" s="43"/>
      <c r="AT237" s="43"/>
      <c r="AU237" s="26"/>
      <c r="AV237" s="35">
        <f t="shared" si="1"/>
        <v>1832.906</v>
      </c>
      <c r="AW237" s="33">
        <f t="shared" si="2"/>
        <v>150</v>
      </c>
      <c r="AX237" s="33">
        <f t="shared" si="3"/>
        <v>0</v>
      </c>
      <c r="AY237" s="33">
        <f t="shared" si="4"/>
        <v>150</v>
      </c>
      <c r="AZ237" s="30">
        <f t="shared" si="5"/>
        <v>12.21937333</v>
      </c>
    </row>
    <row r="238" ht="15.75" customHeight="1">
      <c r="A238" s="31" t="s">
        <v>38</v>
      </c>
      <c r="B238" s="32">
        <f t="shared" si="6"/>
        <v>45527</v>
      </c>
      <c r="C238" s="33">
        <v>9.0</v>
      </c>
      <c r="D238" s="33" t="s">
        <v>47</v>
      </c>
      <c r="E238" s="34"/>
      <c r="F238" s="42">
        <v>0.0</v>
      </c>
      <c r="H238" s="43">
        <v>0.0</v>
      </c>
      <c r="J238" s="43">
        <v>0.0</v>
      </c>
      <c r="L238" s="43">
        <v>0.0</v>
      </c>
      <c r="N238" s="43">
        <v>0.0</v>
      </c>
      <c r="P238" s="43">
        <v>0.0</v>
      </c>
      <c r="Q238" s="26"/>
      <c r="R238" s="42">
        <v>75.0</v>
      </c>
      <c r="T238" s="43">
        <v>75.0</v>
      </c>
      <c r="V238" s="43">
        <v>0.0</v>
      </c>
      <c r="X238" s="43">
        <v>0.0</v>
      </c>
      <c r="Z238" s="43">
        <v>0.0</v>
      </c>
      <c r="AB238" s="43">
        <v>0.0</v>
      </c>
      <c r="AC238" s="26"/>
      <c r="AD238" s="43">
        <v>0.0</v>
      </c>
      <c r="AF238" s="43">
        <v>50.0</v>
      </c>
      <c r="AH238" s="43">
        <v>50.0</v>
      </c>
      <c r="AJ238" s="27">
        <v>0.0</v>
      </c>
      <c r="AK238" s="26"/>
      <c r="AL238" s="42"/>
      <c r="AM238" s="26"/>
      <c r="AN238" s="42"/>
      <c r="AO238" s="26"/>
      <c r="AP238" s="42"/>
      <c r="AQ238" s="26"/>
      <c r="AR238" s="43"/>
      <c r="AT238" s="43"/>
      <c r="AU238" s="26"/>
      <c r="AV238" s="35">
        <f t="shared" si="1"/>
        <v>3131.434</v>
      </c>
      <c r="AW238" s="33">
        <f t="shared" si="2"/>
        <v>250</v>
      </c>
      <c r="AX238" s="33">
        <f t="shared" si="3"/>
        <v>0</v>
      </c>
      <c r="AY238" s="33">
        <f t="shared" si="4"/>
        <v>250</v>
      </c>
      <c r="AZ238" s="30">
        <f t="shared" si="5"/>
        <v>12.525736</v>
      </c>
    </row>
    <row r="239" ht="15.75" customHeight="1">
      <c r="A239" s="31" t="s">
        <v>45</v>
      </c>
      <c r="B239" s="32">
        <f t="shared" si="6"/>
        <v>45528</v>
      </c>
      <c r="C239" s="33">
        <v>9.0</v>
      </c>
      <c r="D239" s="33" t="s">
        <v>47</v>
      </c>
      <c r="E239" s="34"/>
      <c r="F239" s="42">
        <v>0.0</v>
      </c>
      <c r="H239" s="43">
        <v>0.0</v>
      </c>
      <c r="J239" s="43">
        <v>0.0</v>
      </c>
      <c r="L239" s="43">
        <v>0.0</v>
      </c>
      <c r="N239" s="43">
        <v>0.0</v>
      </c>
      <c r="P239" s="43">
        <v>0.0</v>
      </c>
      <c r="Q239" s="26"/>
      <c r="R239" s="42">
        <v>75.0</v>
      </c>
      <c r="T239" s="43">
        <v>75.0</v>
      </c>
      <c r="V239" s="43">
        <v>0.0</v>
      </c>
      <c r="X239" s="43">
        <v>0.0</v>
      </c>
      <c r="Z239" s="43">
        <v>0.0</v>
      </c>
      <c r="AB239" s="43">
        <v>0.0</v>
      </c>
      <c r="AC239" s="26"/>
      <c r="AD239" s="43">
        <v>0.0</v>
      </c>
      <c r="AF239" s="43">
        <v>50.0</v>
      </c>
      <c r="AH239" s="43">
        <v>0.0</v>
      </c>
      <c r="AJ239" s="27">
        <v>0.0</v>
      </c>
      <c r="AK239" s="26"/>
      <c r="AL239" s="42"/>
      <c r="AM239" s="26"/>
      <c r="AN239" s="42"/>
      <c r="AO239" s="26"/>
      <c r="AP239" s="42"/>
      <c r="AQ239" s="26"/>
      <c r="AR239" s="43"/>
      <c r="AT239" s="43"/>
      <c r="AU239" s="26"/>
      <c r="AV239" s="35">
        <f t="shared" si="1"/>
        <v>2367.284</v>
      </c>
      <c r="AW239" s="33">
        <f t="shared" si="2"/>
        <v>200</v>
      </c>
      <c r="AX239" s="33">
        <f t="shared" si="3"/>
        <v>0</v>
      </c>
      <c r="AY239" s="33">
        <f t="shared" si="4"/>
        <v>200</v>
      </c>
      <c r="AZ239" s="30">
        <f t="shared" si="5"/>
        <v>11.83642</v>
      </c>
    </row>
    <row r="240" ht="15.75" customHeight="1">
      <c r="A240" s="44" t="s">
        <v>46</v>
      </c>
      <c r="B240" s="45">
        <f t="shared" si="6"/>
        <v>45529</v>
      </c>
      <c r="C240" s="46">
        <v>9.0</v>
      </c>
      <c r="D240" s="46" t="s">
        <v>47</v>
      </c>
      <c r="E240" s="47"/>
      <c r="F240" s="66">
        <v>0.0</v>
      </c>
      <c r="G240" s="51"/>
      <c r="H240" s="67">
        <v>0.0</v>
      </c>
      <c r="I240" s="51"/>
      <c r="J240" s="67">
        <v>0.0</v>
      </c>
      <c r="K240" s="51"/>
      <c r="L240" s="67">
        <v>0.0</v>
      </c>
      <c r="M240" s="51"/>
      <c r="N240" s="67">
        <v>0.0</v>
      </c>
      <c r="O240" s="51"/>
      <c r="P240" s="67">
        <v>0.0</v>
      </c>
      <c r="Q240" s="53"/>
      <c r="R240" s="66">
        <v>0.0</v>
      </c>
      <c r="S240" s="51"/>
      <c r="T240" s="67">
        <v>0.0</v>
      </c>
      <c r="U240" s="51"/>
      <c r="V240" s="67">
        <v>0.0</v>
      </c>
      <c r="W240" s="51"/>
      <c r="X240" s="67">
        <v>0.0</v>
      </c>
      <c r="Y240" s="51"/>
      <c r="Z240" s="67">
        <v>0.0</v>
      </c>
      <c r="AA240" s="51"/>
      <c r="AB240" s="67">
        <v>0.0</v>
      </c>
      <c r="AC240" s="53"/>
      <c r="AD240" s="67">
        <v>0.0</v>
      </c>
      <c r="AE240" s="51"/>
      <c r="AF240" s="67">
        <v>0.0</v>
      </c>
      <c r="AG240" s="51"/>
      <c r="AH240" s="67">
        <v>0.0</v>
      </c>
      <c r="AI240" s="51"/>
      <c r="AJ240" s="54">
        <v>0.0</v>
      </c>
      <c r="AK240" s="53"/>
      <c r="AL240" s="66"/>
      <c r="AM240" s="53"/>
      <c r="AN240" s="66"/>
      <c r="AO240" s="53"/>
      <c r="AP240" s="66"/>
      <c r="AQ240" s="53"/>
      <c r="AR240" s="67"/>
      <c r="AS240" s="51"/>
      <c r="AT240" s="67"/>
      <c r="AU240" s="53"/>
      <c r="AV240" s="55">
        <f t="shared" si="1"/>
        <v>0</v>
      </c>
      <c r="AW240" s="46">
        <f t="shared" si="2"/>
        <v>0</v>
      </c>
      <c r="AX240" s="46">
        <f t="shared" si="3"/>
        <v>0</v>
      </c>
      <c r="AY240" s="46">
        <f t="shared" si="4"/>
        <v>0</v>
      </c>
      <c r="AZ240" s="56" t="str">
        <f t="shared" si="5"/>
        <v/>
      </c>
    </row>
    <row r="241" ht="15.75" customHeight="1">
      <c r="A241" s="19" t="s">
        <v>30</v>
      </c>
      <c r="B241" s="57">
        <f t="shared" si="6"/>
        <v>45530</v>
      </c>
      <c r="C241" s="21">
        <v>9.0</v>
      </c>
      <c r="D241" s="21" t="s">
        <v>48</v>
      </c>
      <c r="E241" s="23"/>
      <c r="F241" s="42">
        <v>0.0</v>
      </c>
      <c r="H241" s="43">
        <v>0.0</v>
      </c>
      <c r="J241" s="43">
        <v>0.0</v>
      </c>
      <c r="L241" s="43">
        <v>0.0</v>
      </c>
      <c r="N241" s="43">
        <v>0.0</v>
      </c>
      <c r="P241" s="43">
        <v>0.0</v>
      </c>
      <c r="Q241" s="26"/>
      <c r="R241" s="42">
        <v>75.0</v>
      </c>
      <c r="T241" s="43">
        <v>75.0</v>
      </c>
      <c r="V241" s="43">
        <v>0.0</v>
      </c>
      <c r="X241" s="43">
        <v>0.0</v>
      </c>
      <c r="Z241" s="43">
        <v>0.0</v>
      </c>
      <c r="AB241" s="43">
        <v>0.0</v>
      </c>
      <c r="AC241" s="26"/>
      <c r="AD241" s="43">
        <v>0.0</v>
      </c>
      <c r="AF241" s="43">
        <v>0.0</v>
      </c>
      <c r="AH241" s="43">
        <v>0.0</v>
      </c>
      <c r="AJ241" s="27">
        <v>0.0</v>
      </c>
      <c r="AK241" s="26"/>
      <c r="AL241" s="42"/>
      <c r="AM241" s="26"/>
      <c r="AN241" s="42"/>
      <c r="AO241" s="26"/>
      <c r="AP241" s="42"/>
      <c r="AQ241" s="26"/>
      <c r="AR241" s="43"/>
      <c r="AT241" s="43"/>
      <c r="AU241" s="26"/>
      <c r="AV241" s="29">
        <f t="shared" si="1"/>
        <v>1603.134</v>
      </c>
      <c r="AW241" s="21">
        <f t="shared" si="2"/>
        <v>150</v>
      </c>
      <c r="AX241" s="21">
        <f t="shared" si="3"/>
        <v>0</v>
      </c>
      <c r="AY241" s="21">
        <f t="shared" si="4"/>
        <v>150</v>
      </c>
      <c r="AZ241" s="58">
        <f t="shared" si="5"/>
        <v>10.68756</v>
      </c>
    </row>
    <row r="242" ht="15.75" customHeight="1">
      <c r="A242" s="31" t="s">
        <v>33</v>
      </c>
      <c r="B242" s="32">
        <f t="shared" si="6"/>
        <v>45531</v>
      </c>
      <c r="C242" s="33">
        <v>9.0</v>
      </c>
      <c r="D242" s="33" t="s">
        <v>48</v>
      </c>
      <c r="E242" s="34"/>
      <c r="F242" s="42">
        <v>0.0</v>
      </c>
      <c r="H242" s="43">
        <v>0.0</v>
      </c>
      <c r="J242" s="43">
        <v>0.0</v>
      </c>
      <c r="L242" s="43">
        <v>0.0</v>
      </c>
      <c r="N242" s="43">
        <v>0.0</v>
      </c>
      <c r="P242" s="43">
        <v>0.0</v>
      </c>
      <c r="Q242" s="26"/>
      <c r="R242" s="42">
        <v>55.0</v>
      </c>
      <c r="T242" s="43">
        <v>55.0</v>
      </c>
      <c r="V242" s="43">
        <v>0.0</v>
      </c>
      <c r="X242" s="43">
        <v>0.0</v>
      </c>
      <c r="Z242" s="43">
        <v>0.0</v>
      </c>
      <c r="AB242" s="43">
        <v>0.0</v>
      </c>
      <c r="AC242" s="26"/>
      <c r="AD242" s="43">
        <v>0.0</v>
      </c>
      <c r="AF242" s="43">
        <v>0.0</v>
      </c>
      <c r="AH242" s="43">
        <v>0.0</v>
      </c>
      <c r="AJ242" s="27">
        <v>0.0</v>
      </c>
      <c r="AK242" s="26"/>
      <c r="AL242" s="42"/>
      <c r="AM242" s="26"/>
      <c r="AN242" s="42"/>
      <c r="AO242" s="26"/>
      <c r="AP242" s="42"/>
      <c r="AQ242" s="26"/>
      <c r="AR242" s="43"/>
      <c r="AT242" s="43"/>
      <c r="AU242" s="26"/>
      <c r="AV242" s="35">
        <f t="shared" si="1"/>
        <v>1175.6316</v>
      </c>
      <c r="AW242" s="33">
        <f t="shared" si="2"/>
        <v>110</v>
      </c>
      <c r="AX242" s="33">
        <f t="shared" si="3"/>
        <v>0</v>
      </c>
      <c r="AY242" s="33">
        <f t="shared" si="4"/>
        <v>110</v>
      </c>
      <c r="AZ242" s="30">
        <f t="shared" si="5"/>
        <v>10.68756</v>
      </c>
    </row>
    <row r="243" ht="15.75" customHeight="1">
      <c r="A243" s="31" t="s">
        <v>34</v>
      </c>
      <c r="B243" s="32">
        <f t="shared" si="6"/>
        <v>45532</v>
      </c>
      <c r="C243" s="33">
        <v>9.0</v>
      </c>
      <c r="D243" s="33" t="s">
        <v>48</v>
      </c>
      <c r="E243" s="34"/>
      <c r="F243" s="42">
        <v>0.0</v>
      </c>
      <c r="H243" s="43">
        <v>0.0</v>
      </c>
      <c r="J243" s="43">
        <v>0.0</v>
      </c>
      <c r="L243" s="43">
        <v>0.0</v>
      </c>
      <c r="N243" s="43">
        <v>0.0</v>
      </c>
      <c r="P243" s="43">
        <v>0.0</v>
      </c>
      <c r="Q243" s="26"/>
      <c r="R243" s="42">
        <v>55.0</v>
      </c>
      <c r="T243" s="43">
        <v>55.0</v>
      </c>
      <c r="V243" s="43">
        <v>0.0</v>
      </c>
      <c r="X243" s="43">
        <v>0.0</v>
      </c>
      <c r="Z243" s="43">
        <v>0.0</v>
      </c>
      <c r="AB243" s="43">
        <v>0.0</v>
      </c>
      <c r="AC243" s="26"/>
      <c r="AD243" s="43">
        <v>0.0</v>
      </c>
      <c r="AF243" s="43">
        <v>0.0</v>
      </c>
      <c r="AH243" s="43">
        <v>0.0</v>
      </c>
      <c r="AJ243" s="27">
        <v>0.0</v>
      </c>
      <c r="AK243" s="26"/>
      <c r="AL243" s="42"/>
      <c r="AM243" s="26"/>
      <c r="AN243" s="42"/>
      <c r="AO243" s="26"/>
      <c r="AP243" s="42"/>
      <c r="AQ243" s="26"/>
      <c r="AR243" s="43"/>
      <c r="AT243" s="43"/>
      <c r="AU243" s="26"/>
      <c r="AV243" s="35">
        <f t="shared" si="1"/>
        <v>1175.6316</v>
      </c>
      <c r="AW243" s="33">
        <f t="shared" si="2"/>
        <v>110</v>
      </c>
      <c r="AX243" s="33">
        <f t="shared" si="3"/>
        <v>0</v>
      </c>
      <c r="AY243" s="33">
        <f t="shared" si="4"/>
        <v>110</v>
      </c>
      <c r="AZ243" s="30">
        <f t="shared" si="5"/>
        <v>10.68756</v>
      </c>
    </row>
    <row r="244" ht="15.75" customHeight="1">
      <c r="A244" s="31" t="s">
        <v>35</v>
      </c>
      <c r="B244" s="32">
        <f t="shared" si="6"/>
        <v>45533</v>
      </c>
      <c r="C244" s="33">
        <v>9.0</v>
      </c>
      <c r="D244" s="33" t="s">
        <v>48</v>
      </c>
      <c r="E244" s="34"/>
      <c r="F244" s="42">
        <v>0.0</v>
      </c>
      <c r="H244" s="43">
        <v>0.0</v>
      </c>
      <c r="J244" s="43">
        <v>0.0</v>
      </c>
      <c r="L244" s="43">
        <v>0.0</v>
      </c>
      <c r="N244" s="43">
        <v>0.0</v>
      </c>
      <c r="P244" s="43">
        <v>0.0</v>
      </c>
      <c r="Q244" s="26"/>
      <c r="R244" s="42">
        <v>75.0</v>
      </c>
      <c r="T244" s="43">
        <v>75.0</v>
      </c>
      <c r="V244" s="43">
        <v>0.0</v>
      </c>
      <c r="X244" s="43">
        <v>0.0</v>
      </c>
      <c r="Z244" s="43">
        <v>0.0</v>
      </c>
      <c r="AB244" s="43">
        <v>0.0</v>
      </c>
      <c r="AC244" s="26"/>
      <c r="AD244" s="43">
        <v>0.0</v>
      </c>
      <c r="AF244" s="43">
        <v>0.0</v>
      </c>
      <c r="AH244" s="43">
        <v>0.0</v>
      </c>
      <c r="AJ244" s="27">
        <v>0.0</v>
      </c>
      <c r="AK244" s="26"/>
      <c r="AL244" s="42"/>
      <c r="AM244" s="26"/>
      <c r="AN244" s="42"/>
      <c r="AO244" s="26"/>
      <c r="AP244" s="42"/>
      <c r="AQ244" s="26"/>
      <c r="AR244" s="43"/>
      <c r="AT244" s="43"/>
      <c r="AU244" s="26"/>
      <c r="AV244" s="35">
        <f t="shared" si="1"/>
        <v>1603.134</v>
      </c>
      <c r="AW244" s="33">
        <f t="shared" si="2"/>
        <v>150</v>
      </c>
      <c r="AX244" s="33">
        <f t="shared" si="3"/>
        <v>0</v>
      </c>
      <c r="AY244" s="33">
        <f t="shared" si="4"/>
        <v>150</v>
      </c>
      <c r="AZ244" s="30">
        <f t="shared" si="5"/>
        <v>10.68756</v>
      </c>
    </row>
    <row r="245" ht="15.75" customHeight="1">
      <c r="A245" s="31" t="s">
        <v>38</v>
      </c>
      <c r="B245" s="32">
        <f t="shared" si="6"/>
        <v>45534</v>
      </c>
      <c r="C245" s="33">
        <v>9.0</v>
      </c>
      <c r="D245" s="33" t="s">
        <v>48</v>
      </c>
      <c r="E245" s="34"/>
      <c r="F245" s="42">
        <v>0.0</v>
      </c>
      <c r="H245" s="43">
        <v>0.0</v>
      </c>
      <c r="J245" s="43">
        <v>0.0</v>
      </c>
      <c r="L245" s="43">
        <v>0.0</v>
      </c>
      <c r="N245" s="43">
        <v>0.0</v>
      </c>
      <c r="P245" s="43">
        <v>0.0</v>
      </c>
      <c r="Q245" s="26"/>
      <c r="R245" s="42">
        <v>75.0</v>
      </c>
      <c r="T245" s="43">
        <v>75.0</v>
      </c>
      <c r="V245" s="43">
        <v>0.0</v>
      </c>
      <c r="X245" s="43">
        <v>0.0</v>
      </c>
      <c r="Z245" s="43">
        <v>0.0</v>
      </c>
      <c r="AB245" s="43">
        <v>0.0</v>
      </c>
      <c r="AC245" s="26"/>
      <c r="AD245" s="43">
        <v>0.0</v>
      </c>
      <c r="AF245" s="43">
        <v>0.0</v>
      </c>
      <c r="AH245" s="43">
        <v>0.0</v>
      </c>
      <c r="AJ245" s="27">
        <v>0.0</v>
      </c>
      <c r="AK245" s="26"/>
      <c r="AL245" s="42"/>
      <c r="AM245" s="26"/>
      <c r="AN245" s="42"/>
      <c r="AO245" s="26"/>
      <c r="AP245" s="42"/>
      <c r="AQ245" s="26"/>
      <c r="AR245" s="43"/>
      <c r="AT245" s="43"/>
      <c r="AU245" s="26"/>
      <c r="AV245" s="35">
        <f t="shared" si="1"/>
        <v>1603.134</v>
      </c>
      <c r="AW245" s="33">
        <f t="shared" si="2"/>
        <v>150</v>
      </c>
      <c r="AX245" s="33">
        <f t="shared" si="3"/>
        <v>0</v>
      </c>
      <c r="AY245" s="33">
        <f t="shared" si="4"/>
        <v>150</v>
      </c>
      <c r="AZ245" s="30">
        <f t="shared" si="5"/>
        <v>10.68756</v>
      </c>
    </row>
    <row r="246" ht="15.75" customHeight="1">
      <c r="A246" s="31" t="s">
        <v>45</v>
      </c>
      <c r="B246" s="32">
        <f t="shared" si="6"/>
        <v>45535</v>
      </c>
      <c r="C246" s="33">
        <v>9.0</v>
      </c>
      <c r="D246" s="33" t="s">
        <v>48</v>
      </c>
      <c r="E246" s="34"/>
      <c r="F246" s="42">
        <v>0.0</v>
      </c>
      <c r="H246" s="43">
        <v>0.0</v>
      </c>
      <c r="J246" s="43">
        <v>0.0</v>
      </c>
      <c r="L246" s="43">
        <v>0.0</v>
      </c>
      <c r="N246" s="43">
        <v>0.0</v>
      </c>
      <c r="P246" s="43">
        <v>0.0</v>
      </c>
      <c r="Q246" s="26"/>
      <c r="R246" s="42">
        <v>75.0</v>
      </c>
      <c r="T246" s="43">
        <v>75.0</v>
      </c>
      <c r="V246" s="43">
        <v>0.0</v>
      </c>
      <c r="X246" s="43">
        <v>0.0</v>
      </c>
      <c r="Z246" s="43">
        <v>0.0</v>
      </c>
      <c r="AB246" s="43">
        <v>0.0</v>
      </c>
      <c r="AC246" s="26"/>
      <c r="AD246" s="43">
        <v>0.0</v>
      </c>
      <c r="AF246" s="43">
        <v>0.0</v>
      </c>
      <c r="AH246" s="43">
        <v>0.0</v>
      </c>
      <c r="AJ246" s="27">
        <v>0.0</v>
      </c>
      <c r="AK246" s="26"/>
      <c r="AL246" s="42"/>
      <c r="AM246" s="26"/>
      <c r="AN246" s="42"/>
      <c r="AO246" s="26"/>
      <c r="AP246" s="42"/>
      <c r="AQ246" s="26"/>
      <c r="AR246" s="43"/>
      <c r="AT246" s="43"/>
      <c r="AU246" s="26"/>
      <c r="AV246" s="35">
        <f t="shared" si="1"/>
        <v>1603.134</v>
      </c>
      <c r="AW246" s="33">
        <f t="shared" si="2"/>
        <v>150</v>
      </c>
      <c r="AX246" s="33">
        <f t="shared" si="3"/>
        <v>0</v>
      </c>
      <c r="AY246" s="33">
        <f t="shared" si="4"/>
        <v>150</v>
      </c>
      <c r="AZ246" s="30">
        <f t="shared" si="5"/>
        <v>10.68756</v>
      </c>
    </row>
    <row r="247" ht="15.75" customHeight="1">
      <c r="A247" s="44" t="s">
        <v>46</v>
      </c>
      <c r="B247" s="45">
        <f t="shared" si="6"/>
        <v>45536</v>
      </c>
      <c r="C247" s="46">
        <v>9.0</v>
      </c>
      <c r="D247" s="46" t="s">
        <v>48</v>
      </c>
      <c r="E247" s="47"/>
      <c r="F247" s="66">
        <v>0.0</v>
      </c>
      <c r="G247" s="51"/>
      <c r="H247" s="67">
        <v>0.0</v>
      </c>
      <c r="I247" s="51"/>
      <c r="J247" s="67">
        <v>0.0</v>
      </c>
      <c r="K247" s="51"/>
      <c r="L247" s="67">
        <v>0.0</v>
      </c>
      <c r="M247" s="51"/>
      <c r="N247" s="67">
        <v>0.0</v>
      </c>
      <c r="O247" s="51"/>
      <c r="P247" s="67">
        <v>0.0</v>
      </c>
      <c r="Q247" s="53"/>
      <c r="R247" s="66">
        <v>0.0</v>
      </c>
      <c r="S247" s="51"/>
      <c r="T247" s="67">
        <v>0.0</v>
      </c>
      <c r="U247" s="51"/>
      <c r="V247" s="67">
        <v>0.0</v>
      </c>
      <c r="W247" s="51"/>
      <c r="X247" s="67">
        <v>0.0</v>
      </c>
      <c r="Y247" s="51"/>
      <c r="Z247" s="67">
        <v>0.0</v>
      </c>
      <c r="AA247" s="51"/>
      <c r="AB247" s="67">
        <v>0.0</v>
      </c>
      <c r="AC247" s="53"/>
      <c r="AD247" s="67">
        <v>0.0</v>
      </c>
      <c r="AE247" s="51"/>
      <c r="AF247" s="67">
        <v>0.0</v>
      </c>
      <c r="AG247" s="51"/>
      <c r="AH247" s="67">
        <v>0.0</v>
      </c>
      <c r="AI247" s="51"/>
      <c r="AJ247" s="54">
        <v>0.0</v>
      </c>
      <c r="AK247" s="53"/>
      <c r="AL247" s="66"/>
      <c r="AM247" s="53"/>
      <c r="AN247" s="66"/>
      <c r="AO247" s="53"/>
      <c r="AP247" s="66"/>
      <c r="AQ247" s="53"/>
      <c r="AR247" s="67"/>
      <c r="AS247" s="51"/>
      <c r="AT247" s="67"/>
      <c r="AU247" s="53"/>
      <c r="AV247" s="55">
        <f t="shared" si="1"/>
        <v>0</v>
      </c>
      <c r="AW247" s="46">
        <f t="shared" si="2"/>
        <v>0</v>
      </c>
      <c r="AX247" s="46">
        <f t="shared" si="3"/>
        <v>0</v>
      </c>
      <c r="AY247" s="46">
        <f t="shared" si="4"/>
        <v>0</v>
      </c>
      <c r="AZ247" s="56" t="str">
        <f t="shared" si="5"/>
        <v/>
      </c>
    </row>
    <row r="248" ht="15.75" customHeight="1">
      <c r="A248" s="19" t="s">
        <v>30</v>
      </c>
      <c r="B248" s="57">
        <f t="shared" si="6"/>
        <v>45537</v>
      </c>
      <c r="C248" s="21">
        <v>9.0</v>
      </c>
      <c r="D248" s="21" t="s">
        <v>49</v>
      </c>
      <c r="E248" s="23"/>
      <c r="F248" s="42">
        <v>0.0</v>
      </c>
      <c r="H248" s="43">
        <v>0.0</v>
      </c>
      <c r="J248" s="43">
        <v>0.0</v>
      </c>
      <c r="L248" s="43">
        <v>0.0</v>
      </c>
      <c r="N248" s="43">
        <v>0.0</v>
      </c>
      <c r="P248" s="43">
        <v>0.0</v>
      </c>
      <c r="Q248" s="26"/>
      <c r="R248" s="42">
        <v>75.0</v>
      </c>
      <c r="T248" s="43">
        <v>75.0</v>
      </c>
      <c r="V248" s="43">
        <v>0.0</v>
      </c>
      <c r="X248" s="43">
        <v>0.0</v>
      </c>
      <c r="Z248" s="43">
        <v>0.0</v>
      </c>
      <c r="AB248" s="43">
        <v>0.0</v>
      </c>
      <c r="AC248" s="26"/>
      <c r="AD248" s="43">
        <v>0.0</v>
      </c>
      <c r="AF248" s="43">
        <v>0.0</v>
      </c>
      <c r="AH248" s="43">
        <v>0.0</v>
      </c>
      <c r="AJ248" s="27">
        <v>0.0</v>
      </c>
      <c r="AK248" s="26"/>
      <c r="AL248" s="42"/>
      <c r="AM248" s="26"/>
      <c r="AN248" s="42"/>
      <c r="AO248" s="26"/>
      <c r="AP248" s="42"/>
      <c r="AQ248" s="26"/>
      <c r="AR248" s="43"/>
      <c r="AT248" s="43"/>
      <c r="AU248" s="26"/>
      <c r="AV248" s="29">
        <f t="shared" si="1"/>
        <v>1603.134</v>
      </c>
      <c r="AW248" s="21">
        <f t="shared" si="2"/>
        <v>150</v>
      </c>
      <c r="AX248" s="21">
        <f t="shared" si="3"/>
        <v>0</v>
      </c>
      <c r="AY248" s="21">
        <f t="shared" si="4"/>
        <v>150</v>
      </c>
      <c r="AZ248" s="58">
        <f t="shared" si="5"/>
        <v>10.68756</v>
      </c>
    </row>
    <row r="249" ht="15.75" customHeight="1">
      <c r="A249" s="31" t="s">
        <v>33</v>
      </c>
      <c r="B249" s="32">
        <f t="shared" si="6"/>
        <v>45538</v>
      </c>
      <c r="C249" s="33">
        <v>9.0</v>
      </c>
      <c r="D249" s="33" t="s">
        <v>49</v>
      </c>
      <c r="E249" s="34"/>
      <c r="F249" s="42">
        <v>0.0</v>
      </c>
      <c r="H249" s="43">
        <v>0.0</v>
      </c>
      <c r="J249" s="43">
        <v>0.0</v>
      </c>
      <c r="L249" s="43">
        <v>0.0</v>
      </c>
      <c r="N249" s="43">
        <v>0.0</v>
      </c>
      <c r="P249" s="43">
        <v>0.0</v>
      </c>
      <c r="Q249" s="26"/>
      <c r="R249" s="42">
        <v>75.0</v>
      </c>
      <c r="T249" s="43">
        <v>75.0</v>
      </c>
      <c r="V249" s="43">
        <v>0.0</v>
      </c>
      <c r="X249" s="43">
        <v>0.0</v>
      </c>
      <c r="Z249" s="43">
        <v>0.0</v>
      </c>
      <c r="AB249" s="43">
        <v>0.0</v>
      </c>
      <c r="AC249" s="26"/>
      <c r="AD249" s="43">
        <v>0.0</v>
      </c>
      <c r="AF249" s="43">
        <v>50.0</v>
      </c>
      <c r="AH249" s="43">
        <v>50.0</v>
      </c>
      <c r="AJ249" s="27">
        <v>0.0</v>
      </c>
      <c r="AK249" s="26"/>
      <c r="AL249" s="42"/>
      <c r="AM249" s="26"/>
      <c r="AN249" s="42"/>
      <c r="AO249" s="26"/>
      <c r="AP249" s="42"/>
      <c r="AQ249" s="26"/>
      <c r="AR249" s="43"/>
      <c r="AT249" s="43"/>
      <c r="AU249" s="26"/>
      <c r="AV249" s="35">
        <f t="shared" si="1"/>
        <v>3131.434</v>
      </c>
      <c r="AW249" s="33">
        <f t="shared" si="2"/>
        <v>250</v>
      </c>
      <c r="AX249" s="33">
        <f t="shared" si="3"/>
        <v>0</v>
      </c>
      <c r="AY249" s="33">
        <f t="shared" si="4"/>
        <v>250</v>
      </c>
      <c r="AZ249" s="30">
        <f t="shared" si="5"/>
        <v>12.525736</v>
      </c>
    </row>
    <row r="250" ht="15.75" customHeight="1">
      <c r="A250" s="31" t="s">
        <v>34</v>
      </c>
      <c r="B250" s="32">
        <f t="shared" si="6"/>
        <v>45539</v>
      </c>
      <c r="C250" s="33">
        <v>9.0</v>
      </c>
      <c r="D250" s="33" t="s">
        <v>49</v>
      </c>
      <c r="E250" s="34"/>
      <c r="F250" s="42">
        <v>0.0</v>
      </c>
      <c r="H250" s="43">
        <v>0.0</v>
      </c>
      <c r="J250" s="43">
        <v>0.0</v>
      </c>
      <c r="L250" s="43">
        <v>0.0</v>
      </c>
      <c r="N250" s="43">
        <v>0.0</v>
      </c>
      <c r="P250" s="43">
        <v>0.0</v>
      </c>
      <c r="Q250" s="26"/>
      <c r="R250" s="42">
        <v>75.0</v>
      </c>
      <c r="T250" s="43">
        <v>75.0</v>
      </c>
      <c r="V250" s="43">
        <v>0.0</v>
      </c>
      <c r="X250" s="43">
        <v>0.0</v>
      </c>
      <c r="Z250" s="43">
        <v>0.0</v>
      </c>
      <c r="AB250" s="43">
        <v>0.0</v>
      </c>
      <c r="AC250" s="26"/>
      <c r="AD250" s="43">
        <v>0.0</v>
      </c>
      <c r="AF250" s="43">
        <v>50.0</v>
      </c>
      <c r="AH250" s="43">
        <v>50.0</v>
      </c>
      <c r="AJ250" s="27">
        <v>0.0</v>
      </c>
      <c r="AK250" s="26"/>
      <c r="AL250" s="42"/>
      <c r="AM250" s="26"/>
      <c r="AN250" s="42"/>
      <c r="AO250" s="26"/>
      <c r="AP250" s="42"/>
      <c r="AQ250" s="26"/>
      <c r="AR250" s="43"/>
      <c r="AT250" s="43"/>
      <c r="AU250" s="26"/>
      <c r="AV250" s="35">
        <f t="shared" si="1"/>
        <v>3131.434</v>
      </c>
      <c r="AW250" s="33">
        <f t="shared" si="2"/>
        <v>250</v>
      </c>
      <c r="AX250" s="33">
        <f t="shared" si="3"/>
        <v>0</v>
      </c>
      <c r="AY250" s="33">
        <f t="shared" si="4"/>
        <v>250</v>
      </c>
      <c r="AZ250" s="30">
        <f t="shared" si="5"/>
        <v>12.525736</v>
      </c>
    </row>
    <row r="251" ht="15.75" customHeight="1">
      <c r="A251" s="31" t="s">
        <v>35</v>
      </c>
      <c r="B251" s="32">
        <f t="shared" si="6"/>
        <v>45540</v>
      </c>
      <c r="C251" s="33">
        <v>9.0</v>
      </c>
      <c r="D251" s="33" t="s">
        <v>49</v>
      </c>
      <c r="E251" s="34"/>
      <c r="F251" s="42">
        <v>0.0</v>
      </c>
      <c r="H251" s="43">
        <v>0.0</v>
      </c>
      <c r="J251" s="43">
        <v>0.0</v>
      </c>
      <c r="L251" s="43">
        <v>0.0</v>
      </c>
      <c r="N251" s="43">
        <v>0.0</v>
      </c>
      <c r="P251" s="43">
        <v>0.0</v>
      </c>
      <c r="Q251" s="26"/>
      <c r="R251" s="42">
        <v>75.0</v>
      </c>
      <c r="T251" s="43">
        <v>75.0</v>
      </c>
      <c r="V251" s="43">
        <v>0.0</v>
      </c>
      <c r="X251" s="43">
        <v>0.0</v>
      </c>
      <c r="Z251" s="43">
        <v>0.0</v>
      </c>
      <c r="AB251" s="43">
        <v>0.0</v>
      </c>
      <c r="AC251" s="26"/>
      <c r="AD251" s="43">
        <v>0.0</v>
      </c>
      <c r="AF251" s="43">
        <v>0.0</v>
      </c>
      <c r="AH251" s="43">
        <v>50.0</v>
      </c>
      <c r="AJ251" s="27">
        <v>0.0</v>
      </c>
      <c r="AK251" s="26"/>
      <c r="AL251" s="42"/>
      <c r="AM251" s="26"/>
      <c r="AN251" s="42"/>
      <c r="AO251" s="26"/>
      <c r="AP251" s="42"/>
      <c r="AQ251" s="26"/>
      <c r="AR251" s="43"/>
      <c r="AT251" s="43"/>
      <c r="AU251" s="26"/>
      <c r="AV251" s="35">
        <f t="shared" si="1"/>
        <v>2367.284</v>
      </c>
      <c r="AW251" s="33">
        <f t="shared" si="2"/>
        <v>200</v>
      </c>
      <c r="AX251" s="33">
        <f t="shared" si="3"/>
        <v>0</v>
      </c>
      <c r="AY251" s="33">
        <f t="shared" si="4"/>
        <v>200</v>
      </c>
      <c r="AZ251" s="30">
        <f t="shared" si="5"/>
        <v>11.83642</v>
      </c>
    </row>
    <row r="252" ht="15.75" customHeight="1">
      <c r="A252" s="31" t="s">
        <v>38</v>
      </c>
      <c r="B252" s="32">
        <f t="shared" si="6"/>
        <v>45541</v>
      </c>
      <c r="C252" s="33">
        <v>9.0</v>
      </c>
      <c r="D252" s="33" t="s">
        <v>49</v>
      </c>
      <c r="E252" s="34"/>
      <c r="F252" s="42">
        <v>0.0</v>
      </c>
      <c r="H252" s="43">
        <v>0.0</v>
      </c>
      <c r="J252" s="43">
        <v>0.0</v>
      </c>
      <c r="L252" s="43">
        <v>0.0</v>
      </c>
      <c r="N252" s="43">
        <v>0.0</v>
      </c>
      <c r="P252" s="43">
        <v>0.0</v>
      </c>
      <c r="Q252" s="26"/>
      <c r="R252" s="42">
        <v>75.0</v>
      </c>
      <c r="T252" s="43">
        <v>75.0</v>
      </c>
      <c r="V252" s="43">
        <v>0.0</v>
      </c>
      <c r="X252" s="43">
        <v>0.0</v>
      </c>
      <c r="Z252" s="43">
        <v>0.0</v>
      </c>
      <c r="AB252" s="43">
        <v>0.0</v>
      </c>
      <c r="AC252" s="26"/>
      <c r="AD252" s="43">
        <v>0.0</v>
      </c>
      <c r="AF252" s="43">
        <v>50.0</v>
      </c>
      <c r="AH252" s="43">
        <v>50.0</v>
      </c>
      <c r="AJ252" s="27">
        <v>0.0</v>
      </c>
      <c r="AK252" s="26"/>
      <c r="AL252" s="42"/>
      <c r="AM252" s="26"/>
      <c r="AN252" s="42"/>
      <c r="AO252" s="26"/>
      <c r="AP252" s="42"/>
      <c r="AQ252" s="26"/>
      <c r="AR252" s="43"/>
      <c r="AT252" s="43"/>
      <c r="AU252" s="26"/>
      <c r="AV252" s="35">
        <f t="shared" si="1"/>
        <v>3131.434</v>
      </c>
      <c r="AW252" s="33">
        <f t="shared" si="2"/>
        <v>250</v>
      </c>
      <c r="AX252" s="33">
        <f t="shared" si="3"/>
        <v>0</v>
      </c>
      <c r="AY252" s="33">
        <f t="shared" si="4"/>
        <v>250</v>
      </c>
      <c r="AZ252" s="30">
        <f t="shared" si="5"/>
        <v>12.525736</v>
      </c>
    </row>
    <row r="253" ht="15.75" customHeight="1">
      <c r="A253" s="31" t="s">
        <v>45</v>
      </c>
      <c r="B253" s="32">
        <f t="shared" si="6"/>
        <v>45542</v>
      </c>
      <c r="C253" s="33">
        <v>9.0</v>
      </c>
      <c r="D253" s="33" t="s">
        <v>49</v>
      </c>
      <c r="E253" s="34"/>
      <c r="F253" s="42">
        <v>0.0</v>
      </c>
      <c r="H253" s="43">
        <v>0.0</v>
      </c>
      <c r="J253" s="43">
        <v>0.0</v>
      </c>
      <c r="L253" s="43">
        <v>0.0</v>
      </c>
      <c r="N253" s="43">
        <v>0.0</v>
      </c>
      <c r="P253" s="43">
        <v>0.0</v>
      </c>
      <c r="Q253" s="26"/>
      <c r="R253" s="42">
        <v>75.0</v>
      </c>
      <c r="T253" s="43">
        <v>75.0</v>
      </c>
      <c r="V253" s="43">
        <v>0.0</v>
      </c>
      <c r="X253" s="43">
        <v>0.0</v>
      </c>
      <c r="Z253" s="43">
        <v>0.0</v>
      </c>
      <c r="AB253" s="43">
        <v>0.0</v>
      </c>
      <c r="AC253" s="26"/>
      <c r="AD253" s="43">
        <v>0.0</v>
      </c>
      <c r="AF253" s="43">
        <v>50.0</v>
      </c>
      <c r="AH253" s="43">
        <v>0.0</v>
      </c>
      <c r="AJ253" s="27">
        <v>0.0</v>
      </c>
      <c r="AK253" s="26"/>
      <c r="AL253" s="42"/>
      <c r="AM253" s="26"/>
      <c r="AN253" s="42"/>
      <c r="AO253" s="26"/>
      <c r="AP253" s="42"/>
      <c r="AQ253" s="26"/>
      <c r="AR253" s="43"/>
      <c r="AT253" s="43"/>
      <c r="AU253" s="26"/>
      <c r="AV253" s="35">
        <f t="shared" si="1"/>
        <v>2367.284</v>
      </c>
      <c r="AW253" s="33">
        <f t="shared" si="2"/>
        <v>200</v>
      </c>
      <c r="AX253" s="33">
        <f t="shared" si="3"/>
        <v>0</v>
      </c>
      <c r="AY253" s="33">
        <f t="shared" si="4"/>
        <v>200</v>
      </c>
      <c r="AZ253" s="30">
        <f t="shared" si="5"/>
        <v>11.83642</v>
      </c>
    </row>
    <row r="254" ht="15.75" customHeight="1">
      <c r="A254" s="44" t="s">
        <v>46</v>
      </c>
      <c r="B254" s="45">
        <f t="shared" si="6"/>
        <v>45543</v>
      </c>
      <c r="C254" s="46">
        <v>9.0</v>
      </c>
      <c r="D254" s="46" t="s">
        <v>49</v>
      </c>
      <c r="E254" s="47"/>
      <c r="F254" s="66">
        <v>0.0</v>
      </c>
      <c r="G254" s="51"/>
      <c r="H254" s="67">
        <v>0.0</v>
      </c>
      <c r="I254" s="51"/>
      <c r="J254" s="67">
        <v>0.0</v>
      </c>
      <c r="K254" s="51"/>
      <c r="L254" s="67">
        <v>0.0</v>
      </c>
      <c r="M254" s="51"/>
      <c r="N254" s="67">
        <v>0.0</v>
      </c>
      <c r="O254" s="51"/>
      <c r="P254" s="67">
        <v>0.0</v>
      </c>
      <c r="Q254" s="53"/>
      <c r="R254" s="66">
        <v>0.0</v>
      </c>
      <c r="S254" s="51"/>
      <c r="T254" s="67">
        <v>0.0</v>
      </c>
      <c r="U254" s="51"/>
      <c r="V254" s="67">
        <v>0.0</v>
      </c>
      <c r="W254" s="51"/>
      <c r="X254" s="67">
        <v>0.0</v>
      </c>
      <c r="Y254" s="51"/>
      <c r="Z254" s="67">
        <v>0.0</v>
      </c>
      <c r="AA254" s="51"/>
      <c r="AB254" s="67">
        <v>0.0</v>
      </c>
      <c r="AC254" s="53"/>
      <c r="AD254" s="67">
        <v>0.0</v>
      </c>
      <c r="AE254" s="51"/>
      <c r="AF254" s="67">
        <v>0.0</v>
      </c>
      <c r="AG254" s="51"/>
      <c r="AH254" s="67">
        <v>0.0</v>
      </c>
      <c r="AI254" s="51"/>
      <c r="AJ254" s="54">
        <v>0.0</v>
      </c>
      <c r="AK254" s="53"/>
      <c r="AL254" s="66"/>
      <c r="AM254" s="53"/>
      <c r="AN254" s="66"/>
      <c r="AO254" s="53"/>
      <c r="AP254" s="66"/>
      <c r="AQ254" s="53"/>
      <c r="AR254" s="67"/>
      <c r="AS254" s="51"/>
      <c r="AT254" s="67"/>
      <c r="AU254" s="53"/>
      <c r="AV254" s="55">
        <f t="shared" si="1"/>
        <v>0</v>
      </c>
      <c r="AW254" s="46">
        <f t="shared" si="2"/>
        <v>0</v>
      </c>
      <c r="AX254" s="46">
        <f t="shared" si="3"/>
        <v>0</v>
      </c>
      <c r="AY254" s="46">
        <f t="shared" si="4"/>
        <v>0</v>
      </c>
      <c r="AZ254" s="56" t="str">
        <f t="shared" si="5"/>
        <v/>
      </c>
    </row>
    <row r="255" ht="15.75" customHeight="1">
      <c r="A255" s="19" t="s">
        <v>30</v>
      </c>
      <c r="B255" s="57">
        <f t="shared" si="6"/>
        <v>45544</v>
      </c>
      <c r="C255" s="21">
        <v>10.0</v>
      </c>
      <c r="D255" s="21" t="s">
        <v>31</v>
      </c>
      <c r="E255" s="23"/>
      <c r="F255" s="42">
        <v>0.0</v>
      </c>
      <c r="H255" s="43">
        <v>0.0</v>
      </c>
      <c r="J255" s="43">
        <v>0.0</v>
      </c>
      <c r="L255" s="43">
        <v>0.0</v>
      </c>
      <c r="N255" s="43">
        <v>0.0</v>
      </c>
      <c r="P255" s="43">
        <v>0.0</v>
      </c>
      <c r="Q255" s="26"/>
      <c r="R255" s="42">
        <v>120.0</v>
      </c>
      <c r="T255" s="43">
        <v>120.0</v>
      </c>
      <c r="V255" s="43">
        <v>0.0</v>
      </c>
      <c r="X255" s="43">
        <v>0.0</v>
      </c>
      <c r="Z255" s="43">
        <v>0.0</v>
      </c>
      <c r="AB255" s="43">
        <v>0.0</v>
      </c>
      <c r="AC255" s="26"/>
      <c r="AD255" s="43">
        <v>0.0</v>
      </c>
      <c r="AF255" s="43">
        <v>0.0</v>
      </c>
      <c r="AH255" s="43">
        <v>0.0</v>
      </c>
      <c r="AJ255" s="27">
        <v>0.0</v>
      </c>
      <c r="AK255" s="26"/>
      <c r="AL255" s="42"/>
      <c r="AM255" s="26"/>
      <c r="AN255" s="42"/>
      <c r="AO255" s="26"/>
      <c r="AP255" s="42"/>
      <c r="AQ255" s="26"/>
      <c r="AR255" s="43"/>
      <c r="AT255" s="43"/>
      <c r="AU255" s="26"/>
      <c r="AV255" s="29">
        <f t="shared" si="1"/>
        <v>2565.0144</v>
      </c>
      <c r="AW255" s="21">
        <f t="shared" si="2"/>
        <v>240</v>
      </c>
      <c r="AX255" s="21">
        <f t="shared" si="3"/>
        <v>0</v>
      </c>
      <c r="AY255" s="21">
        <f t="shared" si="4"/>
        <v>240</v>
      </c>
      <c r="AZ255" s="58">
        <f t="shared" si="5"/>
        <v>10.68756</v>
      </c>
    </row>
    <row r="256" ht="15.75" customHeight="1">
      <c r="A256" s="31" t="s">
        <v>33</v>
      </c>
      <c r="B256" s="32">
        <f t="shared" si="6"/>
        <v>45545</v>
      </c>
      <c r="C256" s="33">
        <v>10.0</v>
      </c>
      <c r="D256" s="33" t="s">
        <v>31</v>
      </c>
      <c r="E256" s="34"/>
      <c r="F256" s="42">
        <v>0.0</v>
      </c>
      <c r="H256" s="43">
        <v>0.0</v>
      </c>
      <c r="J256" s="43">
        <v>0.0</v>
      </c>
      <c r="L256" s="43">
        <v>0.0</v>
      </c>
      <c r="N256" s="43">
        <v>0.0</v>
      </c>
      <c r="P256" s="43">
        <v>0.0</v>
      </c>
      <c r="Q256" s="26"/>
      <c r="R256" s="42">
        <v>120.0</v>
      </c>
      <c r="T256" s="43">
        <v>120.0</v>
      </c>
      <c r="V256" s="43">
        <v>0.0</v>
      </c>
      <c r="X256" s="43">
        <v>0.0</v>
      </c>
      <c r="Z256" s="43">
        <v>0.0</v>
      </c>
      <c r="AB256" s="43">
        <v>0.0</v>
      </c>
      <c r="AC256" s="26"/>
      <c r="AD256" s="43">
        <v>0.0</v>
      </c>
      <c r="AF256" s="43">
        <v>0.0</v>
      </c>
      <c r="AH256" s="43">
        <v>0.0</v>
      </c>
      <c r="AJ256" s="27">
        <v>0.0</v>
      </c>
      <c r="AK256" s="26"/>
      <c r="AL256" s="42"/>
      <c r="AM256" s="26"/>
      <c r="AN256" s="42"/>
      <c r="AO256" s="26"/>
      <c r="AP256" s="42"/>
      <c r="AQ256" s="26"/>
      <c r="AR256" s="43"/>
      <c r="AT256" s="43"/>
      <c r="AU256" s="26"/>
      <c r="AV256" s="35">
        <f t="shared" si="1"/>
        <v>2565.0144</v>
      </c>
      <c r="AW256" s="33">
        <f t="shared" si="2"/>
        <v>240</v>
      </c>
      <c r="AX256" s="33">
        <f t="shared" si="3"/>
        <v>0</v>
      </c>
      <c r="AY256" s="33">
        <f t="shared" si="4"/>
        <v>240</v>
      </c>
      <c r="AZ256" s="30">
        <f t="shared" si="5"/>
        <v>10.68756</v>
      </c>
    </row>
    <row r="257" ht="15.75" customHeight="1">
      <c r="A257" s="31" t="s">
        <v>34</v>
      </c>
      <c r="B257" s="32">
        <f t="shared" si="6"/>
        <v>45546</v>
      </c>
      <c r="C257" s="33">
        <v>10.0</v>
      </c>
      <c r="D257" s="33" t="s">
        <v>31</v>
      </c>
      <c r="E257" s="34"/>
      <c r="F257" s="42">
        <v>0.0</v>
      </c>
      <c r="H257" s="43">
        <v>0.0</v>
      </c>
      <c r="J257" s="43">
        <v>0.0</v>
      </c>
      <c r="L257" s="43">
        <v>0.0</v>
      </c>
      <c r="N257" s="43">
        <v>0.0</v>
      </c>
      <c r="P257" s="43">
        <v>0.0</v>
      </c>
      <c r="Q257" s="26"/>
      <c r="R257" s="42">
        <v>120.0</v>
      </c>
      <c r="T257" s="43">
        <v>120.0</v>
      </c>
      <c r="V257" s="43">
        <v>0.0</v>
      </c>
      <c r="X257" s="43">
        <v>0.0</v>
      </c>
      <c r="Z257" s="43">
        <v>0.0</v>
      </c>
      <c r="AB257" s="43">
        <v>0.0</v>
      </c>
      <c r="AC257" s="26"/>
      <c r="AD257" s="43">
        <v>0.0</v>
      </c>
      <c r="AF257" s="43">
        <v>0.0</v>
      </c>
      <c r="AH257" s="43">
        <v>0.0</v>
      </c>
      <c r="AJ257" s="27">
        <v>0.0</v>
      </c>
      <c r="AK257" s="26"/>
      <c r="AL257" s="42"/>
      <c r="AM257" s="26"/>
      <c r="AN257" s="42"/>
      <c r="AO257" s="26"/>
      <c r="AP257" s="42"/>
      <c r="AQ257" s="26"/>
      <c r="AR257" s="43"/>
      <c r="AT257" s="43"/>
      <c r="AU257" s="26"/>
      <c r="AV257" s="35">
        <f t="shared" si="1"/>
        <v>2565.0144</v>
      </c>
      <c r="AW257" s="33">
        <f t="shared" si="2"/>
        <v>240</v>
      </c>
      <c r="AX257" s="33">
        <f t="shared" si="3"/>
        <v>0</v>
      </c>
      <c r="AY257" s="33">
        <f t="shared" si="4"/>
        <v>240</v>
      </c>
      <c r="AZ257" s="30">
        <f t="shared" si="5"/>
        <v>10.68756</v>
      </c>
    </row>
    <row r="258" ht="15.75" customHeight="1">
      <c r="A258" s="31" t="s">
        <v>35</v>
      </c>
      <c r="B258" s="32">
        <f t="shared" si="6"/>
        <v>45547</v>
      </c>
      <c r="C258" s="33">
        <v>10.0</v>
      </c>
      <c r="D258" s="33" t="s">
        <v>31</v>
      </c>
      <c r="E258" s="34"/>
      <c r="F258" s="42">
        <v>0.0</v>
      </c>
      <c r="H258" s="43">
        <v>0.0</v>
      </c>
      <c r="J258" s="43">
        <v>0.0</v>
      </c>
      <c r="L258" s="43">
        <v>0.0</v>
      </c>
      <c r="N258" s="43">
        <v>0.0</v>
      </c>
      <c r="P258" s="43">
        <v>0.0</v>
      </c>
      <c r="Q258" s="26"/>
      <c r="R258" s="42">
        <v>120.0</v>
      </c>
      <c r="T258" s="43">
        <v>120.0</v>
      </c>
      <c r="V258" s="43">
        <v>0.0</v>
      </c>
      <c r="X258" s="43">
        <v>0.0</v>
      </c>
      <c r="Z258" s="43">
        <v>0.0</v>
      </c>
      <c r="AB258" s="43">
        <v>0.0</v>
      </c>
      <c r="AC258" s="26"/>
      <c r="AD258" s="43">
        <v>0.0</v>
      </c>
      <c r="AF258" s="43">
        <v>0.0</v>
      </c>
      <c r="AH258" s="43">
        <v>0.0</v>
      </c>
      <c r="AJ258" s="27">
        <v>0.0</v>
      </c>
      <c r="AK258" s="26"/>
      <c r="AL258" s="42"/>
      <c r="AM258" s="26"/>
      <c r="AN258" s="42"/>
      <c r="AO258" s="26"/>
      <c r="AP258" s="42"/>
      <c r="AQ258" s="26"/>
      <c r="AR258" s="43"/>
      <c r="AT258" s="43"/>
      <c r="AU258" s="26"/>
      <c r="AV258" s="35">
        <f t="shared" si="1"/>
        <v>2565.0144</v>
      </c>
      <c r="AW258" s="33">
        <f t="shared" si="2"/>
        <v>240</v>
      </c>
      <c r="AX258" s="33">
        <f t="shared" si="3"/>
        <v>0</v>
      </c>
      <c r="AY258" s="33">
        <f t="shared" si="4"/>
        <v>240</v>
      </c>
      <c r="AZ258" s="30">
        <f t="shared" si="5"/>
        <v>10.68756</v>
      </c>
    </row>
    <row r="259" ht="15.75" customHeight="1">
      <c r="A259" s="31" t="s">
        <v>38</v>
      </c>
      <c r="B259" s="32">
        <f t="shared" si="6"/>
        <v>45548</v>
      </c>
      <c r="C259" s="33">
        <v>10.0</v>
      </c>
      <c r="D259" s="33" t="s">
        <v>31</v>
      </c>
      <c r="E259" s="34"/>
      <c r="F259" s="42">
        <v>0.0</v>
      </c>
      <c r="H259" s="43">
        <v>0.0</v>
      </c>
      <c r="J259" s="43">
        <v>0.0</v>
      </c>
      <c r="L259" s="43">
        <v>0.0</v>
      </c>
      <c r="N259" s="43">
        <v>0.0</v>
      </c>
      <c r="P259" s="43">
        <v>0.0</v>
      </c>
      <c r="Q259" s="26"/>
      <c r="R259" s="42">
        <v>128.0</v>
      </c>
      <c r="T259" s="43">
        <v>128.0</v>
      </c>
      <c r="V259" s="43">
        <v>0.0</v>
      </c>
      <c r="X259" s="43">
        <v>0.0</v>
      </c>
      <c r="Z259" s="43">
        <v>0.0</v>
      </c>
      <c r="AB259" s="43">
        <v>0.0</v>
      </c>
      <c r="AC259" s="26"/>
      <c r="AD259" s="43">
        <v>0.0</v>
      </c>
      <c r="AF259" s="43">
        <v>0.0</v>
      </c>
      <c r="AH259" s="43">
        <v>0.0</v>
      </c>
      <c r="AJ259" s="27">
        <v>0.0</v>
      </c>
      <c r="AK259" s="26"/>
      <c r="AL259" s="42"/>
      <c r="AM259" s="26"/>
      <c r="AN259" s="42"/>
      <c r="AO259" s="26"/>
      <c r="AP259" s="42"/>
      <c r="AQ259" s="26"/>
      <c r="AR259" s="43"/>
      <c r="AT259" s="43"/>
      <c r="AU259" s="26"/>
      <c r="AV259" s="35">
        <f t="shared" si="1"/>
        <v>2736.01536</v>
      </c>
      <c r="AW259" s="33">
        <f t="shared" si="2"/>
        <v>256</v>
      </c>
      <c r="AX259" s="33">
        <f t="shared" si="3"/>
        <v>0</v>
      </c>
      <c r="AY259" s="33">
        <f t="shared" si="4"/>
        <v>256</v>
      </c>
      <c r="AZ259" s="30">
        <f t="shared" si="5"/>
        <v>10.68756</v>
      </c>
    </row>
    <row r="260" ht="15.75" customHeight="1">
      <c r="A260" s="31" t="s">
        <v>45</v>
      </c>
      <c r="B260" s="32">
        <f t="shared" si="6"/>
        <v>45549</v>
      </c>
      <c r="C260" s="33">
        <v>10.0</v>
      </c>
      <c r="D260" s="33" t="s">
        <v>31</v>
      </c>
      <c r="E260" s="34"/>
      <c r="F260" s="42">
        <v>0.0</v>
      </c>
      <c r="H260" s="43">
        <v>0.0</v>
      </c>
      <c r="J260" s="43">
        <v>0.0</v>
      </c>
      <c r="L260" s="43">
        <v>0.0</v>
      </c>
      <c r="N260" s="43">
        <v>0.0</v>
      </c>
      <c r="P260" s="43">
        <v>0.0</v>
      </c>
      <c r="Q260" s="26"/>
      <c r="R260" s="42">
        <v>140.0</v>
      </c>
      <c r="T260" s="43">
        <v>140.0</v>
      </c>
      <c r="V260" s="43">
        <v>0.0</v>
      </c>
      <c r="X260" s="43">
        <v>0.0</v>
      </c>
      <c r="Z260" s="43">
        <v>0.0</v>
      </c>
      <c r="AB260" s="43">
        <v>0.0</v>
      </c>
      <c r="AC260" s="26"/>
      <c r="AD260" s="43">
        <v>0.0</v>
      </c>
      <c r="AF260" s="43">
        <v>0.0</v>
      </c>
      <c r="AH260" s="43">
        <v>0.0</v>
      </c>
      <c r="AJ260" s="27">
        <v>0.0</v>
      </c>
      <c r="AK260" s="26"/>
      <c r="AL260" s="42"/>
      <c r="AM260" s="26"/>
      <c r="AN260" s="42"/>
      <c r="AO260" s="26"/>
      <c r="AP260" s="42"/>
      <c r="AQ260" s="26"/>
      <c r="AR260" s="43"/>
      <c r="AT260" s="43"/>
      <c r="AU260" s="26"/>
      <c r="AV260" s="35">
        <f t="shared" si="1"/>
        <v>2992.5168</v>
      </c>
      <c r="AW260" s="33">
        <f t="shared" si="2"/>
        <v>280</v>
      </c>
      <c r="AX260" s="33">
        <f t="shared" si="3"/>
        <v>0</v>
      </c>
      <c r="AY260" s="33">
        <f t="shared" si="4"/>
        <v>280</v>
      </c>
      <c r="AZ260" s="30">
        <f t="shared" si="5"/>
        <v>10.68756</v>
      </c>
    </row>
    <row r="261" ht="15.75" customHeight="1">
      <c r="A261" s="44" t="s">
        <v>46</v>
      </c>
      <c r="B261" s="45">
        <f t="shared" si="6"/>
        <v>45550</v>
      </c>
      <c r="C261" s="46">
        <v>10.0</v>
      </c>
      <c r="D261" s="46" t="s">
        <v>31</v>
      </c>
      <c r="E261" s="47"/>
      <c r="F261" s="66">
        <v>0.0</v>
      </c>
      <c r="G261" s="51"/>
      <c r="H261" s="67">
        <v>0.0</v>
      </c>
      <c r="I261" s="51"/>
      <c r="J261" s="67">
        <v>0.0</v>
      </c>
      <c r="K261" s="51"/>
      <c r="L261" s="67">
        <v>0.0</v>
      </c>
      <c r="M261" s="51"/>
      <c r="N261" s="67">
        <v>0.0</v>
      </c>
      <c r="O261" s="51"/>
      <c r="P261" s="67">
        <v>0.0</v>
      </c>
      <c r="Q261" s="53"/>
      <c r="R261" s="66">
        <v>0.0</v>
      </c>
      <c r="S261" s="51"/>
      <c r="T261" s="67">
        <v>0.0</v>
      </c>
      <c r="U261" s="51"/>
      <c r="V261" s="67">
        <v>0.0</v>
      </c>
      <c r="W261" s="51"/>
      <c r="X261" s="67">
        <v>0.0</v>
      </c>
      <c r="Y261" s="51"/>
      <c r="Z261" s="67">
        <v>0.0</v>
      </c>
      <c r="AA261" s="51"/>
      <c r="AB261" s="67">
        <v>0.0</v>
      </c>
      <c r="AC261" s="53"/>
      <c r="AD261" s="67">
        <v>0.0</v>
      </c>
      <c r="AE261" s="51"/>
      <c r="AF261" s="67">
        <v>0.0</v>
      </c>
      <c r="AG261" s="51"/>
      <c r="AH261" s="67">
        <v>0.0</v>
      </c>
      <c r="AI261" s="51"/>
      <c r="AJ261" s="54">
        <v>0.0</v>
      </c>
      <c r="AK261" s="53"/>
      <c r="AL261" s="66"/>
      <c r="AM261" s="53"/>
      <c r="AN261" s="66"/>
      <c r="AO261" s="53"/>
      <c r="AP261" s="66"/>
      <c r="AQ261" s="53"/>
      <c r="AR261" s="67"/>
      <c r="AS261" s="51"/>
      <c r="AT261" s="67"/>
      <c r="AU261" s="53"/>
      <c r="AV261" s="55">
        <f t="shared" si="1"/>
        <v>0</v>
      </c>
      <c r="AW261" s="46">
        <f t="shared" si="2"/>
        <v>0</v>
      </c>
      <c r="AX261" s="46">
        <f t="shared" si="3"/>
        <v>0</v>
      </c>
      <c r="AY261" s="46">
        <f t="shared" si="4"/>
        <v>0</v>
      </c>
      <c r="AZ261" s="56" t="str">
        <f t="shared" si="5"/>
        <v/>
      </c>
    </row>
    <row r="262" ht="15.75" customHeight="1">
      <c r="A262" s="19" t="s">
        <v>30</v>
      </c>
      <c r="B262" s="57">
        <f t="shared" si="6"/>
        <v>45551</v>
      </c>
      <c r="C262" s="21">
        <v>10.0</v>
      </c>
      <c r="D262" s="21" t="s">
        <v>47</v>
      </c>
      <c r="E262" s="23"/>
      <c r="F262" s="42">
        <v>0.0</v>
      </c>
      <c r="H262" s="43">
        <v>0.0</v>
      </c>
      <c r="J262" s="43">
        <v>0.0</v>
      </c>
      <c r="L262" s="43">
        <v>0.0</v>
      </c>
      <c r="N262" s="43">
        <v>0.0</v>
      </c>
      <c r="P262" s="43">
        <v>0.0</v>
      </c>
      <c r="Q262" s="26"/>
      <c r="R262" s="42">
        <v>140.0</v>
      </c>
      <c r="T262" s="43">
        <v>140.0</v>
      </c>
      <c r="V262" s="43">
        <v>0.0</v>
      </c>
      <c r="X262" s="43">
        <v>0.0</v>
      </c>
      <c r="Z262" s="43">
        <v>0.0</v>
      </c>
      <c r="AB262" s="43">
        <v>0.0</v>
      </c>
      <c r="AC262" s="26"/>
      <c r="AD262" s="43">
        <v>0.0</v>
      </c>
      <c r="AF262" s="43">
        <v>0.0</v>
      </c>
      <c r="AH262" s="43">
        <v>0.0</v>
      </c>
      <c r="AJ262" s="27">
        <v>0.0</v>
      </c>
      <c r="AK262" s="26"/>
      <c r="AL262" s="42"/>
      <c r="AM262" s="26"/>
      <c r="AN262" s="42"/>
      <c r="AO262" s="26"/>
      <c r="AP262" s="42"/>
      <c r="AQ262" s="26"/>
      <c r="AR262" s="43"/>
      <c r="AT262" s="43"/>
      <c r="AU262" s="26"/>
      <c r="AV262" s="29">
        <f t="shared" si="1"/>
        <v>2992.5168</v>
      </c>
      <c r="AW262" s="21">
        <f t="shared" si="2"/>
        <v>280</v>
      </c>
      <c r="AX262" s="21">
        <f t="shared" si="3"/>
        <v>0</v>
      </c>
      <c r="AY262" s="21">
        <f t="shared" si="4"/>
        <v>280</v>
      </c>
      <c r="AZ262" s="58">
        <f t="shared" si="5"/>
        <v>10.68756</v>
      </c>
    </row>
    <row r="263" ht="15.75" customHeight="1">
      <c r="A263" s="31" t="s">
        <v>33</v>
      </c>
      <c r="B263" s="32">
        <f t="shared" si="6"/>
        <v>45552</v>
      </c>
      <c r="C263" s="33">
        <v>10.0</v>
      </c>
      <c r="D263" s="33" t="s">
        <v>47</v>
      </c>
      <c r="E263" s="34"/>
      <c r="F263" s="42">
        <v>0.0</v>
      </c>
      <c r="H263" s="43">
        <v>0.0</v>
      </c>
      <c r="J263" s="43">
        <v>0.0</v>
      </c>
      <c r="L263" s="43">
        <v>0.0</v>
      </c>
      <c r="N263" s="43">
        <v>0.0</v>
      </c>
      <c r="P263" s="43">
        <v>0.0</v>
      </c>
      <c r="Q263" s="26"/>
      <c r="R263" s="42">
        <v>140.0</v>
      </c>
      <c r="T263" s="43">
        <v>140.0</v>
      </c>
      <c r="V263" s="43">
        <v>0.0</v>
      </c>
      <c r="X263" s="43">
        <v>0.0</v>
      </c>
      <c r="Z263" s="43">
        <v>0.0</v>
      </c>
      <c r="AB263" s="43">
        <v>0.0</v>
      </c>
      <c r="AC263" s="26"/>
      <c r="AD263" s="43">
        <v>0.0</v>
      </c>
      <c r="AF263" s="43">
        <v>0.0</v>
      </c>
      <c r="AH263" s="43">
        <v>0.0</v>
      </c>
      <c r="AJ263" s="27">
        <v>0.0</v>
      </c>
      <c r="AK263" s="26"/>
      <c r="AL263" s="42"/>
      <c r="AM263" s="26"/>
      <c r="AN263" s="42"/>
      <c r="AO263" s="26"/>
      <c r="AP263" s="42"/>
      <c r="AQ263" s="26"/>
      <c r="AR263" s="43"/>
      <c r="AT263" s="43"/>
      <c r="AU263" s="26"/>
      <c r="AV263" s="35">
        <f t="shared" si="1"/>
        <v>2992.5168</v>
      </c>
      <c r="AW263" s="33">
        <f t="shared" si="2"/>
        <v>280</v>
      </c>
      <c r="AX263" s="33">
        <f t="shared" si="3"/>
        <v>0</v>
      </c>
      <c r="AY263" s="33">
        <f t="shared" si="4"/>
        <v>280</v>
      </c>
      <c r="AZ263" s="30">
        <f t="shared" si="5"/>
        <v>10.68756</v>
      </c>
    </row>
    <row r="264" ht="15.75" customHeight="1">
      <c r="A264" s="31" t="s">
        <v>34</v>
      </c>
      <c r="B264" s="32">
        <f t="shared" si="6"/>
        <v>45553</v>
      </c>
      <c r="C264" s="33">
        <v>10.0</v>
      </c>
      <c r="D264" s="33" t="s">
        <v>47</v>
      </c>
      <c r="E264" s="34"/>
      <c r="F264" s="42">
        <v>0.0</v>
      </c>
      <c r="H264" s="43">
        <v>0.0</v>
      </c>
      <c r="J264" s="43">
        <v>0.0</v>
      </c>
      <c r="L264" s="43">
        <v>0.0</v>
      </c>
      <c r="N264" s="43">
        <v>0.0</v>
      </c>
      <c r="P264" s="43">
        <v>0.0</v>
      </c>
      <c r="Q264" s="26"/>
      <c r="R264" s="42">
        <v>140.0</v>
      </c>
      <c r="T264" s="43">
        <v>140.0</v>
      </c>
      <c r="V264" s="43">
        <v>0.0</v>
      </c>
      <c r="X264" s="43">
        <v>0.0</v>
      </c>
      <c r="Z264" s="43">
        <v>0.0</v>
      </c>
      <c r="AB264" s="43">
        <v>0.0</v>
      </c>
      <c r="AC264" s="26"/>
      <c r="AD264" s="43">
        <v>0.0</v>
      </c>
      <c r="AF264" s="43">
        <v>0.0</v>
      </c>
      <c r="AH264" s="43">
        <v>0.0</v>
      </c>
      <c r="AJ264" s="27">
        <v>0.0</v>
      </c>
      <c r="AK264" s="26"/>
      <c r="AL264" s="42"/>
      <c r="AM264" s="26"/>
      <c r="AN264" s="42"/>
      <c r="AO264" s="26"/>
      <c r="AP264" s="42"/>
      <c r="AQ264" s="26"/>
      <c r="AR264" s="43"/>
      <c r="AT264" s="43"/>
      <c r="AU264" s="26"/>
      <c r="AV264" s="35">
        <f t="shared" si="1"/>
        <v>2992.5168</v>
      </c>
      <c r="AW264" s="33">
        <f t="shared" si="2"/>
        <v>280</v>
      </c>
      <c r="AX264" s="33">
        <f t="shared" si="3"/>
        <v>0</v>
      </c>
      <c r="AY264" s="33">
        <f t="shared" si="4"/>
        <v>280</v>
      </c>
      <c r="AZ264" s="30">
        <f t="shared" si="5"/>
        <v>10.68756</v>
      </c>
    </row>
    <row r="265" ht="15.75" customHeight="1">
      <c r="A265" s="31" t="s">
        <v>35</v>
      </c>
      <c r="B265" s="32">
        <f t="shared" si="6"/>
        <v>45554</v>
      </c>
      <c r="C265" s="33">
        <v>10.0</v>
      </c>
      <c r="D265" s="33" t="s">
        <v>47</v>
      </c>
      <c r="E265" s="34"/>
      <c r="F265" s="42">
        <v>0.0</v>
      </c>
      <c r="H265" s="43">
        <v>0.0</v>
      </c>
      <c r="J265" s="43">
        <v>0.0</v>
      </c>
      <c r="L265" s="43">
        <v>0.0</v>
      </c>
      <c r="N265" s="43">
        <v>0.0</v>
      </c>
      <c r="P265" s="43">
        <v>0.0</v>
      </c>
      <c r="Q265" s="26"/>
      <c r="R265" s="42">
        <v>140.0</v>
      </c>
      <c r="T265" s="43">
        <v>140.0</v>
      </c>
      <c r="V265" s="43">
        <v>0.0</v>
      </c>
      <c r="X265" s="43">
        <v>0.0</v>
      </c>
      <c r="Z265" s="43">
        <v>0.0</v>
      </c>
      <c r="AB265" s="43">
        <v>0.0</v>
      </c>
      <c r="AC265" s="26"/>
      <c r="AD265" s="43">
        <v>0.0</v>
      </c>
      <c r="AF265" s="43">
        <v>0.0</v>
      </c>
      <c r="AH265" s="43">
        <v>0.0</v>
      </c>
      <c r="AJ265" s="27">
        <v>0.0</v>
      </c>
      <c r="AK265" s="26"/>
      <c r="AL265" s="42"/>
      <c r="AM265" s="26"/>
      <c r="AN265" s="42"/>
      <c r="AO265" s="26"/>
      <c r="AP265" s="42"/>
      <c r="AQ265" s="26"/>
      <c r="AR265" s="43"/>
      <c r="AT265" s="43"/>
      <c r="AU265" s="26"/>
      <c r="AV265" s="35">
        <f t="shared" si="1"/>
        <v>2992.5168</v>
      </c>
      <c r="AW265" s="33">
        <f t="shared" si="2"/>
        <v>280</v>
      </c>
      <c r="AX265" s="33">
        <f t="shared" si="3"/>
        <v>0</v>
      </c>
      <c r="AY265" s="33">
        <f t="shared" si="4"/>
        <v>280</v>
      </c>
      <c r="AZ265" s="30">
        <f t="shared" si="5"/>
        <v>10.68756</v>
      </c>
    </row>
    <row r="266" ht="15.75" customHeight="1">
      <c r="A266" s="31" t="s">
        <v>38</v>
      </c>
      <c r="B266" s="32">
        <f t="shared" si="6"/>
        <v>45555</v>
      </c>
      <c r="C266" s="33">
        <v>10.0</v>
      </c>
      <c r="D266" s="33" t="s">
        <v>47</v>
      </c>
      <c r="E266" s="34"/>
      <c r="F266" s="42">
        <v>0.0</v>
      </c>
      <c r="H266" s="43">
        <v>0.0</v>
      </c>
      <c r="J266" s="43">
        <v>0.0</v>
      </c>
      <c r="L266" s="43">
        <v>0.0</v>
      </c>
      <c r="N266" s="43">
        <v>0.0</v>
      </c>
      <c r="P266" s="43">
        <v>0.0</v>
      </c>
      <c r="Q266" s="26"/>
      <c r="R266" s="42">
        <v>140.0</v>
      </c>
      <c r="T266" s="43">
        <v>140.0</v>
      </c>
      <c r="V266" s="43">
        <v>0.0</v>
      </c>
      <c r="X266" s="43">
        <v>0.0</v>
      </c>
      <c r="Z266" s="43">
        <v>0.0</v>
      </c>
      <c r="AB266" s="43">
        <v>0.0</v>
      </c>
      <c r="AC266" s="26"/>
      <c r="AD266" s="43">
        <v>0.0</v>
      </c>
      <c r="AF266" s="43">
        <v>0.0</v>
      </c>
      <c r="AH266" s="43">
        <v>0.0</v>
      </c>
      <c r="AJ266" s="27">
        <v>0.0</v>
      </c>
      <c r="AK266" s="26"/>
      <c r="AL266" s="42"/>
      <c r="AM266" s="26"/>
      <c r="AN266" s="42"/>
      <c r="AO266" s="26"/>
      <c r="AP266" s="42"/>
      <c r="AQ266" s="26"/>
      <c r="AR266" s="43"/>
      <c r="AT266" s="43"/>
      <c r="AU266" s="26"/>
      <c r="AV266" s="35">
        <f t="shared" si="1"/>
        <v>2992.5168</v>
      </c>
      <c r="AW266" s="33">
        <f t="shared" si="2"/>
        <v>280</v>
      </c>
      <c r="AX266" s="33">
        <f t="shared" si="3"/>
        <v>0</v>
      </c>
      <c r="AY266" s="33">
        <f t="shared" si="4"/>
        <v>280</v>
      </c>
      <c r="AZ266" s="30">
        <f t="shared" si="5"/>
        <v>10.68756</v>
      </c>
    </row>
    <row r="267" ht="15.75" customHeight="1">
      <c r="A267" s="31" t="s">
        <v>45</v>
      </c>
      <c r="B267" s="32">
        <f t="shared" si="6"/>
        <v>45556</v>
      </c>
      <c r="C267" s="33">
        <v>10.0</v>
      </c>
      <c r="D267" s="33" t="s">
        <v>47</v>
      </c>
      <c r="E267" s="34"/>
      <c r="F267" s="42">
        <v>0.0</v>
      </c>
      <c r="H267" s="43">
        <v>0.0</v>
      </c>
      <c r="J267" s="43">
        <v>0.0</v>
      </c>
      <c r="L267" s="43">
        <v>0.0</v>
      </c>
      <c r="N267" s="43">
        <v>0.0</v>
      </c>
      <c r="P267" s="43">
        <v>0.0</v>
      </c>
      <c r="Q267" s="26"/>
      <c r="R267" s="42">
        <v>160.0</v>
      </c>
      <c r="T267" s="43">
        <v>160.0</v>
      </c>
      <c r="V267" s="43">
        <v>0.0</v>
      </c>
      <c r="X267" s="43">
        <v>0.0</v>
      </c>
      <c r="Z267" s="43">
        <v>0.0</v>
      </c>
      <c r="AB267" s="43">
        <v>0.0</v>
      </c>
      <c r="AC267" s="26"/>
      <c r="AD267" s="43">
        <v>0.0</v>
      </c>
      <c r="AF267" s="43">
        <v>0.0</v>
      </c>
      <c r="AH267" s="43">
        <v>0.0</v>
      </c>
      <c r="AJ267" s="27">
        <v>0.0</v>
      </c>
      <c r="AK267" s="26"/>
      <c r="AL267" s="42"/>
      <c r="AM267" s="26"/>
      <c r="AN267" s="42"/>
      <c r="AO267" s="26"/>
      <c r="AP267" s="42"/>
      <c r="AQ267" s="26"/>
      <c r="AR267" s="43"/>
      <c r="AT267" s="43"/>
      <c r="AU267" s="26"/>
      <c r="AV267" s="35">
        <f t="shared" si="1"/>
        <v>3420.0192</v>
      </c>
      <c r="AW267" s="33">
        <f t="shared" si="2"/>
        <v>320</v>
      </c>
      <c r="AX267" s="33">
        <f t="shared" si="3"/>
        <v>0</v>
      </c>
      <c r="AY267" s="33">
        <f t="shared" si="4"/>
        <v>320</v>
      </c>
      <c r="AZ267" s="30">
        <f t="shared" si="5"/>
        <v>10.68756</v>
      </c>
    </row>
    <row r="268" ht="15.75" customHeight="1">
      <c r="A268" s="44" t="s">
        <v>46</v>
      </c>
      <c r="B268" s="45">
        <f t="shared" si="6"/>
        <v>45557</v>
      </c>
      <c r="C268" s="46">
        <v>10.0</v>
      </c>
      <c r="D268" s="46" t="s">
        <v>47</v>
      </c>
      <c r="E268" s="47"/>
      <c r="F268" s="66">
        <v>0.0</v>
      </c>
      <c r="G268" s="51"/>
      <c r="H268" s="67">
        <v>0.0</v>
      </c>
      <c r="I268" s="51"/>
      <c r="J268" s="67">
        <v>0.0</v>
      </c>
      <c r="K268" s="51"/>
      <c r="L268" s="67">
        <v>0.0</v>
      </c>
      <c r="M268" s="51"/>
      <c r="N268" s="67">
        <v>0.0</v>
      </c>
      <c r="O268" s="51"/>
      <c r="P268" s="67">
        <v>0.0</v>
      </c>
      <c r="Q268" s="53"/>
      <c r="R268" s="66">
        <v>0.0</v>
      </c>
      <c r="S268" s="51"/>
      <c r="T268" s="67">
        <v>0.0</v>
      </c>
      <c r="U268" s="51"/>
      <c r="V268" s="67">
        <v>0.0</v>
      </c>
      <c r="W268" s="51"/>
      <c r="X268" s="67">
        <v>0.0</v>
      </c>
      <c r="Y268" s="51"/>
      <c r="Z268" s="67">
        <v>0.0</v>
      </c>
      <c r="AA268" s="51"/>
      <c r="AB268" s="67">
        <v>0.0</v>
      </c>
      <c r="AC268" s="53"/>
      <c r="AD268" s="67">
        <v>0.0</v>
      </c>
      <c r="AE268" s="51"/>
      <c r="AF268" s="67">
        <v>0.0</v>
      </c>
      <c r="AG268" s="51"/>
      <c r="AH268" s="67">
        <v>0.0</v>
      </c>
      <c r="AI268" s="51"/>
      <c r="AJ268" s="54">
        <v>0.0</v>
      </c>
      <c r="AK268" s="53"/>
      <c r="AL268" s="66"/>
      <c r="AM268" s="53"/>
      <c r="AN268" s="66"/>
      <c r="AO268" s="53"/>
      <c r="AP268" s="66"/>
      <c r="AQ268" s="53"/>
      <c r="AR268" s="67"/>
      <c r="AS268" s="51"/>
      <c r="AT268" s="67"/>
      <c r="AU268" s="53"/>
      <c r="AV268" s="55">
        <f t="shared" si="1"/>
        <v>0</v>
      </c>
      <c r="AW268" s="46">
        <f t="shared" si="2"/>
        <v>0</v>
      </c>
      <c r="AX268" s="46">
        <f t="shared" si="3"/>
        <v>0</v>
      </c>
      <c r="AY268" s="46">
        <f t="shared" si="4"/>
        <v>0</v>
      </c>
      <c r="AZ268" s="56" t="str">
        <f t="shared" si="5"/>
        <v/>
      </c>
    </row>
    <row r="269" ht="15.75" customHeight="1">
      <c r="A269" s="19" t="s">
        <v>30</v>
      </c>
      <c r="B269" s="57">
        <f t="shared" si="6"/>
        <v>45558</v>
      </c>
      <c r="C269" s="21">
        <v>10.0</v>
      </c>
      <c r="D269" s="21" t="s">
        <v>48</v>
      </c>
      <c r="E269" s="23"/>
      <c r="F269" s="42">
        <v>0.0</v>
      </c>
      <c r="H269" s="43">
        <v>0.0</v>
      </c>
      <c r="J269" s="43">
        <v>0.0</v>
      </c>
      <c r="L269" s="43">
        <v>0.0</v>
      </c>
      <c r="N269" s="43">
        <v>0.0</v>
      </c>
      <c r="P269" s="43">
        <v>0.0</v>
      </c>
      <c r="Q269" s="26"/>
      <c r="R269" s="42">
        <v>150.0</v>
      </c>
      <c r="T269" s="43">
        <v>150.0</v>
      </c>
      <c r="V269" s="43">
        <v>0.0</v>
      </c>
      <c r="X269" s="43">
        <v>0.0</v>
      </c>
      <c r="Z269" s="43">
        <v>0.0</v>
      </c>
      <c r="AB269" s="43">
        <v>0.0</v>
      </c>
      <c r="AC269" s="26"/>
      <c r="AD269" s="43">
        <v>0.0</v>
      </c>
      <c r="AF269" s="43">
        <v>0.0</v>
      </c>
      <c r="AH269" s="43">
        <v>0.0</v>
      </c>
      <c r="AJ269" s="27">
        <v>0.0</v>
      </c>
      <c r="AK269" s="26"/>
      <c r="AL269" s="40"/>
      <c r="AM269" s="26"/>
      <c r="AN269" s="40"/>
      <c r="AO269" s="26"/>
      <c r="AP269" s="40"/>
      <c r="AQ269" s="26"/>
      <c r="AR269" s="41"/>
      <c r="AT269" s="41"/>
      <c r="AU269" s="26"/>
      <c r="AV269" s="29">
        <f t="shared" si="1"/>
        <v>3206.268</v>
      </c>
      <c r="AW269" s="21">
        <f t="shared" si="2"/>
        <v>300</v>
      </c>
      <c r="AX269" s="21">
        <f t="shared" si="3"/>
        <v>0</v>
      </c>
      <c r="AY269" s="21">
        <f t="shared" si="4"/>
        <v>300</v>
      </c>
      <c r="AZ269" s="58">
        <f t="shared" si="5"/>
        <v>10.68756</v>
      </c>
    </row>
    <row r="270" ht="15.75" customHeight="1">
      <c r="A270" s="31" t="s">
        <v>33</v>
      </c>
      <c r="B270" s="32">
        <f t="shared" si="6"/>
        <v>45559</v>
      </c>
      <c r="C270" s="33">
        <v>10.0</v>
      </c>
      <c r="D270" s="33" t="s">
        <v>48</v>
      </c>
      <c r="E270" s="34"/>
      <c r="F270" s="42">
        <v>0.0</v>
      </c>
      <c r="H270" s="43">
        <v>0.0</v>
      </c>
      <c r="J270" s="43">
        <v>0.0</v>
      </c>
      <c r="L270" s="43">
        <v>0.0</v>
      </c>
      <c r="N270" s="43">
        <v>0.0</v>
      </c>
      <c r="P270" s="43">
        <v>0.0</v>
      </c>
      <c r="Q270" s="26"/>
      <c r="R270" s="42">
        <v>150.0</v>
      </c>
      <c r="T270" s="43">
        <v>150.0</v>
      </c>
      <c r="V270" s="43">
        <v>0.0</v>
      </c>
      <c r="X270" s="43">
        <v>0.0</v>
      </c>
      <c r="Z270" s="43">
        <v>0.0</v>
      </c>
      <c r="AB270" s="43">
        <v>0.0</v>
      </c>
      <c r="AC270" s="26"/>
      <c r="AD270" s="43">
        <v>0.0</v>
      </c>
      <c r="AF270" s="43">
        <v>0.0</v>
      </c>
      <c r="AH270" s="43">
        <v>0.0</v>
      </c>
      <c r="AJ270" s="27">
        <v>0.0</v>
      </c>
      <c r="AK270" s="26"/>
      <c r="AL270" s="40"/>
      <c r="AM270" s="26"/>
      <c r="AN270" s="40"/>
      <c r="AO270" s="26"/>
      <c r="AP270" s="40"/>
      <c r="AQ270" s="26"/>
      <c r="AR270" s="41"/>
      <c r="AT270" s="41"/>
      <c r="AU270" s="26"/>
      <c r="AV270" s="35">
        <f t="shared" si="1"/>
        <v>3206.268</v>
      </c>
      <c r="AW270" s="33">
        <f t="shared" si="2"/>
        <v>300</v>
      </c>
      <c r="AX270" s="33">
        <f t="shared" si="3"/>
        <v>0</v>
      </c>
      <c r="AY270" s="33">
        <f t="shared" si="4"/>
        <v>300</v>
      </c>
      <c r="AZ270" s="30">
        <f t="shared" si="5"/>
        <v>10.68756</v>
      </c>
    </row>
    <row r="271" ht="15.75" customHeight="1">
      <c r="A271" s="31" t="s">
        <v>34</v>
      </c>
      <c r="B271" s="32">
        <f t="shared" si="6"/>
        <v>45560</v>
      </c>
      <c r="C271" s="33">
        <v>10.0</v>
      </c>
      <c r="D271" s="33" t="s">
        <v>48</v>
      </c>
      <c r="E271" s="34"/>
      <c r="F271" s="42">
        <v>0.0</v>
      </c>
      <c r="H271" s="43">
        <v>0.0</v>
      </c>
      <c r="J271" s="43">
        <v>0.0</v>
      </c>
      <c r="L271" s="43">
        <v>0.0</v>
      </c>
      <c r="N271" s="43">
        <v>0.0</v>
      </c>
      <c r="P271" s="43">
        <v>0.0</v>
      </c>
      <c r="Q271" s="26"/>
      <c r="R271" s="42">
        <v>150.0</v>
      </c>
      <c r="T271" s="43">
        <v>150.0</v>
      </c>
      <c r="V271" s="43">
        <v>0.0</v>
      </c>
      <c r="X271" s="43">
        <v>0.0</v>
      </c>
      <c r="Z271" s="43">
        <v>0.0</v>
      </c>
      <c r="AB271" s="43">
        <v>0.0</v>
      </c>
      <c r="AC271" s="26"/>
      <c r="AD271" s="43">
        <v>0.0</v>
      </c>
      <c r="AF271" s="43">
        <v>0.0</v>
      </c>
      <c r="AH271" s="43">
        <v>0.0</v>
      </c>
      <c r="AJ271" s="27">
        <v>0.0</v>
      </c>
      <c r="AK271" s="26"/>
      <c r="AL271" s="40"/>
      <c r="AM271" s="26"/>
      <c r="AN271" s="40"/>
      <c r="AO271" s="26"/>
      <c r="AP271" s="40"/>
      <c r="AQ271" s="26"/>
      <c r="AR271" s="41"/>
      <c r="AT271" s="41"/>
      <c r="AU271" s="26"/>
      <c r="AV271" s="35">
        <f t="shared" si="1"/>
        <v>3206.268</v>
      </c>
      <c r="AW271" s="33">
        <f t="shared" si="2"/>
        <v>300</v>
      </c>
      <c r="AX271" s="33">
        <f t="shared" si="3"/>
        <v>0</v>
      </c>
      <c r="AY271" s="33">
        <f t="shared" si="4"/>
        <v>300</v>
      </c>
      <c r="AZ271" s="30">
        <f t="shared" si="5"/>
        <v>10.68756</v>
      </c>
    </row>
    <row r="272" ht="15.75" customHeight="1">
      <c r="A272" s="31" t="s">
        <v>35</v>
      </c>
      <c r="B272" s="32">
        <f t="shared" si="6"/>
        <v>45561</v>
      </c>
      <c r="C272" s="33">
        <v>10.0</v>
      </c>
      <c r="D272" s="33" t="s">
        <v>48</v>
      </c>
      <c r="E272" s="34"/>
      <c r="F272" s="42">
        <v>0.0</v>
      </c>
      <c r="H272" s="43">
        <v>0.0</v>
      </c>
      <c r="J272" s="43">
        <v>0.0</v>
      </c>
      <c r="L272" s="43">
        <v>0.0</v>
      </c>
      <c r="N272" s="43">
        <v>0.0</v>
      </c>
      <c r="P272" s="43">
        <v>0.0</v>
      </c>
      <c r="Q272" s="26"/>
      <c r="R272" s="42">
        <v>150.0</v>
      </c>
      <c r="T272" s="43">
        <v>150.0</v>
      </c>
      <c r="V272" s="43">
        <v>0.0</v>
      </c>
      <c r="X272" s="43">
        <v>0.0</v>
      </c>
      <c r="Z272" s="43">
        <v>0.0</v>
      </c>
      <c r="AB272" s="43">
        <v>0.0</v>
      </c>
      <c r="AC272" s="26"/>
      <c r="AD272" s="43">
        <v>0.0</v>
      </c>
      <c r="AF272" s="43">
        <v>0.0</v>
      </c>
      <c r="AH272" s="43">
        <v>0.0</v>
      </c>
      <c r="AJ272" s="27">
        <v>0.0</v>
      </c>
      <c r="AK272" s="26"/>
      <c r="AL272" s="40"/>
      <c r="AM272" s="26"/>
      <c r="AN272" s="40"/>
      <c r="AO272" s="26"/>
      <c r="AP272" s="40"/>
      <c r="AQ272" s="26"/>
      <c r="AR272" s="41"/>
      <c r="AT272" s="41"/>
      <c r="AU272" s="26"/>
      <c r="AV272" s="35">
        <f t="shared" si="1"/>
        <v>3206.268</v>
      </c>
      <c r="AW272" s="33">
        <f t="shared" si="2"/>
        <v>300</v>
      </c>
      <c r="AX272" s="33">
        <f t="shared" si="3"/>
        <v>0</v>
      </c>
      <c r="AY272" s="33">
        <f t="shared" si="4"/>
        <v>300</v>
      </c>
      <c r="AZ272" s="30">
        <f t="shared" si="5"/>
        <v>10.68756</v>
      </c>
    </row>
    <row r="273" ht="15.75" customHeight="1">
      <c r="A273" s="31" t="s">
        <v>38</v>
      </c>
      <c r="B273" s="32">
        <f t="shared" si="6"/>
        <v>45562</v>
      </c>
      <c r="C273" s="33">
        <v>10.0</v>
      </c>
      <c r="D273" s="33" t="s">
        <v>48</v>
      </c>
      <c r="E273" s="34"/>
      <c r="F273" s="42">
        <v>0.0</v>
      </c>
      <c r="H273" s="43">
        <v>0.0</v>
      </c>
      <c r="J273" s="43">
        <v>0.0</v>
      </c>
      <c r="L273" s="43">
        <v>0.0</v>
      </c>
      <c r="N273" s="43">
        <v>0.0</v>
      </c>
      <c r="P273" s="43">
        <v>0.0</v>
      </c>
      <c r="Q273" s="26"/>
      <c r="R273" s="42">
        <v>150.0</v>
      </c>
      <c r="T273" s="43">
        <v>150.0</v>
      </c>
      <c r="V273" s="43">
        <v>0.0</v>
      </c>
      <c r="X273" s="43">
        <v>0.0</v>
      </c>
      <c r="Z273" s="43">
        <v>0.0</v>
      </c>
      <c r="AB273" s="43">
        <v>0.0</v>
      </c>
      <c r="AC273" s="26"/>
      <c r="AD273" s="43">
        <v>0.0</v>
      </c>
      <c r="AF273" s="43">
        <v>0.0</v>
      </c>
      <c r="AH273" s="43">
        <v>0.0</v>
      </c>
      <c r="AJ273" s="27">
        <v>0.0</v>
      </c>
      <c r="AK273" s="26"/>
      <c r="AL273" s="40"/>
      <c r="AM273" s="26"/>
      <c r="AN273" s="40"/>
      <c r="AO273" s="26"/>
      <c r="AP273" s="40"/>
      <c r="AQ273" s="26"/>
      <c r="AR273" s="41"/>
      <c r="AT273" s="41"/>
      <c r="AU273" s="26"/>
      <c r="AV273" s="35">
        <f t="shared" si="1"/>
        <v>3206.268</v>
      </c>
      <c r="AW273" s="33">
        <f t="shared" si="2"/>
        <v>300</v>
      </c>
      <c r="AX273" s="33">
        <f t="shared" si="3"/>
        <v>0</v>
      </c>
      <c r="AY273" s="33">
        <f t="shared" si="4"/>
        <v>300</v>
      </c>
      <c r="AZ273" s="30">
        <f t="shared" si="5"/>
        <v>10.68756</v>
      </c>
    </row>
    <row r="274" ht="15.75" customHeight="1">
      <c r="A274" s="31" t="s">
        <v>45</v>
      </c>
      <c r="B274" s="32">
        <f t="shared" si="6"/>
        <v>45563</v>
      </c>
      <c r="C274" s="33">
        <v>10.0</v>
      </c>
      <c r="D274" s="33" t="s">
        <v>48</v>
      </c>
      <c r="E274" s="34"/>
      <c r="F274" s="42">
        <v>0.0</v>
      </c>
      <c r="H274" s="43">
        <v>0.0</v>
      </c>
      <c r="J274" s="43">
        <v>0.0</v>
      </c>
      <c r="L274" s="43">
        <v>0.0</v>
      </c>
      <c r="N274" s="43">
        <v>0.0</v>
      </c>
      <c r="P274" s="43">
        <v>0.0</v>
      </c>
      <c r="Q274" s="26"/>
      <c r="R274" s="42">
        <v>150.0</v>
      </c>
      <c r="T274" s="43">
        <v>150.0</v>
      </c>
      <c r="V274" s="43">
        <v>0.0</v>
      </c>
      <c r="X274" s="43">
        <v>0.0</v>
      </c>
      <c r="Z274" s="43">
        <v>0.0</v>
      </c>
      <c r="AB274" s="43">
        <v>0.0</v>
      </c>
      <c r="AC274" s="26"/>
      <c r="AD274" s="43">
        <v>0.0</v>
      </c>
      <c r="AF274" s="43">
        <v>0.0</v>
      </c>
      <c r="AH274" s="43">
        <v>0.0</v>
      </c>
      <c r="AJ274" s="27">
        <v>0.0</v>
      </c>
      <c r="AK274" s="26"/>
      <c r="AL274" s="40"/>
      <c r="AM274" s="26"/>
      <c r="AN274" s="40"/>
      <c r="AO274" s="26"/>
      <c r="AP274" s="40"/>
      <c r="AQ274" s="26"/>
      <c r="AR274" s="41"/>
      <c r="AT274" s="41"/>
      <c r="AU274" s="26"/>
      <c r="AV274" s="35">
        <f t="shared" si="1"/>
        <v>3206.268</v>
      </c>
      <c r="AW274" s="33">
        <f t="shared" si="2"/>
        <v>300</v>
      </c>
      <c r="AX274" s="33">
        <f t="shared" si="3"/>
        <v>0</v>
      </c>
      <c r="AY274" s="33">
        <f t="shared" si="4"/>
        <v>300</v>
      </c>
      <c r="AZ274" s="30">
        <f t="shared" si="5"/>
        <v>10.68756</v>
      </c>
    </row>
    <row r="275" ht="15.75" customHeight="1">
      <c r="A275" s="44" t="s">
        <v>46</v>
      </c>
      <c r="B275" s="45">
        <f t="shared" si="6"/>
        <v>45564</v>
      </c>
      <c r="C275" s="46">
        <v>10.0</v>
      </c>
      <c r="D275" s="46" t="s">
        <v>48</v>
      </c>
      <c r="E275" s="47"/>
      <c r="F275" s="66">
        <v>0.0</v>
      </c>
      <c r="G275" s="51"/>
      <c r="H275" s="67">
        <v>0.0</v>
      </c>
      <c r="I275" s="51"/>
      <c r="J275" s="67">
        <v>0.0</v>
      </c>
      <c r="K275" s="51"/>
      <c r="L275" s="67">
        <v>0.0</v>
      </c>
      <c r="M275" s="51"/>
      <c r="N275" s="67">
        <v>0.0</v>
      </c>
      <c r="O275" s="51"/>
      <c r="P275" s="67">
        <v>0.0</v>
      </c>
      <c r="Q275" s="53"/>
      <c r="R275" s="66">
        <v>0.0</v>
      </c>
      <c r="S275" s="51"/>
      <c r="T275" s="67">
        <v>0.0</v>
      </c>
      <c r="U275" s="51"/>
      <c r="V275" s="67">
        <v>0.0</v>
      </c>
      <c r="W275" s="51"/>
      <c r="X275" s="67">
        <v>0.0</v>
      </c>
      <c r="Y275" s="51"/>
      <c r="Z275" s="67">
        <v>0.0</v>
      </c>
      <c r="AA275" s="51"/>
      <c r="AB275" s="67">
        <v>0.0</v>
      </c>
      <c r="AC275" s="53"/>
      <c r="AD275" s="67">
        <v>0.0</v>
      </c>
      <c r="AE275" s="51"/>
      <c r="AF275" s="67">
        <v>0.0</v>
      </c>
      <c r="AG275" s="51"/>
      <c r="AH275" s="67">
        <v>0.0</v>
      </c>
      <c r="AI275" s="51"/>
      <c r="AJ275" s="54">
        <v>0.0</v>
      </c>
      <c r="AK275" s="53"/>
      <c r="AL275" s="64"/>
      <c r="AM275" s="53"/>
      <c r="AN275" s="64"/>
      <c r="AO275" s="53"/>
      <c r="AP275" s="64"/>
      <c r="AQ275" s="53"/>
      <c r="AR275" s="65"/>
      <c r="AS275" s="51"/>
      <c r="AT275" s="65"/>
      <c r="AU275" s="53"/>
      <c r="AV275" s="55">
        <f t="shared" si="1"/>
        <v>0</v>
      </c>
      <c r="AW275" s="46">
        <f t="shared" si="2"/>
        <v>0</v>
      </c>
      <c r="AX275" s="46">
        <f t="shared" si="3"/>
        <v>0</v>
      </c>
      <c r="AY275" s="46">
        <f t="shared" si="4"/>
        <v>0</v>
      </c>
      <c r="AZ275" s="56" t="str">
        <f t="shared" si="5"/>
        <v/>
      </c>
    </row>
    <row r="276" ht="15.75" customHeight="1">
      <c r="A276" s="19" t="s">
        <v>30</v>
      </c>
      <c r="B276" s="57">
        <f t="shared" si="6"/>
        <v>45565</v>
      </c>
      <c r="C276" s="21">
        <v>10.0</v>
      </c>
      <c r="D276" s="21" t="s">
        <v>49</v>
      </c>
      <c r="E276" s="23"/>
      <c r="F276" s="42">
        <v>0.0</v>
      </c>
      <c r="H276" s="43">
        <v>0.0</v>
      </c>
      <c r="J276" s="43">
        <v>0.0</v>
      </c>
      <c r="L276" s="43">
        <v>0.0</v>
      </c>
      <c r="N276" s="43">
        <v>0.0</v>
      </c>
      <c r="P276" s="43">
        <v>0.0</v>
      </c>
      <c r="Q276" s="26"/>
      <c r="R276" s="42">
        <v>120.0</v>
      </c>
      <c r="T276" s="43">
        <v>120.0</v>
      </c>
      <c r="V276" s="43">
        <v>0.0</v>
      </c>
      <c r="X276" s="43">
        <v>0.0</v>
      </c>
      <c r="Z276" s="43">
        <v>0.0</v>
      </c>
      <c r="AB276" s="43">
        <v>0.0</v>
      </c>
      <c r="AC276" s="26"/>
      <c r="AD276" s="43">
        <v>0.0</v>
      </c>
      <c r="AF276" s="43">
        <v>0.0</v>
      </c>
      <c r="AH276" s="43">
        <v>0.0</v>
      </c>
      <c r="AJ276" s="27">
        <v>0.0</v>
      </c>
      <c r="AK276" s="26"/>
      <c r="AL276" s="36"/>
      <c r="AM276" s="26"/>
      <c r="AN276" s="36"/>
      <c r="AO276" s="26"/>
      <c r="AP276" s="36"/>
      <c r="AQ276" s="26"/>
      <c r="AR276" s="37"/>
      <c r="AT276" s="37"/>
      <c r="AU276" s="26"/>
      <c r="AV276" s="29">
        <f t="shared" si="1"/>
        <v>2565.0144</v>
      </c>
      <c r="AW276" s="21">
        <f t="shared" si="2"/>
        <v>240</v>
      </c>
      <c r="AX276" s="21">
        <f t="shared" si="3"/>
        <v>0</v>
      </c>
      <c r="AY276" s="21">
        <f t="shared" si="4"/>
        <v>240</v>
      </c>
      <c r="AZ276" s="58">
        <f t="shared" si="5"/>
        <v>10.68756</v>
      </c>
    </row>
    <row r="277" ht="15.75" customHeight="1">
      <c r="A277" s="31" t="s">
        <v>33</v>
      </c>
      <c r="B277" s="32">
        <f t="shared" si="6"/>
        <v>45566</v>
      </c>
      <c r="C277" s="33">
        <v>10.0</v>
      </c>
      <c r="D277" s="33" t="s">
        <v>49</v>
      </c>
      <c r="E277" s="34"/>
      <c r="F277" s="42">
        <v>0.0</v>
      </c>
      <c r="H277" s="43">
        <v>0.0</v>
      </c>
      <c r="J277" s="43">
        <v>0.0</v>
      </c>
      <c r="L277" s="43">
        <v>0.0</v>
      </c>
      <c r="N277" s="43">
        <v>0.0</v>
      </c>
      <c r="P277" s="43">
        <v>0.0</v>
      </c>
      <c r="Q277" s="26"/>
      <c r="R277" s="42">
        <v>120.0</v>
      </c>
      <c r="T277" s="43">
        <v>120.0</v>
      </c>
      <c r="V277" s="43">
        <v>0.0</v>
      </c>
      <c r="X277" s="43">
        <v>0.0</v>
      </c>
      <c r="Z277" s="43">
        <v>0.0</v>
      </c>
      <c r="AB277" s="43">
        <v>0.0</v>
      </c>
      <c r="AC277" s="26"/>
      <c r="AD277" s="43">
        <v>0.0</v>
      </c>
      <c r="AF277" s="43">
        <v>0.0</v>
      </c>
      <c r="AH277" s="43">
        <v>0.0</v>
      </c>
      <c r="AJ277" s="27">
        <v>0.0</v>
      </c>
      <c r="AK277" s="26"/>
      <c r="AL277" s="36"/>
      <c r="AM277" s="26"/>
      <c r="AN277" s="36"/>
      <c r="AO277" s="26"/>
      <c r="AP277" s="36"/>
      <c r="AQ277" s="26"/>
      <c r="AR277" s="37"/>
      <c r="AT277" s="37"/>
      <c r="AU277" s="26"/>
      <c r="AV277" s="35">
        <f t="shared" si="1"/>
        <v>2565.0144</v>
      </c>
      <c r="AW277" s="33">
        <f t="shared" si="2"/>
        <v>240</v>
      </c>
      <c r="AX277" s="33">
        <f t="shared" si="3"/>
        <v>0</v>
      </c>
      <c r="AY277" s="33">
        <f t="shared" si="4"/>
        <v>240</v>
      </c>
      <c r="AZ277" s="30">
        <f t="shared" si="5"/>
        <v>10.68756</v>
      </c>
    </row>
    <row r="278" ht="15.75" customHeight="1">
      <c r="A278" s="31" t="s">
        <v>34</v>
      </c>
      <c r="B278" s="32">
        <f t="shared" si="6"/>
        <v>45567</v>
      </c>
      <c r="C278" s="33">
        <v>10.0</v>
      </c>
      <c r="D278" s="33" t="s">
        <v>49</v>
      </c>
      <c r="E278" s="34"/>
      <c r="F278" s="42">
        <v>0.0</v>
      </c>
      <c r="H278" s="43">
        <v>0.0</v>
      </c>
      <c r="J278" s="43">
        <v>0.0</v>
      </c>
      <c r="L278" s="43">
        <v>0.0</v>
      </c>
      <c r="N278" s="43">
        <v>0.0</v>
      </c>
      <c r="P278" s="43">
        <v>0.0</v>
      </c>
      <c r="Q278" s="26"/>
      <c r="R278" s="42">
        <v>120.0</v>
      </c>
      <c r="T278" s="43">
        <v>120.0</v>
      </c>
      <c r="V278" s="43">
        <v>0.0</v>
      </c>
      <c r="X278" s="43">
        <v>0.0</v>
      </c>
      <c r="Z278" s="43">
        <v>0.0</v>
      </c>
      <c r="AB278" s="43">
        <v>0.0</v>
      </c>
      <c r="AC278" s="26"/>
      <c r="AD278" s="43">
        <v>0.0</v>
      </c>
      <c r="AF278" s="43">
        <v>0.0</v>
      </c>
      <c r="AH278" s="43">
        <v>0.0</v>
      </c>
      <c r="AJ278" s="27">
        <v>0.0</v>
      </c>
      <c r="AK278" s="26"/>
      <c r="AL278" s="36"/>
      <c r="AM278" s="26"/>
      <c r="AN278" s="36"/>
      <c r="AO278" s="26"/>
      <c r="AP278" s="36"/>
      <c r="AQ278" s="26"/>
      <c r="AR278" s="37"/>
      <c r="AT278" s="37"/>
      <c r="AU278" s="26"/>
      <c r="AV278" s="35">
        <f t="shared" si="1"/>
        <v>2565.0144</v>
      </c>
      <c r="AW278" s="33">
        <f t="shared" si="2"/>
        <v>240</v>
      </c>
      <c r="AX278" s="33">
        <f t="shared" si="3"/>
        <v>0</v>
      </c>
      <c r="AY278" s="33">
        <f t="shared" si="4"/>
        <v>240</v>
      </c>
      <c r="AZ278" s="30">
        <f t="shared" si="5"/>
        <v>10.68756</v>
      </c>
    </row>
    <row r="279" ht="15.75" customHeight="1">
      <c r="A279" s="31" t="s">
        <v>35</v>
      </c>
      <c r="B279" s="32">
        <f t="shared" si="6"/>
        <v>45568</v>
      </c>
      <c r="C279" s="33">
        <v>10.0</v>
      </c>
      <c r="D279" s="33" t="s">
        <v>49</v>
      </c>
      <c r="E279" s="34"/>
      <c r="F279" s="42">
        <v>0.0</v>
      </c>
      <c r="H279" s="43">
        <v>0.0</v>
      </c>
      <c r="J279" s="43">
        <v>0.0</v>
      </c>
      <c r="L279" s="43">
        <v>0.0</v>
      </c>
      <c r="N279" s="43">
        <v>0.0</v>
      </c>
      <c r="P279" s="43">
        <v>0.0</v>
      </c>
      <c r="Q279" s="26"/>
      <c r="R279" s="42">
        <v>120.0</v>
      </c>
      <c r="T279" s="43">
        <v>120.0</v>
      </c>
      <c r="V279" s="43">
        <v>0.0</v>
      </c>
      <c r="X279" s="43">
        <v>0.0</v>
      </c>
      <c r="Z279" s="43">
        <v>0.0</v>
      </c>
      <c r="AB279" s="43">
        <v>0.0</v>
      </c>
      <c r="AC279" s="26"/>
      <c r="AD279" s="43">
        <v>0.0</v>
      </c>
      <c r="AF279" s="43">
        <v>0.0</v>
      </c>
      <c r="AH279" s="43">
        <v>0.0</v>
      </c>
      <c r="AJ279" s="27">
        <v>0.0</v>
      </c>
      <c r="AK279" s="26"/>
      <c r="AL279" s="36"/>
      <c r="AM279" s="26"/>
      <c r="AN279" s="36"/>
      <c r="AO279" s="26"/>
      <c r="AP279" s="36"/>
      <c r="AQ279" s="26"/>
      <c r="AR279" s="37"/>
      <c r="AT279" s="37"/>
      <c r="AU279" s="26"/>
      <c r="AV279" s="35">
        <f t="shared" si="1"/>
        <v>2565.0144</v>
      </c>
      <c r="AW279" s="33">
        <f t="shared" si="2"/>
        <v>240</v>
      </c>
      <c r="AX279" s="33">
        <f t="shared" si="3"/>
        <v>0</v>
      </c>
      <c r="AY279" s="33">
        <f t="shared" si="4"/>
        <v>240</v>
      </c>
      <c r="AZ279" s="30">
        <f t="shared" si="5"/>
        <v>10.68756</v>
      </c>
    </row>
    <row r="280" ht="15.75" customHeight="1">
      <c r="A280" s="31" t="s">
        <v>38</v>
      </c>
      <c r="B280" s="32">
        <f t="shared" si="6"/>
        <v>45569</v>
      </c>
      <c r="C280" s="33">
        <v>10.0</v>
      </c>
      <c r="D280" s="33" t="s">
        <v>49</v>
      </c>
      <c r="E280" s="34"/>
      <c r="F280" s="42">
        <v>0.0</v>
      </c>
      <c r="H280" s="43">
        <v>0.0</v>
      </c>
      <c r="J280" s="43">
        <v>0.0</v>
      </c>
      <c r="L280" s="43">
        <v>0.0</v>
      </c>
      <c r="N280" s="43">
        <v>0.0</v>
      </c>
      <c r="P280" s="43">
        <v>0.0</v>
      </c>
      <c r="Q280" s="26"/>
      <c r="R280" s="42">
        <v>120.0</v>
      </c>
      <c r="T280" s="43">
        <v>120.0</v>
      </c>
      <c r="V280" s="43">
        <v>0.0</v>
      </c>
      <c r="X280" s="43">
        <v>0.0</v>
      </c>
      <c r="Z280" s="43">
        <v>0.0</v>
      </c>
      <c r="AB280" s="43">
        <v>0.0</v>
      </c>
      <c r="AC280" s="26"/>
      <c r="AD280" s="43">
        <v>0.0</v>
      </c>
      <c r="AF280" s="43">
        <v>0.0</v>
      </c>
      <c r="AH280" s="43">
        <v>0.0</v>
      </c>
      <c r="AJ280" s="27">
        <v>0.0</v>
      </c>
      <c r="AK280" s="26"/>
      <c r="AL280" s="36"/>
      <c r="AM280" s="26"/>
      <c r="AN280" s="36"/>
      <c r="AO280" s="26"/>
      <c r="AP280" s="36"/>
      <c r="AQ280" s="26"/>
      <c r="AR280" s="37"/>
      <c r="AT280" s="37"/>
      <c r="AU280" s="26"/>
      <c r="AV280" s="35">
        <f t="shared" si="1"/>
        <v>2565.0144</v>
      </c>
      <c r="AW280" s="33">
        <f t="shared" si="2"/>
        <v>240</v>
      </c>
      <c r="AX280" s="33">
        <f t="shared" si="3"/>
        <v>0</v>
      </c>
      <c r="AY280" s="33">
        <f t="shared" si="4"/>
        <v>240</v>
      </c>
      <c r="AZ280" s="30">
        <f t="shared" si="5"/>
        <v>10.68756</v>
      </c>
    </row>
    <row r="281" ht="15.75" customHeight="1">
      <c r="A281" s="31" t="s">
        <v>45</v>
      </c>
      <c r="B281" s="32">
        <f t="shared" si="6"/>
        <v>45570</v>
      </c>
      <c r="C281" s="33">
        <v>10.0</v>
      </c>
      <c r="D281" s="33" t="s">
        <v>49</v>
      </c>
      <c r="E281" s="34"/>
      <c r="F281" s="42">
        <v>0.0</v>
      </c>
      <c r="H281" s="43">
        <v>0.0</v>
      </c>
      <c r="J281" s="43">
        <v>0.0</v>
      </c>
      <c r="L281" s="43">
        <v>0.0</v>
      </c>
      <c r="N281" s="43">
        <v>0.0</v>
      </c>
      <c r="P281" s="43">
        <v>0.0</v>
      </c>
      <c r="Q281" s="26"/>
      <c r="R281" s="42">
        <v>120.0</v>
      </c>
      <c r="T281" s="43">
        <v>120.0</v>
      </c>
      <c r="V281" s="43">
        <v>0.0</v>
      </c>
      <c r="X281" s="43">
        <v>0.0</v>
      </c>
      <c r="Z281" s="43">
        <v>0.0</v>
      </c>
      <c r="AB281" s="43">
        <v>0.0</v>
      </c>
      <c r="AC281" s="26"/>
      <c r="AD281" s="43">
        <v>0.0</v>
      </c>
      <c r="AF281" s="43">
        <v>0.0</v>
      </c>
      <c r="AH281" s="43">
        <v>0.0</v>
      </c>
      <c r="AJ281" s="27">
        <v>0.0</v>
      </c>
      <c r="AK281" s="26"/>
      <c r="AL281" s="36"/>
      <c r="AM281" s="26"/>
      <c r="AN281" s="36"/>
      <c r="AO281" s="26"/>
      <c r="AP281" s="36"/>
      <c r="AQ281" s="26"/>
      <c r="AR281" s="37"/>
      <c r="AT281" s="37"/>
      <c r="AU281" s="26"/>
      <c r="AV281" s="35">
        <f t="shared" si="1"/>
        <v>2565.0144</v>
      </c>
      <c r="AW281" s="33">
        <f t="shared" si="2"/>
        <v>240</v>
      </c>
      <c r="AX281" s="33">
        <f t="shared" si="3"/>
        <v>0</v>
      </c>
      <c r="AY281" s="33">
        <f t="shared" si="4"/>
        <v>240</v>
      </c>
      <c r="AZ281" s="30">
        <f t="shared" si="5"/>
        <v>10.68756</v>
      </c>
    </row>
    <row r="282" ht="15.75" customHeight="1">
      <c r="A282" s="44" t="s">
        <v>46</v>
      </c>
      <c r="B282" s="45">
        <f t="shared" si="6"/>
        <v>45571</v>
      </c>
      <c r="C282" s="46">
        <v>10.0</v>
      </c>
      <c r="D282" s="46" t="s">
        <v>49</v>
      </c>
      <c r="E282" s="47"/>
      <c r="F282" s="66">
        <v>0.0</v>
      </c>
      <c r="G282" s="51"/>
      <c r="H282" s="67">
        <v>0.0</v>
      </c>
      <c r="I282" s="51"/>
      <c r="J282" s="67">
        <v>0.0</v>
      </c>
      <c r="K282" s="51"/>
      <c r="L282" s="67">
        <v>0.0</v>
      </c>
      <c r="M282" s="51"/>
      <c r="N282" s="67">
        <v>0.0</v>
      </c>
      <c r="O282" s="51"/>
      <c r="P282" s="67">
        <v>0.0</v>
      </c>
      <c r="Q282" s="53"/>
      <c r="R282" s="66">
        <v>0.0</v>
      </c>
      <c r="S282" s="51"/>
      <c r="T282" s="67">
        <v>0.0</v>
      </c>
      <c r="U282" s="51"/>
      <c r="V282" s="67">
        <v>0.0</v>
      </c>
      <c r="W282" s="51"/>
      <c r="X282" s="67">
        <v>0.0</v>
      </c>
      <c r="Y282" s="51"/>
      <c r="Z282" s="67">
        <v>0.0</v>
      </c>
      <c r="AA282" s="51"/>
      <c r="AB282" s="67">
        <v>0.0</v>
      </c>
      <c r="AC282" s="53"/>
      <c r="AD282" s="67">
        <v>0.0</v>
      </c>
      <c r="AE282" s="51"/>
      <c r="AF282" s="67">
        <v>0.0</v>
      </c>
      <c r="AG282" s="51"/>
      <c r="AH282" s="67">
        <v>0.0</v>
      </c>
      <c r="AI282" s="51"/>
      <c r="AJ282" s="54">
        <v>0.0</v>
      </c>
      <c r="AK282" s="53"/>
      <c r="AL282" s="60"/>
      <c r="AM282" s="53"/>
      <c r="AN282" s="60"/>
      <c r="AO282" s="53"/>
      <c r="AP282" s="60"/>
      <c r="AQ282" s="53"/>
      <c r="AR282" s="61"/>
      <c r="AS282" s="51"/>
      <c r="AT282" s="61"/>
      <c r="AU282" s="53"/>
      <c r="AV282" s="55">
        <f t="shared" si="1"/>
        <v>0</v>
      </c>
      <c r="AW282" s="46">
        <f t="shared" si="2"/>
        <v>0</v>
      </c>
      <c r="AX282" s="46">
        <f t="shared" si="3"/>
        <v>0</v>
      </c>
      <c r="AY282" s="46">
        <f t="shared" si="4"/>
        <v>0</v>
      </c>
      <c r="AZ282" s="56" t="str">
        <f t="shared" si="5"/>
        <v/>
      </c>
    </row>
    <row r="283" ht="15.75" customHeight="1">
      <c r="A283" s="19" t="s">
        <v>30</v>
      </c>
      <c r="B283" s="57">
        <f t="shared" si="6"/>
        <v>45572</v>
      </c>
      <c r="C283" s="21">
        <v>11.0</v>
      </c>
      <c r="D283" s="21" t="s">
        <v>31</v>
      </c>
      <c r="E283" s="23"/>
      <c r="F283" s="42">
        <v>0.0</v>
      </c>
      <c r="H283" s="43">
        <v>0.0</v>
      </c>
      <c r="J283" s="43">
        <v>0.0</v>
      </c>
      <c r="L283" s="43">
        <v>0.0</v>
      </c>
      <c r="N283" s="43">
        <v>0.0</v>
      </c>
      <c r="P283" s="43">
        <v>0.0</v>
      </c>
      <c r="Q283" s="26"/>
      <c r="R283" s="42">
        <v>100.0</v>
      </c>
      <c r="T283" s="43">
        <v>100.0</v>
      </c>
      <c r="V283" s="43">
        <v>0.0</v>
      </c>
      <c r="X283" s="43">
        <v>0.0</v>
      </c>
      <c r="Z283" s="43">
        <v>0.0</v>
      </c>
      <c r="AB283" s="43">
        <v>0.0</v>
      </c>
      <c r="AC283" s="26"/>
      <c r="AD283" s="43">
        <v>0.0</v>
      </c>
      <c r="AF283" s="43">
        <v>0.0</v>
      </c>
      <c r="AH283" s="43">
        <v>0.0</v>
      </c>
      <c r="AJ283" s="27">
        <v>0.0</v>
      </c>
      <c r="AK283" s="26"/>
      <c r="AL283" s="36"/>
      <c r="AM283" s="26"/>
      <c r="AN283" s="36"/>
      <c r="AO283" s="26"/>
      <c r="AP283" s="36"/>
      <c r="AQ283" s="26"/>
      <c r="AR283" s="37"/>
      <c r="AT283" s="37"/>
      <c r="AU283" s="26"/>
      <c r="AV283" s="29">
        <f t="shared" si="1"/>
        <v>2137.512</v>
      </c>
      <c r="AW283" s="21">
        <f t="shared" si="2"/>
        <v>200</v>
      </c>
      <c r="AX283" s="21">
        <f t="shared" si="3"/>
        <v>0</v>
      </c>
      <c r="AY283" s="21">
        <f t="shared" si="4"/>
        <v>200</v>
      </c>
      <c r="AZ283" s="58">
        <f t="shared" si="5"/>
        <v>10.68756</v>
      </c>
    </row>
    <row r="284" ht="15.75" customHeight="1">
      <c r="A284" s="31" t="s">
        <v>33</v>
      </c>
      <c r="B284" s="32">
        <f t="shared" si="6"/>
        <v>45573</v>
      </c>
      <c r="C284" s="33">
        <v>11.0</v>
      </c>
      <c r="D284" s="33" t="s">
        <v>31</v>
      </c>
      <c r="E284" s="34"/>
      <c r="F284" s="42">
        <v>0.0</v>
      </c>
      <c r="H284" s="43">
        <v>0.0</v>
      </c>
      <c r="J284" s="43">
        <v>0.0</v>
      </c>
      <c r="L284" s="43">
        <v>0.0</v>
      </c>
      <c r="N284" s="43">
        <v>0.0</v>
      </c>
      <c r="P284" s="43">
        <v>0.0</v>
      </c>
      <c r="Q284" s="26"/>
      <c r="R284" s="42">
        <v>100.0</v>
      </c>
      <c r="T284" s="43">
        <v>100.0</v>
      </c>
      <c r="V284" s="43">
        <v>0.0</v>
      </c>
      <c r="X284" s="43">
        <v>0.0</v>
      </c>
      <c r="Z284" s="43">
        <v>0.0</v>
      </c>
      <c r="AB284" s="43">
        <v>0.0</v>
      </c>
      <c r="AC284" s="26"/>
      <c r="AD284" s="43">
        <v>0.0</v>
      </c>
      <c r="AF284" s="43">
        <v>0.0</v>
      </c>
      <c r="AH284" s="43">
        <v>0.0</v>
      </c>
      <c r="AJ284" s="27">
        <v>0.0</v>
      </c>
      <c r="AK284" s="26"/>
      <c r="AL284" s="36"/>
      <c r="AM284" s="26"/>
      <c r="AN284" s="36"/>
      <c r="AO284" s="26"/>
      <c r="AP284" s="36"/>
      <c r="AQ284" s="26"/>
      <c r="AR284" s="37"/>
      <c r="AT284" s="37"/>
      <c r="AU284" s="26"/>
      <c r="AV284" s="35">
        <f t="shared" si="1"/>
        <v>2137.512</v>
      </c>
      <c r="AW284" s="33">
        <f t="shared" si="2"/>
        <v>200</v>
      </c>
      <c r="AX284" s="33">
        <f t="shared" si="3"/>
        <v>0</v>
      </c>
      <c r="AY284" s="33">
        <f t="shared" si="4"/>
        <v>200</v>
      </c>
      <c r="AZ284" s="30">
        <f t="shared" si="5"/>
        <v>10.68756</v>
      </c>
    </row>
    <row r="285" ht="15.75" customHeight="1">
      <c r="A285" s="31" t="s">
        <v>34</v>
      </c>
      <c r="B285" s="32">
        <f t="shared" si="6"/>
        <v>45574</v>
      </c>
      <c r="C285" s="33">
        <v>11.0</v>
      </c>
      <c r="D285" s="33" t="s">
        <v>31</v>
      </c>
      <c r="E285" s="34"/>
      <c r="F285" s="42">
        <v>0.0</v>
      </c>
      <c r="H285" s="43">
        <v>0.0</v>
      </c>
      <c r="J285" s="43">
        <v>0.0</v>
      </c>
      <c r="L285" s="43">
        <v>0.0</v>
      </c>
      <c r="N285" s="43">
        <v>0.0</v>
      </c>
      <c r="P285" s="43">
        <v>0.0</v>
      </c>
      <c r="Q285" s="26"/>
      <c r="R285" s="42">
        <v>100.0</v>
      </c>
      <c r="T285" s="43">
        <v>100.0</v>
      </c>
      <c r="V285" s="43">
        <v>0.0</v>
      </c>
      <c r="X285" s="43">
        <v>0.0</v>
      </c>
      <c r="Z285" s="43">
        <v>0.0</v>
      </c>
      <c r="AB285" s="43">
        <v>0.0</v>
      </c>
      <c r="AC285" s="26"/>
      <c r="AD285" s="43">
        <v>0.0</v>
      </c>
      <c r="AF285" s="43">
        <v>0.0</v>
      </c>
      <c r="AH285" s="43">
        <v>0.0</v>
      </c>
      <c r="AJ285" s="27">
        <v>0.0</v>
      </c>
      <c r="AK285" s="26"/>
      <c r="AL285" s="36"/>
      <c r="AM285" s="26"/>
      <c r="AN285" s="36"/>
      <c r="AO285" s="26"/>
      <c r="AP285" s="36"/>
      <c r="AQ285" s="26"/>
      <c r="AR285" s="37"/>
      <c r="AT285" s="37"/>
      <c r="AU285" s="26"/>
      <c r="AV285" s="35">
        <f t="shared" si="1"/>
        <v>2137.512</v>
      </c>
      <c r="AW285" s="33">
        <f t="shared" si="2"/>
        <v>200</v>
      </c>
      <c r="AX285" s="33">
        <f t="shared" si="3"/>
        <v>0</v>
      </c>
      <c r="AY285" s="33">
        <f t="shared" si="4"/>
        <v>200</v>
      </c>
      <c r="AZ285" s="30">
        <f t="shared" si="5"/>
        <v>10.68756</v>
      </c>
    </row>
    <row r="286" ht="15.75" customHeight="1">
      <c r="A286" s="31" t="s">
        <v>35</v>
      </c>
      <c r="B286" s="32">
        <f t="shared" si="6"/>
        <v>45575</v>
      </c>
      <c r="C286" s="33">
        <v>11.0</v>
      </c>
      <c r="D286" s="33" t="s">
        <v>31</v>
      </c>
      <c r="E286" s="34"/>
      <c r="F286" s="42">
        <v>0.0</v>
      </c>
      <c r="H286" s="43">
        <v>0.0</v>
      </c>
      <c r="J286" s="43">
        <v>0.0</v>
      </c>
      <c r="L286" s="43">
        <v>0.0</v>
      </c>
      <c r="N286" s="43">
        <v>0.0</v>
      </c>
      <c r="P286" s="43">
        <v>0.0</v>
      </c>
      <c r="Q286" s="26"/>
      <c r="R286" s="42">
        <v>100.0</v>
      </c>
      <c r="T286" s="43">
        <v>100.0</v>
      </c>
      <c r="V286" s="43">
        <v>0.0</v>
      </c>
      <c r="X286" s="43">
        <v>0.0</v>
      </c>
      <c r="Z286" s="43">
        <v>0.0</v>
      </c>
      <c r="AB286" s="43">
        <v>0.0</v>
      </c>
      <c r="AC286" s="26"/>
      <c r="AD286" s="43">
        <v>0.0</v>
      </c>
      <c r="AF286" s="43">
        <v>0.0</v>
      </c>
      <c r="AH286" s="43">
        <v>0.0</v>
      </c>
      <c r="AJ286" s="27">
        <v>0.0</v>
      </c>
      <c r="AK286" s="26"/>
      <c r="AL286" s="36"/>
      <c r="AM286" s="26"/>
      <c r="AN286" s="36"/>
      <c r="AO286" s="26"/>
      <c r="AP286" s="36"/>
      <c r="AQ286" s="26"/>
      <c r="AR286" s="37"/>
      <c r="AT286" s="37"/>
      <c r="AU286" s="26"/>
      <c r="AV286" s="35">
        <f t="shared" si="1"/>
        <v>2137.512</v>
      </c>
      <c r="AW286" s="33">
        <f t="shared" si="2"/>
        <v>200</v>
      </c>
      <c r="AX286" s="33">
        <f t="shared" si="3"/>
        <v>0</v>
      </c>
      <c r="AY286" s="33">
        <f t="shared" si="4"/>
        <v>200</v>
      </c>
      <c r="AZ286" s="30">
        <f t="shared" si="5"/>
        <v>10.68756</v>
      </c>
    </row>
    <row r="287" ht="15.75" customHeight="1">
      <c r="A287" s="31" t="s">
        <v>38</v>
      </c>
      <c r="B287" s="32">
        <f t="shared" si="6"/>
        <v>45576</v>
      </c>
      <c r="C287" s="33">
        <v>11.0</v>
      </c>
      <c r="D287" s="33" t="s">
        <v>31</v>
      </c>
      <c r="E287" s="34"/>
      <c r="F287" s="42">
        <v>0.0</v>
      </c>
      <c r="H287" s="43">
        <v>0.0</v>
      </c>
      <c r="J287" s="43">
        <v>0.0</v>
      </c>
      <c r="L287" s="43">
        <v>0.0</v>
      </c>
      <c r="N287" s="43">
        <v>0.0</v>
      </c>
      <c r="P287" s="43">
        <v>0.0</v>
      </c>
      <c r="Q287" s="26"/>
      <c r="R287" s="42">
        <v>100.0</v>
      </c>
      <c r="T287" s="43">
        <v>100.0</v>
      </c>
      <c r="V287" s="43">
        <v>0.0</v>
      </c>
      <c r="X287" s="43">
        <v>0.0</v>
      </c>
      <c r="Z287" s="43">
        <v>0.0</v>
      </c>
      <c r="AB287" s="43">
        <v>0.0</v>
      </c>
      <c r="AC287" s="26"/>
      <c r="AD287" s="43">
        <v>0.0</v>
      </c>
      <c r="AF287" s="43">
        <v>0.0</v>
      </c>
      <c r="AH287" s="43">
        <v>0.0</v>
      </c>
      <c r="AJ287" s="27">
        <v>0.0</v>
      </c>
      <c r="AK287" s="26"/>
      <c r="AL287" s="36"/>
      <c r="AM287" s="26"/>
      <c r="AN287" s="36"/>
      <c r="AO287" s="26"/>
      <c r="AP287" s="36"/>
      <c r="AQ287" s="26"/>
      <c r="AR287" s="37"/>
      <c r="AT287" s="37"/>
      <c r="AU287" s="26"/>
      <c r="AV287" s="35">
        <f t="shared" si="1"/>
        <v>2137.512</v>
      </c>
      <c r="AW287" s="33">
        <f t="shared" si="2"/>
        <v>200</v>
      </c>
      <c r="AX287" s="33">
        <f t="shared" si="3"/>
        <v>0</v>
      </c>
      <c r="AY287" s="33">
        <f t="shared" si="4"/>
        <v>200</v>
      </c>
      <c r="AZ287" s="30">
        <f t="shared" si="5"/>
        <v>10.68756</v>
      </c>
    </row>
    <row r="288" ht="15.75" customHeight="1">
      <c r="A288" s="31" t="s">
        <v>45</v>
      </c>
      <c r="B288" s="32">
        <f t="shared" si="6"/>
        <v>45577</v>
      </c>
      <c r="C288" s="33">
        <v>11.0</v>
      </c>
      <c r="D288" s="33" t="s">
        <v>31</v>
      </c>
      <c r="E288" s="34"/>
      <c r="F288" s="42">
        <v>0.0</v>
      </c>
      <c r="H288" s="43">
        <v>0.0</v>
      </c>
      <c r="J288" s="43">
        <v>0.0</v>
      </c>
      <c r="L288" s="43">
        <v>0.0</v>
      </c>
      <c r="N288" s="43">
        <v>0.0</v>
      </c>
      <c r="P288" s="43">
        <v>0.0</v>
      </c>
      <c r="Q288" s="26"/>
      <c r="R288" s="42">
        <v>100.0</v>
      </c>
      <c r="T288" s="43">
        <v>100.0</v>
      </c>
      <c r="V288" s="43">
        <v>0.0</v>
      </c>
      <c r="X288" s="43">
        <v>0.0</v>
      </c>
      <c r="Z288" s="43">
        <v>0.0</v>
      </c>
      <c r="AB288" s="43">
        <v>0.0</v>
      </c>
      <c r="AC288" s="26"/>
      <c r="AD288" s="43">
        <v>0.0</v>
      </c>
      <c r="AF288" s="43">
        <v>0.0</v>
      </c>
      <c r="AH288" s="43">
        <v>0.0</v>
      </c>
      <c r="AJ288" s="27">
        <v>0.0</v>
      </c>
      <c r="AK288" s="26"/>
      <c r="AL288" s="36"/>
      <c r="AM288" s="26"/>
      <c r="AN288" s="36"/>
      <c r="AO288" s="26"/>
      <c r="AP288" s="36"/>
      <c r="AQ288" s="26"/>
      <c r="AR288" s="37"/>
      <c r="AT288" s="37"/>
      <c r="AU288" s="26"/>
      <c r="AV288" s="35">
        <f t="shared" si="1"/>
        <v>2137.512</v>
      </c>
      <c r="AW288" s="33">
        <f t="shared" si="2"/>
        <v>200</v>
      </c>
      <c r="AX288" s="33">
        <f t="shared" si="3"/>
        <v>0</v>
      </c>
      <c r="AY288" s="33">
        <f t="shared" si="4"/>
        <v>200</v>
      </c>
      <c r="AZ288" s="30">
        <f t="shared" si="5"/>
        <v>10.68756</v>
      </c>
    </row>
    <row r="289" ht="15.75" customHeight="1">
      <c r="A289" s="44" t="s">
        <v>46</v>
      </c>
      <c r="B289" s="45">
        <f t="shared" si="6"/>
        <v>45578</v>
      </c>
      <c r="C289" s="46">
        <v>11.0</v>
      </c>
      <c r="D289" s="46" t="s">
        <v>31</v>
      </c>
      <c r="E289" s="47"/>
      <c r="F289" s="66">
        <v>0.0</v>
      </c>
      <c r="G289" s="51"/>
      <c r="H289" s="67">
        <v>0.0</v>
      </c>
      <c r="I289" s="51"/>
      <c r="J289" s="67">
        <v>0.0</v>
      </c>
      <c r="K289" s="51"/>
      <c r="L289" s="67">
        <v>0.0</v>
      </c>
      <c r="M289" s="51"/>
      <c r="N289" s="67">
        <v>0.0</v>
      </c>
      <c r="O289" s="51"/>
      <c r="P289" s="67">
        <v>0.0</v>
      </c>
      <c r="Q289" s="53"/>
      <c r="R289" s="66">
        <v>0.0</v>
      </c>
      <c r="S289" s="51"/>
      <c r="T289" s="67">
        <v>0.0</v>
      </c>
      <c r="U289" s="51"/>
      <c r="V289" s="67">
        <v>0.0</v>
      </c>
      <c r="W289" s="51"/>
      <c r="X289" s="67">
        <v>0.0</v>
      </c>
      <c r="Y289" s="51"/>
      <c r="Z289" s="67">
        <v>0.0</v>
      </c>
      <c r="AA289" s="51"/>
      <c r="AB289" s="67">
        <v>0.0</v>
      </c>
      <c r="AC289" s="53"/>
      <c r="AD289" s="67">
        <v>0.0</v>
      </c>
      <c r="AE289" s="51"/>
      <c r="AF289" s="67">
        <v>0.0</v>
      </c>
      <c r="AG289" s="51"/>
      <c r="AH289" s="67">
        <v>0.0</v>
      </c>
      <c r="AI289" s="51"/>
      <c r="AJ289" s="54">
        <v>0.0</v>
      </c>
      <c r="AK289" s="53"/>
      <c r="AL289" s="60"/>
      <c r="AM289" s="53"/>
      <c r="AN289" s="60"/>
      <c r="AO289" s="53"/>
      <c r="AP289" s="60"/>
      <c r="AQ289" s="53"/>
      <c r="AR289" s="61"/>
      <c r="AS289" s="51"/>
      <c r="AT289" s="61"/>
      <c r="AU289" s="53"/>
      <c r="AV289" s="55">
        <f t="shared" si="1"/>
        <v>0</v>
      </c>
      <c r="AW289" s="46">
        <f t="shared" si="2"/>
        <v>0</v>
      </c>
      <c r="AX289" s="46">
        <f t="shared" si="3"/>
        <v>0</v>
      </c>
      <c r="AY289" s="46">
        <f t="shared" si="4"/>
        <v>0</v>
      </c>
      <c r="AZ289" s="56" t="str">
        <f t="shared" si="5"/>
        <v/>
      </c>
    </row>
    <row r="290" ht="15.75" customHeight="1">
      <c r="A290" s="19" t="s">
        <v>30</v>
      </c>
      <c r="B290" s="57">
        <f t="shared" si="6"/>
        <v>45579</v>
      </c>
      <c r="C290" s="21">
        <v>11.0</v>
      </c>
      <c r="D290" s="21" t="s">
        <v>47</v>
      </c>
      <c r="E290" s="23"/>
      <c r="F290" s="42">
        <v>0.0</v>
      </c>
      <c r="H290" s="43">
        <v>0.0</v>
      </c>
      <c r="J290" s="43">
        <v>0.0</v>
      </c>
      <c r="L290" s="43">
        <v>0.0</v>
      </c>
      <c r="N290" s="43">
        <v>0.0</v>
      </c>
      <c r="P290" s="43">
        <v>0.0</v>
      </c>
      <c r="Q290" s="26"/>
      <c r="R290" s="42">
        <v>100.0</v>
      </c>
      <c r="T290" s="43">
        <v>100.0</v>
      </c>
      <c r="V290" s="43">
        <v>0.0</v>
      </c>
      <c r="X290" s="43">
        <v>0.0</v>
      </c>
      <c r="Z290" s="43">
        <v>0.0</v>
      </c>
      <c r="AB290" s="43">
        <v>0.0</v>
      </c>
      <c r="AC290" s="26"/>
      <c r="AD290" s="43">
        <v>0.0</v>
      </c>
      <c r="AF290" s="43">
        <v>0.0</v>
      </c>
      <c r="AH290" s="43">
        <v>0.0</v>
      </c>
      <c r="AJ290" s="27">
        <v>0.0</v>
      </c>
      <c r="AK290" s="26"/>
      <c r="AL290" s="36"/>
      <c r="AM290" s="26"/>
      <c r="AN290" s="36"/>
      <c r="AO290" s="26"/>
      <c r="AP290" s="36"/>
      <c r="AQ290" s="26"/>
      <c r="AR290" s="37"/>
      <c r="AT290" s="37"/>
      <c r="AU290" s="26"/>
      <c r="AV290" s="29">
        <f t="shared" si="1"/>
        <v>2137.512</v>
      </c>
      <c r="AW290" s="21">
        <f t="shared" si="2"/>
        <v>200</v>
      </c>
      <c r="AX290" s="21">
        <f t="shared" si="3"/>
        <v>0</v>
      </c>
      <c r="AY290" s="21">
        <f t="shared" si="4"/>
        <v>200</v>
      </c>
      <c r="AZ290" s="58">
        <f t="shared" si="5"/>
        <v>10.68756</v>
      </c>
    </row>
    <row r="291" ht="15.75" customHeight="1">
      <c r="A291" s="31" t="s">
        <v>33</v>
      </c>
      <c r="B291" s="32">
        <f t="shared" si="6"/>
        <v>45580</v>
      </c>
      <c r="C291" s="33">
        <v>11.0</v>
      </c>
      <c r="D291" s="33" t="s">
        <v>47</v>
      </c>
      <c r="E291" s="34"/>
      <c r="F291" s="42">
        <v>0.0</v>
      </c>
      <c r="H291" s="43">
        <v>0.0</v>
      </c>
      <c r="J291" s="43">
        <v>0.0</v>
      </c>
      <c r="L291" s="43">
        <v>0.0</v>
      </c>
      <c r="N291" s="43">
        <v>0.0</v>
      </c>
      <c r="P291" s="43">
        <v>0.0</v>
      </c>
      <c r="Q291" s="26"/>
      <c r="R291" s="42">
        <v>100.0</v>
      </c>
      <c r="T291" s="43">
        <v>100.0</v>
      </c>
      <c r="V291" s="43">
        <v>0.0</v>
      </c>
      <c r="X291" s="43">
        <v>0.0</v>
      </c>
      <c r="Z291" s="43">
        <v>0.0</v>
      </c>
      <c r="AB291" s="43">
        <v>0.0</v>
      </c>
      <c r="AC291" s="26"/>
      <c r="AD291" s="43">
        <v>0.0</v>
      </c>
      <c r="AF291" s="43">
        <v>0.0</v>
      </c>
      <c r="AH291" s="43">
        <v>0.0</v>
      </c>
      <c r="AJ291" s="27">
        <v>0.0</v>
      </c>
      <c r="AK291" s="26"/>
      <c r="AL291" s="36"/>
      <c r="AM291" s="26"/>
      <c r="AN291" s="36"/>
      <c r="AO291" s="26"/>
      <c r="AP291" s="36"/>
      <c r="AQ291" s="26"/>
      <c r="AR291" s="37"/>
      <c r="AT291" s="37"/>
      <c r="AU291" s="26"/>
      <c r="AV291" s="35">
        <f t="shared" si="1"/>
        <v>2137.512</v>
      </c>
      <c r="AW291" s="33">
        <f t="shared" si="2"/>
        <v>200</v>
      </c>
      <c r="AX291" s="33">
        <f t="shared" si="3"/>
        <v>0</v>
      </c>
      <c r="AY291" s="33">
        <f t="shared" si="4"/>
        <v>200</v>
      </c>
      <c r="AZ291" s="30">
        <f t="shared" si="5"/>
        <v>10.68756</v>
      </c>
    </row>
    <row r="292" ht="15.75" customHeight="1">
      <c r="A292" s="31" t="s">
        <v>34</v>
      </c>
      <c r="B292" s="32">
        <f t="shared" si="6"/>
        <v>45581</v>
      </c>
      <c r="C292" s="33">
        <v>11.0</v>
      </c>
      <c r="D292" s="33" t="s">
        <v>47</v>
      </c>
      <c r="E292" s="34"/>
      <c r="F292" s="42">
        <v>0.0</v>
      </c>
      <c r="H292" s="43">
        <v>0.0</v>
      </c>
      <c r="J292" s="43">
        <v>0.0</v>
      </c>
      <c r="L292" s="43">
        <v>0.0</v>
      </c>
      <c r="N292" s="43">
        <v>0.0</v>
      </c>
      <c r="P292" s="43">
        <v>0.0</v>
      </c>
      <c r="Q292" s="26"/>
      <c r="R292" s="42">
        <v>100.0</v>
      </c>
      <c r="T292" s="43">
        <v>100.0</v>
      </c>
      <c r="V292" s="43">
        <v>0.0</v>
      </c>
      <c r="X292" s="43">
        <v>0.0</v>
      </c>
      <c r="Z292" s="43">
        <v>0.0</v>
      </c>
      <c r="AB292" s="43">
        <v>0.0</v>
      </c>
      <c r="AC292" s="26"/>
      <c r="AD292" s="43">
        <v>0.0</v>
      </c>
      <c r="AF292" s="43">
        <v>0.0</v>
      </c>
      <c r="AH292" s="43">
        <v>0.0</v>
      </c>
      <c r="AJ292" s="27">
        <v>0.0</v>
      </c>
      <c r="AK292" s="26"/>
      <c r="AL292" s="36"/>
      <c r="AM292" s="26"/>
      <c r="AN292" s="36"/>
      <c r="AO292" s="26"/>
      <c r="AP292" s="36"/>
      <c r="AQ292" s="26"/>
      <c r="AR292" s="37"/>
      <c r="AT292" s="37"/>
      <c r="AU292" s="26"/>
      <c r="AV292" s="35">
        <f t="shared" si="1"/>
        <v>2137.512</v>
      </c>
      <c r="AW292" s="33">
        <f t="shared" si="2"/>
        <v>200</v>
      </c>
      <c r="AX292" s="33">
        <f t="shared" si="3"/>
        <v>0</v>
      </c>
      <c r="AY292" s="33">
        <f t="shared" si="4"/>
        <v>200</v>
      </c>
      <c r="AZ292" s="30">
        <f t="shared" si="5"/>
        <v>10.68756</v>
      </c>
    </row>
    <row r="293" ht="15.75" customHeight="1">
      <c r="A293" s="31" t="s">
        <v>35</v>
      </c>
      <c r="B293" s="32">
        <f t="shared" si="6"/>
        <v>45582</v>
      </c>
      <c r="C293" s="33">
        <v>11.0</v>
      </c>
      <c r="D293" s="33" t="s">
        <v>47</v>
      </c>
      <c r="E293" s="34"/>
      <c r="F293" s="42">
        <v>0.0</v>
      </c>
      <c r="H293" s="43">
        <v>0.0</v>
      </c>
      <c r="J293" s="43">
        <v>0.0</v>
      </c>
      <c r="L293" s="43">
        <v>0.0</v>
      </c>
      <c r="N293" s="43">
        <v>0.0</v>
      </c>
      <c r="P293" s="43">
        <v>0.0</v>
      </c>
      <c r="Q293" s="26"/>
      <c r="R293" s="42">
        <v>100.0</v>
      </c>
      <c r="T293" s="43">
        <v>100.0</v>
      </c>
      <c r="V293" s="43">
        <v>0.0</v>
      </c>
      <c r="X293" s="43">
        <v>0.0</v>
      </c>
      <c r="Z293" s="43">
        <v>0.0</v>
      </c>
      <c r="AB293" s="43">
        <v>0.0</v>
      </c>
      <c r="AC293" s="26"/>
      <c r="AD293" s="43">
        <v>0.0</v>
      </c>
      <c r="AF293" s="43">
        <v>0.0</v>
      </c>
      <c r="AH293" s="43">
        <v>0.0</v>
      </c>
      <c r="AJ293" s="27">
        <v>0.0</v>
      </c>
      <c r="AK293" s="26"/>
      <c r="AL293" s="36"/>
      <c r="AM293" s="26"/>
      <c r="AN293" s="36"/>
      <c r="AO293" s="26"/>
      <c r="AP293" s="36"/>
      <c r="AQ293" s="26"/>
      <c r="AR293" s="37"/>
      <c r="AT293" s="37"/>
      <c r="AU293" s="26"/>
      <c r="AV293" s="35">
        <f t="shared" si="1"/>
        <v>2137.512</v>
      </c>
      <c r="AW293" s="33">
        <f t="shared" si="2"/>
        <v>200</v>
      </c>
      <c r="AX293" s="33">
        <f t="shared" si="3"/>
        <v>0</v>
      </c>
      <c r="AY293" s="33">
        <f t="shared" si="4"/>
        <v>200</v>
      </c>
      <c r="AZ293" s="30">
        <f t="shared" si="5"/>
        <v>10.68756</v>
      </c>
    </row>
    <row r="294" ht="15.75" customHeight="1">
      <c r="A294" s="31" t="s">
        <v>38</v>
      </c>
      <c r="B294" s="32">
        <f t="shared" si="6"/>
        <v>45583</v>
      </c>
      <c r="C294" s="33">
        <v>11.0</v>
      </c>
      <c r="D294" s="33" t="s">
        <v>47</v>
      </c>
      <c r="E294" s="34"/>
      <c r="F294" s="42">
        <v>0.0</v>
      </c>
      <c r="H294" s="43">
        <v>0.0</v>
      </c>
      <c r="J294" s="43">
        <v>0.0</v>
      </c>
      <c r="L294" s="43">
        <v>0.0</v>
      </c>
      <c r="N294" s="43">
        <v>0.0</v>
      </c>
      <c r="P294" s="43">
        <v>0.0</v>
      </c>
      <c r="Q294" s="26"/>
      <c r="R294" s="42">
        <v>100.0</v>
      </c>
      <c r="T294" s="43">
        <v>100.0</v>
      </c>
      <c r="V294" s="43">
        <v>0.0</v>
      </c>
      <c r="X294" s="43">
        <v>0.0</v>
      </c>
      <c r="Z294" s="43">
        <v>0.0</v>
      </c>
      <c r="AB294" s="43">
        <v>0.0</v>
      </c>
      <c r="AC294" s="26"/>
      <c r="AD294" s="43">
        <v>0.0</v>
      </c>
      <c r="AF294" s="43">
        <v>0.0</v>
      </c>
      <c r="AH294" s="43">
        <v>0.0</v>
      </c>
      <c r="AJ294" s="27">
        <v>0.0</v>
      </c>
      <c r="AK294" s="26"/>
      <c r="AL294" s="36"/>
      <c r="AM294" s="26"/>
      <c r="AN294" s="36"/>
      <c r="AO294" s="26"/>
      <c r="AP294" s="36"/>
      <c r="AQ294" s="26"/>
      <c r="AR294" s="37"/>
      <c r="AT294" s="37"/>
      <c r="AU294" s="26"/>
      <c r="AV294" s="35">
        <f t="shared" si="1"/>
        <v>2137.512</v>
      </c>
      <c r="AW294" s="33">
        <f t="shared" si="2"/>
        <v>200</v>
      </c>
      <c r="AX294" s="33">
        <f t="shared" si="3"/>
        <v>0</v>
      </c>
      <c r="AY294" s="33">
        <f t="shared" si="4"/>
        <v>200</v>
      </c>
      <c r="AZ294" s="30">
        <f t="shared" si="5"/>
        <v>10.68756</v>
      </c>
    </row>
    <row r="295" ht="15.75" customHeight="1">
      <c r="A295" s="31" t="s">
        <v>45</v>
      </c>
      <c r="B295" s="32">
        <f t="shared" si="6"/>
        <v>45584</v>
      </c>
      <c r="C295" s="33">
        <v>11.0</v>
      </c>
      <c r="D295" s="33" t="s">
        <v>47</v>
      </c>
      <c r="E295" s="34"/>
      <c r="F295" s="42">
        <v>0.0</v>
      </c>
      <c r="H295" s="43">
        <v>0.0</v>
      </c>
      <c r="J295" s="43">
        <v>0.0</v>
      </c>
      <c r="L295" s="43">
        <v>0.0</v>
      </c>
      <c r="N295" s="43">
        <v>0.0</v>
      </c>
      <c r="P295" s="43">
        <v>0.0</v>
      </c>
      <c r="Q295" s="26"/>
      <c r="R295" s="42">
        <v>100.0</v>
      </c>
      <c r="T295" s="43">
        <v>100.0</v>
      </c>
      <c r="V295" s="43">
        <v>0.0</v>
      </c>
      <c r="X295" s="43">
        <v>0.0</v>
      </c>
      <c r="Z295" s="43">
        <v>0.0</v>
      </c>
      <c r="AB295" s="43">
        <v>0.0</v>
      </c>
      <c r="AC295" s="26"/>
      <c r="AD295" s="43">
        <v>0.0</v>
      </c>
      <c r="AF295" s="43">
        <v>0.0</v>
      </c>
      <c r="AH295" s="43">
        <v>0.0</v>
      </c>
      <c r="AJ295" s="27">
        <v>0.0</v>
      </c>
      <c r="AK295" s="26"/>
      <c r="AL295" s="36"/>
      <c r="AM295" s="26"/>
      <c r="AN295" s="36"/>
      <c r="AO295" s="26"/>
      <c r="AP295" s="36"/>
      <c r="AQ295" s="26"/>
      <c r="AR295" s="37"/>
      <c r="AT295" s="37"/>
      <c r="AU295" s="26"/>
      <c r="AV295" s="35">
        <f t="shared" si="1"/>
        <v>2137.512</v>
      </c>
      <c r="AW295" s="33">
        <f t="shared" si="2"/>
        <v>200</v>
      </c>
      <c r="AX295" s="33">
        <f t="shared" si="3"/>
        <v>0</v>
      </c>
      <c r="AY295" s="33">
        <f t="shared" si="4"/>
        <v>200</v>
      </c>
      <c r="AZ295" s="30">
        <f t="shared" si="5"/>
        <v>10.68756</v>
      </c>
    </row>
    <row r="296" ht="15.75" customHeight="1">
      <c r="A296" s="44" t="s">
        <v>46</v>
      </c>
      <c r="B296" s="45">
        <f t="shared" si="6"/>
        <v>45585</v>
      </c>
      <c r="C296" s="46">
        <v>11.0</v>
      </c>
      <c r="D296" s="46" t="s">
        <v>47</v>
      </c>
      <c r="E296" s="47"/>
      <c r="F296" s="66">
        <v>0.0</v>
      </c>
      <c r="G296" s="51"/>
      <c r="H296" s="67">
        <v>0.0</v>
      </c>
      <c r="I296" s="51"/>
      <c r="J296" s="67">
        <v>0.0</v>
      </c>
      <c r="K296" s="51"/>
      <c r="L296" s="67">
        <v>0.0</v>
      </c>
      <c r="M296" s="51"/>
      <c r="N296" s="67">
        <v>0.0</v>
      </c>
      <c r="O296" s="51"/>
      <c r="P296" s="67">
        <v>0.0</v>
      </c>
      <c r="Q296" s="53"/>
      <c r="R296" s="66">
        <v>0.0</v>
      </c>
      <c r="S296" s="51"/>
      <c r="T296" s="67">
        <v>0.0</v>
      </c>
      <c r="U296" s="51"/>
      <c r="V296" s="67">
        <v>0.0</v>
      </c>
      <c r="W296" s="51"/>
      <c r="X296" s="67">
        <v>0.0</v>
      </c>
      <c r="Y296" s="51"/>
      <c r="Z296" s="67">
        <v>0.0</v>
      </c>
      <c r="AA296" s="51"/>
      <c r="AB296" s="67">
        <v>0.0</v>
      </c>
      <c r="AC296" s="53"/>
      <c r="AD296" s="67">
        <v>0.0</v>
      </c>
      <c r="AE296" s="51"/>
      <c r="AF296" s="67">
        <v>0.0</v>
      </c>
      <c r="AG296" s="51"/>
      <c r="AH296" s="67">
        <v>0.0</v>
      </c>
      <c r="AI296" s="51"/>
      <c r="AJ296" s="54">
        <v>0.0</v>
      </c>
      <c r="AK296" s="53"/>
      <c r="AL296" s="60"/>
      <c r="AM296" s="53"/>
      <c r="AN296" s="60"/>
      <c r="AO296" s="53"/>
      <c r="AP296" s="60"/>
      <c r="AQ296" s="53"/>
      <c r="AR296" s="61"/>
      <c r="AS296" s="51"/>
      <c r="AT296" s="61"/>
      <c r="AU296" s="53"/>
      <c r="AV296" s="55">
        <f t="shared" si="1"/>
        <v>0</v>
      </c>
      <c r="AW296" s="46">
        <f t="shared" si="2"/>
        <v>0</v>
      </c>
      <c r="AX296" s="46">
        <f t="shared" si="3"/>
        <v>0</v>
      </c>
      <c r="AY296" s="46">
        <f t="shared" si="4"/>
        <v>0</v>
      </c>
      <c r="AZ296" s="56" t="str">
        <f t="shared" si="5"/>
        <v/>
      </c>
    </row>
    <row r="297" ht="15.75" customHeight="1">
      <c r="A297" s="19" t="s">
        <v>30</v>
      </c>
      <c r="B297" s="57">
        <f t="shared" si="6"/>
        <v>45586</v>
      </c>
      <c r="C297" s="21">
        <v>11.0</v>
      </c>
      <c r="D297" s="21" t="s">
        <v>48</v>
      </c>
      <c r="E297" s="23"/>
      <c r="F297" s="42">
        <v>0.0</v>
      </c>
      <c r="H297" s="43">
        <v>0.0</v>
      </c>
      <c r="J297" s="43">
        <v>0.0</v>
      </c>
      <c r="L297" s="43">
        <v>0.0</v>
      </c>
      <c r="N297" s="43">
        <v>0.0</v>
      </c>
      <c r="P297" s="43">
        <v>0.0</v>
      </c>
      <c r="Q297" s="26"/>
      <c r="R297" s="42">
        <v>75.0</v>
      </c>
      <c r="T297" s="43">
        <v>75.0</v>
      </c>
      <c r="V297" s="43">
        <v>0.0</v>
      </c>
      <c r="X297" s="43">
        <v>0.0</v>
      </c>
      <c r="Z297" s="43">
        <v>0.0</v>
      </c>
      <c r="AB297" s="43">
        <v>0.0</v>
      </c>
      <c r="AC297" s="26"/>
      <c r="AD297" s="43">
        <v>0.0</v>
      </c>
      <c r="AF297" s="43">
        <v>0.0</v>
      </c>
      <c r="AH297" s="43">
        <v>0.0</v>
      </c>
      <c r="AJ297" s="27">
        <v>0.0</v>
      </c>
      <c r="AK297" s="26"/>
      <c r="AL297" s="36"/>
      <c r="AM297" s="26"/>
      <c r="AN297" s="36"/>
      <c r="AO297" s="26"/>
      <c r="AP297" s="36"/>
      <c r="AQ297" s="26"/>
      <c r="AR297" s="37"/>
      <c r="AT297" s="37"/>
      <c r="AU297" s="26"/>
      <c r="AV297" s="29">
        <f t="shared" si="1"/>
        <v>1603.134</v>
      </c>
      <c r="AW297" s="21">
        <f t="shared" si="2"/>
        <v>150</v>
      </c>
      <c r="AX297" s="21">
        <f t="shared" si="3"/>
        <v>0</v>
      </c>
      <c r="AY297" s="21">
        <f t="shared" si="4"/>
        <v>150</v>
      </c>
      <c r="AZ297" s="58">
        <f t="shared" si="5"/>
        <v>10.68756</v>
      </c>
    </row>
    <row r="298" ht="15.75" customHeight="1">
      <c r="A298" s="31" t="s">
        <v>33</v>
      </c>
      <c r="B298" s="32">
        <f t="shared" si="6"/>
        <v>45587</v>
      </c>
      <c r="C298" s="33">
        <v>11.0</v>
      </c>
      <c r="D298" s="33" t="s">
        <v>48</v>
      </c>
      <c r="E298" s="34"/>
      <c r="F298" s="42">
        <v>0.0</v>
      </c>
      <c r="H298" s="43">
        <v>0.0</v>
      </c>
      <c r="J298" s="43">
        <v>0.0</v>
      </c>
      <c r="L298" s="43">
        <v>0.0</v>
      </c>
      <c r="N298" s="43">
        <v>0.0</v>
      </c>
      <c r="P298" s="43">
        <v>0.0</v>
      </c>
      <c r="Q298" s="26"/>
      <c r="R298" s="42">
        <v>75.0</v>
      </c>
      <c r="T298" s="43">
        <v>75.0</v>
      </c>
      <c r="V298" s="43">
        <v>0.0</v>
      </c>
      <c r="X298" s="43">
        <v>0.0</v>
      </c>
      <c r="Z298" s="43">
        <v>0.0</v>
      </c>
      <c r="AB298" s="43">
        <v>0.0</v>
      </c>
      <c r="AC298" s="26"/>
      <c r="AD298" s="43">
        <v>0.0</v>
      </c>
      <c r="AF298" s="43">
        <v>0.0</v>
      </c>
      <c r="AH298" s="43">
        <v>0.0</v>
      </c>
      <c r="AJ298" s="27">
        <v>0.0</v>
      </c>
      <c r="AK298" s="26"/>
      <c r="AL298" s="36"/>
      <c r="AM298" s="26"/>
      <c r="AN298" s="36"/>
      <c r="AO298" s="26"/>
      <c r="AP298" s="36"/>
      <c r="AQ298" s="26"/>
      <c r="AR298" s="37"/>
      <c r="AT298" s="37"/>
      <c r="AU298" s="26"/>
      <c r="AV298" s="35">
        <f t="shared" si="1"/>
        <v>1603.134</v>
      </c>
      <c r="AW298" s="33">
        <f t="shared" si="2"/>
        <v>150</v>
      </c>
      <c r="AX298" s="33">
        <f t="shared" si="3"/>
        <v>0</v>
      </c>
      <c r="AY298" s="33">
        <f t="shared" si="4"/>
        <v>150</v>
      </c>
      <c r="AZ298" s="30">
        <f t="shared" si="5"/>
        <v>10.68756</v>
      </c>
    </row>
    <row r="299" ht="15.75" customHeight="1">
      <c r="A299" s="31" t="s">
        <v>34</v>
      </c>
      <c r="B299" s="32">
        <f t="shared" si="6"/>
        <v>45588</v>
      </c>
      <c r="C299" s="33">
        <v>11.0</v>
      </c>
      <c r="D299" s="33" t="s">
        <v>48</v>
      </c>
      <c r="E299" s="34"/>
      <c r="F299" s="42">
        <v>0.0</v>
      </c>
      <c r="H299" s="43">
        <v>0.0</v>
      </c>
      <c r="J299" s="43">
        <v>0.0</v>
      </c>
      <c r="L299" s="43">
        <v>0.0</v>
      </c>
      <c r="N299" s="43">
        <v>0.0</v>
      </c>
      <c r="P299" s="43">
        <v>0.0</v>
      </c>
      <c r="Q299" s="26"/>
      <c r="R299" s="42">
        <v>75.0</v>
      </c>
      <c r="T299" s="43">
        <v>75.0</v>
      </c>
      <c r="V299" s="43">
        <v>0.0</v>
      </c>
      <c r="X299" s="43">
        <v>0.0</v>
      </c>
      <c r="Z299" s="43">
        <v>0.0</v>
      </c>
      <c r="AB299" s="43">
        <v>0.0</v>
      </c>
      <c r="AC299" s="26"/>
      <c r="AD299" s="43">
        <v>0.0</v>
      </c>
      <c r="AF299" s="43">
        <v>0.0</v>
      </c>
      <c r="AH299" s="43">
        <v>0.0</v>
      </c>
      <c r="AJ299" s="27">
        <v>0.0</v>
      </c>
      <c r="AK299" s="26"/>
      <c r="AL299" s="36"/>
      <c r="AM299" s="26"/>
      <c r="AN299" s="36"/>
      <c r="AO299" s="26"/>
      <c r="AP299" s="36"/>
      <c r="AQ299" s="26"/>
      <c r="AR299" s="37"/>
      <c r="AT299" s="37"/>
      <c r="AU299" s="26"/>
      <c r="AV299" s="35">
        <f t="shared" si="1"/>
        <v>1603.134</v>
      </c>
      <c r="AW299" s="33">
        <f t="shared" si="2"/>
        <v>150</v>
      </c>
      <c r="AX299" s="33">
        <f t="shared" si="3"/>
        <v>0</v>
      </c>
      <c r="AY299" s="33">
        <f t="shared" si="4"/>
        <v>150</v>
      </c>
      <c r="AZ299" s="30">
        <f t="shared" si="5"/>
        <v>10.68756</v>
      </c>
    </row>
    <row r="300" ht="15.75" customHeight="1">
      <c r="A300" s="31" t="s">
        <v>35</v>
      </c>
      <c r="B300" s="32">
        <f t="shared" si="6"/>
        <v>45589</v>
      </c>
      <c r="C300" s="33">
        <v>11.0</v>
      </c>
      <c r="D300" s="33" t="s">
        <v>48</v>
      </c>
      <c r="E300" s="34"/>
      <c r="F300" s="42">
        <v>0.0</v>
      </c>
      <c r="H300" s="43">
        <v>0.0</v>
      </c>
      <c r="J300" s="43">
        <v>0.0</v>
      </c>
      <c r="L300" s="43">
        <v>0.0</v>
      </c>
      <c r="N300" s="43">
        <v>0.0</v>
      </c>
      <c r="P300" s="43">
        <v>0.0</v>
      </c>
      <c r="Q300" s="26"/>
      <c r="R300" s="42">
        <v>75.0</v>
      </c>
      <c r="T300" s="43">
        <v>75.0</v>
      </c>
      <c r="V300" s="43">
        <v>0.0</v>
      </c>
      <c r="X300" s="43">
        <v>0.0</v>
      </c>
      <c r="Z300" s="43">
        <v>0.0</v>
      </c>
      <c r="AB300" s="43">
        <v>0.0</v>
      </c>
      <c r="AC300" s="26"/>
      <c r="AD300" s="43">
        <v>0.0</v>
      </c>
      <c r="AF300" s="43">
        <v>0.0</v>
      </c>
      <c r="AH300" s="43">
        <v>0.0</v>
      </c>
      <c r="AJ300" s="27">
        <v>0.0</v>
      </c>
      <c r="AK300" s="26"/>
      <c r="AL300" s="36"/>
      <c r="AM300" s="26"/>
      <c r="AN300" s="36"/>
      <c r="AO300" s="26"/>
      <c r="AP300" s="36"/>
      <c r="AQ300" s="26"/>
      <c r="AR300" s="37"/>
      <c r="AT300" s="37"/>
      <c r="AU300" s="26"/>
      <c r="AV300" s="35">
        <f t="shared" si="1"/>
        <v>1603.134</v>
      </c>
      <c r="AW300" s="33">
        <f t="shared" si="2"/>
        <v>150</v>
      </c>
      <c r="AX300" s="33">
        <f t="shared" si="3"/>
        <v>0</v>
      </c>
      <c r="AY300" s="33">
        <f t="shared" si="4"/>
        <v>150</v>
      </c>
      <c r="AZ300" s="30">
        <f t="shared" si="5"/>
        <v>10.68756</v>
      </c>
    </row>
    <row r="301" ht="15.75" customHeight="1">
      <c r="A301" s="31" t="s">
        <v>38</v>
      </c>
      <c r="B301" s="32">
        <f t="shared" si="6"/>
        <v>45590</v>
      </c>
      <c r="C301" s="33">
        <v>11.0</v>
      </c>
      <c r="D301" s="33" t="s">
        <v>48</v>
      </c>
      <c r="E301" s="34"/>
      <c r="F301" s="42">
        <v>0.0</v>
      </c>
      <c r="H301" s="43">
        <v>0.0</v>
      </c>
      <c r="J301" s="43">
        <v>0.0</v>
      </c>
      <c r="L301" s="43">
        <v>0.0</v>
      </c>
      <c r="N301" s="43">
        <v>0.0</v>
      </c>
      <c r="P301" s="43">
        <v>0.0</v>
      </c>
      <c r="Q301" s="26"/>
      <c r="R301" s="42">
        <v>75.0</v>
      </c>
      <c r="T301" s="43">
        <v>75.0</v>
      </c>
      <c r="V301" s="43">
        <v>0.0</v>
      </c>
      <c r="X301" s="43">
        <v>0.0</v>
      </c>
      <c r="Z301" s="43">
        <v>0.0</v>
      </c>
      <c r="AB301" s="43">
        <v>0.0</v>
      </c>
      <c r="AC301" s="26"/>
      <c r="AD301" s="43">
        <v>0.0</v>
      </c>
      <c r="AF301" s="43">
        <v>0.0</v>
      </c>
      <c r="AH301" s="43">
        <v>0.0</v>
      </c>
      <c r="AJ301" s="27">
        <v>0.0</v>
      </c>
      <c r="AK301" s="26"/>
      <c r="AL301" s="36"/>
      <c r="AM301" s="26"/>
      <c r="AN301" s="36"/>
      <c r="AO301" s="26"/>
      <c r="AP301" s="36"/>
      <c r="AQ301" s="26"/>
      <c r="AR301" s="37"/>
      <c r="AT301" s="37"/>
      <c r="AU301" s="26"/>
      <c r="AV301" s="35">
        <f t="shared" si="1"/>
        <v>1603.134</v>
      </c>
      <c r="AW301" s="33">
        <f t="shared" si="2"/>
        <v>150</v>
      </c>
      <c r="AX301" s="33">
        <f t="shared" si="3"/>
        <v>0</v>
      </c>
      <c r="AY301" s="33">
        <f t="shared" si="4"/>
        <v>150</v>
      </c>
      <c r="AZ301" s="30">
        <f t="shared" si="5"/>
        <v>10.68756</v>
      </c>
    </row>
    <row r="302" ht="15.75" customHeight="1">
      <c r="A302" s="31" t="s">
        <v>45</v>
      </c>
      <c r="B302" s="32">
        <f t="shared" si="6"/>
        <v>45591</v>
      </c>
      <c r="C302" s="33">
        <v>11.0</v>
      </c>
      <c r="D302" s="33" t="s">
        <v>48</v>
      </c>
      <c r="E302" s="34"/>
      <c r="F302" s="42">
        <v>0.0</v>
      </c>
      <c r="H302" s="43">
        <v>0.0</v>
      </c>
      <c r="J302" s="43">
        <v>0.0</v>
      </c>
      <c r="L302" s="43">
        <v>0.0</v>
      </c>
      <c r="N302" s="43">
        <v>0.0</v>
      </c>
      <c r="P302" s="43">
        <v>0.0</v>
      </c>
      <c r="Q302" s="26"/>
      <c r="R302" s="42">
        <v>75.0</v>
      </c>
      <c r="T302" s="43">
        <v>75.0</v>
      </c>
      <c r="V302" s="43">
        <v>0.0</v>
      </c>
      <c r="X302" s="43">
        <v>0.0</v>
      </c>
      <c r="Z302" s="43">
        <v>0.0</v>
      </c>
      <c r="AB302" s="43">
        <v>0.0</v>
      </c>
      <c r="AC302" s="26"/>
      <c r="AD302" s="43">
        <v>0.0</v>
      </c>
      <c r="AF302" s="43">
        <v>0.0</v>
      </c>
      <c r="AH302" s="43">
        <v>0.0</v>
      </c>
      <c r="AJ302" s="27">
        <v>0.0</v>
      </c>
      <c r="AK302" s="26"/>
      <c r="AL302" s="36"/>
      <c r="AM302" s="26"/>
      <c r="AN302" s="36"/>
      <c r="AO302" s="26"/>
      <c r="AP302" s="36"/>
      <c r="AQ302" s="26"/>
      <c r="AR302" s="37"/>
      <c r="AT302" s="37"/>
      <c r="AU302" s="26"/>
      <c r="AV302" s="35">
        <f t="shared" si="1"/>
        <v>1603.134</v>
      </c>
      <c r="AW302" s="33">
        <f t="shared" si="2"/>
        <v>150</v>
      </c>
      <c r="AX302" s="33">
        <f t="shared" si="3"/>
        <v>0</v>
      </c>
      <c r="AY302" s="33">
        <f t="shared" si="4"/>
        <v>150</v>
      </c>
      <c r="AZ302" s="30">
        <f t="shared" si="5"/>
        <v>10.68756</v>
      </c>
    </row>
    <row r="303" ht="15.75" customHeight="1">
      <c r="A303" s="44" t="s">
        <v>46</v>
      </c>
      <c r="B303" s="45">
        <f t="shared" si="6"/>
        <v>45592</v>
      </c>
      <c r="C303" s="46">
        <v>11.0</v>
      </c>
      <c r="D303" s="46" t="s">
        <v>48</v>
      </c>
      <c r="E303" s="47"/>
      <c r="F303" s="66">
        <v>0.0</v>
      </c>
      <c r="G303" s="51"/>
      <c r="H303" s="67">
        <v>0.0</v>
      </c>
      <c r="I303" s="51"/>
      <c r="J303" s="67">
        <v>0.0</v>
      </c>
      <c r="K303" s="51"/>
      <c r="L303" s="67">
        <v>0.0</v>
      </c>
      <c r="M303" s="51"/>
      <c r="N303" s="67">
        <v>0.0</v>
      </c>
      <c r="O303" s="51"/>
      <c r="P303" s="67">
        <v>0.0</v>
      </c>
      <c r="Q303" s="53"/>
      <c r="R303" s="66">
        <v>0.0</v>
      </c>
      <c r="S303" s="51"/>
      <c r="T303" s="67">
        <v>0.0</v>
      </c>
      <c r="U303" s="51"/>
      <c r="V303" s="67">
        <v>0.0</v>
      </c>
      <c r="W303" s="51"/>
      <c r="X303" s="67">
        <v>0.0</v>
      </c>
      <c r="Y303" s="51"/>
      <c r="Z303" s="67">
        <v>0.0</v>
      </c>
      <c r="AA303" s="51"/>
      <c r="AB303" s="67">
        <v>0.0</v>
      </c>
      <c r="AC303" s="53"/>
      <c r="AD303" s="67">
        <v>0.0</v>
      </c>
      <c r="AE303" s="51"/>
      <c r="AF303" s="67">
        <v>0.0</v>
      </c>
      <c r="AG303" s="51"/>
      <c r="AH303" s="67">
        <v>0.0</v>
      </c>
      <c r="AI303" s="51"/>
      <c r="AJ303" s="54">
        <v>0.0</v>
      </c>
      <c r="AK303" s="53"/>
      <c r="AL303" s="60"/>
      <c r="AM303" s="53"/>
      <c r="AN303" s="60"/>
      <c r="AO303" s="53"/>
      <c r="AP303" s="60"/>
      <c r="AQ303" s="53"/>
      <c r="AR303" s="61"/>
      <c r="AS303" s="51"/>
      <c r="AT303" s="61"/>
      <c r="AU303" s="53"/>
      <c r="AV303" s="55">
        <f t="shared" si="1"/>
        <v>0</v>
      </c>
      <c r="AW303" s="46">
        <f t="shared" si="2"/>
        <v>0</v>
      </c>
      <c r="AX303" s="46">
        <f t="shared" si="3"/>
        <v>0</v>
      </c>
      <c r="AY303" s="46">
        <f t="shared" si="4"/>
        <v>0</v>
      </c>
      <c r="AZ303" s="56" t="str">
        <f t="shared" si="5"/>
        <v/>
      </c>
    </row>
    <row r="304" ht="15.75" customHeight="1">
      <c r="A304" s="19" t="s">
        <v>30</v>
      </c>
      <c r="B304" s="57">
        <f t="shared" si="6"/>
        <v>45593</v>
      </c>
      <c r="C304" s="21">
        <v>11.0</v>
      </c>
      <c r="D304" s="21" t="s">
        <v>49</v>
      </c>
      <c r="E304" s="23"/>
      <c r="F304" s="42">
        <v>0.0</v>
      </c>
      <c r="H304" s="43">
        <v>0.0</v>
      </c>
      <c r="J304" s="43">
        <v>0.0</v>
      </c>
      <c r="L304" s="43">
        <v>0.0</v>
      </c>
      <c r="N304" s="43">
        <v>0.0</v>
      </c>
      <c r="P304" s="43">
        <v>0.0</v>
      </c>
      <c r="Q304" s="26"/>
      <c r="R304" s="42">
        <v>75.0</v>
      </c>
      <c r="T304" s="43">
        <v>75.0</v>
      </c>
      <c r="V304" s="43">
        <v>0.0</v>
      </c>
      <c r="X304" s="43">
        <v>0.0</v>
      </c>
      <c r="Z304" s="43">
        <v>0.0</v>
      </c>
      <c r="AB304" s="43">
        <v>0.0</v>
      </c>
      <c r="AC304" s="26"/>
      <c r="AD304" s="43">
        <v>0.0</v>
      </c>
      <c r="AF304" s="43">
        <v>0.0</v>
      </c>
      <c r="AH304" s="43">
        <v>0.0</v>
      </c>
      <c r="AJ304" s="27">
        <v>0.0</v>
      </c>
      <c r="AK304" s="26"/>
      <c r="AL304" s="36"/>
      <c r="AM304" s="26"/>
      <c r="AN304" s="36"/>
      <c r="AO304" s="26"/>
      <c r="AP304" s="36"/>
      <c r="AQ304" s="26"/>
      <c r="AR304" s="37"/>
      <c r="AT304" s="37"/>
      <c r="AU304" s="26"/>
      <c r="AV304" s="29">
        <f t="shared" si="1"/>
        <v>1603.134</v>
      </c>
      <c r="AW304" s="21">
        <f t="shared" si="2"/>
        <v>150</v>
      </c>
      <c r="AX304" s="21">
        <f t="shared" si="3"/>
        <v>0</v>
      </c>
      <c r="AY304" s="21">
        <f t="shared" si="4"/>
        <v>150</v>
      </c>
      <c r="AZ304" s="58">
        <f t="shared" si="5"/>
        <v>10.68756</v>
      </c>
    </row>
    <row r="305" ht="15.75" customHeight="1">
      <c r="A305" s="31" t="s">
        <v>33</v>
      </c>
      <c r="B305" s="32">
        <f t="shared" si="6"/>
        <v>45594</v>
      </c>
      <c r="C305" s="33">
        <v>11.0</v>
      </c>
      <c r="D305" s="33" t="s">
        <v>49</v>
      </c>
      <c r="E305" s="34"/>
      <c r="F305" s="42">
        <v>0.0</v>
      </c>
      <c r="H305" s="43">
        <v>0.0</v>
      </c>
      <c r="J305" s="43">
        <v>0.0</v>
      </c>
      <c r="L305" s="43">
        <v>0.0</v>
      </c>
      <c r="N305" s="43">
        <v>0.0</v>
      </c>
      <c r="P305" s="43">
        <v>0.0</v>
      </c>
      <c r="Q305" s="26"/>
      <c r="R305" s="42">
        <v>75.0</v>
      </c>
      <c r="T305" s="43">
        <v>75.0</v>
      </c>
      <c r="V305" s="43">
        <v>0.0</v>
      </c>
      <c r="X305" s="43">
        <v>0.0</v>
      </c>
      <c r="Z305" s="43">
        <v>0.0</v>
      </c>
      <c r="AB305" s="43">
        <v>0.0</v>
      </c>
      <c r="AC305" s="26"/>
      <c r="AD305" s="43">
        <v>0.0</v>
      </c>
      <c r="AF305" s="43">
        <v>0.0</v>
      </c>
      <c r="AH305" s="43">
        <v>0.0</v>
      </c>
      <c r="AJ305" s="27">
        <v>0.0</v>
      </c>
      <c r="AK305" s="26"/>
      <c r="AL305" s="36"/>
      <c r="AM305" s="26"/>
      <c r="AN305" s="36"/>
      <c r="AO305" s="26"/>
      <c r="AP305" s="36"/>
      <c r="AQ305" s="26"/>
      <c r="AR305" s="37"/>
      <c r="AT305" s="37"/>
      <c r="AU305" s="26"/>
      <c r="AV305" s="35">
        <f t="shared" si="1"/>
        <v>1603.134</v>
      </c>
      <c r="AW305" s="33">
        <f t="shared" si="2"/>
        <v>150</v>
      </c>
      <c r="AX305" s="33">
        <f t="shared" si="3"/>
        <v>0</v>
      </c>
      <c r="AY305" s="33">
        <f t="shared" si="4"/>
        <v>150</v>
      </c>
      <c r="AZ305" s="30">
        <f t="shared" si="5"/>
        <v>10.68756</v>
      </c>
    </row>
    <row r="306" ht="15.75" customHeight="1">
      <c r="A306" s="31" t="s">
        <v>34</v>
      </c>
      <c r="B306" s="32">
        <f t="shared" si="6"/>
        <v>45595</v>
      </c>
      <c r="C306" s="33">
        <v>11.0</v>
      </c>
      <c r="D306" s="33" t="s">
        <v>49</v>
      </c>
      <c r="E306" s="34"/>
      <c r="F306" s="42">
        <v>0.0</v>
      </c>
      <c r="H306" s="43">
        <v>0.0</v>
      </c>
      <c r="J306" s="43">
        <v>0.0</v>
      </c>
      <c r="L306" s="43">
        <v>0.0</v>
      </c>
      <c r="N306" s="43">
        <v>0.0</v>
      </c>
      <c r="P306" s="43">
        <v>0.0</v>
      </c>
      <c r="Q306" s="26"/>
      <c r="R306" s="42">
        <v>75.0</v>
      </c>
      <c r="T306" s="43">
        <v>75.0</v>
      </c>
      <c r="V306" s="43">
        <v>0.0</v>
      </c>
      <c r="X306" s="43">
        <v>0.0</v>
      </c>
      <c r="Z306" s="43">
        <v>0.0</v>
      </c>
      <c r="AB306" s="43">
        <v>0.0</v>
      </c>
      <c r="AC306" s="26"/>
      <c r="AD306" s="43">
        <v>0.0</v>
      </c>
      <c r="AF306" s="43">
        <v>0.0</v>
      </c>
      <c r="AH306" s="43">
        <v>0.0</v>
      </c>
      <c r="AJ306" s="27">
        <v>0.0</v>
      </c>
      <c r="AK306" s="26"/>
      <c r="AL306" s="36"/>
      <c r="AM306" s="26"/>
      <c r="AN306" s="36"/>
      <c r="AO306" s="26"/>
      <c r="AP306" s="36"/>
      <c r="AQ306" s="26"/>
      <c r="AR306" s="37"/>
      <c r="AT306" s="37"/>
      <c r="AU306" s="26"/>
      <c r="AV306" s="35">
        <f t="shared" si="1"/>
        <v>1603.134</v>
      </c>
      <c r="AW306" s="33">
        <f t="shared" si="2"/>
        <v>150</v>
      </c>
      <c r="AX306" s="33">
        <f t="shared" si="3"/>
        <v>0</v>
      </c>
      <c r="AY306" s="33">
        <f t="shared" si="4"/>
        <v>150</v>
      </c>
      <c r="AZ306" s="30">
        <f t="shared" si="5"/>
        <v>10.68756</v>
      </c>
    </row>
    <row r="307" ht="15.75" customHeight="1">
      <c r="A307" s="31" t="s">
        <v>35</v>
      </c>
      <c r="B307" s="32">
        <f t="shared" si="6"/>
        <v>45596</v>
      </c>
      <c r="C307" s="33">
        <v>11.0</v>
      </c>
      <c r="D307" s="33" t="s">
        <v>49</v>
      </c>
      <c r="E307" s="34"/>
      <c r="F307" s="42">
        <v>0.0</v>
      </c>
      <c r="H307" s="43">
        <v>0.0</v>
      </c>
      <c r="J307" s="43">
        <v>0.0</v>
      </c>
      <c r="L307" s="43">
        <v>0.0</v>
      </c>
      <c r="N307" s="43">
        <v>0.0</v>
      </c>
      <c r="P307" s="43">
        <v>0.0</v>
      </c>
      <c r="Q307" s="26"/>
      <c r="R307" s="42">
        <v>75.0</v>
      </c>
      <c r="T307" s="43">
        <v>75.0</v>
      </c>
      <c r="V307" s="43">
        <v>0.0</v>
      </c>
      <c r="X307" s="43">
        <v>0.0</v>
      </c>
      <c r="Z307" s="43">
        <v>0.0</v>
      </c>
      <c r="AB307" s="43">
        <v>0.0</v>
      </c>
      <c r="AC307" s="26"/>
      <c r="AD307" s="43">
        <v>0.0</v>
      </c>
      <c r="AF307" s="43">
        <v>0.0</v>
      </c>
      <c r="AH307" s="43">
        <v>0.0</v>
      </c>
      <c r="AJ307" s="27">
        <v>0.0</v>
      </c>
      <c r="AK307" s="26"/>
      <c r="AL307" s="36"/>
      <c r="AM307" s="26"/>
      <c r="AN307" s="36"/>
      <c r="AO307" s="26"/>
      <c r="AP307" s="36"/>
      <c r="AQ307" s="26"/>
      <c r="AR307" s="37"/>
      <c r="AT307" s="37"/>
      <c r="AU307" s="26"/>
      <c r="AV307" s="35">
        <f t="shared" si="1"/>
        <v>1603.134</v>
      </c>
      <c r="AW307" s="33">
        <f t="shared" si="2"/>
        <v>150</v>
      </c>
      <c r="AX307" s="33">
        <f t="shared" si="3"/>
        <v>0</v>
      </c>
      <c r="AY307" s="33">
        <f t="shared" si="4"/>
        <v>150</v>
      </c>
      <c r="AZ307" s="30">
        <f t="shared" si="5"/>
        <v>10.68756</v>
      </c>
    </row>
    <row r="308" ht="15.75" customHeight="1">
      <c r="A308" s="31" t="s">
        <v>38</v>
      </c>
      <c r="B308" s="32">
        <f t="shared" si="6"/>
        <v>45597</v>
      </c>
      <c r="C308" s="33">
        <v>11.0</v>
      </c>
      <c r="D308" s="33" t="s">
        <v>49</v>
      </c>
      <c r="E308" s="34"/>
      <c r="F308" s="42">
        <v>0.0</v>
      </c>
      <c r="H308" s="43">
        <v>0.0</v>
      </c>
      <c r="J308" s="43">
        <v>0.0</v>
      </c>
      <c r="L308" s="43">
        <v>0.0</v>
      </c>
      <c r="N308" s="43">
        <v>0.0</v>
      </c>
      <c r="P308" s="43">
        <v>0.0</v>
      </c>
      <c r="Q308" s="26"/>
      <c r="R308" s="42">
        <v>75.0</v>
      </c>
      <c r="T308" s="43">
        <v>75.0</v>
      </c>
      <c r="V308" s="43">
        <v>0.0</v>
      </c>
      <c r="X308" s="43">
        <v>0.0</v>
      </c>
      <c r="Z308" s="43">
        <v>0.0</v>
      </c>
      <c r="AB308" s="43">
        <v>0.0</v>
      </c>
      <c r="AC308" s="26"/>
      <c r="AD308" s="43">
        <v>0.0</v>
      </c>
      <c r="AF308" s="43">
        <v>0.0</v>
      </c>
      <c r="AH308" s="43">
        <v>0.0</v>
      </c>
      <c r="AJ308" s="27">
        <v>0.0</v>
      </c>
      <c r="AK308" s="26"/>
      <c r="AL308" s="36"/>
      <c r="AM308" s="26"/>
      <c r="AN308" s="36"/>
      <c r="AO308" s="26"/>
      <c r="AP308" s="36"/>
      <c r="AQ308" s="26"/>
      <c r="AR308" s="37"/>
      <c r="AT308" s="37"/>
      <c r="AU308" s="26"/>
      <c r="AV308" s="35">
        <f t="shared" si="1"/>
        <v>1603.134</v>
      </c>
      <c r="AW308" s="33">
        <f t="shared" si="2"/>
        <v>150</v>
      </c>
      <c r="AX308" s="33">
        <f t="shared" si="3"/>
        <v>0</v>
      </c>
      <c r="AY308" s="33">
        <f t="shared" si="4"/>
        <v>150</v>
      </c>
      <c r="AZ308" s="30">
        <f t="shared" si="5"/>
        <v>10.68756</v>
      </c>
    </row>
    <row r="309" ht="15.75" customHeight="1">
      <c r="A309" s="31" t="s">
        <v>45</v>
      </c>
      <c r="B309" s="32">
        <f t="shared" si="6"/>
        <v>45598</v>
      </c>
      <c r="C309" s="33">
        <v>11.0</v>
      </c>
      <c r="D309" s="33" t="s">
        <v>49</v>
      </c>
      <c r="E309" s="34"/>
      <c r="F309" s="42">
        <v>0.0</v>
      </c>
      <c r="H309" s="43">
        <v>0.0</v>
      </c>
      <c r="J309" s="43">
        <v>0.0</v>
      </c>
      <c r="L309" s="43">
        <v>0.0</v>
      </c>
      <c r="N309" s="43">
        <v>0.0</v>
      </c>
      <c r="P309" s="43">
        <v>0.0</v>
      </c>
      <c r="Q309" s="26"/>
      <c r="R309" s="42">
        <v>75.0</v>
      </c>
      <c r="T309" s="43">
        <v>75.0</v>
      </c>
      <c r="V309" s="43">
        <v>0.0</v>
      </c>
      <c r="X309" s="43">
        <v>0.0</v>
      </c>
      <c r="Z309" s="43">
        <v>0.0</v>
      </c>
      <c r="AB309" s="43">
        <v>0.0</v>
      </c>
      <c r="AC309" s="26"/>
      <c r="AD309" s="43">
        <v>0.0</v>
      </c>
      <c r="AF309" s="43">
        <v>0.0</v>
      </c>
      <c r="AH309" s="43">
        <v>0.0</v>
      </c>
      <c r="AJ309" s="27">
        <v>0.0</v>
      </c>
      <c r="AK309" s="26"/>
      <c r="AL309" s="36"/>
      <c r="AM309" s="26"/>
      <c r="AN309" s="36"/>
      <c r="AO309" s="26"/>
      <c r="AP309" s="36"/>
      <c r="AQ309" s="26"/>
      <c r="AR309" s="37"/>
      <c r="AT309" s="37"/>
      <c r="AU309" s="26"/>
      <c r="AV309" s="35">
        <f t="shared" si="1"/>
        <v>1603.134</v>
      </c>
      <c r="AW309" s="33">
        <f t="shared" si="2"/>
        <v>150</v>
      </c>
      <c r="AX309" s="33">
        <f t="shared" si="3"/>
        <v>0</v>
      </c>
      <c r="AY309" s="33">
        <f t="shared" si="4"/>
        <v>150</v>
      </c>
      <c r="AZ309" s="30">
        <f t="shared" si="5"/>
        <v>10.68756</v>
      </c>
    </row>
    <row r="310" ht="15.75" customHeight="1">
      <c r="A310" s="44" t="s">
        <v>46</v>
      </c>
      <c r="B310" s="45">
        <f t="shared" si="6"/>
        <v>45599</v>
      </c>
      <c r="C310" s="46">
        <v>11.0</v>
      </c>
      <c r="D310" s="46" t="s">
        <v>49</v>
      </c>
      <c r="E310" s="47"/>
      <c r="F310" s="66">
        <v>0.0</v>
      </c>
      <c r="G310" s="51"/>
      <c r="H310" s="67">
        <v>0.0</v>
      </c>
      <c r="I310" s="51"/>
      <c r="J310" s="67">
        <v>0.0</v>
      </c>
      <c r="K310" s="51"/>
      <c r="L310" s="67">
        <v>0.0</v>
      </c>
      <c r="M310" s="51"/>
      <c r="N310" s="67">
        <v>0.0</v>
      </c>
      <c r="O310" s="51"/>
      <c r="P310" s="67">
        <v>0.0</v>
      </c>
      <c r="Q310" s="53"/>
      <c r="R310" s="66">
        <v>0.0</v>
      </c>
      <c r="S310" s="51"/>
      <c r="T310" s="67">
        <v>0.0</v>
      </c>
      <c r="U310" s="51"/>
      <c r="V310" s="67">
        <v>0.0</v>
      </c>
      <c r="W310" s="51"/>
      <c r="X310" s="67">
        <v>0.0</v>
      </c>
      <c r="Y310" s="51"/>
      <c r="Z310" s="67">
        <v>0.0</v>
      </c>
      <c r="AA310" s="51"/>
      <c r="AB310" s="67">
        <v>0.0</v>
      </c>
      <c r="AC310" s="53"/>
      <c r="AD310" s="67">
        <v>0.0</v>
      </c>
      <c r="AE310" s="51"/>
      <c r="AF310" s="67">
        <v>0.0</v>
      </c>
      <c r="AG310" s="51"/>
      <c r="AH310" s="67">
        <v>0.0</v>
      </c>
      <c r="AI310" s="51"/>
      <c r="AJ310" s="54">
        <v>0.0</v>
      </c>
      <c r="AK310" s="53"/>
      <c r="AL310" s="60"/>
      <c r="AM310" s="53"/>
      <c r="AN310" s="60"/>
      <c r="AO310" s="53"/>
      <c r="AP310" s="60"/>
      <c r="AQ310" s="53"/>
      <c r="AR310" s="61"/>
      <c r="AS310" s="51"/>
      <c r="AT310" s="61"/>
      <c r="AU310" s="53"/>
      <c r="AV310" s="55">
        <f t="shared" si="1"/>
        <v>0</v>
      </c>
      <c r="AW310" s="46">
        <f t="shared" si="2"/>
        <v>0</v>
      </c>
      <c r="AX310" s="46">
        <f t="shared" si="3"/>
        <v>0</v>
      </c>
      <c r="AY310" s="46">
        <f t="shared" si="4"/>
        <v>0</v>
      </c>
      <c r="AZ310" s="56" t="str">
        <f t="shared" si="5"/>
        <v/>
      </c>
    </row>
    <row r="311" ht="15.75" customHeight="1">
      <c r="A311" s="19" t="s">
        <v>30</v>
      </c>
      <c r="B311" s="57">
        <f t="shared" si="6"/>
        <v>45600</v>
      </c>
      <c r="C311" s="21">
        <v>12.0</v>
      </c>
      <c r="D311" s="21" t="s">
        <v>31</v>
      </c>
      <c r="E311" s="23"/>
      <c r="F311" s="42">
        <v>0.0</v>
      </c>
      <c r="H311" s="43">
        <v>0.0</v>
      </c>
      <c r="J311" s="43">
        <v>0.0</v>
      </c>
      <c r="L311" s="43">
        <v>0.0</v>
      </c>
      <c r="N311" s="43">
        <v>0.0</v>
      </c>
      <c r="P311" s="43">
        <v>0.0</v>
      </c>
      <c r="Q311" s="26"/>
      <c r="R311" s="42">
        <v>75.0</v>
      </c>
      <c r="T311" s="43">
        <v>75.0</v>
      </c>
      <c r="V311" s="43">
        <v>0.0</v>
      </c>
      <c r="X311" s="43">
        <v>0.0</v>
      </c>
      <c r="Z311" s="43">
        <v>0.0</v>
      </c>
      <c r="AB311" s="43">
        <v>0.0</v>
      </c>
      <c r="AC311" s="26"/>
      <c r="AD311" s="43">
        <v>0.0</v>
      </c>
      <c r="AF311" s="43">
        <v>0.0</v>
      </c>
      <c r="AH311" s="43">
        <v>0.0</v>
      </c>
      <c r="AJ311" s="27">
        <v>0.0</v>
      </c>
      <c r="AK311" s="26"/>
      <c r="AL311" s="36"/>
      <c r="AM311" s="26"/>
      <c r="AN311" s="36"/>
      <c r="AO311" s="26"/>
      <c r="AP311" s="36"/>
      <c r="AQ311" s="26"/>
      <c r="AR311" s="37"/>
      <c r="AT311" s="37"/>
      <c r="AU311" s="26"/>
      <c r="AV311" s="29">
        <f t="shared" si="1"/>
        <v>1603.134</v>
      </c>
      <c r="AW311" s="21">
        <f t="shared" si="2"/>
        <v>150</v>
      </c>
      <c r="AX311" s="21">
        <f t="shared" si="3"/>
        <v>0</v>
      </c>
      <c r="AY311" s="21">
        <f t="shared" si="4"/>
        <v>150</v>
      </c>
      <c r="AZ311" s="58">
        <f t="shared" si="5"/>
        <v>10.68756</v>
      </c>
    </row>
    <row r="312" ht="15.75" customHeight="1">
      <c r="A312" s="31" t="s">
        <v>33</v>
      </c>
      <c r="B312" s="32">
        <f t="shared" si="6"/>
        <v>45601</v>
      </c>
      <c r="C312" s="33">
        <v>12.0</v>
      </c>
      <c r="D312" s="33" t="s">
        <v>31</v>
      </c>
      <c r="E312" s="34"/>
      <c r="F312" s="42">
        <v>0.0</v>
      </c>
      <c r="H312" s="43">
        <v>0.0</v>
      </c>
      <c r="J312" s="43">
        <v>0.0</v>
      </c>
      <c r="L312" s="43">
        <v>0.0</v>
      </c>
      <c r="N312" s="43">
        <v>0.0</v>
      </c>
      <c r="P312" s="43">
        <v>0.0</v>
      </c>
      <c r="Q312" s="26"/>
      <c r="R312" s="42">
        <v>75.0</v>
      </c>
      <c r="T312" s="43">
        <v>75.0</v>
      </c>
      <c r="V312" s="43">
        <v>0.0</v>
      </c>
      <c r="X312" s="43">
        <v>0.0</v>
      </c>
      <c r="Z312" s="43">
        <v>0.0</v>
      </c>
      <c r="AB312" s="43">
        <v>0.0</v>
      </c>
      <c r="AC312" s="26"/>
      <c r="AD312" s="43">
        <v>0.0</v>
      </c>
      <c r="AF312" s="43">
        <v>0.0</v>
      </c>
      <c r="AH312" s="43">
        <v>0.0</v>
      </c>
      <c r="AJ312" s="27">
        <v>0.0</v>
      </c>
      <c r="AK312" s="26"/>
      <c r="AL312" s="36"/>
      <c r="AM312" s="26"/>
      <c r="AN312" s="36"/>
      <c r="AO312" s="26"/>
      <c r="AP312" s="36"/>
      <c r="AQ312" s="26"/>
      <c r="AR312" s="37"/>
      <c r="AT312" s="37"/>
      <c r="AU312" s="26"/>
      <c r="AV312" s="35">
        <f t="shared" si="1"/>
        <v>1603.134</v>
      </c>
      <c r="AW312" s="33">
        <f t="shared" si="2"/>
        <v>150</v>
      </c>
      <c r="AX312" s="33">
        <f t="shared" si="3"/>
        <v>0</v>
      </c>
      <c r="AY312" s="33">
        <f t="shared" si="4"/>
        <v>150</v>
      </c>
      <c r="AZ312" s="30">
        <f t="shared" si="5"/>
        <v>10.68756</v>
      </c>
    </row>
    <row r="313" ht="15.75" customHeight="1">
      <c r="A313" s="31" t="s">
        <v>34</v>
      </c>
      <c r="B313" s="32">
        <f t="shared" si="6"/>
        <v>45602</v>
      </c>
      <c r="C313" s="33">
        <v>12.0</v>
      </c>
      <c r="D313" s="33" t="s">
        <v>31</v>
      </c>
      <c r="E313" s="34"/>
      <c r="F313" s="42">
        <v>0.0</v>
      </c>
      <c r="H313" s="43">
        <v>0.0</v>
      </c>
      <c r="J313" s="43">
        <v>0.0</v>
      </c>
      <c r="L313" s="43">
        <v>0.0</v>
      </c>
      <c r="N313" s="43">
        <v>0.0</v>
      </c>
      <c r="P313" s="43">
        <v>0.0</v>
      </c>
      <c r="Q313" s="26"/>
      <c r="R313" s="42">
        <v>75.0</v>
      </c>
      <c r="T313" s="43">
        <v>75.0</v>
      </c>
      <c r="V313" s="43">
        <v>0.0</v>
      </c>
      <c r="X313" s="43">
        <v>0.0</v>
      </c>
      <c r="Z313" s="43">
        <v>0.0</v>
      </c>
      <c r="AB313" s="43">
        <v>0.0</v>
      </c>
      <c r="AC313" s="26"/>
      <c r="AD313" s="43">
        <v>0.0</v>
      </c>
      <c r="AF313" s="43">
        <v>0.0</v>
      </c>
      <c r="AH313" s="43">
        <v>0.0</v>
      </c>
      <c r="AJ313" s="27">
        <v>0.0</v>
      </c>
      <c r="AK313" s="26"/>
      <c r="AL313" s="36"/>
      <c r="AM313" s="26"/>
      <c r="AN313" s="36"/>
      <c r="AO313" s="26"/>
      <c r="AP313" s="36"/>
      <c r="AQ313" s="26"/>
      <c r="AR313" s="37"/>
      <c r="AT313" s="37"/>
      <c r="AU313" s="26"/>
      <c r="AV313" s="35">
        <f t="shared" si="1"/>
        <v>1603.134</v>
      </c>
      <c r="AW313" s="33">
        <f t="shared" si="2"/>
        <v>150</v>
      </c>
      <c r="AX313" s="33">
        <f t="shared" si="3"/>
        <v>0</v>
      </c>
      <c r="AY313" s="33">
        <f t="shared" si="4"/>
        <v>150</v>
      </c>
      <c r="AZ313" s="30">
        <f t="shared" si="5"/>
        <v>10.68756</v>
      </c>
    </row>
    <row r="314" ht="15.75" customHeight="1">
      <c r="A314" s="31" t="s">
        <v>35</v>
      </c>
      <c r="B314" s="32">
        <f t="shared" si="6"/>
        <v>45603</v>
      </c>
      <c r="C314" s="33">
        <v>12.0</v>
      </c>
      <c r="D314" s="33" t="s">
        <v>31</v>
      </c>
      <c r="E314" s="34"/>
      <c r="F314" s="42">
        <v>0.0</v>
      </c>
      <c r="H314" s="43">
        <v>0.0</v>
      </c>
      <c r="J314" s="43">
        <v>0.0</v>
      </c>
      <c r="L314" s="43">
        <v>0.0</v>
      </c>
      <c r="N314" s="43">
        <v>0.0</v>
      </c>
      <c r="P314" s="43">
        <v>0.0</v>
      </c>
      <c r="Q314" s="26"/>
      <c r="R314" s="42">
        <v>75.0</v>
      </c>
      <c r="T314" s="43">
        <v>75.0</v>
      </c>
      <c r="V314" s="43">
        <v>0.0</v>
      </c>
      <c r="X314" s="43">
        <v>0.0</v>
      </c>
      <c r="Z314" s="43">
        <v>0.0</v>
      </c>
      <c r="AB314" s="43">
        <v>0.0</v>
      </c>
      <c r="AC314" s="26"/>
      <c r="AD314" s="43">
        <v>0.0</v>
      </c>
      <c r="AF314" s="43">
        <v>0.0</v>
      </c>
      <c r="AH314" s="43">
        <v>0.0</v>
      </c>
      <c r="AJ314" s="27">
        <v>0.0</v>
      </c>
      <c r="AK314" s="26"/>
      <c r="AL314" s="36"/>
      <c r="AM314" s="26"/>
      <c r="AN314" s="36"/>
      <c r="AO314" s="26"/>
      <c r="AP314" s="36"/>
      <c r="AQ314" s="26"/>
      <c r="AR314" s="37"/>
      <c r="AT314" s="37"/>
      <c r="AU314" s="26"/>
      <c r="AV314" s="35">
        <f t="shared" si="1"/>
        <v>1603.134</v>
      </c>
      <c r="AW314" s="33">
        <f t="shared" si="2"/>
        <v>150</v>
      </c>
      <c r="AX314" s="33">
        <f t="shared" si="3"/>
        <v>0</v>
      </c>
      <c r="AY314" s="33">
        <f t="shared" si="4"/>
        <v>150</v>
      </c>
      <c r="AZ314" s="30">
        <f t="shared" si="5"/>
        <v>10.68756</v>
      </c>
    </row>
    <row r="315" ht="15.75" customHeight="1">
      <c r="A315" s="31" t="s">
        <v>38</v>
      </c>
      <c r="B315" s="32">
        <f t="shared" si="6"/>
        <v>45604</v>
      </c>
      <c r="C315" s="33">
        <v>12.0</v>
      </c>
      <c r="D315" s="33" t="s">
        <v>31</v>
      </c>
      <c r="E315" s="34"/>
      <c r="F315" s="42">
        <v>0.0</v>
      </c>
      <c r="H315" s="43">
        <v>0.0</v>
      </c>
      <c r="J315" s="43">
        <v>0.0</v>
      </c>
      <c r="L315" s="43">
        <v>0.0</v>
      </c>
      <c r="N315" s="43">
        <v>0.0</v>
      </c>
      <c r="P315" s="43">
        <v>0.0</v>
      </c>
      <c r="Q315" s="26"/>
      <c r="R315" s="42">
        <v>75.0</v>
      </c>
      <c r="T315" s="43">
        <v>75.0</v>
      </c>
      <c r="V315" s="43">
        <v>0.0</v>
      </c>
      <c r="X315" s="43">
        <v>0.0</v>
      </c>
      <c r="Z315" s="43">
        <v>0.0</v>
      </c>
      <c r="AB315" s="43">
        <v>0.0</v>
      </c>
      <c r="AC315" s="26"/>
      <c r="AD315" s="43">
        <v>0.0</v>
      </c>
      <c r="AF315" s="43">
        <v>0.0</v>
      </c>
      <c r="AH315" s="43">
        <v>0.0</v>
      </c>
      <c r="AJ315" s="27">
        <v>0.0</v>
      </c>
      <c r="AK315" s="26"/>
      <c r="AL315" s="36"/>
      <c r="AM315" s="26"/>
      <c r="AN315" s="36"/>
      <c r="AO315" s="26"/>
      <c r="AP315" s="36"/>
      <c r="AQ315" s="26"/>
      <c r="AR315" s="37"/>
      <c r="AT315" s="37"/>
      <c r="AU315" s="26"/>
      <c r="AV315" s="35">
        <f t="shared" si="1"/>
        <v>1603.134</v>
      </c>
      <c r="AW315" s="33">
        <f t="shared" si="2"/>
        <v>150</v>
      </c>
      <c r="AX315" s="33">
        <f t="shared" si="3"/>
        <v>0</v>
      </c>
      <c r="AY315" s="33">
        <f t="shared" si="4"/>
        <v>150</v>
      </c>
      <c r="AZ315" s="30">
        <f t="shared" si="5"/>
        <v>10.68756</v>
      </c>
    </row>
    <row r="316" ht="15.75" customHeight="1">
      <c r="A316" s="31" t="s">
        <v>45</v>
      </c>
      <c r="B316" s="32">
        <f t="shared" si="6"/>
        <v>45605</v>
      </c>
      <c r="C316" s="33">
        <v>12.0</v>
      </c>
      <c r="D316" s="33" t="s">
        <v>31</v>
      </c>
      <c r="E316" s="34"/>
      <c r="F316" s="42">
        <v>0.0</v>
      </c>
      <c r="H316" s="43">
        <v>0.0</v>
      </c>
      <c r="J316" s="43">
        <v>0.0</v>
      </c>
      <c r="L316" s="43">
        <v>0.0</v>
      </c>
      <c r="N316" s="43">
        <v>0.0</v>
      </c>
      <c r="P316" s="43">
        <v>0.0</v>
      </c>
      <c r="Q316" s="26"/>
      <c r="R316" s="42">
        <v>75.0</v>
      </c>
      <c r="T316" s="43">
        <v>75.0</v>
      </c>
      <c r="V316" s="43">
        <v>0.0</v>
      </c>
      <c r="X316" s="43">
        <v>0.0</v>
      </c>
      <c r="Z316" s="43">
        <v>0.0</v>
      </c>
      <c r="AB316" s="43">
        <v>0.0</v>
      </c>
      <c r="AC316" s="26"/>
      <c r="AD316" s="43">
        <v>0.0</v>
      </c>
      <c r="AF316" s="43">
        <v>0.0</v>
      </c>
      <c r="AH316" s="43">
        <v>0.0</v>
      </c>
      <c r="AJ316" s="27">
        <v>0.0</v>
      </c>
      <c r="AK316" s="26"/>
      <c r="AL316" s="36"/>
      <c r="AM316" s="26"/>
      <c r="AN316" s="36"/>
      <c r="AO316" s="26"/>
      <c r="AP316" s="36"/>
      <c r="AQ316" s="26"/>
      <c r="AR316" s="37"/>
      <c r="AT316" s="37"/>
      <c r="AU316" s="26"/>
      <c r="AV316" s="35">
        <f t="shared" si="1"/>
        <v>1603.134</v>
      </c>
      <c r="AW316" s="33">
        <f t="shared" si="2"/>
        <v>150</v>
      </c>
      <c r="AX316" s="33">
        <f t="shared" si="3"/>
        <v>0</v>
      </c>
      <c r="AY316" s="33">
        <f t="shared" si="4"/>
        <v>150</v>
      </c>
      <c r="AZ316" s="30">
        <f t="shared" si="5"/>
        <v>10.68756</v>
      </c>
    </row>
    <row r="317" ht="15.75" customHeight="1">
      <c r="A317" s="44" t="s">
        <v>46</v>
      </c>
      <c r="B317" s="45">
        <f t="shared" si="6"/>
        <v>45606</v>
      </c>
      <c r="C317" s="46">
        <v>12.0</v>
      </c>
      <c r="D317" s="46" t="s">
        <v>31</v>
      </c>
      <c r="E317" s="47"/>
      <c r="F317" s="66">
        <v>0.0</v>
      </c>
      <c r="G317" s="51"/>
      <c r="H317" s="67">
        <v>0.0</v>
      </c>
      <c r="I317" s="51"/>
      <c r="J317" s="67">
        <v>0.0</v>
      </c>
      <c r="K317" s="51"/>
      <c r="L317" s="67">
        <v>0.0</v>
      </c>
      <c r="M317" s="51"/>
      <c r="N317" s="67">
        <v>0.0</v>
      </c>
      <c r="O317" s="51"/>
      <c r="P317" s="67">
        <v>0.0</v>
      </c>
      <c r="Q317" s="53"/>
      <c r="R317" s="66">
        <v>0.0</v>
      </c>
      <c r="S317" s="51"/>
      <c r="T317" s="67">
        <v>0.0</v>
      </c>
      <c r="U317" s="51"/>
      <c r="V317" s="67">
        <v>0.0</v>
      </c>
      <c r="W317" s="51"/>
      <c r="X317" s="67">
        <v>0.0</v>
      </c>
      <c r="Y317" s="51"/>
      <c r="Z317" s="67">
        <v>0.0</v>
      </c>
      <c r="AA317" s="51"/>
      <c r="AB317" s="67">
        <v>0.0</v>
      </c>
      <c r="AC317" s="53"/>
      <c r="AD317" s="67">
        <v>0.0</v>
      </c>
      <c r="AE317" s="51"/>
      <c r="AF317" s="67">
        <v>0.0</v>
      </c>
      <c r="AG317" s="51"/>
      <c r="AH317" s="67">
        <v>0.0</v>
      </c>
      <c r="AI317" s="51"/>
      <c r="AJ317" s="54">
        <v>0.0</v>
      </c>
      <c r="AK317" s="53"/>
      <c r="AL317" s="60"/>
      <c r="AM317" s="53"/>
      <c r="AN317" s="60"/>
      <c r="AO317" s="53"/>
      <c r="AP317" s="60"/>
      <c r="AQ317" s="53"/>
      <c r="AR317" s="61"/>
      <c r="AS317" s="51"/>
      <c r="AT317" s="61"/>
      <c r="AU317" s="53"/>
      <c r="AV317" s="55">
        <f t="shared" si="1"/>
        <v>0</v>
      </c>
      <c r="AW317" s="46">
        <f t="shared" si="2"/>
        <v>0</v>
      </c>
      <c r="AX317" s="46">
        <f t="shared" si="3"/>
        <v>0</v>
      </c>
      <c r="AY317" s="46">
        <f t="shared" si="4"/>
        <v>0</v>
      </c>
      <c r="AZ317" s="56" t="str">
        <f t="shared" si="5"/>
        <v/>
      </c>
    </row>
    <row r="318" ht="15.75" customHeight="1">
      <c r="A318" s="19" t="s">
        <v>30</v>
      </c>
      <c r="B318" s="57">
        <f t="shared" si="6"/>
        <v>45607</v>
      </c>
      <c r="C318" s="21">
        <v>12.0</v>
      </c>
      <c r="D318" s="21" t="s">
        <v>47</v>
      </c>
      <c r="E318" s="23"/>
      <c r="F318" s="42">
        <v>0.0</v>
      </c>
      <c r="H318" s="43">
        <v>0.0</v>
      </c>
      <c r="J318" s="43">
        <v>0.0</v>
      </c>
      <c r="L318" s="43">
        <v>0.0</v>
      </c>
      <c r="N318" s="43">
        <v>0.0</v>
      </c>
      <c r="P318" s="43">
        <v>0.0</v>
      </c>
      <c r="Q318" s="26"/>
      <c r="R318" s="42">
        <v>75.0</v>
      </c>
      <c r="T318" s="43">
        <v>75.0</v>
      </c>
      <c r="V318" s="43">
        <v>0.0</v>
      </c>
      <c r="X318" s="43">
        <v>0.0</v>
      </c>
      <c r="Z318" s="43">
        <v>0.0</v>
      </c>
      <c r="AB318" s="43">
        <v>0.0</v>
      </c>
      <c r="AC318" s="26"/>
      <c r="AD318" s="43">
        <v>0.0</v>
      </c>
      <c r="AF318" s="43">
        <v>0.0</v>
      </c>
      <c r="AH318" s="43">
        <v>0.0</v>
      </c>
      <c r="AJ318" s="27">
        <v>0.0</v>
      </c>
      <c r="AK318" s="26"/>
      <c r="AL318" s="36"/>
      <c r="AM318" s="26"/>
      <c r="AN318" s="36"/>
      <c r="AO318" s="26"/>
      <c r="AP318" s="36"/>
      <c r="AQ318" s="26"/>
      <c r="AR318" s="37"/>
      <c r="AT318" s="37"/>
      <c r="AU318" s="26"/>
      <c r="AV318" s="29">
        <f t="shared" si="1"/>
        <v>1603.134</v>
      </c>
      <c r="AW318" s="21">
        <f t="shared" si="2"/>
        <v>150</v>
      </c>
      <c r="AX318" s="21">
        <f t="shared" si="3"/>
        <v>0</v>
      </c>
      <c r="AY318" s="21">
        <f t="shared" si="4"/>
        <v>150</v>
      </c>
      <c r="AZ318" s="58">
        <f t="shared" si="5"/>
        <v>10.68756</v>
      </c>
    </row>
    <row r="319" ht="15.75" customHeight="1">
      <c r="A319" s="31" t="s">
        <v>33</v>
      </c>
      <c r="B319" s="32">
        <f t="shared" si="6"/>
        <v>45608</v>
      </c>
      <c r="C319" s="33">
        <v>12.0</v>
      </c>
      <c r="D319" s="33" t="s">
        <v>47</v>
      </c>
      <c r="E319" s="34"/>
      <c r="F319" s="42">
        <v>0.0</v>
      </c>
      <c r="H319" s="43">
        <v>0.0</v>
      </c>
      <c r="J319" s="43">
        <v>0.0</v>
      </c>
      <c r="L319" s="43">
        <v>0.0</v>
      </c>
      <c r="N319" s="43">
        <v>0.0</v>
      </c>
      <c r="P319" s="43">
        <v>0.0</v>
      </c>
      <c r="Q319" s="26"/>
      <c r="R319" s="42">
        <v>75.0</v>
      </c>
      <c r="T319" s="43">
        <v>75.0</v>
      </c>
      <c r="V319" s="43">
        <v>0.0</v>
      </c>
      <c r="X319" s="43">
        <v>0.0</v>
      </c>
      <c r="Z319" s="43">
        <v>0.0</v>
      </c>
      <c r="AB319" s="43">
        <v>0.0</v>
      </c>
      <c r="AC319" s="26"/>
      <c r="AD319" s="43">
        <v>0.0</v>
      </c>
      <c r="AF319" s="43">
        <v>0.0</v>
      </c>
      <c r="AH319" s="43">
        <v>0.0</v>
      </c>
      <c r="AJ319" s="27">
        <v>0.0</v>
      </c>
      <c r="AK319" s="26"/>
      <c r="AL319" s="36"/>
      <c r="AM319" s="26"/>
      <c r="AN319" s="36"/>
      <c r="AO319" s="26"/>
      <c r="AP319" s="36"/>
      <c r="AQ319" s="26"/>
      <c r="AR319" s="37"/>
      <c r="AT319" s="37"/>
      <c r="AU319" s="26"/>
      <c r="AV319" s="35">
        <f t="shared" si="1"/>
        <v>1603.134</v>
      </c>
      <c r="AW319" s="33">
        <f t="shared" si="2"/>
        <v>150</v>
      </c>
      <c r="AX319" s="33">
        <f t="shared" si="3"/>
        <v>0</v>
      </c>
      <c r="AY319" s="33">
        <f t="shared" si="4"/>
        <v>150</v>
      </c>
      <c r="AZ319" s="30">
        <f t="shared" si="5"/>
        <v>10.68756</v>
      </c>
    </row>
    <row r="320" ht="15.75" customHeight="1">
      <c r="A320" s="31" t="s">
        <v>34</v>
      </c>
      <c r="B320" s="32">
        <f t="shared" si="6"/>
        <v>45609</v>
      </c>
      <c r="C320" s="33">
        <v>12.0</v>
      </c>
      <c r="D320" s="33" t="s">
        <v>47</v>
      </c>
      <c r="E320" s="34"/>
      <c r="F320" s="42">
        <v>0.0</v>
      </c>
      <c r="H320" s="43">
        <v>0.0</v>
      </c>
      <c r="J320" s="43">
        <v>0.0</v>
      </c>
      <c r="L320" s="43">
        <v>0.0</v>
      </c>
      <c r="N320" s="43">
        <v>0.0</v>
      </c>
      <c r="P320" s="43">
        <v>0.0</v>
      </c>
      <c r="Q320" s="26"/>
      <c r="R320" s="42">
        <v>75.0</v>
      </c>
      <c r="T320" s="43">
        <v>75.0</v>
      </c>
      <c r="V320" s="43">
        <v>0.0</v>
      </c>
      <c r="X320" s="43">
        <v>0.0</v>
      </c>
      <c r="Z320" s="43">
        <v>0.0</v>
      </c>
      <c r="AB320" s="43">
        <v>0.0</v>
      </c>
      <c r="AC320" s="26"/>
      <c r="AD320" s="43">
        <v>0.0</v>
      </c>
      <c r="AF320" s="43">
        <v>0.0</v>
      </c>
      <c r="AH320" s="43">
        <v>0.0</v>
      </c>
      <c r="AJ320" s="27">
        <v>0.0</v>
      </c>
      <c r="AK320" s="26"/>
      <c r="AL320" s="36"/>
      <c r="AM320" s="26"/>
      <c r="AN320" s="36"/>
      <c r="AO320" s="26"/>
      <c r="AP320" s="36"/>
      <c r="AQ320" s="26"/>
      <c r="AR320" s="37"/>
      <c r="AT320" s="37"/>
      <c r="AU320" s="26"/>
      <c r="AV320" s="35">
        <f t="shared" si="1"/>
        <v>1603.134</v>
      </c>
      <c r="AW320" s="33">
        <f t="shared" si="2"/>
        <v>150</v>
      </c>
      <c r="AX320" s="33">
        <f t="shared" si="3"/>
        <v>0</v>
      </c>
      <c r="AY320" s="33">
        <f t="shared" si="4"/>
        <v>150</v>
      </c>
      <c r="AZ320" s="30">
        <f t="shared" si="5"/>
        <v>10.68756</v>
      </c>
    </row>
    <row r="321" ht="15.75" customHeight="1">
      <c r="A321" s="31" t="s">
        <v>35</v>
      </c>
      <c r="B321" s="32">
        <f t="shared" si="6"/>
        <v>45610</v>
      </c>
      <c r="C321" s="33">
        <v>12.0</v>
      </c>
      <c r="D321" s="33" t="s">
        <v>47</v>
      </c>
      <c r="E321" s="34"/>
      <c r="F321" s="42">
        <v>0.0</v>
      </c>
      <c r="H321" s="43">
        <v>0.0</v>
      </c>
      <c r="J321" s="43">
        <v>0.0</v>
      </c>
      <c r="L321" s="43">
        <v>0.0</v>
      </c>
      <c r="N321" s="43">
        <v>0.0</v>
      </c>
      <c r="P321" s="43">
        <v>0.0</v>
      </c>
      <c r="Q321" s="26"/>
      <c r="R321" s="42">
        <v>75.0</v>
      </c>
      <c r="T321" s="43">
        <v>75.0</v>
      </c>
      <c r="V321" s="43">
        <v>0.0</v>
      </c>
      <c r="X321" s="43">
        <v>0.0</v>
      </c>
      <c r="Z321" s="43">
        <v>0.0</v>
      </c>
      <c r="AB321" s="43">
        <v>0.0</v>
      </c>
      <c r="AC321" s="26"/>
      <c r="AD321" s="43">
        <v>0.0</v>
      </c>
      <c r="AF321" s="43">
        <v>0.0</v>
      </c>
      <c r="AH321" s="43">
        <v>0.0</v>
      </c>
      <c r="AJ321" s="27">
        <v>0.0</v>
      </c>
      <c r="AK321" s="26"/>
      <c r="AL321" s="36"/>
      <c r="AM321" s="26"/>
      <c r="AN321" s="36"/>
      <c r="AO321" s="26"/>
      <c r="AP321" s="36"/>
      <c r="AQ321" s="26"/>
      <c r="AR321" s="37"/>
      <c r="AT321" s="37"/>
      <c r="AU321" s="26"/>
      <c r="AV321" s="35">
        <f t="shared" si="1"/>
        <v>1603.134</v>
      </c>
      <c r="AW321" s="33">
        <f t="shared" si="2"/>
        <v>150</v>
      </c>
      <c r="AX321" s="33">
        <f t="shared" si="3"/>
        <v>0</v>
      </c>
      <c r="AY321" s="33">
        <f t="shared" si="4"/>
        <v>150</v>
      </c>
      <c r="AZ321" s="30">
        <f t="shared" si="5"/>
        <v>10.68756</v>
      </c>
    </row>
    <row r="322" ht="15.75" customHeight="1">
      <c r="A322" s="31" t="s">
        <v>38</v>
      </c>
      <c r="B322" s="32">
        <f t="shared" si="6"/>
        <v>45611</v>
      </c>
      <c r="C322" s="33">
        <v>12.0</v>
      </c>
      <c r="D322" s="33" t="s">
        <v>47</v>
      </c>
      <c r="E322" s="34"/>
      <c r="F322" s="42">
        <v>0.0</v>
      </c>
      <c r="H322" s="43">
        <v>0.0</v>
      </c>
      <c r="J322" s="43">
        <v>0.0</v>
      </c>
      <c r="L322" s="43">
        <v>0.0</v>
      </c>
      <c r="N322" s="43">
        <v>0.0</v>
      </c>
      <c r="P322" s="43">
        <v>0.0</v>
      </c>
      <c r="Q322" s="26"/>
      <c r="R322" s="42">
        <v>75.0</v>
      </c>
      <c r="T322" s="43">
        <v>75.0</v>
      </c>
      <c r="V322" s="43">
        <v>0.0</v>
      </c>
      <c r="X322" s="43">
        <v>0.0</v>
      </c>
      <c r="Z322" s="43">
        <v>0.0</v>
      </c>
      <c r="AB322" s="43">
        <v>0.0</v>
      </c>
      <c r="AC322" s="26"/>
      <c r="AD322" s="43">
        <v>0.0</v>
      </c>
      <c r="AF322" s="43">
        <v>0.0</v>
      </c>
      <c r="AH322" s="43">
        <v>0.0</v>
      </c>
      <c r="AJ322" s="27">
        <v>0.0</v>
      </c>
      <c r="AK322" s="26"/>
      <c r="AL322" s="36"/>
      <c r="AM322" s="26"/>
      <c r="AN322" s="36"/>
      <c r="AO322" s="26"/>
      <c r="AP322" s="36"/>
      <c r="AQ322" s="26"/>
      <c r="AR322" s="37"/>
      <c r="AT322" s="37"/>
      <c r="AU322" s="26"/>
      <c r="AV322" s="35">
        <f t="shared" si="1"/>
        <v>1603.134</v>
      </c>
      <c r="AW322" s="33">
        <f t="shared" si="2"/>
        <v>150</v>
      </c>
      <c r="AX322" s="33">
        <f t="shared" si="3"/>
        <v>0</v>
      </c>
      <c r="AY322" s="33">
        <f t="shared" si="4"/>
        <v>150</v>
      </c>
      <c r="AZ322" s="30">
        <f t="shared" si="5"/>
        <v>10.68756</v>
      </c>
    </row>
    <row r="323" ht="15.75" customHeight="1">
      <c r="A323" s="31" t="s">
        <v>45</v>
      </c>
      <c r="B323" s="32">
        <f t="shared" si="6"/>
        <v>45612</v>
      </c>
      <c r="C323" s="33">
        <v>12.0</v>
      </c>
      <c r="D323" s="33" t="s">
        <v>47</v>
      </c>
      <c r="E323" s="34"/>
      <c r="F323" s="42">
        <v>0.0</v>
      </c>
      <c r="H323" s="43">
        <v>0.0</v>
      </c>
      <c r="J323" s="43">
        <v>0.0</v>
      </c>
      <c r="L323" s="43">
        <v>0.0</v>
      </c>
      <c r="N323" s="43">
        <v>0.0</v>
      </c>
      <c r="P323" s="43">
        <v>0.0</v>
      </c>
      <c r="Q323" s="26"/>
      <c r="R323" s="42">
        <v>75.0</v>
      </c>
      <c r="T323" s="43">
        <v>75.0</v>
      </c>
      <c r="V323" s="43">
        <v>0.0</v>
      </c>
      <c r="X323" s="43">
        <v>0.0</v>
      </c>
      <c r="Z323" s="43">
        <v>0.0</v>
      </c>
      <c r="AB323" s="43">
        <v>0.0</v>
      </c>
      <c r="AC323" s="26"/>
      <c r="AD323" s="43">
        <v>0.0</v>
      </c>
      <c r="AF323" s="43">
        <v>0.0</v>
      </c>
      <c r="AH323" s="43">
        <v>0.0</v>
      </c>
      <c r="AJ323" s="27">
        <v>0.0</v>
      </c>
      <c r="AK323" s="26"/>
      <c r="AL323" s="36"/>
      <c r="AM323" s="26"/>
      <c r="AN323" s="36"/>
      <c r="AO323" s="26"/>
      <c r="AP323" s="36"/>
      <c r="AQ323" s="26"/>
      <c r="AR323" s="37"/>
      <c r="AT323" s="37"/>
      <c r="AU323" s="26"/>
      <c r="AV323" s="35">
        <f t="shared" si="1"/>
        <v>1603.134</v>
      </c>
      <c r="AW323" s="33">
        <f t="shared" si="2"/>
        <v>150</v>
      </c>
      <c r="AX323" s="33">
        <f t="shared" si="3"/>
        <v>0</v>
      </c>
      <c r="AY323" s="33">
        <f t="shared" si="4"/>
        <v>150</v>
      </c>
      <c r="AZ323" s="30">
        <f t="shared" si="5"/>
        <v>10.68756</v>
      </c>
    </row>
    <row r="324" ht="15.75" customHeight="1">
      <c r="A324" s="44" t="s">
        <v>46</v>
      </c>
      <c r="B324" s="45">
        <f t="shared" si="6"/>
        <v>45613</v>
      </c>
      <c r="C324" s="46">
        <v>12.0</v>
      </c>
      <c r="D324" s="46" t="s">
        <v>47</v>
      </c>
      <c r="E324" s="47"/>
      <c r="F324" s="66">
        <v>0.0</v>
      </c>
      <c r="G324" s="51"/>
      <c r="H324" s="67">
        <v>0.0</v>
      </c>
      <c r="I324" s="51"/>
      <c r="J324" s="67">
        <v>0.0</v>
      </c>
      <c r="K324" s="51"/>
      <c r="L324" s="67">
        <v>0.0</v>
      </c>
      <c r="M324" s="51"/>
      <c r="N324" s="67">
        <v>0.0</v>
      </c>
      <c r="O324" s="51"/>
      <c r="P324" s="67">
        <v>0.0</v>
      </c>
      <c r="Q324" s="53"/>
      <c r="R324" s="66">
        <v>0.0</v>
      </c>
      <c r="S324" s="51"/>
      <c r="T324" s="67">
        <v>0.0</v>
      </c>
      <c r="U324" s="51"/>
      <c r="V324" s="67">
        <v>0.0</v>
      </c>
      <c r="W324" s="51"/>
      <c r="X324" s="67">
        <v>0.0</v>
      </c>
      <c r="Y324" s="51"/>
      <c r="Z324" s="67">
        <v>0.0</v>
      </c>
      <c r="AA324" s="51"/>
      <c r="AB324" s="67">
        <v>0.0</v>
      </c>
      <c r="AC324" s="53"/>
      <c r="AD324" s="67">
        <v>0.0</v>
      </c>
      <c r="AE324" s="51"/>
      <c r="AF324" s="67">
        <v>0.0</v>
      </c>
      <c r="AG324" s="51"/>
      <c r="AH324" s="67">
        <v>0.0</v>
      </c>
      <c r="AI324" s="51"/>
      <c r="AJ324" s="54">
        <v>0.0</v>
      </c>
      <c r="AK324" s="53"/>
      <c r="AL324" s="60"/>
      <c r="AM324" s="53"/>
      <c r="AN324" s="60"/>
      <c r="AO324" s="53"/>
      <c r="AP324" s="60"/>
      <c r="AQ324" s="53"/>
      <c r="AR324" s="61"/>
      <c r="AS324" s="51"/>
      <c r="AT324" s="61"/>
      <c r="AU324" s="53"/>
      <c r="AV324" s="55">
        <f t="shared" si="1"/>
        <v>0</v>
      </c>
      <c r="AW324" s="46">
        <f t="shared" si="2"/>
        <v>0</v>
      </c>
      <c r="AX324" s="46">
        <f t="shared" si="3"/>
        <v>0</v>
      </c>
      <c r="AY324" s="46">
        <f t="shared" si="4"/>
        <v>0</v>
      </c>
      <c r="AZ324" s="56" t="str">
        <f t="shared" si="5"/>
        <v/>
      </c>
    </row>
    <row r="325" ht="15.75" customHeight="1">
      <c r="A325" s="19" t="s">
        <v>30</v>
      </c>
      <c r="B325" s="57">
        <f t="shared" si="6"/>
        <v>45614</v>
      </c>
      <c r="C325" s="21">
        <v>12.0</v>
      </c>
      <c r="D325" s="21" t="s">
        <v>48</v>
      </c>
      <c r="E325" s="23"/>
      <c r="F325" s="42">
        <v>0.0</v>
      </c>
      <c r="H325" s="43">
        <v>0.0</v>
      </c>
      <c r="J325" s="43">
        <v>0.0</v>
      </c>
      <c r="L325" s="43">
        <v>0.0</v>
      </c>
      <c r="N325" s="43">
        <v>0.0</v>
      </c>
      <c r="P325" s="43">
        <v>0.0</v>
      </c>
      <c r="Q325" s="26"/>
      <c r="R325" s="42">
        <v>75.0</v>
      </c>
      <c r="T325" s="43">
        <v>75.0</v>
      </c>
      <c r="V325" s="43">
        <v>0.0</v>
      </c>
      <c r="X325" s="43">
        <v>0.0</v>
      </c>
      <c r="Z325" s="43">
        <v>0.0</v>
      </c>
      <c r="AB325" s="43">
        <v>0.0</v>
      </c>
      <c r="AC325" s="26"/>
      <c r="AD325" s="43">
        <v>0.0</v>
      </c>
      <c r="AF325" s="43">
        <v>0.0</v>
      </c>
      <c r="AH325" s="43">
        <v>0.0</v>
      </c>
      <c r="AJ325" s="27">
        <v>0.0</v>
      </c>
      <c r="AK325" s="26"/>
      <c r="AL325" s="36"/>
      <c r="AM325" s="26"/>
      <c r="AN325" s="36"/>
      <c r="AO325" s="26"/>
      <c r="AP325" s="36"/>
      <c r="AQ325" s="26"/>
      <c r="AR325" s="37"/>
      <c r="AT325" s="37"/>
      <c r="AU325" s="26"/>
      <c r="AV325" s="29">
        <f t="shared" si="1"/>
        <v>1603.134</v>
      </c>
      <c r="AW325" s="21">
        <f t="shared" si="2"/>
        <v>150</v>
      </c>
      <c r="AX325" s="21">
        <f t="shared" si="3"/>
        <v>0</v>
      </c>
      <c r="AY325" s="21">
        <f t="shared" si="4"/>
        <v>150</v>
      </c>
      <c r="AZ325" s="58">
        <f t="shared" si="5"/>
        <v>10.68756</v>
      </c>
    </row>
    <row r="326" ht="15.75" customHeight="1">
      <c r="A326" s="31" t="s">
        <v>33</v>
      </c>
      <c r="B326" s="32">
        <f t="shared" si="6"/>
        <v>45615</v>
      </c>
      <c r="C326" s="33">
        <v>12.0</v>
      </c>
      <c r="D326" s="33" t="s">
        <v>48</v>
      </c>
      <c r="E326" s="34"/>
      <c r="F326" s="42">
        <v>0.0</v>
      </c>
      <c r="H326" s="43">
        <v>0.0</v>
      </c>
      <c r="J326" s="43">
        <v>0.0</v>
      </c>
      <c r="L326" s="43">
        <v>0.0</v>
      </c>
      <c r="N326" s="43">
        <v>0.0</v>
      </c>
      <c r="P326" s="43">
        <v>0.0</v>
      </c>
      <c r="Q326" s="26"/>
      <c r="R326" s="42">
        <v>75.0</v>
      </c>
      <c r="T326" s="43">
        <v>75.0</v>
      </c>
      <c r="V326" s="43">
        <v>0.0</v>
      </c>
      <c r="X326" s="43">
        <v>0.0</v>
      </c>
      <c r="Z326" s="43">
        <v>0.0</v>
      </c>
      <c r="AB326" s="43">
        <v>0.0</v>
      </c>
      <c r="AC326" s="26"/>
      <c r="AD326" s="43">
        <v>0.0</v>
      </c>
      <c r="AF326" s="43">
        <v>0.0</v>
      </c>
      <c r="AH326" s="43">
        <v>0.0</v>
      </c>
      <c r="AJ326" s="27">
        <v>0.0</v>
      </c>
      <c r="AK326" s="26"/>
      <c r="AL326" s="36"/>
      <c r="AM326" s="26"/>
      <c r="AN326" s="36"/>
      <c r="AO326" s="26"/>
      <c r="AP326" s="36"/>
      <c r="AQ326" s="26"/>
      <c r="AR326" s="37"/>
      <c r="AT326" s="37"/>
      <c r="AU326" s="26"/>
      <c r="AV326" s="35">
        <f t="shared" si="1"/>
        <v>1603.134</v>
      </c>
      <c r="AW326" s="33">
        <f t="shared" si="2"/>
        <v>150</v>
      </c>
      <c r="AX326" s="33">
        <f t="shared" si="3"/>
        <v>0</v>
      </c>
      <c r="AY326" s="33">
        <f t="shared" si="4"/>
        <v>150</v>
      </c>
      <c r="AZ326" s="30">
        <f t="shared" si="5"/>
        <v>10.68756</v>
      </c>
    </row>
    <row r="327" ht="15.75" customHeight="1">
      <c r="A327" s="31" t="s">
        <v>34</v>
      </c>
      <c r="B327" s="32">
        <f t="shared" si="6"/>
        <v>45616</v>
      </c>
      <c r="C327" s="33">
        <v>12.0</v>
      </c>
      <c r="D327" s="33" t="s">
        <v>48</v>
      </c>
      <c r="E327" s="34"/>
      <c r="F327" s="42">
        <v>0.0</v>
      </c>
      <c r="H327" s="43">
        <v>0.0</v>
      </c>
      <c r="J327" s="43">
        <v>0.0</v>
      </c>
      <c r="L327" s="43">
        <v>0.0</v>
      </c>
      <c r="N327" s="43">
        <v>0.0</v>
      </c>
      <c r="P327" s="43">
        <v>0.0</v>
      </c>
      <c r="Q327" s="26"/>
      <c r="R327" s="42">
        <v>75.0</v>
      </c>
      <c r="T327" s="43">
        <v>75.0</v>
      </c>
      <c r="V327" s="43">
        <v>0.0</v>
      </c>
      <c r="X327" s="43">
        <v>0.0</v>
      </c>
      <c r="Z327" s="43">
        <v>0.0</v>
      </c>
      <c r="AB327" s="43">
        <v>0.0</v>
      </c>
      <c r="AC327" s="26"/>
      <c r="AD327" s="43">
        <v>0.0</v>
      </c>
      <c r="AF327" s="43">
        <v>0.0</v>
      </c>
      <c r="AH327" s="43">
        <v>0.0</v>
      </c>
      <c r="AJ327" s="27">
        <v>0.0</v>
      </c>
      <c r="AK327" s="26"/>
      <c r="AL327" s="36"/>
      <c r="AM327" s="26"/>
      <c r="AN327" s="36"/>
      <c r="AO327" s="26"/>
      <c r="AP327" s="36"/>
      <c r="AQ327" s="26"/>
      <c r="AR327" s="37"/>
      <c r="AT327" s="37"/>
      <c r="AU327" s="26"/>
      <c r="AV327" s="35">
        <f t="shared" si="1"/>
        <v>1603.134</v>
      </c>
      <c r="AW327" s="33">
        <f t="shared" si="2"/>
        <v>150</v>
      </c>
      <c r="AX327" s="33">
        <f t="shared" si="3"/>
        <v>0</v>
      </c>
      <c r="AY327" s="33">
        <f t="shared" si="4"/>
        <v>150</v>
      </c>
      <c r="AZ327" s="30">
        <f t="shared" si="5"/>
        <v>10.68756</v>
      </c>
    </row>
    <row r="328" ht="15.75" customHeight="1">
      <c r="A328" s="31" t="s">
        <v>35</v>
      </c>
      <c r="B328" s="32">
        <f t="shared" si="6"/>
        <v>45617</v>
      </c>
      <c r="C328" s="33">
        <v>12.0</v>
      </c>
      <c r="D328" s="33" t="s">
        <v>48</v>
      </c>
      <c r="E328" s="34"/>
      <c r="F328" s="42">
        <v>0.0</v>
      </c>
      <c r="H328" s="43">
        <v>0.0</v>
      </c>
      <c r="J328" s="43">
        <v>0.0</v>
      </c>
      <c r="L328" s="43">
        <v>0.0</v>
      </c>
      <c r="N328" s="43">
        <v>0.0</v>
      </c>
      <c r="P328" s="43">
        <v>0.0</v>
      </c>
      <c r="Q328" s="26"/>
      <c r="R328" s="42">
        <v>75.0</v>
      </c>
      <c r="T328" s="43">
        <v>75.0</v>
      </c>
      <c r="V328" s="43">
        <v>0.0</v>
      </c>
      <c r="X328" s="43">
        <v>0.0</v>
      </c>
      <c r="Z328" s="43">
        <v>0.0</v>
      </c>
      <c r="AB328" s="43">
        <v>0.0</v>
      </c>
      <c r="AC328" s="26"/>
      <c r="AD328" s="43">
        <v>0.0</v>
      </c>
      <c r="AF328" s="43">
        <v>0.0</v>
      </c>
      <c r="AH328" s="43">
        <v>0.0</v>
      </c>
      <c r="AJ328" s="27">
        <v>0.0</v>
      </c>
      <c r="AK328" s="26"/>
      <c r="AL328" s="36"/>
      <c r="AM328" s="26"/>
      <c r="AN328" s="36"/>
      <c r="AO328" s="26"/>
      <c r="AP328" s="36"/>
      <c r="AQ328" s="26"/>
      <c r="AR328" s="37"/>
      <c r="AT328" s="37"/>
      <c r="AU328" s="26"/>
      <c r="AV328" s="35">
        <f t="shared" si="1"/>
        <v>1603.134</v>
      </c>
      <c r="AW328" s="33">
        <f t="shared" si="2"/>
        <v>150</v>
      </c>
      <c r="AX328" s="33">
        <f t="shared" si="3"/>
        <v>0</v>
      </c>
      <c r="AY328" s="33">
        <f t="shared" si="4"/>
        <v>150</v>
      </c>
      <c r="AZ328" s="30">
        <f t="shared" si="5"/>
        <v>10.68756</v>
      </c>
    </row>
    <row r="329" ht="15.75" customHeight="1">
      <c r="A329" s="31" t="s">
        <v>38</v>
      </c>
      <c r="B329" s="32">
        <f t="shared" si="6"/>
        <v>45618</v>
      </c>
      <c r="C329" s="33">
        <v>12.0</v>
      </c>
      <c r="D329" s="33" t="s">
        <v>48</v>
      </c>
      <c r="E329" s="34"/>
      <c r="F329" s="42">
        <v>0.0</v>
      </c>
      <c r="H329" s="43">
        <v>0.0</v>
      </c>
      <c r="J329" s="43">
        <v>0.0</v>
      </c>
      <c r="L329" s="43">
        <v>0.0</v>
      </c>
      <c r="N329" s="43">
        <v>0.0</v>
      </c>
      <c r="P329" s="43">
        <v>0.0</v>
      </c>
      <c r="Q329" s="26"/>
      <c r="R329" s="42">
        <v>75.0</v>
      </c>
      <c r="T329" s="43">
        <v>75.0</v>
      </c>
      <c r="V329" s="43">
        <v>0.0</v>
      </c>
      <c r="X329" s="43">
        <v>0.0</v>
      </c>
      <c r="Z329" s="43">
        <v>0.0</v>
      </c>
      <c r="AB329" s="43">
        <v>0.0</v>
      </c>
      <c r="AC329" s="26"/>
      <c r="AD329" s="43">
        <v>0.0</v>
      </c>
      <c r="AF329" s="43">
        <v>0.0</v>
      </c>
      <c r="AH329" s="43">
        <v>0.0</v>
      </c>
      <c r="AJ329" s="27">
        <v>0.0</v>
      </c>
      <c r="AK329" s="26"/>
      <c r="AL329" s="36"/>
      <c r="AM329" s="26"/>
      <c r="AN329" s="36"/>
      <c r="AO329" s="26"/>
      <c r="AP329" s="36"/>
      <c r="AQ329" s="26"/>
      <c r="AR329" s="37"/>
      <c r="AT329" s="37"/>
      <c r="AU329" s="26"/>
      <c r="AV329" s="35">
        <f t="shared" si="1"/>
        <v>1603.134</v>
      </c>
      <c r="AW329" s="33">
        <f t="shared" si="2"/>
        <v>150</v>
      </c>
      <c r="AX329" s="33">
        <f t="shared" si="3"/>
        <v>0</v>
      </c>
      <c r="AY329" s="33">
        <f t="shared" si="4"/>
        <v>150</v>
      </c>
      <c r="AZ329" s="30">
        <f t="shared" si="5"/>
        <v>10.68756</v>
      </c>
    </row>
    <row r="330" ht="15.75" customHeight="1">
      <c r="A330" s="31" t="s">
        <v>45</v>
      </c>
      <c r="B330" s="32">
        <f t="shared" si="6"/>
        <v>45619</v>
      </c>
      <c r="C330" s="33">
        <v>12.0</v>
      </c>
      <c r="D330" s="33" t="s">
        <v>48</v>
      </c>
      <c r="E330" s="34"/>
      <c r="F330" s="42">
        <v>0.0</v>
      </c>
      <c r="H330" s="43">
        <v>0.0</v>
      </c>
      <c r="J330" s="43">
        <v>0.0</v>
      </c>
      <c r="L330" s="43">
        <v>0.0</v>
      </c>
      <c r="N330" s="43">
        <v>0.0</v>
      </c>
      <c r="P330" s="43">
        <v>0.0</v>
      </c>
      <c r="Q330" s="26"/>
      <c r="R330" s="42">
        <v>75.0</v>
      </c>
      <c r="T330" s="43">
        <v>75.0</v>
      </c>
      <c r="V330" s="43">
        <v>0.0</v>
      </c>
      <c r="X330" s="43">
        <v>0.0</v>
      </c>
      <c r="Z330" s="43">
        <v>0.0</v>
      </c>
      <c r="AB330" s="43">
        <v>0.0</v>
      </c>
      <c r="AC330" s="26"/>
      <c r="AD330" s="43">
        <v>0.0</v>
      </c>
      <c r="AF330" s="43">
        <v>0.0</v>
      </c>
      <c r="AH330" s="43">
        <v>0.0</v>
      </c>
      <c r="AJ330" s="27">
        <v>0.0</v>
      </c>
      <c r="AK330" s="26"/>
      <c r="AL330" s="36"/>
      <c r="AM330" s="26"/>
      <c r="AN330" s="36"/>
      <c r="AO330" s="26"/>
      <c r="AP330" s="36"/>
      <c r="AQ330" s="26"/>
      <c r="AR330" s="37"/>
      <c r="AT330" s="37"/>
      <c r="AU330" s="26"/>
      <c r="AV330" s="35">
        <f t="shared" si="1"/>
        <v>1603.134</v>
      </c>
      <c r="AW330" s="33">
        <f t="shared" si="2"/>
        <v>150</v>
      </c>
      <c r="AX330" s="33">
        <f t="shared" si="3"/>
        <v>0</v>
      </c>
      <c r="AY330" s="33">
        <f t="shared" si="4"/>
        <v>150</v>
      </c>
      <c r="AZ330" s="30">
        <f t="shared" si="5"/>
        <v>10.68756</v>
      </c>
    </row>
    <row r="331" ht="15.75" customHeight="1">
      <c r="A331" s="44" t="s">
        <v>46</v>
      </c>
      <c r="B331" s="45">
        <f t="shared" si="6"/>
        <v>45620</v>
      </c>
      <c r="C331" s="46">
        <v>12.0</v>
      </c>
      <c r="D331" s="46" t="s">
        <v>48</v>
      </c>
      <c r="E331" s="47"/>
      <c r="F331" s="66">
        <v>0.0</v>
      </c>
      <c r="G331" s="51"/>
      <c r="H331" s="67">
        <v>0.0</v>
      </c>
      <c r="I331" s="51"/>
      <c r="J331" s="67">
        <v>0.0</v>
      </c>
      <c r="K331" s="51"/>
      <c r="L331" s="67">
        <v>0.0</v>
      </c>
      <c r="M331" s="51"/>
      <c r="N331" s="67">
        <v>0.0</v>
      </c>
      <c r="O331" s="51"/>
      <c r="P331" s="67">
        <v>0.0</v>
      </c>
      <c r="Q331" s="53"/>
      <c r="R331" s="66">
        <v>0.0</v>
      </c>
      <c r="S331" s="51"/>
      <c r="T331" s="67">
        <v>0.0</v>
      </c>
      <c r="U331" s="51"/>
      <c r="V331" s="67">
        <v>0.0</v>
      </c>
      <c r="W331" s="51"/>
      <c r="X331" s="67">
        <v>0.0</v>
      </c>
      <c r="Y331" s="51"/>
      <c r="Z331" s="67">
        <v>0.0</v>
      </c>
      <c r="AA331" s="51"/>
      <c r="AB331" s="67">
        <v>0.0</v>
      </c>
      <c r="AC331" s="53"/>
      <c r="AD331" s="67">
        <v>0.0</v>
      </c>
      <c r="AE331" s="51"/>
      <c r="AF331" s="67">
        <v>0.0</v>
      </c>
      <c r="AG331" s="51"/>
      <c r="AH331" s="67">
        <v>0.0</v>
      </c>
      <c r="AI331" s="51"/>
      <c r="AJ331" s="54">
        <v>0.0</v>
      </c>
      <c r="AK331" s="53"/>
      <c r="AL331" s="60"/>
      <c r="AM331" s="53"/>
      <c r="AN331" s="60"/>
      <c r="AO331" s="53"/>
      <c r="AP331" s="60"/>
      <c r="AQ331" s="53"/>
      <c r="AR331" s="61"/>
      <c r="AS331" s="51"/>
      <c r="AT331" s="61"/>
      <c r="AU331" s="53"/>
      <c r="AV331" s="55">
        <f t="shared" si="1"/>
        <v>0</v>
      </c>
      <c r="AW331" s="46">
        <f t="shared" si="2"/>
        <v>0</v>
      </c>
      <c r="AX331" s="46">
        <f t="shared" si="3"/>
        <v>0</v>
      </c>
      <c r="AY331" s="46">
        <f t="shared" si="4"/>
        <v>0</v>
      </c>
      <c r="AZ331" s="56" t="str">
        <f t="shared" si="5"/>
        <v/>
      </c>
    </row>
    <row r="332" ht="15.75" customHeight="1">
      <c r="A332" s="19" t="s">
        <v>30</v>
      </c>
      <c r="B332" s="57">
        <f t="shared" si="6"/>
        <v>45621</v>
      </c>
      <c r="C332" s="21">
        <v>12.0</v>
      </c>
      <c r="D332" s="21" t="s">
        <v>49</v>
      </c>
      <c r="E332" s="72" t="s">
        <v>65</v>
      </c>
      <c r="F332" s="42">
        <v>0.0</v>
      </c>
      <c r="H332" s="43">
        <v>0.0</v>
      </c>
      <c r="J332" s="43">
        <v>0.0</v>
      </c>
      <c r="L332" s="43">
        <v>0.0</v>
      </c>
      <c r="N332" s="43">
        <v>0.0</v>
      </c>
      <c r="P332" s="43">
        <v>0.0</v>
      </c>
      <c r="Q332" s="26"/>
      <c r="R332" s="42">
        <v>0.0</v>
      </c>
      <c r="T332" s="43">
        <v>0.0</v>
      </c>
      <c r="V332" s="43">
        <v>0.0</v>
      </c>
      <c r="X332" s="43">
        <v>0.0</v>
      </c>
      <c r="Z332" s="43">
        <v>0.0</v>
      </c>
      <c r="AB332" s="43">
        <v>0.0</v>
      </c>
      <c r="AC332" s="26"/>
      <c r="AD332" s="43">
        <v>0.0</v>
      </c>
      <c r="AF332" s="43">
        <v>0.0</v>
      </c>
      <c r="AH332" s="43">
        <v>0.0</v>
      </c>
      <c r="AJ332" s="27">
        <v>0.0</v>
      </c>
      <c r="AK332" s="26"/>
      <c r="AL332" s="36"/>
      <c r="AM332" s="26"/>
      <c r="AN332" s="36"/>
      <c r="AO332" s="26"/>
      <c r="AP332" s="36"/>
      <c r="AQ332" s="26"/>
      <c r="AR332" s="37"/>
      <c r="AT332" s="37"/>
      <c r="AU332" s="26"/>
      <c r="AV332" s="29">
        <f t="shared" si="1"/>
        <v>0</v>
      </c>
      <c r="AW332" s="21">
        <f t="shared" si="2"/>
        <v>0</v>
      </c>
      <c r="AX332" s="21">
        <f t="shared" si="3"/>
        <v>0</v>
      </c>
      <c r="AY332" s="21">
        <f t="shared" si="4"/>
        <v>0</v>
      </c>
      <c r="AZ332" s="58" t="str">
        <f t="shared" si="5"/>
        <v/>
      </c>
    </row>
    <row r="333" ht="15.75" customHeight="1">
      <c r="A333" s="31" t="s">
        <v>33</v>
      </c>
      <c r="B333" s="32">
        <f t="shared" si="6"/>
        <v>45622</v>
      </c>
      <c r="C333" s="33">
        <v>12.0</v>
      </c>
      <c r="D333" s="33" t="s">
        <v>49</v>
      </c>
      <c r="E333" s="74" t="s">
        <v>66</v>
      </c>
      <c r="F333" s="42">
        <v>0.0</v>
      </c>
      <c r="H333" s="43">
        <v>0.0</v>
      </c>
      <c r="J333" s="43">
        <v>0.0</v>
      </c>
      <c r="L333" s="43">
        <v>0.0</v>
      </c>
      <c r="N333" s="43">
        <v>0.0</v>
      </c>
      <c r="P333" s="43">
        <v>0.0</v>
      </c>
      <c r="Q333" s="26"/>
      <c r="R333" s="42">
        <v>0.0</v>
      </c>
      <c r="T333" s="43">
        <v>0.0</v>
      </c>
      <c r="V333" s="43">
        <v>0.0</v>
      </c>
      <c r="X333" s="43">
        <v>0.0</v>
      </c>
      <c r="Z333" s="43">
        <v>0.0</v>
      </c>
      <c r="AB333" s="43">
        <v>0.0</v>
      </c>
      <c r="AC333" s="26"/>
      <c r="AD333" s="43">
        <v>0.0</v>
      </c>
      <c r="AF333" s="43">
        <v>0.0</v>
      </c>
      <c r="AH333" s="43">
        <v>0.0</v>
      </c>
      <c r="AJ333" s="27">
        <v>0.0</v>
      </c>
      <c r="AK333" s="26"/>
      <c r="AL333" s="36"/>
      <c r="AM333" s="26"/>
      <c r="AN333" s="36"/>
      <c r="AO333" s="26"/>
      <c r="AP333" s="36"/>
      <c r="AQ333" s="26"/>
      <c r="AR333" s="37"/>
      <c r="AT333" s="37"/>
      <c r="AU333" s="26"/>
      <c r="AV333" s="35">
        <f t="shared" si="1"/>
        <v>0</v>
      </c>
      <c r="AW333" s="33">
        <f t="shared" si="2"/>
        <v>0</v>
      </c>
      <c r="AX333" s="33">
        <f t="shared" si="3"/>
        <v>0</v>
      </c>
      <c r="AY333" s="33">
        <f t="shared" si="4"/>
        <v>0</v>
      </c>
      <c r="AZ333" s="30" t="str">
        <f t="shared" si="5"/>
        <v/>
      </c>
    </row>
    <row r="334" ht="15.75" customHeight="1">
      <c r="A334" s="31" t="s">
        <v>34</v>
      </c>
      <c r="B334" s="32">
        <f t="shared" si="6"/>
        <v>45623</v>
      </c>
      <c r="C334" s="33">
        <v>12.0</v>
      </c>
      <c r="D334" s="33" t="s">
        <v>49</v>
      </c>
      <c r="E334" s="74" t="s">
        <v>67</v>
      </c>
      <c r="F334" s="42">
        <v>0.0</v>
      </c>
      <c r="H334" s="43">
        <v>0.0</v>
      </c>
      <c r="J334" s="43">
        <v>0.0</v>
      </c>
      <c r="L334" s="43">
        <v>0.0</v>
      </c>
      <c r="N334" s="43">
        <v>0.0</v>
      </c>
      <c r="P334" s="43">
        <v>0.0</v>
      </c>
      <c r="Q334" s="26"/>
      <c r="R334" s="42">
        <v>0.0</v>
      </c>
      <c r="T334" s="43">
        <v>0.0</v>
      </c>
      <c r="V334" s="43">
        <v>0.0</v>
      </c>
      <c r="X334" s="43">
        <v>0.0</v>
      </c>
      <c r="Z334" s="43">
        <v>0.0</v>
      </c>
      <c r="AB334" s="43">
        <v>0.0</v>
      </c>
      <c r="AC334" s="26"/>
      <c r="AD334" s="43">
        <v>0.0</v>
      </c>
      <c r="AF334" s="43">
        <v>0.0</v>
      </c>
      <c r="AH334" s="43">
        <v>0.0</v>
      </c>
      <c r="AJ334" s="27">
        <v>0.0</v>
      </c>
      <c r="AK334" s="26"/>
      <c r="AL334" s="36"/>
      <c r="AM334" s="26"/>
      <c r="AN334" s="36"/>
      <c r="AO334" s="26"/>
      <c r="AP334" s="36"/>
      <c r="AQ334" s="26"/>
      <c r="AR334" s="37"/>
      <c r="AT334" s="37"/>
      <c r="AU334" s="26"/>
      <c r="AV334" s="35">
        <f t="shared" si="1"/>
        <v>0</v>
      </c>
      <c r="AW334" s="33">
        <f t="shared" si="2"/>
        <v>0</v>
      </c>
      <c r="AX334" s="33">
        <f t="shared" si="3"/>
        <v>0</v>
      </c>
      <c r="AY334" s="33">
        <f t="shared" si="4"/>
        <v>0</v>
      </c>
      <c r="AZ334" s="30" t="str">
        <f t="shared" si="5"/>
        <v/>
      </c>
    </row>
    <row r="335" ht="15.75" customHeight="1">
      <c r="A335" s="31" t="s">
        <v>35</v>
      </c>
      <c r="B335" s="32">
        <f t="shared" si="6"/>
        <v>45624</v>
      </c>
      <c r="C335" s="33">
        <v>12.0</v>
      </c>
      <c r="D335" s="33" t="s">
        <v>49</v>
      </c>
      <c r="E335" s="34"/>
      <c r="F335" s="42">
        <v>0.0</v>
      </c>
      <c r="H335" s="43">
        <v>0.0</v>
      </c>
      <c r="J335" s="43">
        <v>0.0</v>
      </c>
      <c r="L335" s="43">
        <v>0.0</v>
      </c>
      <c r="N335" s="43">
        <v>0.0</v>
      </c>
      <c r="P335" s="43">
        <v>0.0</v>
      </c>
      <c r="Q335" s="26"/>
      <c r="R335" s="42">
        <v>0.0</v>
      </c>
      <c r="T335" s="43">
        <v>0.0</v>
      </c>
      <c r="V335" s="43">
        <v>0.0</v>
      </c>
      <c r="X335" s="43">
        <v>0.0</v>
      </c>
      <c r="Z335" s="43">
        <v>0.0</v>
      </c>
      <c r="AB335" s="43">
        <v>0.0</v>
      </c>
      <c r="AC335" s="26"/>
      <c r="AD335" s="43">
        <v>0.0</v>
      </c>
      <c r="AF335" s="43">
        <v>0.0</v>
      </c>
      <c r="AH335" s="43">
        <v>0.0</v>
      </c>
      <c r="AJ335" s="27">
        <v>0.0</v>
      </c>
      <c r="AK335" s="26"/>
      <c r="AL335" s="36"/>
      <c r="AM335" s="26"/>
      <c r="AN335" s="36"/>
      <c r="AO335" s="26"/>
      <c r="AP335" s="36"/>
      <c r="AQ335" s="26"/>
      <c r="AR335" s="37"/>
      <c r="AT335" s="37"/>
      <c r="AU335" s="26"/>
      <c r="AV335" s="35">
        <f t="shared" si="1"/>
        <v>0</v>
      </c>
      <c r="AW335" s="33">
        <f t="shared" si="2"/>
        <v>0</v>
      </c>
      <c r="AX335" s="33">
        <f t="shared" si="3"/>
        <v>0</v>
      </c>
      <c r="AY335" s="33">
        <f t="shared" si="4"/>
        <v>0</v>
      </c>
      <c r="AZ335" s="30" t="str">
        <f t="shared" si="5"/>
        <v/>
      </c>
    </row>
    <row r="336" ht="15.75" customHeight="1">
      <c r="A336" s="31" t="s">
        <v>38</v>
      </c>
      <c r="B336" s="32">
        <f t="shared" si="6"/>
        <v>45625</v>
      </c>
      <c r="C336" s="33">
        <v>12.0</v>
      </c>
      <c r="D336" s="33" t="s">
        <v>49</v>
      </c>
      <c r="E336" s="34"/>
      <c r="F336" s="42">
        <v>0.0</v>
      </c>
      <c r="H336" s="43">
        <v>0.0</v>
      </c>
      <c r="J336" s="43">
        <v>0.0</v>
      </c>
      <c r="L336" s="43">
        <v>0.0</v>
      </c>
      <c r="N336" s="43">
        <v>0.0</v>
      </c>
      <c r="P336" s="43">
        <v>0.0</v>
      </c>
      <c r="Q336" s="26"/>
      <c r="R336" s="42">
        <v>0.0</v>
      </c>
      <c r="T336" s="43">
        <v>0.0</v>
      </c>
      <c r="V336" s="43">
        <v>0.0</v>
      </c>
      <c r="X336" s="43">
        <v>0.0</v>
      </c>
      <c r="Z336" s="43">
        <v>0.0</v>
      </c>
      <c r="AB336" s="43">
        <v>0.0</v>
      </c>
      <c r="AC336" s="26"/>
      <c r="AD336" s="43">
        <v>0.0</v>
      </c>
      <c r="AF336" s="43">
        <v>0.0</v>
      </c>
      <c r="AH336" s="43">
        <v>0.0</v>
      </c>
      <c r="AJ336" s="27">
        <v>0.0</v>
      </c>
      <c r="AK336" s="26"/>
      <c r="AL336" s="36"/>
      <c r="AM336" s="26"/>
      <c r="AN336" s="36"/>
      <c r="AO336" s="26"/>
      <c r="AP336" s="36"/>
      <c r="AQ336" s="26"/>
      <c r="AR336" s="37"/>
      <c r="AT336" s="37"/>
      <c r="AU336" s="26"/>
      <c r="AV336" s="35">
        <f t="shared" si="1"/>
        <v>0</v>
      </c>
      <c r="AW336" s="33">
        <f t="shared" si="2"/>
        <v>0</v>
      </c>
      <c r="AX336" s="33">
        <f t="shared" si="3"/>
        <v>0</v>
      </c>
      <c r="AY336" s="33">
        <f t="shared" si="4"/>
        <v>0</v>
      </c>
      <c r="AZ336" s="30" t="str">
        <f t="shared" si="5"/>
        <v/>
      </c>
    </row>
    <row r="337" ht="15.75" customHeight="1">
      <c r="A337" s="31" t="s">
        <v>45</v>
      </c>
      <c r="B337" s="32">
        <f t="shared" si="6"/>
        <v>45626</v>
      </c>
      <c r="C337" s="33">
        <v>12.0</v>
      </c>
      <c r="D337" s="33" t="s">
        <v>49</v>
      </c>
      <c r="E337" s="34"/>
      <c r="F337" s="42">
        <v>0.0</v>
      </c>
      <c r="H337" s="43">
        <v>0.0</v>
      </c>
      <c r="J337" s="43">
        <v>0.0</v>
      </c>
      <c r="L337" s="43">
        <v>0.0</v>
      </c>
      <c r="N337" s="43">
        <v>0.0</v>
      </c>
      <c r="P337" s="43">
        <v>0.0</v>
      </c>
      <c r="Q337" s="26"/>
      <c r="R337" s="42">
        <v>0.0</v>
      </c>
      <c r="T337" s="43">
        <v>0.0</v>
      </c>
      <c r="V337" s="43">
        <v>0.0</v>
      </c>
      <c r="X337" s="43">
        <v>0.0</v>
      </c>
      <c r="Z337" s="43">
        <v>0.0</v>
      </c>
      <c r="AB337" s="43">
        <v>0.0</v>
      </c>
      <c r="AC337" s="26"/>
      <c r="AD337" s="43">
        <v>0.0</v>
      </c>
      <c r="AF337" s="43">
        <v>0.0</v>
      </c>
      <c r="AH337" s="43">
        <v>0.0</v>
      </c>
      <c r="AJ337" s="27">
        <v>0.0</v>
      </c>
      <c r="AK337" s="26"/>
      <c r="AL337" s="36"/>
      <c r="AM337" s="26"/>
      <c r="AN337" s="36"/>
      <c r="AO337" s="26"/>
      <c r="AP337" s="36"/>
      <c r="AQ337" s="26"/>
      <c r="AR337" s="37"/>
      <c r="AT337" s="37"/>
      <c r="AU337" s="26"/>
      <c r="AV337" s="35">
        <f t="shared" si="1"/>
        <v>0</v>
      </c>
      <c r="AW337" s="33">
        <f t="shared" si="2"/>
        <v>0</v>
      </c>
      <c r="AX337" s="33">
        <f t="shared" si="3"/>
        <v>0</v>
      </c>
      <c r="AY337" s="33">
        <f t="shared" si="4"/>
        <v>0</v>
      </c>
      <c r="AZ337" s="30" t="str">
        <f t="shared" si="5"/>
        <v/>
      </c>
    </row>
    <row r="338" ht="15.75" customHeight="1">
      <c r="A338" s="44" t="s">
        <v>46</v>
      </c>
      <c r="B338" s="45">
        <f t="shared" si="6"/>
        <v>45627</v>
      </c>
      <c r="C338" s="46">
        <v>12.0</v>
      </c>
      <c r="D338" s="46" t="s">
        <v>49</v>
      </c>
      <c r="E338" s="47"/>
      <c r="F338" s="66">
        <v>0.0</v>
      </c>
      <c r="G338" s="51"/>
      <c r="H338" s="67">
        <v>0.0</v>
      </c>
      <c r="I338" s="51"/>
      <c r="J338" s="67">
        <v>0.0</v>
      </c>
      <c r="K338" s="51"/>
      <c r="L338" s="67">
        <v>0.0</v>
      </c>
      <c r="M338" s="51"/>
      <c r="N338" s="67">
        <v>0.0</v>
      </c>
      <c r="O338" s="51"/>
      <c r="P338" s="67">
        <v>0.0</v>
      </c>
      <c r="Q338" s="53"/>
      <c r="R338" s="66">
        <v>0.0</v>
      </c>
      <c r="S338" s="51"/>
      <c r="T338" s="67">
        <v>0.0</v>
      </c>
      <c r="U338" s="51"/>
      <c r="V338" s="67">
        <v>0.0</v>
      </c>
      <c r="W338" s="51"/>
      <c r="X338" s="67">
        <v>0.0</v>
      </c>
      <c r="Y338" s="51"/>
      <c r="Z338" s="67">
        <v>0.0</v>
      </c>
      <c r="AA338" s="51"/>
      <c r="AB338" s="67">
        <v>0.0</v>
      </c>
      <c r="AC338" s="53"/>
      <c r="AD338" s="67">
        <v>0.0</v>
      </c>
      <c r="AE338" s="51"/>
      <c r="AF338" s="67">
        <v>0.0</v>
      </c>
      <c r="AG338" s="51"/>
      <c r="AH338" s="67">
        <v>0.0</v>
      </c>
      <c r="AI338" s="51"/>
      <c r="AJ338" s="54">
        <v>0.0</v>
      </c>
      <c r="AK338" s="53"/>
      <c r="AL338" s="60"/>
      <c r="AM338" s="53"/>
      <c r="AN338" s="60"/>
      <c r="AO338" s="53"/>
      <c r="AP338" s="60"/>
      <c r="AQ338" s="53"/>
      <c r="AR338" s="61"/>
      <c r="AS338" s="51"/>
      <c r="AT338" s="61"/>
      <c r="AU338" s="53"/>
      <c r="AV338" s="55">
        <f t="shared" si="1"/>
        <v>0</v>
      </c>
      <c r="AW338" s="46">
        <f t="shared" si="2"/>
        <v>0</v>
      </c>
      <c r="AX338" s="46">
        <f t="shared" si="3"/>
        <v>0</v>
      </c>
      <c r="AY338" s="46">
        <f t="shared" si="4"/>
        <v>0</v>
      </c>
      <c r="AZ338" s="56" t="str">
        <f t="shared" si="5"/>
        <v/>
      </c>
    </row>
    <row r="339" ht="15.75" customHeight="1">
      <c r="A339" s="19" t="s">
        <v>30</v>
      </c>
      <c r="B339" s="57">
        <f t="shared" si="6"/>
        <v>45628</v>
      </c>
      <c r="C339" s="21">
        <v>13.0</v>
      </c>
      <c r="D339" s="21" t="s">
        <v>47</v>
      </c>
      <c r="E339" s="23"/>
      <c r="F339" s="42">
        <v>0.0</v>
      </c>
      <c r="H339" s="43">
        <v>0.0</v>
      </c>
      <c r="J339" s="43">
        <v>0.0</v>
      </c>
      <c r="L339" s="43">
        <v>0.0</v>
      </c>
      <c r="N339" s="43">
        <v>0.0</v>
      </c>
      <c r="P339" s="43">
        <v>0.0</v>
      </c>
      <c r="Q339" s="26"/>
      <c r="R339" s="42">
        <v>50.0</v>
      </c>
      <c r="T339" s="43">
        <v>50.0</v>
      </c>
      <c r="V339" s="43">
        <v>0.0</v>
      </c>
      <c r="X339" s="43">
        <v>0.0</v>
      </c>
      <c r="Z339" s="43">
        <v>0.0</v>
      </c>
      <c r="AB339" s="43">
        <v>0.0</v>
      </c>
      <c r="AC339" s="26"/>
      <c r="AD339" s="43">
        <v>0.0</v>
      </c>
      <c r="AF339" s="43">
        <v>0.0</v>
      </c>
      <c r="AH339" s="43">
        <v>0.0</v>
      </c>
      <c r="AJ339" s="27">
        <v>0.0</v>
      </c>
      <c r="AK339" s="26"/>
      <c r="AL339" s="36"/>
      <c r="AM339" s="26"/>
      <c r="AN339" s="36"/>
      <c r="AO339" s="26"/>
      <c r="AP339" s="36"/>
      <c r="AQ339" s="26"/>
      <c r="AR339" s="37"/>
      <c r="AT339" s="37"/>
      <c r="AU339" s="26"/>
      <c r="AV339" s="29">
        <f t="shared" si="1"/>
        <v>1068.756</v>
      </c>
      <c r="AW339" s="21">
        <f t="shared" si="2"/>
        <v>100</v>
      </c>
      <c r="AX339" s="21">
        <f t="shared" si="3"/>
        <v>0</v>
      </c>
      <c r="AY339" s="21">
        <f t="shared" si="4"/>
        <v>100</v>
      </c>
      <c r="AZ339" s="58">
        <f t="shared" si="5"/>
        <v>10.68756</v>
      </c>
    </row>
    <row r="340" ht="15.75" customHeight="1">
      <c r="A340" s="31" t="s">
        <v>33</v>
      </c>
      <c r="B340" s="32">
        <f t="shared" si="6"/>
        <v>45629</v>
      </c>
      <c r="C340" s="33">
        <v>13.0</v>
      </c>
      <c r="D340" s="33" t="s">
        <v>47</v>
      </c>
      <c r="E340" s="34"/>
      <c r="F340" s="42">
        <v>0.0</v>
      </c>
      <c r="H340" s="43">
        <v>0.0</v>
      </c>
      <c r="J340" s="43">
        <v>0.0</v>
      </c>
      <c r="L340" s="43">
        <v>0.0</v>
      </c>
      <c r="N340" s="43">
        <v>0.0</v>
      </c>
      <c r="P340" s="43">
        <v>0.0</v>
      </c>
      <c r="Q340" s="26"/>
      <c r="R340" s="42">
        <v>50.0</v>
      </c>
      <c r="T340" s="43">
        <v>50.0</v>
      </c>
      <c r="V340" s="43">
        <v>0.0</v>
      </c>
      <c r="X340" s="43">
        <v>0.0</v>
      </c>
      <c r="Z340" s="43">
        <v>0.0</v>
      </c>
      <c r="AB340" s="43">
        <v>0.0</v>
      </c>
      <c r="AC340" s="26"/>
      <c r="AD340" s="43">
        <v>0.0</v>
      </c>
      <c r="AF340" s="43">
        <v>0.0</v>
      </c>
      <c r="AH340" s="43">
        <v>0.0</v>
      </c>
      <c r="AJ340" s="27">
        <v>0.0</v>
      </c>
      <c r="AK340" s="26"/>
      <c r="AL340" s="36"/>
      <c r="AM340" s="26"/>
      <c r="AN340" s="36"/>
      <c r="AO340" s="26"/>
      <c r="AP340" s="36"/>
      <c r="AQ340" s="26"/>
      <c r="AR340" s="37"/>
      <c r="AT340" s="37"/>
      <c r="AU340" s="26"/>
      <c r="AV340" s="35">
        <f t="shared" si="1"/>
        <v>1068.756</v>
      </c>
      <c r="AW340" s="33">
        <f t="shared" si="2"/>
        <v>100</v>
      </c>
      <c r="AX340" s="33">
        <f t="shared" si="3"/>
        <v>0</v>
      </c>
      <c r="AY340" s="33">
        <f t="shared" si="4"/>
        <v>100</v>
      </c>
      <c r="AZ340" s="30">
        <f t="shared" si="5"/>
        <v>10.68756</v>
      </c>
    </row>
    <row r="341" ht="15.75" customHeight="1">
      <c r="A341" s="31" t="s">
        <v>34</v>
      </c>
      <c r="B341" s="32">
        <f t="shared" si="6"/>
        <v>45630</v>
      </c>
      <c r="C341" s="33">
        <v>13.0</v>
      </c>
      <c r="D341" s="33" t="s">
        <v>47</v>
      </c>
      <c r="E341" s="34"/>
      <c r="F341" s="42">
        <v>0.0</v>
      </c>
      <c r="H341" s="43">
        <v>0.0</v>
      </c>
      <c r="J341" s="43">
        <v>0.0</v>
      </c>
      <c r="L341" s="43">
        <v>0.0</v>
      </c>
      <c r="N341" s="43">
        <v>0.0</v>
      </c>
      <c r="P341" s="43">
        <v>0.0</v>
      </c>
      <c r="Q341" s="26"/>
      <c r="R341" s="42">
        <v>50.0</v>
      </c>
      <c r="T341" s="43">
        <v>50.0</v>
      </c>
      <c r="V341" s="43">
        <v>0.0</v>
      </c>
      <c r="X341" s="43">
        <v>0.0</v>
      </c>
      <c r="Z341" s="43">
        <v>0.0</v>
      </c>
      <c r="AB341" s="43">
        <v>0.0</v>
      </c>
      <c r="AC341" s="26"/>
      <c r="AD341" s="43">
        <v>0.0</v>
      </c>
      <c r="AF341" s="43">
        <v>0.0</v>
      </c>
      <c r="AH341" s="43">
        <v>0.0</v>
      </c>
      <c r="AJ341" s="27">
        <v>0.0</v>
      </c>
      <c r="AK341" s="26"/>
      <c r="AL341" s="36"/>
      <c r="AM341" s="26"/>
      <c r="AN341" s="36"/>
      <c r="AO341" s="26"/>
      <c r="AP341" s="36"/>
      <c r="AQ341" s="26"/>
      <c r="AR341" s="37"/>
      <c r="AT341" s="37"/>
      <c r="AU341" s="26"/>
      <c r="AV341" s="35">
        <f t="shared" si="1"/>
        <v>1068.756</v>
      </c>
      <c r="AW341" s="33">
        <f t="shared" si="2"/>
        <v>100</v>
      </c>
      <c r="AX341" s="33">
        <f t="shared" si="3"/>
        <v>0</v>
      </c>
      <c r="AY341" s="33">
        <f t="shared" si="4"/>
        <v>100</v>
      </c>
      <c r="AZ341" s="30">
        <f t="shared" si="5"/>
        <v>10.68756</v>
      </c>
    </row>
    <row r="342" ht="15.75" customHeight="1">
      <c r="A342" s="31" t="s">
        <v>35</v>
      </c>
      <c r="B342" s="32">
        <f t="shared" si="6"/>
        <v>45631</v>
      </c>
      <c r="C342" s="33">
        <v>13.0</v>
      </c>
      <c r="D342" s="33" t="s">
        <v>47</v>
      </c>
      <c r="E342" s="34"/>
      <c r="F342" s="42">
        <v>0.0</v>
      </c>
      <c r="H342" s="43">
        <v>0.0</v>
      </c>
      <c r="J342" s="43">
        <v>0.0</v>
      </c>
      <c r="L342" s="43">
        <v>0.0</v>
      </c>
      <c r="N342" s="43">
        <v>0.0</v>
      </c>
      <c r="P342" s="43">
        <v>0.0</v>
      </c>
      <c r="Q342" s="26"/>
      <c r="R342" s="42">
        <v>50.0</v>
      </c>
      <c r="T342" s="43">
        <v>50.0</v>
      </c>
      <c r="V342" s="43">
        <v>0.0</v>
      </c>
      <c r="X342" s="43">
        <v>0.0</v>
      </c>
      <c r="Z342" s="43">
        <v>0.0</v>
      </c>
      <c r="AB342" s="43">
        <v>0.0</v>
      </c>
      <c r="AC342" s="26"/>
      <c r="AD342" s="43">
        <v>0.0</v>
      </c>
      <c r="AF342" s="43">
        <v>0.0</v>
      </c>
      <c r="AH342" s="43">
        <v>0.0</v>
      </c>
      <c r="AJ342" s="27">
        <v>0.0</v>
      </c>
      <c r="AK342" s="26"/>
      <c r="AL342" s="36"/>
      <c r="AM342" s="26"/>
      <c r="AN342" s="36"/>
      <c r="AO342" s="26"/>
      <c r="AP342" s="36"/>
      <c r="AQ342" s="26"/>
      <c r="AR342" s="37"/>
      <c r="AT342" s="37"/>
      <c r="AU342" s="26"/>
      <c r="AV342" s="35">
        <f t="shared" si="1"/>
        <v>1068.756</v>
      </c>
      <c r="AW342" s="33">
        <f t="shared" si="2"/>
        <v>100</v>
      </c>
      <c r="AX342" s="33">
        <f t="shared" si="3"/>
        <v>0</v>
      </c>
      <c r="AY342" s="33">
        <f t="shared" si="4"/>
        <v>100</v>
      </c>
      <c r="AZ342" s="30">
        <f t="shared" si="5"/>
        <v>10.68756</v>
      </c>
    </row>
    <row r="343" ht="15.75" customHeight="1">
      <c r="A343" s="31" t="s">
        <v>38</v>
      </c>
      <c r="B343" s="32">
        <f t="shared" si="6"/>
        <v>45632</v>
      </c>
      <c r="C343" s="33">
        <v>13.0</v>
      </c>
      <c r="D343" s="33" t="s">
        <v>47</v>
      </c>
      <c r="E343" s="34"/>
      <c r="F343" s="42">
        <v>0.0</v>
      </c>
      <c r="H343" s="43">
        <v>0.0</v>
      </c>
      <c r="J343" s="43">
        <v>0.0</v>
      </c>
      <c r="L343" s="43">
        <v>0.0</v>
      </c>
      <c r="N343" s="43">
        <v>0.0</v>
      </c>
      <c r="P343" s="43">
        <v>0.0</v>
      </c>
      <c r="Q343" s="26"/>
      <c r="R343" s="42">
        <v>50.0</v>
      </c>
      <c r="T343" s="43">
        <v>50.0</v>
      </c>
      <c r="V343" s="43">
        <v>0.0</v>
      </c>
      <c r="X343" s="43">
        <v>0.0</v>
      </c>
      <c r="Z343" s="43">
        <v>0.0</v>
      </c>
      <c r="AB343" s="43">
        <v>0.0</v>
      </c>
      <c r="AC343" s="26"/>
      <c r="AD343" s="43">
        <v>0.0</v>
      </c>
      <c r="AF343" s="43">
        <v>0.0</v>
      </c>
      <c r="AH343" s="43">
        <v>0.0</v>
      </c>
      <c r="AJ343" s="27">
        <v>0.0</v>
      </c>
      <c r="AK343" s="26"/>
      <c r="AL343" s="36"/>
      <c r="AM343" s="26"/>
      <c r="AN343" s="36"/>
      <c r="AO343" s="26"/>
      <c r="AP343" s="36"/>
      <c r="AQ343" s="26"/>
      <c r="AR343" s="37"/>
      <c r="AT343" s="37"/>
      <c r="AU343" s="26"/>
      <c r="AV343" s="35">
        <f t="shared" si="1"/>
        <v>1068.756</v>
      </c>
      <c r="AW343" s="33">
        <f t="shared" si="2"/>
        <v>100</v>
      </c>
      <c r="AX343" s="33">
        <f t="shared" si="3"/>
        <v>0</v>
      </c>
      <c r="AY343" s="33">
        <f t="shared" si="4"/>
        <v>100</v>
      </c>
      <c r="AZ343" s="30">
        <f t="shared" si="5"/>
        <v>10.68756</v>
      </c>
    </row>
    <row r="344" ht="15.75" customHeight="1">
      <c r="A344" s="31" t="s">
        <v>45</v>
      </c>
      <c r="B344" s="32">
        <f t="shared" si="6"/>
        <v>45633</v>
      </c>
      <c r="C344" s="33">
        <v>13.0</v>
      </c>
      <c r="D344" s="33" t="s">
        <v>47</v>
      </c>
      <c r="E344" s="34"/>
      <c r="F344" s="42">
        <v>0.0</v>
      </c>
      <c r="H344" s="43">
        <v>0.0</v>
      </c>
      <c r="J344" s="43">
        <v>0.0</v>
      </c>
      <c r="L344" s="43">
        <v>0.0</v>
      </c>
      <c r="N344" s="43">
        <v>0.0</v>
      </c>
      <c r="P344" s="43">
        <v>0.0</v>
      </c>
      <c r="Q344" s="26"/>
      <c r="R344" s="42">
        <v>0.0</v>
      </c>
      <c r="T344" s="43">
        <v>0.0</v>
      </c>
      <c r="V344" s="43">
        <v>0.0</v>
      </c>
      <c r="X344" s="43">
        <v>0.0</v>
      </c>
      <c r="Z344" s="43">
        <v>0.0</v>
      </c>
      <c r="AB344" s="43">
        <v>0.0</v>
      </c>
      <c r="AC344" s="26"/>
      <c r="AD344" s="43">
        <v>0.0</v>
      </c>
      <c r="AF344" s="43">
        <v>0.0</v>
      </c>
      <c r="AH344" s="43">
        <v>0.0</v>
      </c>
      <c r="AJ344" s="27">
        <v>0.0</v>
      </c>
      <c r="AK344" s="26"/>
      <c r="AL344" s="36"/>
      <c r="AM344" s="26"/>
      <c r="AN344" s="36"/>
      <c r="AO344" s="26"/>
      <c r="AP344" s="36"/>
      <c r="AQ344" s="26"/>
      <c r="AR344" s="37"/>
      <c r="AT344" s="37"/>
      <c r="AU344" s="26"/>
      <c r="AV344" s="35">
        <f t="shared" si="1"/>
        <v>0</v>
      </c>
      <c r="AW344" s="33">
        <f t="shared" si="2"/>
        <v>0</v>
      </c>
      <c r="AX344" s="33">
        <f t="shared" si="3"/>
        <v>0</v>
      </c>
      <c r="AY344" s="33">
        <f t="shared" si="4"/>
        <v>0</v>
      </c>
      <c r="AZ344" s="30" t="str">
        <f t="shared" si="5"/>
        <v/>
      </c>
    </row>
    <row r="345" ht="15.75" customHeight="1">
      <c r="A345" s="44" t="s">
        <v>46</v>
      </c>
      <c r="B345" s="45">
        <f t="shared" si="6"/>
        <v>45634</v>
      </c>
      <c r="C345" s="46">
        <v>13.0</v>
      </c>
      <c r="D345" s="46" t="s">
        <v>47</v>
      </c>
      <c r="E345" s="47"/>
      <c r="F345" s="66">
        <v>0.0</v>
      </c>
      <c r="G345" s="51"/>
      <c r="H345" s="67">
        <v>0.0</v>
      </c>
      <c r="I345" s="51"/>
      <c r="J345" s="67">
        <v>0.0</v>
      </c>
      <c r="K345" s="51"/>
      <c r="L345" s="67">
        <v>0.0</v>
      </c>
      <c r="M345" s="51"/>
      <c r="N345" s="67">
        <v>0.0</v>
      </c>
      <c r="O345" s="51"/>
      <c r="P345" s="67">
        <v>0.0</v>
      </c>
      <c r="Q345" s="53"/>
      <c r="R345" s="66">
        <v>0.0</v>
      </c>
      <c r="S345" s="51"/>
      <c r="T345" s="67">
        <v>0.0</v>
      </c>
      <c r="U345" s="51"/>
      <c r="V345" s="67">
        <v>0.0</v>
      </c>
      <c r="W345" s="51"/>
      <c r="X345" s="67">
        <v>0.0</v>
      </c>
      <c r="Y345" s="51"/>
      <c r="Z345" s="67">
        <v>0.0</v>
      </c>
      <c r="AA345" s="51"/>
      <c r="AB345" s="67">
        <v>0.0</v>
      </c>
      <c r="AC345" s="53"/>
      <c r="AD345" s="67">
        <v>0.0</v>
      </c>
      <c r="AE345" s="51"/>
      <c r="AF345" s="67">
        <v>0.0</v>
      </c>
      <c r="AG345" s="51"/>
      <c r="AH345" s="67">
        <v>0.0</v>
      </c>
      <c r="AI345" s="51"/>
      <c r="AJ345" s="54">
        <v>0.0</v>
      </c>
      <c r="AK345" s="53"/>
      <c r="AL345" s="60"/>
      <c r="AM345" s="53"/>
      <c r="AN345" s="60"/>
      <c r="AO345" s="53"/>
      <c r="AP345" s="60"/>
      <c r="AQ345" s="53"/>
      <c r="AR345" s="61"/>
      <c r="AS345" s="51"/>
      <c r="AT345" s="61"/>
      <c r="AU345" s="53"/>
      <c r="AV345" s="55">
        <f t="shared" si="1"/>
        <v>0</v>
      </c>
      <c r="AW345" s="46">
        <f t="shared" si="2"/>
        <v>0</v>
      </c>
      <c r="AX345" s="46">
        <f t="shared" si="3"/>
        <v>0</v>
      </c>
      <c r="AY345" s="46">
        <f t="shared" si="4"/>
        <v>0</v>
      </c>
      <c r="AZ345" s="56" t="str">
        <f t="shared" si="5"/>
        <v/>
      </c>
    </row>
    <row r="346" ht="15.75" customHeight="1">
      <c r="A346" s="19" t="s">
        <v>30</v>
      </c>
      <c r="B346" s="57">
        <f t="shared" si="6"/>
        <v>45635</v>
      </c>
      <c r="C346" s="21">
        <v>13.0</v>
      </c>
      <c r="D346" s="21" t="s">
        <v>48</v>
      </c>
      <c r="E346" s="23"/>
      <c r="F346" s="42">
        <v>0.0</v>
      </c>
      <c r="H346" s="43">
        <v>0.0</v>
      </c>
      <c r="J346" s="43">
        <v>0.0</v>
      </c>
      <c r="L346" s="43">
        <v>0.0</v>
      </c>
      <c r="N346" s="43">
        <v>0.0</v>
      </c>
      <c r="P346" s="43">
        <v>0.0</v>
      </c>
      <c r="Q346" s="26"/>
      <c r="R346" s="42">
        <v>50.0</v>
      </c>
      <c r="T346" s="43">
        <v>50.0</v>
      </c>
      <c r="V346" s="43">
        <v>0.0</v>
      </c>
      <c r="X346" s="43">
        <v>0.0</v>
      </c>
      <c r="Z346" s="43">
        <v>0.0</v>
      </c>
      <c r="AB346" s="43">
        <v>0.0</v>
      </c>
      <c r="AC346" s="26"/>
      <c r="AD346" s="43">
        <v>0.0</v>
      </c>
      <c r="AF346" s="43">
        <v>0.0</v>
      </c>
      <c r="AH346" s="43">
        <v>0.0</v>
      </c>
      <c r="AJ346" s="27">
        <v>0.0</v>
      </c>
      <c r="AK346" s="26"/>
      <c r="AL346" s="36"/>
      <c r="AM346" s="26"/>
      <c r="AN346" s="36"/>
      <c r="AO346" s="26"/>
      <c r="AP346" s="36"/>
      <c r="AQ346" s="26"/>
      <c r="AR346" s="37"/>
      <c r="AT346" s="37"/>
      <c r="AU346" s="26"/>
      <c r="AV346" s="29">
        <f t="shared" si="1"/>
        <v>1068.756</v>
      </c>
      <c r="AW346" s="21">
        <f t="shared" si="2"/>
        <v>100</v>
      </c>
      <c r="AX346" s="21">
        <f t="shared" si="3"/>
        <v>0</v>
      </c>
      <c r="AY346" s="21">
        <f t="shared" si="4"/>
        <v>100</v>
      </c>
      <c r="AZ346" s="58">
        <f t="shared" si="5"/>
        <v>10.68756</v>
      </c>
    </row>
    <row r="347" ht="15.75" customHeight="1">
      <c r="A347" s="31" t="s">
        <v>33</v>
      </c>
      <c r="B347" s="32">
        <f t="shared" si="6"/>
        <v>45636</v>
      </c>
      <c r="C347" s="33">
        <v>13.0</v>
      </c>
      <c r="D347" s="33" t="s">
        <v>48</v>
      </c>
      <c r="E347" s="34"/>
      <c r="F347" s="42">
        <v>0.0</v>
      </c>
      <c r="H347" s="43">
        <v>0.0</v>
      </c>
      <c r="J347" s="43">
        <v>0.0</v>
      </c>
      <c r="L347" s="43">
        <v>0.0</v>
      </c>
      <c r="N347" s="43">
        <v>0.0</v>
      </c>
      <c r="P347" s="43">
        <v>0.0</v>
      </c>
      <c r="Q347" s="26"/>
      <c r="R347" s="42">
        <v>50.0</v>
      </c>
      <c r="T347" s="43">
        <v>50.0</v>
      </c>
      <c r="V347" s="43">
        <v>0.0</v>
      </c>
      <c r="X347" s="43">
        <v>0.0</v>
      </c>
      <c r="Z347" s="43">
        <v>0.0</v>
      </c>
      <c r="AB347" s="43">
        <v>0.0</v>
      </c>
      <c r="AC347" s="26"/>
      <c r="AD347" s="43">
        <v>0.0</v>
      </c>
      <c r="AF347" s="43">
        <v>0.0</v>
      </c>
      <c r="AH347" s="43">
        <v>0.0</v>
      </c>
      <c r="AJ347" s="27">
        <v>0.0</v>
      </c>
      <c r="AK347" s="26"/>
      <c r="AL347" s="36"/>
      <c r="AM347" s="26"/>
      <c r="AN347" s="36"/>
      <c r="AO347" s="26"/>
      <c r="AP347" s="36"/>
      <c r="AQ347" s="26"/>
      <c r="AR347" s="37"/>
      <c r="AT347" s="37"/>
      <c r="AU347" s="26"/>
      <c r="AV347" s="35">
        <f t="shared" si="1"/>
        <v>1068.756</v>
      </c>
      <c r="AW347" s="33">
        <f t="shared" si="2"/>
        <v>100</v>
      </c>
      <c r="AX347" s="33">
        <f t="shared" si="3"/>
        <v>0</v>
      </c>
      <c r="AY347" s="33">
        <f t="shared" si="4"/>
        <v>100</v>
      </c>
      <c r="AZ347" s="30">
        <f t="shared" si="5"/>
        <v>10.68756</v>
      </c>
    </row>
    <row r="348" ht="15.75" customHeight="1">
      <c r="A348" s="31" t="s">
        <v>34</v>
      </c>
      <c r="B348" s="32">
        <f t="shared" si="6"/>
        <v>45637</v>
      </c>
      <c r="C348" s="33">
        <v>13.0</v>
      </c>
      <c r="D348" s="33" t="s">
        <v>48</v>
      </c>
      <c r="E348" s="34"/>
      <c r="F348" s="42">
        <v>0.0</v>
      </c>
      <c r="H348" s="43">
        <v>0.0</v>
      </c>
      <c r="J348" s="43">
        <v>0.0</v>
      </c>
      <c r="L348" s="43">
        <v>0.0</v>
      </c>
      <c r="N348" s="43">
        <v>0.0</v>
      </c>
      <c r="P348" s="43">
        <v>0.0</v>
      </c>
      <c r="Q348" s="26"/>
      <c r="R348" s="42">
        <v>50.0</v>
      </c>
      <c r="T348" s="43">
        <v>50.0</v>
      </c>
      <c r="V348" s="43">
        <v>0.0</v>
      </c>
      <c r="X348" s="43">
        <v>0.0</v>
      </c>
      <c r="Z348" s="43">
        <v>0.0</v>
      </c>
      <c r="AB348" s="43">
        <v>0.0</v>
      </c>
      <c r="AC348" s="26"/>
      <c r="AD348" s="43">
        <v>0.0</v>
      </c>
      <c r="AF348" s="43">
        <v>0.0</v>
      </c>
      <c r="AH348" s="43">
        <v>0.0</v>
      </c>
      <c r="AJ348" s="27">
        <v>0.0</v>
      </c>
      <c r="AK348" s="26"/>
      <c r="AL348" s="36"/>
      <c r="AM348" s="26"/>
      <c r="AN348" s="36"/>
      <c r="AO348" s="26"/>
      <c r="AP348" s="36"/>
      <c r="AQ348" s="26"/>
      <c r="AR348" s="37"/>
      <c r="AT348" s="37"/>
      <c r="AU348" s="26"/>
      <c r="AV348" s="35">
        <f t="shared" si="1"/>
        <v>1068.756</v>
      </c>
      <c r="AW348" s="33">
        <f t="shared" si="2"/>
        <v>100</v>
      </c>
      <c r="AX348" s="33">
        <f t="shared" si="3"/>
        <v>0</v>
      </c>
      <c r="AY348" s="33">
        <f t="shared" si="4"/>
        <v>100</v>
      </c>
      <c r="AZ348" s="30">
        <f t="shared" si="5"/>
        <v>10.68756</v>
      </c>
    </row>
    <row r="349" ht="15.75" customHeight="1">
      <c r="A349" s="31" t="s">
        <v>35</v>
      </c>
      <c r="B349" s="32">
        <f t="shared" si="6"/>
        <v>45638</v>
      </c>
      <c r="C349" s="33">
        <v>13.0</v>
      </c>
      <c r="D349" s="33" t="s">
        <v>48</v>
      </c>
      <c r="E349" s="34"/>
      <c r="F349" s="42">
        <v>0.0</v>
      </c>
      <c r="H349" s="43">
        <v>0.0</v>
      </c>
      <c r="J349" s="43">
        <v>0.0</v>
      </c>
      <c r="L349" s="43">
        <v>0.0</v>
      </c>
      <c r="N349" s="43">
        <v>0.0</v>
      </c>
      <c r="P349" s="43">
        <v>0.0</v>
      </c>
      <c r="Q349" s="26"/>
      <c r="R349" s="42">
        <v>50.0</v>
      </c>
      <c r="T349" s="43">
        <v>50.0</v>
      </c>
      <c r="V349" s="43">
        <v>0.0</v>
      </c>
      <c r="X349" s="43">
        <v>0.0</v>
      </c>
      <c r="Z349" s="43">
        <v>0.0</v>
      </c>
      <c r="AB349" s="43">
        <v>0.0</v>
      </c>
      <c r="AC349" s="26"/>
      <c r="AD349" s="43">
        <v>0.0</v>
      </c>
      <c r="AF349" s="43">
        <v>0.0</v>
      </c>
      <c r="AH349" s="43">
        <v>0.0</v>
      </c>
      <c r="AJ349" s="27">
        <v>0.0</v>
      </c>
      <c r="AK349" s="26"/>
      <c r="AL349" s="36"/>
      <c r="AM349" s="26"/>
      <c r="AN349" s="36"/>
      <c r="AO349" s="26"/>
      <c r="AP349" s="36"/>
      <c r="AQ349" s="26"/>
      <c r="AR349" s="37"/>
      <c r="AT349" s="37"/>
      <c r="AU349" s="26"/>
      <c r="AV349" s="35">
        <f t="shared" si="1"/>
        <v>1068.756</v>
      </c>
      <c r="AW349" s="33">
        <f t="shared" si="2"/>
        <v>100</v>
      </c>
      <c r="AX349" s="33">
        <f t="shared" si="3"/>
        <v>0</v>
      </c>
      <c r="AY349" s="33">
        <f t="shared" si="4"/>
        <v>100</v>
      </c>
      <c r="AZ349" s="30">
        <f t="shared" si="5"/>
        <v>10.68756</v>
      </c>
    </row>
    <row r="350" ht="15.75" customHeight="1">
      <c r="A350" s="31" t="s">
        <v>38</v>
      </c>
      <c r="B350" s="32">
        <f t="shared" si="6"/>
        <v>45639</v>
      </c>
      <c r="C350" s="33">
        <v>13.0</v>
      </c>
      <c r="D350" s="33" t="s">
        <v>48</v>
      </c>
      <c r="E350" s="34"/>
      <c r="F350" s="42">
        <v>0.0</v>
      </c>
      <c r="H350" s="43">
        <v>0.0</v>
      </c>
      <c r="J350" s="43">
        <v>0.0</v>
      </c>
      <c r="L350" s="43">
        <v>0.0</v>
      </c>
      <c r="N350" s="43">
        <v>0.0</v>
      </c>
      <c r="P350" s="43">
        <v>0.0</v>
      </c>
      <c r="Q350" s="26"/>
      <c r="R350" s="42">
        <v>50.0</v>
      </c>
      <c r="T350" s="43">
        <v>50.0</v>
      </c>
      <c r="V350" s="43">
        <v>0.0</v>
      </c>
      <c r="X350" s="43">
        <v>0.0</v>
      </c>
      <c r="Z350" s="43">
        <v>0.0</v>
      </c>
      <c r="AB350" s="43">
        <v>0.0</v>
      </c>
      <c r="AC350" s="26"/>
      <c r="AD350" s="43">
        <v>0.0</v>
      </c>
      <c r="AF350" s="43">
        <v>0.0</v>
      </c>
      <c r="AH350" s="43">
        <v>0.0</v>
      </c>
      <c r="AJ350" s="27">
        <v>0.0</v>
      </c>
      <c r="AK350" s="26"/>
      <c r="AL350" s="36"/>
      <c r="AM350" s="26"/>
      <c r="AN350" s="36"/>
      <c r="AO350" s="26"/>
      <c r="AP350" s="36"/>
      <c r="AQ350" s="26"/>
      <c r="AR350" s="37"/>
      <c r="AT350" s="37"/>
      <c r="AU350" s="26"/>
      <c r="AV350" s="35">
        <f t="shared" si="1"/>
        <v>1068.756</v>
      </c>
      <c r="AW350" s="33">
        <f t="shared" si="2"/>
        <v>100</v>
      </c>
      <c r="AX350" s="33">
        <f t="shared" si="3"/>
        <v>0</v>
      </c>
      <c r="AY350" s="33">
        <f t="shared" si="4"/>
        <v>100</v>
      </c>
      <c r="AZ350" s="30">
        <f t="shared" si="5"/>
        <v>10.68756</v>
      </c>
    </row>
    <row r="351" ht="15.75" customHeight="1">
      <c r="A351" s="31" t="s">
        <v>45</v>
      </c>
      <c r="B351" s="32">
        <f t="shared" si="6"/>
        <v>45640</v>
      </c>
      <c r="C351" s="33">
        <v>13.0</v>
      </c>
      <c r="D351" s="33" t="s">
        <v>48</v>
      </c>
      <c r="E351" s="34"/>
      <c r="F351" s="42">
        <v>0.0</v>
      </c>
      <c r="H351" s="43">
        <v>0.0</v>
      </c>
      <c r="J351" s="43">
        <v>0.0</v>
      </c>
      <c r="L351" s="43">
        <v>0.0</v>
      </c>
      <c r="N351" s="43">
        <v>0.0</v>
      </c>
      <c r="P351" s="43">
        <v>0.0</v>
      </c>
      <c r="Q351" s="26"/>
      <c r="R351" s="42">
        <v>0.0</v>
      </c>
      <c r="T351" s="43">
        <v>0.0</v>
      </c>
      <c r="V351" s="43">
        <v>0.0</v>
      </c>
      <c r="X351" s="43">
        <v>0.0</v>
      </c>
      <c r="Z351" s="43">
        <v>0.0</v>
      </c>
      <c r="AB351" s="43">
        <v>0.0</v>
      </c>
      <c r="AC351" s="26"/>
      <c r="AD351" s="43">
        <v>0.0</v>
      </c>
      <c r="AF351" s="43">
        <v>0.0</v>
      </c>
      <c r="AH351" s="43">
        <v>0.0</v>
      </c>
      <c r="AJ351" s="27">
        <v>0.0</v>
      </c>
      <c r="AK351" s="26"/>
      <c r="AL351" s="36"/>
      <c r="AM351" s="26"/>
      <c r="AN351" s="36"/>
      <c r="AO351" s="26"/>
      <c r="AP351" s="36"/>
      <c r="AQ351" s="26"/>
      <c r="AR351" s="37"/>
      <c r="AT351" s="37"/>
      <c r="AU351" s="26"/>
      <c r="AV351" s="35">
        <f t="shared" si="1"/>
        <v>0</v>
      </c>
      <c r="AW351" s="33">
        <f t="shared" si="2"/>
        <v>0</v>
      </c>
      <c r="AX351" s="33">
        <f t="shared" si="3"/>
        <v>0</v>
      </c>
      <c r="AY351" s="33">
        <f t="shared" si="4"/>
        <v>0</v>
      </c>
      <c r="AZ351" s="30" t="str">
        <f t="shared" si="5"/>
        <v/>
      </c>
    </row>
    <row r="352" ht="15.75" customHeight="1">
      <c r="A352" s="44" t="s">
        <v>46</v>
      </c>
      <c r="B352" s="45">
        <f t="shared" si="6"/>
        <v>45641</v>
      </c>
      <c r="C352" s="46">
        <v>13.0</v>
      </c>
      <c r="D352" s="46" t="s">
        <v>48</v>
      </c>
      <c r="E352" s="47"/>
      <c r="F352" s="66">
        <v>0.0</v>
      </c>
      <c r="G352" s="51"/>
      <c r="H352" s="67">
        <v>0.0</v>
      </c>
      <c r="I352" s="51"/>
      <c r="J352" s="67">
        <v>0.0</v>
      </c>
      <c r="K352" s="51"/>
      <c r="L352" s="67">
        <v>0.0</v>
      </c>
      <c r="M352" s="51"/>
      <c r="N352" s="67">
        <v>0.0</v>
      </c>
      <c r="O352" s="51"/>
      <c r="P352" s="67">
        <v>0.0</v>
      </c>
      <c r="Q352" s="53"/>
      <c r="R352" s="66">
        <v>0.0</v>
      </c>
      <c r="S352" s="51"/>
      <c r="T352" s="67">
        <v>0.0</v>
      </c>
      <c r="U352" s="51"/>
      <c r="V352" s="67">
        <v>0.0</v>
      </c>
      <c r="W352" s="51"/>
      <c r="X352" s="67">
        <v>0.0</v>
      </c>
      <c r="Y352" s="51"/>
      <c r="Z352" s="67">
        <v>0.0</v>
      </c>
      <c r="AA352" s="51"/>
      <c r="AB352" s="67">
        <v>0.0</v>
      </c>
      <c r="AC352" s="53"/>
      <c r="AD352" s="67">
        <v>0.0</v>
      </c>
      <c r="AE352" s="51"/>
      <c r="AF352" s="67">
        <v>0.0</v>
      </c>
      <c r="AG352" s="51"/>
      <c r="AH352" s="67">
        <v>0.0</v>
      </c>
      <c r="AI352" s="51"/>
      <c r="AJ352" s="54">
        <v>0.0</v>
      </c>
      <c r="AK352" s="53"/>
      <c r="AL352" s="60"/>
      <c r="AM352" s="53"/>
      <c r="AN352" s="60"/>
      <c r="AO352" s="53"/>
      <c r="AP352" s="60"/>
      <c r="AQ352" s="53"/>
      <c r="AR352" s="61"/>
      <c r="AS352" s="51"/>
      <c r="AT352" s="61"/>
      <c r="AU352" s="53"/>
      <c r="AV352" s="55">
        <f t="shared" si="1"/>
        <v>0</v>
      </c>
      <c r="AW352" s="46">
        <f t="shared" si="2"/>
        <v>0</v>
      </c>
      <c r="AX352" s="46">
        <f t="shared" si="3"/>
        <v>0</v>
      </c>
      <c r="AY352" s="46">
        <f t="shared" si="4"/>
        <v>0</v>
      </c>
      <c r="AZ352" s="56" t="str">
        <f t="shared" si="5"/>
        <v/>
      </c>
    </row>
    <row r="353" ht="15.75" customHeight="1">
      <c r="A353" s="19" t="s">
        <v>30</v>
      </c>
      <c r="B353" s="57">
        <f t="shared" si="6"/>
        <v>45642</v>
      </c>
      <c r="C353" s="21">
        <v>13.0</v>
      </c>
      <c r="D353" s="21" t="s">
        <v>49</v>
      </c>
      <c r="E353" s="23"/>
      <c r="F353" s="42">
        <v>0.0</v>
      </c>
      <c r="H353" s="43">
        <v>0.0</v>
      </c>
      <c r="J353" s="43">
        <v>0.0</v>
      </c>
      <c r="L353" s="43">
        <v>0.0</v>
      </c>
      <c r="N353" s="43">
        <v>0.0</v>
      </c>
      <c r="P353" s="43">
        <v>0.0</v>
      </c>
      <c r="Q353" s="26"/>
      <c r="R353" s="42">
        <v>0.0</v>
      </c>
      <c r="T353" s="43">
        <v>0.0</v>
      </c>
      <c r="V353" s="43">
        <v>0.0</v>
      </c>
      <c r="X353" s="43">
        <v>0.0</v>
      </c>
      <c r="Z353" s="43">
        <v>0.0</v>
      </c>
      <c r="AB353" s="43">
        <v>0.0</v>
      </c>
      <c r="AC353" s="26"/>
      <c r="AD353" s="43">
        <v>0.0</v>
      </c>
      <c r="AF353" s="43">
        <v>0.0</v>
      </c>
      <c r="AH353" s="43">
        <v>0.0</v>
      </c>
      <c r="AJ353" s="27">
        <v>0.0</v>
      </c>
      <c r="AK353" s="26"/>
      <c r="AL353" s="36"/>
      <c r="AM353" s="26"/>
      <c r="AN353" s="36"/>
      <c r="AO353" s="26"/>
      <c r="AP353" s="36"/>
      <c r="AQ353" s="26"/>
      <c r="AR353" s="37"/>
      <c r="AT353" s="37"/>
      <c r="AU353" s="26"/>
      <c r="AV353" s="29">
        <f t="shared" si="1"/>
        <v>0</v>
      </c>
      <c r="AW353" s="21">
        <f t="shared" si="2"/>
        <v>0</v>
      </c>
      <c r="AX353" s="21">
        <f t="shared" si="3"/>
        <v>0</v>
      </c>
      <c r="AY353" s="21">
        <f t="shared" si="4"/>
        <v>0</v>
      </c>
      <c r="AZ353" s="58" t="str">
        <f t="shared" si="5"/>
        <v/>
      </c>
    </row>
    <row r="354" ht="15.75" customHeight="1">
      <c r="A354" s="31" t="s">
        <v>33</v>
      </c>
      <c r="B354" s="32">
        <f t="shared" si="6"/>
        <v>45643</v>
      </c>
      <c r="C354" s="33">
        <v>13.0</v>
      </c>
      <c r="D354" s="33" t="s">
        <v>49</v>
      </c>
      <c r="E354" s="106" t="s">
        <v>65</v>
      </c>
      <c r="F354" s="42">
        <v>0.0</v>
      </c>
      <c r="H354" s="43">
        <v>0.0</v>
      </c>
      <c r="J354" s="43">
        <v>0.0</v>
      </c>
      <c r="L354" s="43">
        <v>0.0</v>
      </c>
      <c r="N354" s="43">
        <v>0.0</v>
      </c>
      <c r="P354" s="43">
        <v>0.0</v>
      </c>
      <c r="Q354" s="26"/>
      <c r="R354" s="42">
        <v>0.0</v>
      </c>
      <c r="T354" s="43">
        <v>0.0</v>
      </c>
      <c r="V354" s="43">
        <v>0.0</v>
      </c>
      <c r="X354" s="43">
        <v>0.0</v>
      </c>
      <c r="Z354" s="43">
        <v>0.0</v>
      </c>
      <c r="AB354" s="43">
        <v>0.0</v>
      </c>
      <c r="AC354" s="26"/>
      <c r="AD354" s="43">
        <v>0.0</v>
      </c>
      <c r="AF354" s="43">
        <v>0.0</v>
      </c>
      <c r="AH354" s="43">
        <v>0.0</v>
      </c>
      <c r="AJ354" s="27">
        <v>0.0</v>
      </c>
      <c r="AK354" s="26"/>
      <c r="AL354" s="36"/>
      <c r="AM354" s="26"/>
      <c r="AN354" s="36"/>
      <c r="AO354" s="26"/>
      <c r="AP354" s="36"/>
      <c r="AQ354" s="26"/>
      <c r="AR354" s="37"/>
      <c r="AT354" s="37"/>
      <c r="AU354" s="26"/>
      <c r="AV354" s="35">
        <f t="shared" si="1"/>
        <v>0</v>
      </c>
      <c r="AW354" s="33">
        <f t="shared" si="2"/>
        <v>0</v>
      </c>
      <c r="AX354" s="33">
        <f t="shared" si="3"/>
        <v>0</v>
      </c>
      <c r="AY354" s="33">
        <f t="shared" si="4"/>
        <v>0</v>
      </c>
      <c r="AZ354" s="30" t="str">
        <f t="shared" si="5"/>
        <v/>
      </c>
    </row>
    <row r="355" ht="15.75" customHeight="1">
      <c r="A355" s="31" t="s">
        <v>34</v>
      </c>
      <c r="B355" s="32">
        <f t="shared" si="6"/>
        <v>45644</v>
      </c>
      <c r="C355" s="33">
        <v>13.0</v>
      </c>
      <c r="D355" s="33" t="s">
        <v>49</v>
      </c>
      <c r="E355" s="106" t="s">
        <v>79</v>
      </c>
      <c r="F355" s="42">
        <v>0.0</v>
      </c>
      <c r="H355" s="43">
        <v>0.0</v>
      </c>
      <c r="J355" s="43">
        <v>0.0</v>
      </c>
      <c r="L355" s="43">
        <v>0.0</v>
      </c>
      <c r="N355" s="43">
        <v>0.0</v>
      </c>
      <c r="P355" s="43">
        <v>0.0</v>
      </c>
      <c r="Q355" s="26"/>
      <c r="R355" s="42">
        <v>0.0</v>
      </c>
      <c r="T355" s="43">
        <v>0.0</v>
      </c>
      <c r="V355" s="43">
        <v>0.0</v>
      </c>
      <c r="X355" s="43">
        <v>0.0</v>
      </c>
      <c r="Z355" s="43">
        <v>0.0</v>
      </c>
      <c r="AB355" s="43">
        <v>0.0</v>
      </c>
      <c r="AC355" s="26"/>
      <c r="AD355" s="43">
        <v>0.0</v>
      </c>
      <c r="AF355" s="43">
        <v>0.0</v>
      </c>
      <c r="AH355" s="43">
        <v>0.0</v>
      </c>
      <c r="AJ355" s="27">
        <v>0.0</v>
      </c>
      <c r="AK355" s="26"/>
      <c r="AL355" s="36"/>
      <c r="AM355" s="26"/>
      <c r="AN355" s="36"/>
      <c r="AO355" s="26"/>
      <c r="AP355" s="36"/>
      <c r="AQ355" s="26"/>
      <c r="AR355" s="37"/>
      <c r="AT355" s="37"/>
      <c r="AU355" s="26"/>
      <c r="AV355" s="35">
        <f t="shared" si="1"/>
        <v>0</v>
      </c>
      <c r="AW355" s="33">
        <f t="shared" si="2"/>
        <v>0</v>
      </c>
      <c r="AX355" s="33">
        <f t="shared" si="3"/>
        <v>0</v>
      </c>
      <c r="AY355" s="33">
        <f t="shared" si="4"/>
        <v>0</v>
      </c>
      <c r="AZ355" s="30" t="str">
        <f t="shared" si="5"/>
        <v/>
      </c>
    </row>
    <row r="356" ht="15.75" customHeight="1">
      <c r="A356" s="31" t="s">
        <v>35</v>
      </c>
      <c r="B356" s="32">
        <f t="shared" si="6"/>
        <v>45645</v>
      </c>
      <c r="C356" s="33">
        <v>13.0</v>
      </c>
      <c r="D356" s="33" t="s">
        <v>49</v>
      </c>
      <c r="E356" s="106" t="s">
        <v>80</v>
      </c>
      <c r="F356" s="42">
        <v>0.0</v>
      </c>
      <c r="H356" s="43">
        <v>0.0</v>
      </c>
      <c r="J356" s="43">
        <v>0.0</v>
      </c>
      <c r="L356" s="43">
        <v>0.0</v>
      </c>
      <c r="N356" s="43">
        <v>0.0</v>
      </c>
      <c r="P356" s="43">
        <v>0.0</v>
      </c>
      <c r="Q356" s="26"/>
      <c r="R356" s="42">
        <v>0.0</v>
      </c>
      <c r="T356" s="43">
        <v>0.0</v>
      </c>
      <c r="V356" s="43">
        <v>0.0</v>
      </c>
      <c r="X356" s="43">
        <v>0.0</v>
      </c>
      <c r="Z356" s="43">
        <v>0.0</v>
      </c>
      <c r="AB356" s="43">
        <v>0.0</v>
      </c>
      <c r="AC356" s="26"/>
      <c r="AD356" s="43">
        <v>0.0</v>
      </c>
      <c r="AF356" s="43">
        <v>0.0</v>
      </c>
      <c r="AH356" s="43">
        <v>0.0</v>
      </c>
      <c r="AJ356" s="27">
        <v>0.0</v>
      </c>
      <c r="AK356" s="26"/>
      <c r="AL356" s="36"/>
      <c r="AM356" s="26"/>
      <c r="AN356" s="36"/>
      <c r="AO356" s="26"/>
      <c r="AP356" s="36"/>
      <c r="AQ356" s="26"/>
      <c r="AR356" s="37"/>
      <c r="AT356" s="37"/>
      <c r="AU356" s="26"/>
      <c r="AV356" s="35">
        <f t="shared" si="1"/>
        <v>0</v>
      </c>
      <c r="AW356" s="33">
        <f t="shared" si="2"/>
        <v>0</v>
      </c>
      <c r="AX356" s="33">
        <f t="shared" si="3"/>
        <v>0</v>
      </c>
      <c r="AY356" s="33">
        <f t="shared" si="4"/>
        <v>0</v>
      </c>
      <c r="AZ356" s="30" t="str">
        <f t="shared" si="5"/>
        <v/>
      </c>
    </row>
    <row r="357" ht="15.75" customHeight="1">
      <c r="A357" s="31" t="s">
        <v>38</v>
      </c>
      <c r="B357" s="32">
        <f t="shared" si="6"/>
        <v>45646</v>
      </c>
      <c r="C357" s="33">
        <v>13.0</v>
      </c>
      <c r="D357" s="33" t="s">
        <v>49</v>
      </c>
      <c r="E357" s="34"/>
      <c r="F357" s="42">
        <v>0.0</v>
      </c>
      <c r="H357" s="43">
        <v>0.0</v>
      </c>
      <c r="J357" s="43">
        <v>0.0</v>
      </c>
      <c r="L357" s="43">
        <v>0.0</v>
      </c>
      <c r="N357" s="43">
        <v>0.0</v>
      </c>
      <c r="P357" s="43">
        <v>0.0</v>
      </c>
      <c r="Q357" s="26"/>
      <c r="R357" s="42">
        <v>0.0</v>
      </c>
      <c r="T357" s="43">
        <v>0.0</v>
      </c>
      <c r="V357" s="43">
        <v>0.0</v>
      </c>
      <c r="X357" s="43">
        <v>0.0</v>
      </c>
      <c r="Z357" s="43">
        <v>0.0</v>
      </c>
      <c r="AB357" s="43">
        <v>0.0</v>
      </c>
      <c r="AC357" s="26"/>
      <c r="AD357" s="43">
        <v>0.0</v>
      </c>
      <c r="AF357" s="43">
        <v>0.0</v>
      </c>
      <c r="AH357" s="43">
        <v>0.0</v>
      </c>
      <c r="AJ357" s="27">
        <v>0.0</v>
      </c>
      <c r="AK357" s="26"/>
      <c r="AL357" s="36"/>
      <c r="AM357" s="26"/>
      <c r="AN357" s="36"/>
      <c r="AO357" s="26"/>
      <c r="AP357" s="36"/>
      <c r="AQ357" s="26"/>
      <c r="AR357" s="37"/>
      <c r="AT357" s="37"/>
      <c r="AU357" s="26"/>
      <c r="AV357" s="35">
        <f t="shared" si="1"/>
        <v>0</v>
      </c>
      <c r="AW357" s="33">
        <f t="shared" si="2"/>
        <v>0</v>
      </c>
      <c r="AX357" s="33">
        <f t="shared" si="3"/>
        <v>0</v>
      </c>
      <c r="AY357" s="33">
        <f t="shared" si="4"/>
        <v>0</v>
      </c>
      <c r="AZ357" s="30" t="str">
        <f t="shared" si="5"/>
        <v/>
      </c>
    </row>
    <row r="358" ht="15.75" customHeight="1">
      <c r="A358" s="31" t="s">
        <v>45</v>
      </c>
      <c r="B358" s="32">
        <f t="shared" si="6"/>
        <v>45647</v>
      </c>
      <c r="C358" s="33">
        <v>13.0</v>
      </c>
      <c r="D358" s="33" t="s">
        <v>49</v>
      </c>
      <c r="E358" s="34"/>
      <c r="F358" s="42">
        <v>0.0</v>
      </c>
      <c r="H358" s="43">
        <v>0.0</v>
      </c>
      <c r="J358" s="43">
        <v>0.0</v>
      </c>
      <c r="L358" s="43">
        <v>0.0</v>
      </c>
      <c r="N358" s="43">
        <v>0.0</v>
      </c>
      <c r="P358" s="43">
        <v>0.0</v>
      </c>
      <c r="Q358" s="26"/>
      <c r="R358" s="42">
        <v>0.0</v>
      </c>
      <c r="T358" s="43">
        <v>0.0</v>
      </c>
      <c r="V358" s="43">
        <v>0.0</v>
      </c>
      <c r="X358" s="43">
        <v>0.0</v>
      </c>
      <c r="Z358" s="43">
        <v>0.0</v>
      </c>
      <c r="AB358" s="43">
        <v>0.0</v>
      </c>
      <c r="AC358" s="26"/>
      <c r="AD358" s="43">
        <v>0.0</v>
      </c>
      <c r="AF358" s="43">
        <v>0.0</v>
      </c>
      <c r="AH358" s="43">
        <v>0.0</v>
      </c>
      <c r="AJ358" s="27">
        <v>0.0</v>
      </c>
      <c r="AK358" s="26"/>
      <c r="AL358" s="36"/>
      <c r="AM358" s="26"/>
      <c r="AN358" s="36"/>
      <c r="AO358" s="26"/>
      <c r="AP358" s="36"/>
      <c r="AQ358" s="26"/>
      <c r="AR358" s="37"/>
      <c r="AT358" s="37"/>
      <c r="AU358" s="26"/>
      <c r="AV358" s="35">
        <f t="shared" si="1"/>
        <v>0</v>
      </c>
      <c r="AW358" s="33">
        <f t="shared" si="2"/>
        <v>0</v>
      </c>
      <c r="AX358" s="33">
        <f t="shared" si="3"/>
        <v>0</v>
      </c>
      <c r="AY358" s="33">
        <f t="shared" si="4"/>
        <v>0</v>
      </c>
      <c r="AZ358" s="30" t="str">
        <f t="shared" si="5"/>
        <v/>
      </c>
    </row>
    <row r="359" ht="15.75" customHeight="1">
      <c r="A359" s="44" t="s">
        <v>46</v>
      </c>
      <c r="B359" s="45">
        <f t="shared" si="6"/>
        <v>45648</v>
      </c>
      <c r="C359" s="46">
        <v>13.0</v>
      </c>
      <c r="D359" s="46" t="s">
        <v>49</v>
      </c>
      <c r="E359" s="47"/>
      <c r="F359" s="66">
        <v>0.0</v>
      </c>
      <c r="G359" s="51"/>
      <c r="H359" s="67">
        <v>0.0</v>
      </c>
      <c r="I359" s="51"/>
      <c r="J359" s="67">
        <v>0.0</v>
      </c>
      <c r="K359" s="51"/>
      <c r="L359" s="67">
        <v>0.0</v>
      </c>
      <c r="M359" s="51"/>
      <c r="N359" s="67">
        <v>0.0</v>
      </c>
      <c r="O359" s="51"/>
      <c r="P359" s="67">
        <v>0.0</v>
      </c>
      <c r="Q359" s="53"/>
      <c r="R359" s="66">
        <v>0.0</v>
      </c>
      <c r="S359" s="51"/>
      <c r="T359" s="67">
        <v>0.0</v>
      </c>
      <c r="U359" s="51"/>
      <c r="V359" s="67">
        <v>0.0</v>
      </c>
      <c r="W359" s="51"/>
      <c r="X359" s="67">
        <v>0.0</v>
      </c>
      <c r="Y359" s="51"/>
      <c r="Z359" s="67">
        <v>0.0</v>
      </c>
      <c r="AA359" s="51"/>
      <c r="AB359" s="67">
        <v>0.0</v>
      </c>
      <c r="AC359" s="53"/>
      <c r="AD359" s="67">
        <v>0.0</v>
      </c>
      <c r="AE359" s="51"/>
      <c r="AF359" s="67">
        <v>0.0</v>
      </c>
      <c r="AG359" s="51"/>
      <c r="AH359" s="67">
        <v>0.0</v>
      </c>
      <c r="AI359" s="51"/>
      <c r="AJ359" s="54">
        <v>0.0</v>
      </c>
      <c r="AK359" s="53"/>
      <c r="AL359" s="60"/>
      <c r="AM359" s="53"/>
      <c r="AN359" s="60"/>
      <c r="AO359" s="53"/>
      <c r="AP359" s="60"/>
      <c r="AQ359" s="53"/>
      <c r="AR359" s="61"/>
      <c r="AS359" s="51"/>
      <c r="AT359" s="61"/>
      <c r="AU359" s="53"/>
      <c r="AV359" s="55">
        <f t="shared" si="1"/>
        <v>0</v>
      </c>
      <c r="AW359" s="46">
        <f t="shared" si="2"/>
        <v>0</v>
      </c>
      <c r="AX359" s="46">
        <f t="shared" si="3"/>
        <v>0</v>
      </c>
      <c r="AY359" s="46">
        <f t="shared" si="4"/>
        <v>0</v>
      </c>
      <c r="AZ359" s="56" t="str">
        <f t="shared" si="5"/>
        <v/>
      </c>
    </row>
    <row r="360" ht="15.75" customHeight="1">
      <c r="A360" s="82"/>
      <c r="B360" s="83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5"/>
      <c r="AK360" s="85"/>
      <c r="AL360" s="103"/>
      <c r="AM360" s="104"/>
      <c r="AN360" s="103"/>
      <c r="AO360" s="104"/>
      <c r="AP360" s="103"/>
      <c r="AQ360" s="104"/>
      <c r="AR360" s="84"/>
      <c r="AS360" s="84"/>
      <c r="AT360" s="84"/>
      <c r="AU360" s="84"/>
      <c r="AV360" s="84"/>
      <c r="AW360" s="84"/>
      <c r="AX360" s="84"/>
      <c r="AY360" s="84"/>
      <c r="AZ360" s="84"/>
    </row>
    <row r="361" ht="15.75" customHeight="1">
      <c r="A361" s="82"/>
      <c r="B361" s="83"/>
      <c r="C361" s="84"/>
      <c r="D361" s="107" t="s">
        <v>81</v>
      </c>
      <c r="E361" s="108">
        <v>0.054</v>
      </c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5"/>
      <c r="AK361" s="85"/>
      <c r="AL361" s="103"/>
      <c r="AM361" s="104"/>
      <c r="AN361" s="103"/>
      <c r="AO361" s="104"/>
      <c r="AP361" s="103"/>
      <c r="AQ361" s="105"/>
      <c r="AR361" s="86"/>
      <c r="AS361" s="86"/>
      <c r="AT361" s="86"/>
      <c r="AU361" s="86"/>
      <c r="AV361" s="87">
        <f>SUM(AV3:AV359)</f>
        <v>1257451.069</v>
      </c>
      <c r="AW361" s="88" t="s">
        <v>71</v>
      </c>
      <c r="AX361" s="86"/>
      <c r="AY361" s="89">
        <f>SUM(AY3:AY359)</f>
        <v>102926</v>
      </c>
      <c r="AZ361" s="84"/>
    </row>
    <row r="362" ht="15.75" customHeight="1">
      <c r="A362" s="82"/>
      <c r="B362" s="83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5"/>
      <c r="AK362" s="85"/>
      <c r="AL362" s="103"/>
      <c r="AM362" s="104"/>
      <c r="AN362" s="103"/>
      <c r="AO362" s="104"/>
      <c r="AP362" s="103"/>
      <c r="AQ362" s="105"/>
      <c r="AR362" s="86"/>
      <c r="AS362" s="86"/>
      <c r="AT362" s="86"/>
      <c r="AU362" s="86"/>
      <c r="AV362" s="90">
        <f>452812*(1+$E$361)</f>
        <v>477263.848</v>
      </c>
      <c r="AW362" s="88" t="s">
        <v>72</v>
      </c>
      <c r="AX362" s="86"/>
      <c r="AY362" s="86"/>
      <c r="AZ362" s="84"/>
    </row>
    <row r="363" ht="15.75" customHeight="1">
      <c r="A363" s="82"/>
      <c r="B363" s="83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5"/>
      <c r="AK363" s="85"/>
      <c r="AL363" s="103"/>
      <c r="AM363" s="104"/>
      <c r="AN363" s="103"/>
      <c r="AO363" s="104"/>
      <c r="AP363" s="103"/>
      <c r="AQ363" s="105"/>
      <c r="AR363" s="86"/>
      <c r="AS363" s="86"/>
      <c r="AT363" s="86"/>
      <c r="AU363" s="86"/>
      <c r="AV363" s="87">
        <f>sum(AV361:AV362)</f>
        <v>1734714.917</v>
      </c>
      <c r="AW363" s="88" t="s">
        <v>73</v>
      </c>
      <c r="AX363" s="86"/>
      <c r="AY363" s="86"/>
      <c r="AZ363" s="84"/>
    </row>
    <row r="364" ht="15.75" customHeight="1">
      <c r="A364" s="82"/>
      <c r="B364" s="83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5"/>
      <c r="AK364" s="85"/>
      <c r="AL364" s="103"/>
      <c r="AM364" s="104"/>
      <c r="AN364" s="103"/>
      <c r="AO364" s="104"/>
      <c r="AP364" s="103"/>
      <c r="AQ364" s="105"/>
      <c r="AR364" s="86"/>
      <c r="AS364" s="86"/>
      <c r="AT364" s="86"/>
      <c r="AU364" s="86"/>
      <c r="AV364" s="86"/>
      <c r="AW364" s="86"/>
      <c r="AX364" s="86"/>
      <c r="AY364" s="86"/>
      <c r="AZ364" s="84"/>
    </row>
    <row r="365" ht="15.75" customHeight="1">
      <c r="A365" s="82"/>
      <c r="B365" s="83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5"/>
      <c r="AK365" s="85"/>
      <c r="AL365" s="103"/>
      <c r="AM365" s="104"/>
      <c r="AN365" s="103"/>
      <c r="AO365" s="104"/>
      <c r="AP365" s="103"/>
      <c r="AQ365" s="105"/>
      <c r="AR365" s="86"/>
      <c r="AS365" s="86"/>
      <c r="AT365" s="86"/>
      <c r="AU365" s="91" t="s">
        <v>74</v>
      </c>
      <c r="AV365" s="92" t="s">
        <v>75</v>
      </c>
      <c r="AW365" s="92" t="s">
        <v>76</v>
      </c>
      <c r="AX365" s="92" t="s">
        <v>77</v>
      </c>
      <c r="AY365" s="88" t="s">
        <v>78</v>
      </c>
      <c r="AZ365" s="84"/>
    </row>
    <row r="366" ht="15.75" customHeight="1">
      <c r="A366" s="82"/>
      <c r="B366" s="83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5"/>
      <c r="AK366" s="85"/>
      <c r="AL366" s="103"/>
      <c r="AM366" s="104"/>
      <c r="AN366" s="103"/>
      <c r="AO366" s="104"/>
      <c r="AP366" s="103"/>
      <c r="AQ366" s="105"/>
      <c r="AR366" s="86"/>
      <c r="AS366" s="86"/>
      <c r="AT366" s="86"/>
      <c r="AU366" s="91">
        <v>1.0</v>
      </c>
      <c r="AV366" s="93">
        <f t="shared" ref="AV366:AV378" si="7">SUMIF($C$3:$C$359, AU366, $AV$3:$AV$359)</f>
        <v>37940.838</v>
      </c>
      <c r="AW366" s="91">
        <f>sum(R3:AC30)</f>
        <v>3550</v>
      </c>
      <c r="AX366" s="92">
        <v>0.0</v>
      </c>
      <c r="AY366" s="88">
        <v>0.0</v>
      </c>
      <c r="AZ366" s="84"/>
    </row>
    <row r="367" ht="15.75" customHeight="1">
      <c r="A367" s="82"/>
      <c r="B367" s="83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5"/>
      <c r="AK367" s="85"/>
      <c r="AL367" s="103"/>
      <c r="AM367" s="104"/>
      <c r="AN367" s="103"/>
      <c r="AO367" s="104"/>
      <c r="AP367" s="103"/>
      <c r="AQ367" s="105"/>
      <c r="AR367" s="86"/>
      <c r="AS367" s="86"/>
      <c r="AT367" s="86"/>
      <c r="AU367" s="91">
        <v>2.0</v>
      </c>
      <c r="AV367" s="93">
        <f t="shared" si="7"/>
        <v>202279.7064</v>
      </c>
      <c r="AW367" s="91">
        <f>sum(R31:AC58)</f>
        <v>9492</v>
      </c>
      <c r="AX367" s="91">
        <f>sum(F31:Q58)</f>
        <v>4715</v>
      </c>
      <c r="AY367" s="88">
        <v>0.0</v>
      </c>
      <c r="AZ367" s="84"/>
    </row>
    <row r="368" ht="15.75" customHeight="1">
      <c r="A368" s="9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5"/>
      <c r="AK368" s="85"/>
      <c r="AL368" s="103"/>
      <c r="AM368" s="104"/>
      <c r="AN368" s="103"/>
      <c r="AO368" s="104"/>
      <c r="AP368" s="103"/>
      <c r="AQ368" s="105"/>
      <c r="AR368" s="86"/>
      <c r="AS368" s="86"/>
      <c r="AT368" s="86"/>
      <c r="AU368" s="91">
        <v>3.0</v>
      </c>
      <c r="AV368" s="93">
        <f t="shared" si="7"/>
        <v>324288.396</v>
      </c>
      <c r="AW368" s="91">
        <f>sum(R59:AC86)</f>
        <v>14915</v>
      </c>
      <c r="AX368" s="91">
        <f>sum(F59:Q86)</f>
        <v>7710</v>
      </c>
      <c r="AY368" s="88">
        <v>0.0</v>
      </c>
      <c r="AZ368" s="84"/>
    </row>
    <row r="369" ht="15.75" customHeight="1">
      <c r="A369" s="9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5"/>
      <c r="AK369" s="85"/>
      <c r="AL369" s="103"/>
      <c r="AM369" s="104"/>
      <c r="AN369" s="103"/>
      <c r="AO369" s="104"/>
      <c r="AP369" s="103"/>
      <c r="AQ369" s="105"/>
      <c r="AR369" s="86"/>
      <c r="AS369" s="86"/>
      <c r="AT369" s="86"/>
      <c r="AU369" s="91">
        <v>4.0</v>
      </c>
      <c r="AV369" s="93">
        <f t="shared" si="7"/>
        <v>100123.1385</v>
      </c>
      <c r="AW369" s="91">
        <f>sum(R87:AC114)</f>
        <v>8386</v>
      </c>
      <c r="AX369" s="91">
        <v>0.0</v>
      </c>
      <c r="AY369" s="86">
        <f>sum(AD87:AI114)</f>
        <v>400</v>
      </c>
      <c r="AZ369" s="84"/>
    </row>
    <row r="370" ht="15.75" customHeight="1">
      <c r="A370" s="9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5"/>
      <c r="AK370" s="85"/>
      <c r="AL370" s="103"/>
      <c r="AM370" s="104"/>
      <c r="AN370" s="103"/>
      <c r="AO370" s="104"/>
      <c r="AP370" s="103"/>
      <c r="AQ370" s="105"/>
      <c r="AR370" s="86"/>
      <c r="AS370" s="86"/>
      <c r="AT370" s="86"/>
      <c r="AU370" s="91">
        <v>5.0</v>
      </c>
      <c r="AV370" s="93">
        <f t="shared" si="7"/>
        <v>90977.6964</v>
      </c>
      <c r="AW370" s="91">
        <f>sum(R115:AC142)</f>
        <v>7440</v>
      </c>
      <c r="AX370" s="91">
        <v>0.0</v>
      </c>
      <c r="AY370" s="86">
        <f>sum(AD115:AI142)</f>
        <v>750</v>
      </c>
      <c r="AZ370" s="84"/>
    </row>
    <row r="371" ht="15.75" customHeight="1">
      <c r="A371" s="9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5"/>
      <c r="AK371" s="85"/>
      <c r="AL371" s="103"/>
      <c r="AM371" s="104"/>
      <c r="AN371" s="103"/>
      <c r="AO371" s="104"/>
      <c r="AP371" s="103"/>
      <c r="AQ371" s="105"/>
      <c r="AR371" s="86"/>
      <c r="AS371" s="86"/>
      <c r="AT371" s="86"/>
      <c r="AU371" s="91">
        <v>6.0</v>
      </c>
      <c r="AV371" s="93">
        <f t="shared" si="7"/>
        <v>95140.65912</v>
      </c>
      <c r="AW371" s="91">
        <f>sum(R143:AC170)</f>
        <v>7452</v>
      </c>
      <c r="AX371" s="91">
        <v>0.0</v>
      </c>
      <c r="AY371" s="86">
        <f>sum(AD143:AI170)</f>
        <v>1014</v>
      </c>
      <c r="AZ371" s="84"/>
    </row>
    <row r="372" ht="15.75" customHeight="1">
      <c r="A372" s="9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5"/>
      <c r="AK372" s="85"/>
      <c r="AL372" s="103"/>
      <c r="AM372" s="104"/>
      <c r="AN372" s="103"/>
      <c r="AO372" s="104"/>
      <c r="AP372" s="103"/>
      <c r="AQ372" s="105"/>
      <c r="AR372" s="86"/>
      <c r="AS372" s="86"/>
      <c r="AT372" s="86"/>
      <c r="AU372" s="91">
        <v>7.0</v>
      </c>
      <c r="AV372" s="93">
        <f t="shared" si="7"/>
        <v>84390.9342</v>
      </c>
      <c r="AW372" s="91">
        <f>sum(R171:AC198)</f>
        <v>6695</v>
      </c>
      <c r="AX372" s="91">
        <v>0.0</v>
      </c>
      <c r="AY372" s="86">
        <f>sum(AD171:AI198)</f>
        <v>840</v>
      </c>
      <c r="AZ372" s="84"/>
    </row>
    <row r="373" ht="15.75" customHeight="1">
      <c r="A373" s="9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5"/>
      <c r="AK373" s="85"/>
      <c r="AL373" s="103"/>
      <c r="AM373" s="104"/>
      <c r="AN373" s="103"/>
      <c r="AO373" s="104"/>
      <c r="AP373" s="103"/>
      <c r="AQ373" s="105"/>
      <c r="AR373" s="86"/>
      <c r="AS373" s="86"/>
      <c r="AT373" s="86"/>
      <c r="AU373" s="91">
        <v>8.0</v>
      </c>
      <c r="AV373" s="93">
        <f t="shared" si="7"/>
        <v>101745.4026</v>
      </c>
      <c r="AW373" s="91">
        <f>sum(R199:AC226)</f>
        <v>8376</v>
      </c>
      <c r="AX373" s="91">
        <v>0.0</v>
      </c>
      <c r="AY373" s="86">
        <f>sum(AD199:AI226)</f>
        <v>800</v>
      </c>
      <c r="AZ373" s="84"/>
    </row>
    <row r="374" ht="15.75" customHeight="1">
      <c r="A374" s="9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5"/>
      <c r="AK374" s="85"/>
      <c r="AL374" s="103"/>
      <c r="AM374" s="104"/>
      <c r="AN374" s="103"/>
      <c r="AO374" s="104"/>
      <c r="AP374" s="103"/>
      <c r="AQ374" s="105"/>
      <c r="AR374" s="86"/>
      <c r="AS374" s="86"/>
      <c r="AT374" s="86"/>
      <c r="AU374" s="91">
        <v>9.0</v>
      </c>
      <c r="AV374" s="93">
        <f t="shared" si="7"/>
        <v>67133.6868</v>
      </c>
      <c r="AW374" s="91">
        <f>sum(R227:AC254)</f>
        <v>4780</v>
      </c>
      <c r="AX374" s="91">
        <v>0.0</v>
      </c>
      <c r="AY374" s="86">
        <f>sum(AD227:AI254)</f>
        <v>1050</v>
      </c>
      <c r="AZ374" s="84"/>
    </row>
    <row r="375" ht="15.75" customHeight="1">
      <c r="A375" s="9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5"/>
      <c r="AK375" s="85"/>
      <c r="AL375" s="103"/>
      <c r="AM375" s="104"/>
      <c r="AN375" s="103"/>
      <c r="AO375" s="104"/>
      <c r="AP375" s="103"/>
      <c r="AQ375" s="105"/>
      <c r="AR375" s="86"/>
      <c r="AS375" s="86"/>
      <c r="AT375" s="86"/>
      <c r="AU375" s="91">
        <v>10.0</v>
      </c>
      <c r="AV375" s="93">
        <f t="shared" si="7"/>
        <v>68998.88736</v>
      </c>
      <c r="AW375" s="91">
        <f>sum(R255:AC282)</f>
        <v>6456</v>
      </c>
      <c r="AX375" s="91">
        <v>0.0</v>
      </c>
      <c r="AY375" s="86">
        <f>sum(AD255:AI282)</f>
        <v>0</v>
      </c>
      <c r="AZ375" s="84"/>
    </row>
    <row r="376" ht="15.75" customHeight="1">
      <c r="A376" s="9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5"/>
      <c r="AK376" s="85"/>
      <c r="AL376" s="103"/>
      <c r="AM376" s="104"/>
      <c r="AN376" s="103"/>
      <c r="AO376" s="104"/>
      <c r="AP376" s="103"/>
      <c r="AQ376" s="105"/>
      <c r="AR376" s="86"/>
      <c r="AS376" s="86"/>
      <c r="AT376" s="86"/>
      <c r="AU376" s="91">
        <v>11.0</v>
      </c>
      <c r="AV376" s="93">
        <f t="shared" si="7"/>
        <v>44887.752</v>
      </c>
      <c r="AW376" s="91">
        <f>sum(R283:AC310)</f>
        <v>4200</v>
      </c>
      <c r="AX376" s="91">
        <v>0.0</v>
      </c>
      <c r="AY376" s="88">
        <v>0.0</v>
      </c>
      <c r="AZ376" s="84"/>
    </row>
    <row r="377" ht="15.75" customHeight="1">
      <c r="A377" s="9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5"/>
      <c r="AK377" s="85"/>
      <c r="AL377" s="103"/>
      <c r="AM377" s="104"/>
      <c r="AN377" s="103"/>
      <c r="AO377" s="104"/>
      <c r="AP377" s="103"/>
      <c r="AQ377" s="105"/>
      <c r="AR377" s="86"/>
      <c r="AS377" s="86"/>
      <c r="AT377" s="86"/>
      <c r="AU377" s="91">
        <v>12.0</v>
      </c>
      <c r="AV377" s="93">
        <f t="shared" si="7"/>
        <v>28856.412</v>
      </c>
      <c r="AW377" s="91">
        <f>sum(R311:AC338)</f>
        <v>2700</v>
      </c>
      <c r="AX377" s="91">
        <v>0.0</v>
      </c>
      <c r="AY377" s="88">
        <v>0.0</v>
      </c>
      <c r="AZ377" s="84"/>
    </row>
    <row r="378" ht="15.75" customHeight="1">
      <c r="A378" s="9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5"/>
      <c r="AK378" s="85"/>
      <c r="AL378" s="103"/>
      <c r="AM378" s="104"/>
      <c r="AN378" s="103"/>
      <c r="AO378" s="104"/>
      <c r="AP378" s="103"/>
      <c r="AQ378" s="105"/>
      <c r="AR378" s="86"/>
      <c r="AS378" s="86"/>
      <c r="AT378" s="86"/>
      <c r="AU378" s="91">
        <v>13.0</v>
      </c>
      <c r="AV378" s="93">
        <f t="shared" si="7"/>
        <v>10687.56</v>
      </c>
      <c r="AW378" s="91">
        <f>sum(R339:AC359)</f>
        <v>1000</v>
      </c>
      <c r="AX378" s="91">
        <v>0.0</v>
      </c>
      <c r="AY378" s="88">
        <v>0.0</v>
      </c>
      <c r="AZ378" s="84"/>
    </row>
    <row r="379" ht="15.75" customHeight="1">
      <c r="A379" s="9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5"/>
      <c r="AK379" s="85"/>
      <c r="AL379" s="103"/>
      <c r="AM379" s="104"/>
      <c r="AN379" s="103"/>
      <c r="AO379" s="104"/>
      <c r="AP379" s="103"/>
      <c r="AQ379" s="105"/>
      <c r="AR379" s="86"/>
      <c r="AS379" s="86"/>
      <c r="AT379" s="86"/>
      <c r="AU379" s="86"/>
      <c r="AV379" s="86"/>
      <c r="AW379" s="86"/>
      <c r="AX379" s="86"/>
      <c r="AY379" s="86"/>
      <c r="AZ379" s="84"/>
    </row>
    <row r="380" ht="15.75" customHeight="1">
      <c r="A380" s="9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5"/>
      <c r="AK380" s="85"/>
      <c r="AL380" s="103"/>
      <c r="AM380" s="104"/>
      <c r="AN380" s="103"/>
      <c r="AO380" s="104"/>
      <c r="AP380" s="103"/>
      <c r="AQ380" s="104"/>
      <c r="AR380" s="84"/>
      <c r="AS380" s="84"/>
      <c r="AT380" s="84"/>
      <c r="AU380" s="84"/>
      <c r="AV380" s="84"/>
      <c r="AW380" s="84"/>
      <c r="AX380" s="84"/>
      <c r="AY380" s="84"/>
      <c r="AZ380" s="84"/>
    </row>
    <row r="381" ht="15.75" customHeight="1">
      <c r="A381" s="9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5"/>
      <c r="AK381" s="85"/>
      <c r="AL381" s="103"/>
      <c r="AM381" s="104"/>
      <c r="AN381" s="103"/>
      <c r="AO381" s="104"/>
      <c r="AP381" s="103"/>
      <c r="AQ381" s="104"/>
      <c r="AR381" s="84"/>
      <c r="AS381" s="84"/>
      <c r="AT381" s="84"/>
      <c r="AU381" s="84"/>
      <c r="AV381" s="84"/>
      <c r="AW381" s="84">
        <f>sum(AW366:AW378)*U2</f>
        <v>913166.5015</v>
      </c>
      <c r="AX381" s="84">
        <f>sum(AX366:AX378)*I2</f>
        <v>265716.8255</v>
      </c>
      <c r="AY381" s="84">
        <f>sum(AY366:AY378)*AG2</f>
        <v>74183.682</v>
      </c>
      <c r="AZ381" s="84"/>
    </row>
    <row r="382" ht="15.75" customHeight="1">
      <c r="A382" s="9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5"/>
      <c r="AK382" s="85"/>
      <c r="AL382" s="103"/>
      <c r="AM382" s="104"/>
      <c r="AN382" s="103"/>
      <c r="AO382" s="104"/>
      <c r="AP382" s="103"/>
      <c r="AQ382" s="104"/>
      <c r="AR382" s="84"/>
      <c r="AS382" s="84"/>
      <c r="AT382" s="84"/>
      <c r="AU382" s="84"/>
      <c r="AV382" s="84"/>
      <c r="AW382" s="84"/>
      <c r="AX382" s="84"/>
      <c r="AY382" s="84"/>
      <c r="AZ382" s="84"/>
    </row>
    <row r="383" ht="15.75" customHeight="1">
      <c r="A383" s="9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5"/>
      <c r="AK383" s="85"/>
      <c r="AL383" s="103"/>
      <c r="AM383" s="104"/>
      <c r="AN383" s="103"/>
      <c r="AO383" s="104"/>
      <c r="AP383" s="103"/>
      <c r="AQ383" s="104"/>
      <c r="AR383" s="84"/>
      <c r="AS383" s="84"/>
      <c r="AT383" s="84"/>
      <c r="AU383" s="84"/>
      <c r="AV383" s="84"/>
      <c r="AW383" s="84"/>
      <c r="AX383" s="84"/>
      <c r="AY383" s="84"/>
      <c r="AZ383" s="84"/>
    </row>
    <row r="384" ht="15.75" customHeight="1">
      <c r="A384" s="9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5"/>
      <c r="AK384" s="85"/>
      <c r="AL384" s="103"/>
      <c r="AM384" s="104"/>
      <c r="AN384" s="103"/>
      <c r="AO384" s="104"/>
      <c r="AP384" s="103"/>
      <c r="AQ384" s="104"/>
      <c r="AR384" s="84"/>
      <c r="AS384" s="84"/>
      <c r="AT384" s="84"/>
      <c r="AU384" s="84"/>
      <c r="AV384" s="84"/>
      <c r="AW384" s="84"/>
      <c r="AX384" s="84"/>
      <c r="AY384" s="84"/>
      <c r="AZ384" s="84"/>
    </row>
    <row r="385" ht="15.75" customHeight="1">
      <c r="A385" s="9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5"/>
      <c r="AK385" s="85"/>
      <c r="AL385" s="103"/>
      <c r="AM385" s="104"/>
      <c r="AN385" s="103"/>
      <c r="AO385" s="104"/>
      <c r="AP385" s="103"/>
      <c r="AQ385" s="104"/>
      <c r="AR385" s="84"/>
      <c r="AS385" s="84"/>
      <c r="AT385" s="84"/>
      <c r="AU385" s="84"/>
      <c r="AV385" s="84"/>
      <c r="AW385" s="84"/>
      <c r="AX385" s="84"/>
      <c r="AY385" s="84"/>
      <c r="AZ385" s="84"/>
    </row>
    <row r="386" ht="15.75" customHeight="1">
      <c r="A386" s="9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5"/>
      <c r="AK386" s="85"/>
      <c r="AL386" s="103"/>
      <c r="AM386" s="104"/>
      <c r="AN386" s="103"/>
      <c r="AO386" s="104"/>
      <c r="AP386" s="103"/>
      <c r="AQ386" s="104"/>
      <c r="AR386" s="84"/>
      <c r="AS386" s="84"/>
      <c r="AT386" s="84"/>
      <c r="AU386" s="84"/>
      <c r="AV386" s="84"/>
      <c r="AW386" s="84"/>
      <c r="AX386" s="84"/>
      <c r="AY386" s="84"/>
      <c r="AZ386" s="84"/>
    </row>
    <row r="387" ht="15.75" customHeight="1">
      <c r="A387" s="9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5"/>
      <c r="AK387" s="85"/>
      <c r="AL387" s="103"/>
      <c r="AM387" s="104"/>
      <c r="AN387" s="103"/>
      <c r="AO387" s="104"/>
      <c r="AP387" s="103"/>
      <c r="AQ387" s="104"/>
      <c r="AR387" s="84"/>
      <c r="AS387" s="84"/>
      <c r="AT387" s="84"/>
      <c r="AU387" s="84"/>
      <c r="AV387" s="84"/>
      <c r="AW387" s="84"/>
      <c r="AX387" s="84"/>
      <c r="AY387" s="84"/>
      <c r="AZ387" s="84"/>
    </row>
    <row r="388" ht="15.75" customHeight="1">
      <c r="A388" s="9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5"/>
      <c r="AK388" s="85"/>
      <c r="AL388" s="103"/>
      <c r="AM388" s="104"/>
      <c r="AN388" s="103"/>
      <c r="AO388" s="104"/>
      <c r="AP388" s="103"/>
      <c r="AQ388" s="104"/>
      <c r="AR388" s="84"/>
      <c r="AS388" s="84"/>
      <c r="AT388" s="84"/>
      <c r="AU388" s="84"/>
      <c r="AV388" s="84"/>
      <c r="AW388" s="84"/>
      <c r="AX388" s="84"/>
      <c r="AY388" s="84"/>
      <c r="AZ388" s="84"/>
    </row>
    <row r="389" ht="15.75" customHeight="1">
      <c r="A389" s="9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5"/>
      <c r="AK389" s="85"/>
      <c r="AL389" s="103"/>
      <c r="AM389" s="104"/>
      <c r="AN389" s="103"/>
      <c r="AO389" s="104"/>
      <c r="AP389" s="103"/>
      <c r="AQ389" s="104"/>
      <c r="AR389" s="84"/>
      <c r="AS389" s="84"/>
      <c r="AT389" s="84"/>
      <c r="AU389" s="84"/>
      <c r="AV389" s="84"/>
      <c r="AW389" s="84"/>
      <c r="AX389" s="84"/>
      <c r="AY389" s="84"/>
      <c r="AZ389" s="84"/>
    </row>
    <row r="390" ht="15.75" customHeight="1">
      <c r="A390" s="9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5"/>
      <c r="AK390" s="85"/>
      <c r="AL390" s="103"/>
      <c r="AM390" s="104"/>
      <c r="AN390" s="103"/>
      <c r="AO390" s="104"/>
      <c r="AP390" s="103"/>
      <c r="AQ390" s="104"/>
      <c r="AR390" s="84"/>
      <c r="AS390" s="84"/>
      <c r="AT390" s="84"/>
      <c r="AU390" s="84"/>
      <c r="AV390" s="84"/>
      <c r="AW390" s="84"/>
      <c r="AX390" s="84"/>
      <c r="AY390" s="84"/>
      <c r="AZ390" s="84"/>
    </row>
    <row r="391" ht="15.75" customHeight="1">
      <c r="A391" s="9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5"/>
      <c r="AK391" s="85"/>
      <c r="AL391" s="103"/>
      <c r="AM391" s="104"/>
      <c r="AN391" s="103"/>
      <c r="AO391" s="104"/>
      <c r="AP391" s="103"/>
      <c r="AQ391" s="104"/>
      <c r="AR391" s="84"/>
      <c r="AS391" s="84"/>
      <c r="AT391" s="84"/>
      <c r="AU391" s="84"/>
      <c r="AV391" s="84"/>
      <c r="AW391" s="84"/>
      <c r="AX391" s="84"/>
      <c r="AY391" s="84"/>
      <c r="AZ391" s="84"/>
    </row>
    <row r="392" ht="15.75" customHeight="1">
      <c r="A392" s="9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5"/>
      <c r="AK392" s="85"/>
      <c r="AL392" s="103"/>
      <c r="AM392" s="104"/>
      <c r="AN392" s="103"/>
      <c r="AO392" s="104"/>
      <c r="AP392" s="103"/>
      <c r="AQ392" s="104"/>
      <c r="AR392" s="84"/>
      <c r="AS392" s="84"/>
      <c r="AT392" s="84"/>
      <c r="AU392" s="84"/>
      <c r="AV392" s="84"/>
      <c r="AW392" s="84"/>
      <c r="AX392" s="84"/>
      <c r="AY392" s="84"/>
      <c r="AZ392" s="84"/>
    </row>
    <row r="393" ht="15.75" customHeight="1">
      <c r="A393" s="9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5"/>
      <c r="AK393" s="85"/>
      <c r="AL393" s="103"/>
      <c r="AM393" s="104"/>
      <c r="AN393" s="103"/>
      <c r="AO393" s="104"/>
      <c r="AP393" s="103"/>
      <c r="AQ393" s="104"/>
      <c r="AR393" s="84"/>
      <c r="AS393" s="84"/>
      <c r="AT393" s="84"/>
      <c r="AU393" s="84"/>
      <c r="AV393" s="84"/>
      <c r="AW393" s="84"/>
      <c r="AX393" s="84"/>
      <c r="AY393" s="84"/>
      <c r="AZ393" s="84"/>
    </row>
    <row r="394" ht="15.75" customHeight="1">
      <c r="A394" s="9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5"/>
      <c r="AK394" s="85"/>
      <c r="AL394" s="103"/>
      <c r="AM394" s="104"/>
      <c r="AN394" s="103"/>
      <c r="AO394" s="104"/>
      <c r="AP394" s="103"/>
      <c r="AQ394" s="104"/>
      <c r="AR394" s="84"/>
      <c r="AS394" s="84"/>
      <c r="AT394" s="84"/>
      <c r="AU394" s="84"/>
      <c r="AV394" s="84"/>
      <c r="AW394" s="84"/>
      <c r="AX394" s="84"/>
      <c r="AY394" s="84"/>
      <c r="AZ394" s="84"/>
    </row>
    <row r="395" ht="15.75" customHeight="1">
      <c r="A395" s="9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5"/>
      <c r="AK395" s="85"/>
      <c r="AL395" s="103"/>
      <c r="AM395" s="104"/>
      <c r="AN395" s="103"/>
      <c r="AO395" s="104"/>
      <c r="AP395" s="103"/>
      <c r="AQ395" s="104"/>
      <c r="AR395" s="84"/>
      <c r="AS395" s="84"/>
      <c r="AT395" s="84"/>
      <c r="AU395" s="84"/>
      <c r="AV395" s="84"/>
      <c r="AW395" s="84"/>
      <c r="AX395" s="84"/>
      <c r="AY395" s="84"/>
      <c r="AZ395" s="84"/>
    </row>
    <row r="396" ht="15.75" customHeight="1">
      <c r="A396" s="9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5"/>
      <c r="AK396" s="85"/>
      <c r="AL396" s="103"/>
      <c r="AM396" s="104"/>
      <c r="AN396" s="103"/>
      <c r="AO396" s="104"/>
      <c r="AP396" s="103"/>
      <c r="AQ396" s="104"/>
      <c r="AR396" s="84"/>
      <c r="AS396" s="84"/>
      <c r="AT396" s="84"/>
      <c r="AU396" s="84"/>
      <c r="AV396" s="84"/>
      <c r="AW396" s="84"/>
      <c r="AX396" s="84"/>
      <c r="AY396" s="84"/>
      <c r="AZ396" s="84"/>
    </row>
    <row r="397" ht="15.75" customHeight="1">
      <c r="A397" s="9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5"/>
      <c r="AK397" s="85"/>
      <c r="AL397" s="103"/>
      <c r="AM397" s="104"/>
      <c r="AN397" s="103"/>
      <c r="AO397" s="104"/>
      <c r="AP397" s="103"/>
      <c r="AQ397" s="104"/>
      <c r="AR397" s="84"/>
      <c r="AS397" s="84"/>
      <c r="AT397" s="84"/>
      <c r="AU397" s="84"/>
      <c r="AV397" s="84"/>
      <c r="AW397" s="84"/>
      <c r="AX397" s="84"/>
      <c r="AY397" s="84"/>
      <c r="AZ397" s="84"/>
    </row>
    <row r="398" ht="15.75" customHeight="1">
      <c r="A398" s="9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5"/>
      <c r="AK398" s="85"/>
      <c r="AL398" s="103"/>
      <c r="AM398" s="104"/>
      <c r="AN398" s="103"/>
      <c r="AO398" s="104"/>
      <c r="AP398" s="103"/>
      <c r="AQ398" s="104"/>
      <c r="AR398" s="84"/>
      <c r="AS398" s="84"/>
      <c r="AT398" s="84"/>
      <c r="AU398" s="84"/>
      <c r="AV398" s="84"/>
      <c r="AW398" s="84"/>
      <c r="AX398" s="84"/>
      <c r="AY398" s="84"/>
      <c r="AZ398" s="84"/>
    </row>
    <row r="399" ht="15.75" customHeight="1">
      <c r="A399" s="9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5"/>
      <c r="AK399" s="85"/>
      <c r="AL399" s="103"/>
      <c r="AM399" s="104"/>
      <c r="AN399" s="103"/>
      <c r="AO399" s="104"/>
      <c r="AP399" s="103"/>
      <c r="AQ399" s="104"/>
      <c r="AR399" s="84"/>
      <c r="AS399" s="84"/>
      <c r="AT399" s="84"/>
      <c r="AU399" s="84"/>
      <c r="AV399" s="84"/>
      <c r="AW399" s="84"/>
      <c r="AX399" s="84"/>
      <c r="AY399" s="84"/>
      <c r="AZ399" s="84"/>
    </row>
    <row r="400" ht="15.75" customHeight="1">
      <c r="A400" s="9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5"/>
      <c r="AK400" s="85"/>
      <c r="AL400" s="103"/>
      <c r="AM400" s="104"/>
      <c r="AN400" s="103"/>
      <c r="AO400" s="104"/>
      <c r="AP400" s="103"/>
      <c r="AQ400" s="104"/>
      <c r="AR400" s="84"/>
      <c r="AS400" s="84"/>
      <c r="AT400" s="84"/>
      <c r="AU400" s="84"/>
      <c r="AV400" s="84"/>
      <c r="AW400" s="84"/>
      <c r="AX400" s="84"/>
      <c r="AY400" s="84"/>
      <c r="AZ400" s="84"/>
    </row>
    <row r="401" ht="15.75" customHeight="1">
      <c r="A401" s="9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5"/>
      <c r="AK401" s="85"/>
      <c r="AL401" s="103"/>
      <c r="AM401" s="104"/>
      <c r="AN401" s="103"/>
      <c r="AO401" s="104"/>
      <c r="AP401" s="103"/>
      <c r="AQ401" s="104"/>
      <c r="AR401" s="84"/>
      <c r="AS401" s="84"/>
      <c r="AT401" s="84"/>
      <c r="AU401" s="84"/>
      <c r="AV401" s="84"/>
      <c r="AW401" s="84"/>
      <c r="AX401" s="84"/>
      <c r="AY401" s="84"/>
      <c r="AZ401" s="84"/>
    </row>
    <row r="402" ht="15.75" customHeight="1">
      <c r="A402" s="9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5"/>
      <c r="AK402" s="85"/>
      <c r="AL402" s="103"/>
      <c r="AM402" s="104"/>
      <c r="AN402" s="103"/>
      <c r="AO402" s="104"/>
      <c r="AP402" s="103"/>
      <c r="AQ402" s="104"/>
      <c r="AR402" s="84"/>
      <c r="AS402" s="84"/>
      <c r="AT402" s="84"/>
      <c r="AU402" s="84"/>
      <c r="AV402" s="84"/>
      <c r="AW402" s="84"/>
      <c r="AX402" s="84"/>
      <c r="AY402" s="84"/>
      <c r="AZ402" s="84"/>
    </row>
    <row r="403" ht="15.75" customHeight="1">
      <c r="A403" s="9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5"/>
      <c r="AK403" s="85"/>
      <c r="AL403" s="103"/>
      <c r="AM403" s="104"/>
      <c r="AN403" s="103"/>
      <c r="AO403" s="104"/>
      <c r="AP403" s="103"/>
      <c r="AQ403" s="104"/>
      <c r="AR403" s="84"/>
      <c r="AS403" s="84"/>
      <c r="AT403" s="84"/>
      <c r="AU403" s="84"/>
      <c r="AV403" s="84"/>
      <c r="AW403" s="84"/>
      <c r="AX403" s="84"/>
      <c r="AY403" s="84"/>
      <c r="AZ403" s="84"/>
    </row>
    <row r="404" ht="15.75" customHeight="1">
      <c r="A404" s="9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5"/>
      <c r="AK404" s="85"/>
      <c r="AL404" s="103"/>
      <c r="AM404" s="104"/>
      <c r="AN404" s="103"/>
      <c r="AO404" s="104"/>
      <c r="AP404" s="103"/>
      <c r="AQ404" s="104"/>
      <c r="AR404" s="84"/>
      <c r="AS404" s="84"/>
      <c r="AT404" s="84"/>
      <c r="AU404" s="84"/>
      <c r="AV404" s="84"/>
      <c r="AW404" s="84"/>
      <c r="AX404" s="84"/>
      <c r="AY404" s="84"/>
      <c r="AZ404" s="84"/>
    </row>
    <row r="405" ht="15.75" customHeight="1">
      <c r="A405" s="9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5"/>
      <c r="AK405" s="85"/>
      <c r="AL405" s="103"/>
      <c r="AM405" s="104"/>
      <c r="AN405" s="103"/>
      <c r="AO405" s="104"/>
      <c r="AP405" s="103"/>
      <c r="AQ405" s="104"/>
      <c r="AR405" s="84"/>
      <c r="AS405" s="84"/>
      <c r="AT405" s="84"/>
      <c r="AU405" s="84"/>
      <c r="AV405" s="84"/>
      <c r="AW405" s="84"/>
      <c r="AX405" s="84"/>
      <c r="AY405" s="84"/>
      <c r="AZ405" s="84"/>
    </row>
    <row r="406" ht="15.75" customHeight="1">
      <c r="A406" s="9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5"/>
      <c r="AK406" s="85"/>
      <c r="AL406" s="103"/>
      <c r="AM406" s="104"/>
      <c r="AN406" s="103"/>
      <c r="AO406" s="104"/>
      <c r="AP406" s="103"/>
      <c r="AQ406" s="104"/>
      <c r="AR406" s="84"/>
      <c r="AS406" s="84"/>
      <c r="AT406" s="84"/>
      <c r="AU406" s="84"/>
      <c r="AV406" s="84"/>
      <c r="AW406" s="84"/>
      <c r="AX406" s="84"/>
      <c r="AY406" s="84"/>
      <c r="AZ406" s="84"/>
    </row>
    <row r="407" ht="15.75" customHeight="1">
      <c r="A407" s="9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5"/>
      <c r="AK407" s="85"/>
      <c r="AL407" s="103"/>
      <c r="AM407" s="104"/>
      <c r="AN407" s="103"/>
      <c r="AO407" s="104"/>
      <c r="AP407" s="103"/>
      <c r="AQ407" s="104"/>
      <c r="AR407" s="84"/>
      <c r="AS407" s="84"/>
      <c r="AT407" s="84"/>
      <c r="AU407" s="84"/>
      <c r="AV407" s="84"/>
      <c r="AW407" s="84"/>
      <c r="AX407" s="84"/>
      <c r="AY407" s="84"/>
      <c r="AZ407" s="84"/>
    </row>
    <row r="408" ht="15.75" customHeight="1">
      <c r="A408" s="9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5"/>
      <c r="AK408" s="85"/>
      <c r="AL408" s="103"/>
      <c r="AM408" s="104"/>
      <c r="AN408" s="103"/>
      <c r="AO408" s="104"/>
      <c r="AP408" s="103"/>
      <c r="AQ408" s="104"/>
      <c r="AR408" s="84"/>
      <c r="AS408" s="84"/>
      <c r="AT408" s="84"/>
      <c r="AU408" s="84"/>
      <c r="AV408" s="84"/>
      <c r="AW408" s="84"/>
      <c r="AX408" s="84"/>
      <c r="AY408" s="84"/>
      <c r="AZ408" s="84"/>
    </row>
    <row r="409" ht="15.75" customHeight="1">
      <c r="A409" s="9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5"/>
      <c r="AK409" s="85"/>
      <c r="AL409" s="103"/>
      <c r="AM409" s="104"/>
      <c r="AN409" s="103"/>
      <c r="AO409" s="104"/>
      <c r="AP409" s="103"/>
      <c r="AQ409" s="104"/>
      <c r="AR409" s="84"/>
      <c r="AS409" s="84"/>
      <c r="AT409" s="84"/>
      <c r="AU409" s="84"/>
      <c r="AV409" s="84"/>
      <c r="AW409" s="84"/>
      <c r="AX409" s="84"/>
      <c r="AY409" s="84"/>
      <c r="AZ409" s="84"/>
    </row>
    <row r="410" ht="15.75" customHeight="1">
      <c r="A410" s="9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5"/>
      <c r="AK410" s="85"/>
      <c r="AL410" s="103"/>
      <c r="AM410" s="104"/>
      <c r="AN410" s="103"/>
      <c r="AO410" s="104"/>
      <c r="AP410" s="103"/>
      <c r="AQ410" s="104"/>
      <c r="AR410" s="84"/>
      <c r="AS410" s="84"/>
      <c r="AT410" s="84"/>
      <c r="AU410" s="84"/>
      <c r="AV410" s="84"/>
      <c r="AW410" s="84"/>
      <c r="AX410" s="84"/>
      <c r="AY410" s="84"/>
      <c r="AZ410" s="84"/>
    </row>
    <row r="411" ht="15.75" customHeight="1">
      <c r="A411" s="9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5"/>
      <c r="AK411" s="85"/>
      <c r="AL411" s="103"/>
      <c r="AM411" s="104"/>
      <c r="AN411" s="103"/>
      <c r="AO411" s="104"/>
      <c r="AP411" s="103"/>
      <c r="AQ411" s="104"/>
      <c r="AR411" s="84"/>
      <c r="AS411" s="84"/>
      <c r="AT411" s="84"/>
      <c r="AU411" s="84"/>
      <c r="AV411" s="84"/>
      <c r="AW411" s="84"/>
      <c r="AX411" s="84"/>
      <c r="AY411" s="84"/>
      <c r="AZ411" s="84"/>
    </row>
    <row r="412" ht="15.75" customHeight="1">
      <c r="A412" s="9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5"/>
      <c r="AK412" s="85"/>
      <c r="AL412" s="103"/>
      <c r="AM412" s="104"/>
      <c r="AN412" s="103"/>
      <c r="AO412" s="104"/>
      <c r="AP412" s="103"/>
      <c r="AQ412" s="104"/>
      <c r="AR412" s="84"/>
      <c r="AS412" s="84"/>
      <c r="AT412" s="84"/>
      <c r="AU412" s="84"/>
      <c r="AV412" s="84"/>
      <c r="AW412" s="84"/>
      <c r="AX412" s="84"/>
      <c r="AY412" s="84"/>
      <c r="AZ412" s="84"/>
    </row>
    <row r="413" ht="15.75" customHeight="1">
      <c r="A413" s="9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5"/>
      <c r="AK413" s="85"/>
      <c r="AL413" s="103"/>
      <c r="AM413" s="104"/>
      <c r="AN413" s="103"/>
      <c r="AO413" s="104"/>
      <c r="AP413" s="103"/>
      <c r="AQ413" s="104"/>
      <c r="AR413" s="84"/>
      <c r="AS413" s="84"/>
      <c r="AT413" s="84"/>
      <c r="AU413" s="84"/>
      <c r="AV413" s="84"/>
      <c r="AW413" s="84"/>
      <c r="AX413" s="84"/>
      <c r="AY413" s="84"/>
      <c r="AZ413" s="84"/>
    </row>
    <row r="414" ht="15.75" customHeight="1">
      <c r="A414" s="9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5"/>
      <c r="AK414" s="85"/>
      <c r="AL414" s="103"/>
      <c r="AM414" s="104"/>
      <c r="AN414" s="103"/>
      <c r="AO414" s="104"/>
      <c r="AP414" s="103"/>
      <c r="AQ414" s="104"/>
      <c r="AR414" s="84"/>
      <c r="AS414" s="84"/>
      <c r="AT414" s="84"/>
      <c r="AU414" s="84"/>
      <c r="AV414" s="84"/>
      <c r="AW414" s="84"/>
      <c r="AX414" s="84"/>
      <c r="AY414" s="84"/>
      <c r="AZ414" s="84"/>
    </row>
    <row r="415" ht="15.75" customHeight="1">
      <c r="A415" s="9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5"/>
      <c r="AK415" s="85"/>
      <c r="AL415" s="103"/>
      <c r="AM415" s="104"/>
      <c r="AN415" s="103"/>
      <c r="AO415" s="104"/>
      <c r="AP415" s="103"/>
      <c r="AQ415" s="104"/>
      <c r="AR415" s="84"/>
      <c r="AS415" s="84"/>
      <c r="AT415" s="84"/>
      <c r="AU415" s="84"/>
      <c r="AV415" s="84"/>
      <c r="AW415" s="84"/>
      <c r="AX415" s="84"/>
      <c r="AY415" s="84"/>
      <c r="AZ415" s="84"/>
    </row>
    <row r="416" ht="15.75" customHeight="1">
      <c r="A416" s="9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5"/>
      <c r="AK416" s="85"/>
      <c r="AL416" s="103"/>
      <c r="AM416" s="104"/>
      <c r="AN416" s="103"/>
      <c r="AO416" s="104"/>
      <c r="AP416" s="103"/>
      <c r="AQ416" s="104"/>
      <c r="AR416" s="84"/>
      <c r="AS416" s="84"/>
      <c r="AT416" s="84"/>
      <c r="AU416" s="84"/>
      <c r="AV416" s="84"/>
      <c r="AW416" s="84"/>
      <c r="AX416" s="84"/>
      <c r="AY416" s="84"/>
      <c r="AZ416" s="84"/>
    </row>
    <row r="417" ht="15.75" customHeight="1">
      <c r="A417" s="9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5"/>
      <c r="AK417" s="85"/>
      <c r="AL417" s="103"/>
      <c r="AM417" s="104"/>
      <c r="AN417" s="103"/>
      <c r="AO417" s="104"/>
      <c r="AP417" s="103"/>
      <c r="AQ417" s="104"/>
      <c r="AR417" s="84"/>
      <c r="AS417" s="84"/>
      <c r="AT417" s="84"/>
      <c r="AU417" s="84"/>
      <c r="AV417" s="84"/>
      <c r="AW417" s="84"/>
      <c r="AX417" s="84"/>
      <c r="AY417" s="84"/>
      <c r="AZ417" s="84"/>
    </row>
    <row r="418" ht="15.75" customHeight="1">
      <c r="A418" s="9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5"/>
      <c r="AK418" s="85"/>
      <c r="AL418" s="103"/>
      <c r="AM418" s="104"/>
      <c r="AN418" s="103"/>
      <c r="AO418" s="104"/>
      <c r="AP418" s="103"/>
      <c r="AQ418" s="104"/>
      <c r="AR418" s="84"/>
      <c r="AS418" s="84"/>
      <c r="AT418" s="84"/>
      <c r="AU418" s="84"/>
      <c r="AV418" s="84"/>
      <c r="AW418" s="84"/>
      <c r="AX418" s="84"/>
      <c r="AY418" s="84"/>
      <c r="AZ418" s="84"/>
    </row>
    <row r="419" ht="15.75" customHeight="1">
      <c r="A419" s="9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5"/>
      <c r="AK419" s="85"/>
      <c r="AL419" s="103"/>
      <c r="AM419" s="104"/>
      <c r="AN419" s="103"/>
      <c r="AO419" s="104"/>
      <c r="AP419" s="103"/>
      <c r="AQ419" s="104"/>
      <c r="AR419" s="84"/>
      <c r="AS419" s="84"/>
      <c r="AT419" s="84"/>
      <c r="AU419" s="84"/>
      <c r="AV419" s="84"/>
      <c r="AW419" s="84"/>
      <c r="AX419" s="84"/>
      <c r="AY419" s="84"/>
      <c r="AZ419" s="84"/>
    </row>
    <row r="420" ht="15.75" customHeight="1">
      <c r="A420" s="9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5"/>
      <c r="AK420" s="85"/>
      <c r="AL420" s="103"/>
      <c r="AM420" s="104"/>
      <c r="AN420" s="103"/>
      <c r="AO420" s="104"/>
      <c r="AP420" s="103"/>
      <c r="AQ420" s="104"/>
      <c r="AR420" s="84"/>
      <c r="AS420" s="84"/>
      <c r="AT420" s="84"/>
      <c r="AU420" s="84"/>
      <c r="AV420" s="84"/>
      <c r="AW420" s="84"/>
      <c r="AX420" s="84"/>
      <c r="AY420" s="84"/>
      <c r="AZ420" s="84"/>
    </row>
    <row r="421" ht="15.75" customHeight="1">
      <c r="A421" s="9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5"/>
      <c r="AK421" s="85"/>
      <c r="AL421" s="103"/>
      <c r="AM421" s="104"/>
      <c r="AN421" s="103"/>
      <c r="AO421" s="104"/>
      <c r="AP421" s="103"/>
      <c r="AQ421" s="104"/>
      <c r="AR421" s="84"/>
      <c r="AS421" s="84"/>
      <c r="AT421" s="84"/>
      <c r="AU421" s="84"/>
      <c r="AV421" s="84"/>
      <c r="AW421" s="84"/>
      <c r="AX421" s="84"/>
      <c r="AY421" s="84"/>
      <c r="AZ421" s="84"/>
    </row>
    <row r="422" ht="15.75" customHeight="1">
      <c r="A422" s="9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5"/>
      <c r="AK422" s="85"/>
      <c r="AL422" s="103"/>
      <c r="AM422" s="104"/>
      <c r="AN422" s="103"/>
      <c r="AO422" s="104"/>
      <c r="AP422" s="103"/>
      <c r="AQ422" s="104"/>
      <c r="AR422" s="84"/>
      <c r="AS422" s="84"/>
      <c r="AT422" s="84"/>
      <c r="AU422" s="84"/>
      <c r="AV422" s="84"/>
      <c r="AW422" s="84"/>
      <c r="AX422" s="84"/>
      <c r="AY422" s="84"/>
      <c r="AZ422" s="84"/>
    </row>
    <row r="423" ht="15.75" customHeight="1">
      <c r="A423" s="9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5"/>
      <c r="AK423" s="85"/>
      <c r="AL423" s="103"/>
      <c r="AM423" s="104"/>
      <c r="AN423" s="103"/>
      <c r="AO423" s="104"/>
      <c r="AP423" s="103"/>
      <c r="AQ423" s="104"/>
      <c r="AR423" s="84"/>
      <c r="AS423" s="84"/>
      <c r="AT423" s="84"/>
      <c r="AU423" s="84"/>
      <c r="AV423" s="84"/>
      <c r="AW423" s="84"/>
      <c r="AX423" s="84"/>
      <c r="AY423" s="84"/>
      <c r="AZ423" s="84"/>
    </row>
    <row r="424" ht="15.75" customHeight="1">
      <c r="A424" s="9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5"/>
      <c r="AK424" s="85"/>
      <c r="AL424" s="103"/>
      <c r="AM424" s="104"/>
      <c r="AN424" s="103"/>
      <c r="AO424" s="104"/>
      <c r="AP424" s="103"/>
      <c r="AQ424" s="104"/>
      <c r="AR424" s="84"/>
      <c r="AS424" s="84"/>
      <c r="AT424" s="84"/>
      <c r="AU424" s="84"/>
      <c r="AV424" s="84"/>
      <c r="AW424" s="84"/>
      <c r="AX424" s="84"/>
      <c r="AY424" s="84"/>
      <c r="AZ424" s="84"/>
    </row>
    <row r="425" ht="15.75" customHeight="1">
      <c r="A425" s="9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5"/>
      <c r="AK425" s="85"/>
      <c r="AL425" s="103"/>
      <c r="AM425" s="104"/>
      <c r="AN425" s="103"/>
      <c r="AO425" s="104"/>
      <c r="AP425" s="103"/>
      <c r="AQ425" s="104"/>
      <c r="AR425" s="84"/>
      <c r="AS425" s="84"/>
      <c r="AT425" s="84"/>
      <c r="AU425" s="84"/>
      <c r="AV425" s="84"/>
      <c r="AW425" s="84"/>
      <c r="AX425" s="84"/>
      <c r="AY425" s="84"/>
      <c r="AZ425" s="84"/>
    </row>
    <row r="426" ht="15.75" customHeight="1">
      <c r="A426" s="9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5"/>
      <c r="AK426" s="85"/>
      <c r="AL426" s="103"/>
      <c r="AM426" s="104"/>
      <c r="AN426" s="103"/>
      <c r="AO426" s="104"/>
      <c r="AP426" s="103"/>
      <c r="AQ426" s="104"/>
      <c r="AR426" s="84"/>
      <c r="AS426" s="84"/>
      <c r="AT426" s="84"/>
      <c r="AU426" s="84"/>
      <c r="AV426" s="84"/>
      <c r="AW426" s="84"/>
      <c r="AX426" s="84"/>
      <c r="AY426" s="84"/>
      <c r="AZ426" s="84"/>
    </row>
    <row r="427" ht="15.75" customHeight="1">
      <c r="A427" s="9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5"/>
      <c r="AK427" s="85"/>
      <c r="AL427" s="103"/>
      <c r="AM427" s="104"/>
      <c r="AN427" s="103"/>
      <c r="AO427" s="104"/>
      <c r="AP427" s="103"/>
      <c r="AQ427" s="104"/>
      <c r="AR427" s="84"/>
      <c r="AS427" s="84"/>
      <c r="AT427" s="84"/>
      <c r="AU427" s="84"/>
      <c r="AV427" s="84"/>
      <c r="AW427" s="84"/>
      <c r="AX427" s="84"/>
      <c r="AY427" s="84"/>
      <c r="AZ427" s="84"/>
    </row>
    <row r="428" ht="15.75" customHeight="1">
      <c r="A428" s="9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5"/>
      <c r="AK428" s="85"/>
      <c r="AL428" s="103"/>
      <c r="AM428" s="104"/>
      <c r="AN428" s="103"/>
      <c r="AO428" s="104"/>
      <c r="AP428" s="103"/>
      <c r="AQ428" s="104"/>
      <c r="AR428" s="84"/>
      <c r="AS428" s="84"/>
      <c r="AT428" s="84"/>
      <c r="AU428" s="84"/>
      <c r="AV428" s="84"/>
      <c r="AW428" s="84"/>
      <c r="AX428" s="84"/>
      <c r="AY428" s="84"/>
      <c r="AZ428" s="84"/>
    </row>
    <row r="429" ht="15.75" customHeight="1">
      <c r="A429" s="9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5"/>
      <c r="AK429" s="85"/>
      <c r="AL429" s="103"/>
      <c r="AM429" s="104"/>
      <c r="AN429" s="103"/>
      <c r="AO429" s="104"/>
      <c r="AP429" s="103"/>
      <c r="AQ429" s="104"/>
      <c r="AR429" s="84"/>
      <c r="AS429" s="84"/>
      <c r="AT429" s="84"/>
      <c r="AU429" s="84"/>
      <c r="AV429" s="84"/>
      <c r="AW429" s="84"/>
      <c r="AX429" s="84"/>
      <c r="AY429" s="84"/>
      <c r="AZ429" s="84"/>
    </row>
    <row r="430" ht="15.75" customHeight="1">
      <c r="A430" s="9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5"/>
      <c r="AK430" s="85"/>
      <c r="AL430" s="103"/>
      <c r="AM430" s="104"/>
      <c r="AN430" s="103"/>
      <c r="AO430" s="104"/>
      <c r="AP430" s="103"/>
      <c r="AQ430" s="104"/>
      <c r="AR430" s="84"/>
      <c r="AS430" s="84"/>
      <c r="AT430" s="84"/>
      <c r="AU430" s="84"/>
      <c r="AV430" s="84"/>
      <c r="AW430" s="84"/>
      <c r="AX430" s="84"/>
      <c r="AY430" s="84"/>
      <c r="AZ430" s="84"/>
    </row>
    <row r="431" ht="15.75" customHeight="1">
      <c r="A431" s="9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5"/>
      <c r="AK431" s="85"/>
      <c r="AL431" s="103"/>
      <c r="AM431" s="104"/>
      <c r="AN431" s="103"/>
      <c r="AO431" s="104"/>
      <c r="AP431" s="103"/>
      <c r="AQ431" s="104"/>
      <c r="AR431" s="84"/>
      <c r="AS431" s="84"/>
      <c r="AT431" s="84"/>
      <c r="AU431" s="84"/>
      <c r="AV431" s="84"/>
      <c r="AW431" s="84"/>
      <c r="AX431" s="84"/>
      <c r="AY431" s="84"/>
      <c r="AZ431" s="84"/>
    </row>
    <row r="432" ht="15.75" customHeight="1">
      <c r="A432" s="9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5"/>
      <c r="AK432" s="85"/>
      <c r="AL432" s="103"/>
      <c r="AM432" s="104"/>
      <c r="AN432" s="103"/>
      <c r="AO432" s="104"/>
      <c r="AP432" s="103"/>
      <c r="AQ432" s="104"/>
      <c r="AR432" s="84"/>
      <c r="AS432" s="84"/>
      <c r="AT432" s="84"/>
      <c r="AU432" s="84"/>
      <c r="AV432" s="84"/>
      <c r="AW432" s="84"/>
      <c r="AX432" s="84"/>
      <c r="AY432" s="84"/>
      <c r="AZ432" s="84"/>
    </row>
    <row r="433" ht="15.75" customHeight="1">
      <c r="A433" s="9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5"/>
      <c r="AK433" s="85"/>
      <c r="AL433" s="103"/>
      <c r="AM433" s="104"/>
      <c r="AN433" s="103"/>
      <c r="AO433" s="104"/>
      <c r="AP433" s="103"/>
      <c r="AQ433" s="104"/>
      <c r="AR433" s="84"/>
      <c r="AS433" s="84"/>
      <c r="AT433" s="84"/>
      <c r="AU433" s="84"/>
      <c r="AV433" s="84"/>
      <c r="AW433" s="84"/>
      <c r="AX433" s="84"/>
      <c r="AY433" s="84"/>
      <c r="AZ433" s="84"/>
    </row>
    <row r="434" ht="15.75" customHeight="1">
      <c r="A434" s="9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5"/>
      <c r="AK434" s="85"/>
      <c r="AL434" s="103"/>
      <c r="AM434" s="104"/>
      <c r="AN434" s="103"/>
      <c r="AO434" s="104"/>
      <c r="AP434" s="103"/>
      <c r="AQ434" s="104"/>
      <c r="AR434" s="84"/>
      <c r="AS434" s="84"/>
      <c r="AT434" s="84"/>
      <c r="AU434" s="84"/>
      <c r="AV434" s="84"/>
      <c r="AW434" s="84"/>
      <c r="AX434" s="84"/>
      <c r="AY434" s="84"/>
      <c r="AZ434" s="84"/>
    </row>
    <row r="435" ht="15.75" customHeight="1">
      <c r="A435" s="9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5"/>
      <c r="AK435" s="85"/>
      <c r="AL435" s="103"/>
      <c r="AM435" s="104"/>
      <c r="AN435" s="103"/>
      <c r="AO435" s="104"/>
      <c r="AP435" s="103"/>
      <c r="AQ435" s="104"/>
      <c r="AR435" s="84"/>
      <c r="AS435" s="84"/>
      <c r="AT435" s="84"/>
      <c r="AU435" s="84"/>
      <c r="AV435" s="84"/>
      <c r="AW435" s="84"/>
      <c r="AX435" s="84"/>
      <c r="AY435" s="84"/>
      <c r="AZ435" s="84"/>
    </row>
    <row r="436" ht="15.75" customHeight="1">
      <c r="A436" s="9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5"/>
      <c r="AK436" s="85"/>
      <c r="AL436" s="103"/>
      <c r="AM436" s="104"/>
      <c r="AN436" s="103"/>
      <c r="AO436" s="104"/>
      <c r="AP436" s="103"/>
      <c r="AQ436" s="104"/>
      <c r="AR436" s="84"/>
      <c r="AS436" s="84"/>
      <c r="AT436" s="84"/>
      <c r="AU436" s="84"/>
      <c r="AV436" s="84"/>
      <c r="AW436" s="84"/>
      <c r="AX436" s="84"/>
      <c r="AY436" s="84"/>
      <c r="AZ436" s="84"/>
    </row>
    <row r="437" ht="15.75" customHeight="1">
      <c r="A437" s="9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5"/>
      <c r="AK437" s="85"/>
      <c r="AL437" s="103"/>
      <c r="AM437" s="104"/>
      <c r="AN437" s="103"/>
      <c r="AO437" s="104"/>
      <c r="AP437" s="103"/>
      <c r="AQ437" s="104"/>
      <c r="AR437" s="84"/>
      <c r="AS437" s="84"/>
      <c r="AT437" s="84"/>
      <c r="AU437" s="84"/>
      <c r="AV437" s="84"/>
      <c r="AW437" s="84"/>
      <c r="AX437" s="84"/>
      <c r="AY437" s="84"/>
      <c r="AZ437" s="84"/>
    </row>
    <row r="438" ht="15.75" customHeight="1">
      <c r="A438" s="9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5"/>
      <c r="AK438" s="85"/>
      <c r="AL438" s="103"/>
      <c r="AM438" s="104"/>
      <c r="AN438" s="103"/>
      <c r="AO438" s="104"/>
      <c r="AP438" s="103"/>
      <c r="AQ438" s="104"/>
      <c r="AR438" s="84"/>
      <c r="AS438" s="84"/>
      <c r="AT438" s="84"/>
      <c r="AU438" s="84"/>
      <c r="AV438" s="84"/>
      <c r="AW438" s="84"/>
      <c r="AX438" s="84"/>
      <c r="AY438" s="84"/>
      <c r="AZ438" s="84"/>
    </row>
    <row r="439" ht="15.75" customHeight="1">
      <c r="A439" s="9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5"/>
      <c r="AK439" s="85"/>
      <c r="AL439" s="103"/>
      <c r="AM439" s="104"/>
      <c r="AN439" s="103"/>
      <c r="AO439" s="104"/>
      <c r="AP439" s="103"/>
      <c r="AQ439" s="104"/>
      <c r="AR439" s="84"/>
      <c r="AS439" s="84"/>
      <c r="AT439" s="84"/>
      <c r="AU439" s="84"/>
      <c r="AV439" s="84"/>
      <c r="AW439" s="84"/>
      <c r="AX439" s="84"/>
      <c r="AY439" s="84"/>
      <c r="AZ439" s="84"/>
    </row>
    <row r="440" ht="15.75" customHeight="1">
      <c r="A440" s="9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5"/>
      <c r="AK440" s="85"/>
      <c r="AL440" s="103"/>
      <c r="AM440" s="104"/>
      <c r="AN440" s="103"/>
      <c r="AO440" s="104"/>
      <c r="AP440" s="103"/>
      <c r="AQ440" s="104"/>
      <c r="AR440" s="84"/>
      <c r="AS440" s="84"/>
      <c r="AT440" s="84"/>
      <c r="AU440" s="84"/>
      <c r="AV440" s="84"/>
      <c r="AW440" s="84"/>
      <c r="AX440" s="84"/>
      <c r="AY440" s="84"/>
      <c r="AZ440" s="84"/>
    </row>
    <row r="441" ht="15.75" customHeight="1">
      <c r="A441" s="9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5"/>
      <c r="AK441" s="85"/>
      <c r="AL441" s="103"/>
      <c r="AM441" s="104"/>
      <c r="AN441" s="103"/>
      <c r="AO441" s="104"/>
      <c r="AP441" s="103"/>
      <c r="AQ441" s="104"/>
      <c r="AR441" s="84"/>
      <c r="AS441" s="84"/>
      <c r="AT441" s="84"/>
      <c r="AU441" s="84"/>
      <c r="AV441" s="84"/>
      <c r="AW441" s="84"/>
      <c r="AX441" s="84"/>
      <c r="AY441" s="84"/>
      <c r="AZ441" s="84"/>
    </row>
    <row r="442" ht="15.75" customHeight="1">
      <c r="A442" s="9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5"/>
      <c r="AK442" s="85"/>
      <c r="AL442" s="103"/>
      <c r="AM442" s="104"/>
      <c r="AN442" s="103"/>
      <c r="AO442" s="104"/>
      <c r="AP442" s="103"/>
      <c r="AQ442" s="104"/>
      <c r="AR442" s="84"/>
      <c r="AS442" s="84"/>
      <c r="AT442" s="84"/>
      <c r="AU442" s="84"/>
      <c r="AV442" s="84"/>
      <c r="AW442" s="84"/>
      <c r="AX442" s="84"/>
      <c r="AY442" s="84"/>
      <c r="AZ442" s="84"/>
    </row>
    <row r="443" ht="15.75" customHeight="1">
      <c r="A443" s="9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5"/>
      <c r="AK443" s="85"/>
      <c r="AL443" s="103"/>
      <c r="AM443" s="104"/>
      <c r="AN443" s="103"/>
      <c r="AO443" s="104"/>
      <c r="AP443" s="103"/>
      <c r="AQ443" s="104"/>
      <c r="AR443" s="84"/>
      <c r="AS443" s="84"/>
      <c r="AT443" s="84"/>
      <c r="AU443" s="84"/>
      <c r="AV443" s="84"/>
      <c r="AW443" s="84"/>
      <c r="AX443" s="84"/>
      <c r="AY443" s="84"/>
      <c r="AZ443" s="84"/>
    </row>
    <row r="444" ht="15.75" customHeight="1">
      <c r="A444" s="9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5"/>
      <c r="AK444" s="85"/>
      <c r="AL444" s="103"/>
      <c r="AM444" s="104"/>
      <c r="AN444" s="103"/>
      <c r="AO444" s="104"/>
      <c r="AP444" s="103"/>
      <c r="AQ444" s="104"/>
      <c r="AR444" s="84"/>
      <c r="AS444" s="84"/>
      <c r="AT444" s="84"/>
      <c r="AU444" s="84"/>
      <c r="AV444" s="84"/>
      <c r="AW444" s="84"/>
      <c r="AX444" s="84"/>
      <c r="AY444" s="84"/>
      <c r="AZ444" s="84"/>
    </row>
    <row r="445" ht="15.75" customHeight="1">
      <c r="A445" s="9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5"/>
      <c r="AK445" s="85"/>
      <c r="AL445" s="103"/>
      <c r="AM445" s="104"/>
      <c r="AN445" s="103"/>
      <c r="AO445" s="104"/>
      <c r="AP445" s="103"/>
      <c r="AQ445" s="104"/>
      <c r="AR445" s="84"/>
      <c r="AS445" s="84"/>
      <c r="AT445" s="84"/>
      <c r="AU445" s="84"/>
      <c r="AV445" s="84"/>
      <c r="AW445" s="84"/>
      <c r="AX445" s="84"/>
      <c r="AY445" s="84"/>
      <c r="AZ445" s="84"/>
    </row>
    <row r="446" ht="15.75" customHeight="1">
      <c r="A446" s="9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5"/>
      <c r="AK446" s="85"/>
      <c r="AL446" s="103"/>
      <c r="AM446" s="104"/>
      <c r="AN446" s="103"/>
      <c r="AO446" s="104"/>
      <c r="AP446" s="103"/>
      <c r="AQ446" s="104"/>
      <c r="AR446" s="84"/>
      <c r="AS446" s="84"/>
      <c r="AT446" s="84"/>
      <c r="AU446" s="84"/>
      <c r="AV446" s="84"/>
      <c r="AW446" s="84"/>
      <c r="AX446" s="84"/>
      <c r="AY446" s="84"/>
      <c r="AZ446" s="84"/>
    </row>
    <row r="447" ht="15.75" customHeight="1">
      <c r="A447" s="9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5"/>
      <c r="AK447" s="85"/>
      <c r="AL447" s="103"/>
      <c r="AM447" s="104"/>
      <c r="AN447" s="103"/>
      <c r="AO447" s="104"/>
      <c r="AP447" s="103"/>
      <c r="AQ447" s="104"/>
      <c r="AR447" s="84"/>
      <c r="AS447" s="84"/>
      <c r="AT447" s="84"/>
      <c r="AU447" s="84"/>
      <c r="AV447" s="84"/>
      <c r="AW447" s="84"/>
      <c r="AX447" s="84"/>
      <c r="AY447" s="84"/>
      <c r="AZ447" s="84"/>
    </row>
    <row r="448" ht="15.75" customHeight="1">
      <c r="A448" s="9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5"/>
      <c r="AK448" s="85"/>
      <c r="AL448" s="103"/>
      <c r="AM448" s="104"/>
      <c r="AN448" s="103"/>
      <c r="AO448" s="104"/>
      <c r="AP448" s="103"/>
      <c r="AQ448" s="104"/>
      <c r="AR448" s="84"/>
      <c r="AS448" s="84"/>
      <c r="AT448" s="84"/>
      <c r="AU448" s="84"/>
      <c r="AV448" s="84"/>
      <c r="AW448" s="84"/>
      <c r="AX448" s="84"/>
      <c r="AY448" s="84"/>
      <c r="AZ448" s="84"/>
    </row>
    <row r="449" ht="15.75" customHeight="1">
      <c r="A449" s="9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5"/>
      <c r="AK449" s="85"/>
      <c r="AL449" s="103"/>
      <c r="AM449" s="104"/>
      <c r="AN449" s="103"/>
      <c r="AO449" s="104"/>
      <c r="AP449" s="103"/>
      <c r="AQ449" s="104"/>
      <c r="AR449" s="84"/>
      <c r="AS449" s="84"/>
      <c r="AT449" s="84"/>
      <c r="AU449" s="84"/>
      <c r="AV449" s="84"/>
      <c r="AW449" s="84"/>
      <c r="AX449" s="84"/>
      <c r="AY449" s="84"/>
      <c r="AZ449" s="84"/>
    </row>
    <row r="450" ht="15.75" customHeight="1">
      <c r="A450" s="9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5"/>
      <c r="AK450" s="85"/>
      <c r="AL450" s="103"/>
      <c r="AM450" s="104"/>
      <c r="AN450" s="103"/>
      <c r="AO450" s="104"/>
      <c r="AP450" s="103"/>
      <c r="AQ450" s="104"/>
      <c r="AR450" s="84"/>
      <c r="AS450" s="84"/>
      <c r="AT450" s="84"/>
      <c r="AU450" s="84"/>
      <c r="AV450" s="84"/>
      <c r="AW450" s="84"/>
      <c r="AX450" s="84"/>
      <c r="AY450" s="84"/>
      <c r="AZ450" s="84"/>
    </row>
    <row r="451" ht="15.75" customHeight="1">
      <c r="A451" s="9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5"/>
      <c r="AK451" s="85"/>
      <c r="AL451" s="103"/>
      <c r="AM451" s="104"/>
      <c r="AN451" s="103"/>
      <c r="AO451" s="104"/>
      <c r="AP451" s="103"/>
      <c r="AQ451" s="104"/>
      <c r="AR451" s="84"/>
      <c r="AS451" s="84"/>
      <c r="AT451" s="84"/>
      <c r="AU451" s="84"/>
      <c r="AV451" s="84"/>
      <c r="AW451" s="84"/>
      <c r="AX451" s="84"/>
      <c r="AY451" s="84"/>
      <c r="AZ451" s="84"/>
    </row>
    <row r="452" ht="15.75" customHeight="1">
      <c r="A452" s="9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5"/>
      <c r="AK452" s="85"/>
      <c r="AL452" s="103"/>
      <c r="AM452" s="104"/>
      <c r="AN452" s="103"/>
      <c r="AO452" s="104"/>
      <c r="AP452" s="103"/>
      <c r="AQ452" s="104"/>
      <c r="AR452" s="84"/>
      <c r="AS452" s="84"/>
      <c r="AT452" s="84"/>
      <c r="AU452" s="84"/>
      <c r="AV452" s="84"/>
      <c r="AW452" s="84"/>
      <c r="AX452" s="84"/>
      <c r="AY452" s="84"/>
      <c r="AZ452" s="84"/>
    </row>
    <row r="453" ht="15.75" customHeight="1">
      <c r="A453" s="9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5"/>
      <c r="AK453" s="85"/>
      <c r="AL453" s="103"/>
      <c r="AM453" s="104"/>
      <c r="AN453" s="103"/>
      <c r="AO453" s="104"/>
      <c r="AP453" s="103"/>
      <c r="AQ453" s="104"/>
      <c r="AR453" s="84"/>
      <c r="AS453" s="84"/>
      <c r="AT453" s="84"/>
      <c r="AU453" s="84"/>
      <c r="AV453" s="84"/>
      <c r="AW453" s="84"/>
      <c r="AX453" s="84"/>
      <c r="AY453" s="84"/>
      <c r="AZ453" s="84"/>
    </row>
    <row r="454" ht="15.75" customHeight="1">
      <c r="A454" s="9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5"/>
      <c r="AK454" s="85"/>
      <c r="AL454" s="103"/>
      <c r="AM454" s="104"/>
      <c r="AN454" s="103"/>
      <c r="AO454" s="104"/>
      <c r="AP454" s="103"/>
      <c r="AQ454" s="104"/>
      <c r="AR454" s="84"/>
      <c r="AS454" s="84"/>
      <c r="AT454" s="84"/>
      <c r="AU454" s="84"/>
      <c r="AV454" s="84"/>
      <c r="AW454" s="84"/>
      <c r="AX454" s="84"/>
      <c r="AY454" s="84"/>
      <c r="AZ454" s="84"/>
    </row>
    <row r="455" ht="15.75" customHeight="1">
      <c r="A455" s="9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5"/>
      <c r="AK455" s="85"/>
      <c r="AL455" s="103"/>
      <c r="AM455" s="104"/>
      <c r="AN455" s="103"/>
      <c r="AO455" s="104"/>
      <c r="AP455" s="103"/>
      <c r="AQ455" s="104"/>
      <c r="AR455" s="84"/>
      <c r="AS455" s="84"/>
      <c r="AT455" s="84"/>
      <c r="AU455" s="84"/>
      <c r="AV455" s="84"/>
      <c r="AW455" s="84"/>
      <c r="AX455" s="84"/>
      <c r="AY455" s="84"/>
      <c r="AZ455" s="84"/>
    </row>
    <row r="456" ht="15.75" customHeight="1">
      <c r="A456" s="9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5"/>
      <c r="AK456" s="85"/>
      <c r="AL456" s="103"/>
      <c r="AM456" s="104"/>
      <c r="AN456" s="103"/>
      <c r="AO456" s="104"/>
      <c r="AP456" s="103"/>
      <c r="AQ456" s="104"/>
      <c r="AR456" s="84"/>
      <c r="AS456" s="84"/>
      <c r="AT456" s="84"/>
      <c r="AU456" s="84"/>
      <c r="AV456" s="84"/>
      <c r="AW456" s="84"/>
      <c r="AX456" s="84"/>
      <c r="AY456" s="84"/>
      <c r="AZ456" s="84"/>
    </row>
    <row r="457" ht="15.75" customHeight="1">
      <c r="A457" s="9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5"/>
      <c r="AK457" s="85"/>
      <c r="AL457" s="103"/>
      <c r="AM457" s="104"/>
      <c r="AN457" s="103"/>
      <c r="AO457" s="104"/>
      <c r="AP457" s="103"/>
      <c r="AQ457" s="104"/>
      <c r="AR457" s="84"/>
      <c r="AS457" s="84"/>
      <c r="AT457" s="84"/>
      <c r="AU457" s="84"/>
      <c r="AV457" s="84"/>
      <c r="AW457" s="84"/>
      <c r="AX457" s="84"/>
      <c r="AY457" s="84"/>
      <c r="AZ457" s="84"/>
    </row>
    <row r="458" ht="15.75" customHeight="1">
      <c r="A458" s="9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5"/>
      <c r="AK458" s="85"/>
      <c r="AL458" s="103"/>
      <c r="AM458" s="104"/>
      <c r="AN458" s="103"/>
      <c r="AO458" s="104"/>
      <c r="AP458" s="103"/>
      <c r="AQ458" s="104"/>
      <c r="AR458" s="84"/>
      <c r="AS458" s="84"/>
      <c r="AT458" s="84"/>
      <c r="AU458" s="84"/>
      <c r="AV458" s="84"/>
      <c r="AW458" s="84"/>
      <c r="AX458" s="84"/>
      <c r="AY458" s="84"/>
      <c r="AZ458" s="84"/>
    </row>
    <row r="459" ht="15.75" customHeight="1">
      <c r="A459" s="9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5"/>
      <c r="AK459" s="85"/>
      <c r="AL459" s="103"/>
      <c r="AM459" s="104"/>
      <c r="AN459" s="103"/>
      <c r="AO459" s="104"/>
      <c r="AP459" s="103"/>
      <c r="AQ459" s="104"/>
      <c r="AR459" s="84"/>
      <c r="AS459" s="84"/>
      <c r="AT459" s="84"/>
      <c r="AU459" s="84"/>
      <c r="AV459" s="84"/>
      <c r="AW459" s="84"/>
      <c r="AX459" s="84"/>
      <c r="AY459" s="84"/>
      <c r="AZ459" s="84"/>
    </row>
    <row r="460" ht="15.75" customHeight="1">
      <c r="A460" s="9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5"/>
      <c r="AK460" s="85"/>
      <c r="AL460" s="103"/>
      <c r="AM460" s="104"/>
      <c r="AN460" s="103"/>
      <c r="AO460" s="104"/>
      <c r="AP460" s="103"/>
      <c r="AQ460" s="104"/>
      <c r="AR460" s="84"/>
      <c r="AS460" s="84"/>
      <c r="AT460" s="84"/>
      <c r="AU460" s="84"/>
      <c r="AV460" s="84"/>
      <c r="AW460" s="84"/>
      <c r="AX460" s="84"/>
      <c r="AY460" s="84"/>
      <c r="AZ460" s="84"/>
    </row>
    <row r="461" ht="15.75" customHeight="1">
      <c r="A461" s="9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5"/>
      <c r="AK461" s="85"/>
      <c r="AL461" s="103"/>
      <c r="AM461" s="104"/>
      <c r="AN461" s="103"/>
      <c r="AO461" s="104"/>
      <c r="AP461" s="103"/>
      <c r="AQ461" s="104"/>
      <c r="AR461" s="84"/>
      <c r="AS461" s="84"/>
      <c r="AT461" s="84"/>
      <c r="AU461" s="84"/>
      <c r="AV461" s="84"/>
      <c r="AW461" s="84"/>
      <c r="AX461" s="84"/>
      <c r="AY461" s="84"/>
      <c r="AZ461" s="84"/>
    </row>
    <row r="462" ht="15.75" customHeight="1">
      <c r="A462" s="9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5"/>
      <c r="AK462" s="85"/>
      <c r="AL462" s="103"/>
      <c r="AM462" s="104"/>
      <c r="AN462" s="103"/>
      <c r="AO462" s="104"/>
      <c r="AP462" s="103"/>
      <c r="AQ462" s="104"/>
      <c r="AR462" s="84"/>
      <c r="AS462" s="84"/>
      <c r="AT462" s="84"/>
      <c r="AU462" s="84"/>
      <c r="AV462" s="84"/>
      <c r="AW462" s="84"/>
      <c r="AX462" s="84"/>
      <c r="AY462" s="84"/>
      <c r="AZ462" s="84"/>
    </row>
    <row r="463" ht="15.75" customHeight="1">
      <c r="A463" s="9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5"/>
      <c r="AK463" s="85"/>
      <c r="AL463" s="103"/>
      <c r="AM463" s="104"/>
      <c r="AN463" s="103"/>
      <c r="AO463" s="104"/>
      <c r="AP463" s="103"/>
      <c r="AQ463" s="104"/>
      <c r="AR463" s="84"/>
      <c r="AS463" s="84"/>
      <c r="AT463" s="84"/>
      <c r="AU463" s="84"/>
      <c r="AV463" s="84"/>
      <c r="AW463" s="84"/>
      <c r="AX463" s="84"/>
      <c r="AY463" s="84"/>
      <c r="AZ463" s="84"/>
    </row>
    <row r="464" ht="15.75" customHeight="1">
      <c r="A464" s="9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5"/>
      <c r="AK464" s="85"/>
      <c r="AL464" s="103"/>
      <c r="AM464" s="104"/>
      <c r="AN464" s="103"/>
      <c r="AO464" s="104"/>
      <c r="AP464" s="103"/>
      <c r="AQ464" s="104"/>
      <c r="AR464" s="84"/>
      <c r="AS464" s="84"/>
      <c r="AT464" s="84"/>
      <c r="AU464" s="84"/>
      <c r="AV464" s="84"/>
      <c r="AW464" s="84"/>
      <c r="AX464" s="84"/>
      <c r="AY464" s="84"/>
      <c r="AZ464" s="84"/>
    </row>
    <row r="465" ht="15.75" customHeight="1">
      <c r="A465" s="9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5"/>
      <c r="AK465" s="85"/>
      <c r="AL465" s="103"/>
      <c r="AM465" s="104"/>
      <c r="AN465" s="103"/>
      <c r="AO465" s="104"/>
      <c r="AP465" s="103"/>
      <c r="AQ465" s="104"/>
      <c r="AR465" s="84"/>
      <c r="AS465" s="84"/>
      <c r="AT465" s="84"/>
      <c r="AU465" s="84"/>
      <c r="AV465" s="84"/>
      <c r="AW465" s="84"/>
      <c r="AX465" s="84"/>
      <c r="AY465" s="84"/>
      <c r="AZ465" s="84"/>
    </row>
    <row r="466" ht="15.75" customHeight="1">
      <c r="A466" s="9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5"/>
      <c r="AK466" s="85"/>
      <c r="AL466" s="103"/>
      <c r="AM466" s="104"/>
      <c r="AN466" s="103"/>
      <c r="AO466" s="104"/>
      <c r="AP466" s="103"/>
      <c r="AQ466" s="104"/>
      <c r="AR466" s="84"/>
      <c r="AS466" s="84"/>
      <c r="AT466" s="84"/>
      <c r="AU466" s="84"/>
      <c r="AV466" s="84"/>
      <c r="AW466" s="84"/>
      <c r="AX466" s="84"/>
      <c r="AY466" s="84"/>
      <c r="AZ466" s="84"/>
    </row>
    <row r="467" ht="15.75" customHeight="1">
      <c r="A467" s="9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5"/>
      <c r="AK467" s="85"/>
      <c r="AL467" s="103"/>
      <c r="AM467" s="104"/>
      <c r="AN467" s="103"/>
      <c r="AO467" s="104"/>
      <c r="AP467" s="103"/>
      <c r="AQ467" s="104"/>
      <c r="AR467" s="84"/>
      <c r="AS467" s="84"/>
      <c r="AT467" s="84"/>
      <c r="AU467" s="84"/>
      <c r="AV467" s="84"/>
      <c r="AW467" s="84"/>
      <c r="AX467" s="84"/>
      <c r="AY467" s="84"/>
      <c r="AZ467" s="84"/>
    </row>
    <row r="468" ht="15.75" customHeight="1">
      <c r="A468" s="9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5"/>
      <c r="AK468" s="85"/>
      <c r="AL468" s="103"/>
      <c r="AM468" s="104"/>
      <c r="AN468" s="103"/>
      <c r="AO468" s="104"/>
      <c r="AP468" s="103"/>
      <c r="AQ468" s="104"/>
      <c r="AR468" s="84"/>
      <c r="AS468" s="84"/>
      <c r="AT468" s="84"/>
      <c r="AU468" s="84"/>
      <c r="AV468" s="84"/>
      <c r="AW468" s="84"/>
      <c r="AX468" s="84"/>
      <c r="AY468" s="84"/>
      <c r="AZ468" s="84"/>
    </row>
    <row r="469" ht="15.75" customHeight="1">
      <c r="A469" s="9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5"/>
      <c r="AK469" s="85"/>
      <c r="AL469" s="103"/>
      <c r="AM469" s="104"/>
      <c r="AN469" s="103"/>
      <c r="AO469" s="104"/>
      <c r="AP469" s="103"/>
      <c r="AQ469" s="104"/>
      <c r="AR469" s="84"/>
      <c r="AS469" s="84"/>
      <c r="AT469" s="84"/>
      <c r="AU469" s="84"/>
      <c r="AV469" s="84"/>
      <c r="AW469" s="84"/>
      <c r="AX469" s="84"/>
      <c r="AY469" s="84"/>
      <c r="AZ469" s="84"/>
    </row>
    <row r="470" ht="15.75" customHeight="1">
      <c r="A470" s="9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5"/>
      <c r="AK470" s="85"/>
      <c r="AL470" s="103"/>
      <c r="AM470" s="104"/>
      <c r="AN470" s="103"/>
      <c r="AO470" s="104"/>
      <c r="AP470" s="103"/>
      <c r="AQ470" s="104"/>
      <c r="AR470" s="84"/>
      <c r="AS470" s="84"/>
      <c r="AT470" s="84"/>
      <c r="AU470" s="84"/>
      <c r="AV470" s="84"/>
      <c r="AW470" s="84"/>
      <c r="AX470" s="84"/>
      <c r="AY470" s="84"/>
      <c r="AZ470" s="84"/>
    </row>
    <row r="471" ht="15.75" customHeight="1">
      <c r="A471" s="9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5"/>
      <c r="AK471" s="85"/>
      <c r="AL471" s="103"/>
      <c r="AM471" s="104"/>
      <c r="AN471" s="103"/>
      <c r="AO471" s="104"/>
      <c r="AP471" s="103"/>
      <c r="AQ471" s="104"/>
      <c r="AR471" s="84"/>
      <c r="AS471" s="84"/>
      <c r="AT471" s="84"/>
      <c r="AU471" s="84"/>
      <c r="AV471" s="84"/>
      <c r="AW471" s="84"/>
      <c r="AX471" s="84"/>
      <c r="AY471" s="84"/>
      <c r="AZ471" s="84"/>
    </row>
    <row r="472" ht="15.75" customHeight="1">
      <c r="A472" s="9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5"/>
      <c r="AK472" s="85"/>
      <c r="AL472" s="103"/>
      <c r="AM472" s="104"/>
      <c r="AN472" s="103"/>
      <c r="AO472" s="104"/>
      <c r="AP472" s="103"/>
      <c r="AQ472" s="104"/>
      <c r="AR472" s="84"/>
      <c r="AS472" s="84"/>
      <c r="AT472" s="84"/>
      <c r="AU472" s="84"/>
      <c r="AV472" s="84"/>
      <c r="AW472" s="84"/>
      <c r="AX472" s="84"/>
      <c r="AY472" s="84"/>
      <c r="AZ472" s="84"/>
    </row>
    <row r="473" ht="15.75" customHeight="1">
      <c r="A473" s="9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5"/>
      <c r="AK473" s="85"/>
      <c r="AL473" s="103"/>
      <c r="AM473" s="104"/>
      <c r="AN473" s="103"/>
      <c r="AO473" s="104"/>
      <c r="AP473" s="103"/>
      <c r="AQ473" s="104"/>
      <c r="AR473" s="84"/>
      <c r="AS473" s="84"/>
      <c r="AT473" s="84"/>
      <c r="AU473" s="84"/>
      <c r="AV473" s="84"/>
      <c r="AW473" s="84"/>
      <c r="AX473" s="84"/>
      <c r="AY473" s="84"/>
      <c r="AZ473" s="84"/>
    </row>
    <row r="474" ht="15.75" customHeight="1">
      <c r="A474" s="9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5"/>
      <c r="AK474" s="85"/>
      <c r="AL474" s="103"/>
      <c r="AM474" s="104"/>
      <c r="AN474" s="103"/>
      <c r="AO474" s="104"/>
      <c r="AP474" s="103"/>
      <c r="AQ474" s="104"/>
      <c r="AR474" s="84"/>
      <c r="AS474" s="84"/>
      <c r="AT474" s="84"/>
      <c r="AU474" s="84"/>
      <c r="AV474" s="84"/>
      <c r="AW474" s="84"/>
      <c r="AX474" s="84"/>
      <c r="AY474" s="84"/>
      <c r="AZ474" s="84"/>
    </row>
    <row r="475" ht="15.75" customHeight="1">
      <c r="A475" s="9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5"/>
      <c r="AK475" s="85"/>
      <c r="AL475" s="103"/>
      <c r="AM475" s="104"/>
      <c r="AN475" s="103"/>
      <c r="AO475" s="104"/>
      <c r="AP475" s="103"/>
      <c r="AQ475" s="104"/>
      <c r="AR475" s="84"/>
      <c r="AS475" s="84"/>
      <c r="AT475" s="84"/>
      <c r="AU475" s="84"/>
      <c r="AV475" s="84"/>
      <c r="AW475" s="84"/>
      <c r="AX475" s="84"/>
      <c r="AY475" s="84"/>
      <c r="AZ475" s="84"/>
    </row>
    <row r="476" ht="15.75" customHeight="1">
      <c r="A476" s="9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5"/>
      <c r="AK476" s="85"/>
      <c r="AL476" s="103"/>
      <c r="AM476" s="104"/>
      <c r="AN476" s="103"/>
      <c r="AO476" s="104"/>
      <c r="AP476" s="103"/>
      <c r="AQ476" s="104"/>
      <c r="AR476" s="84"/>
      <c r="AS476" s="84"/>
      <c r="AT476" s="84"/>
      <c r="AU476" s="84"/>
      <c r="AV476" s="84"/>
      <c r="AW476" s="84"/>
      <c r="AX476" s="84"/>
      <c r="AY476" s="84"/>
      <c r="AZ476" s="84"/>
    </row>
    <row r="477" ht="15.75" customHeight="1">
      <c r="A477" s="9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5"/>
      <c r="AK477" s="85"/>
      <c r="AL477" s="103"/>
      <c r="AM477" s="104"/>
      <c r="AN477" s="103"/>
      <c r="AO477" s="104"/>
      <c r="AP477" s="103"/>
      <c r="AQ477" s="104"/>
      <c r="AR477" s="84"/>
      <c r="AS477" s="84"/>
      <c r="AT477" s="84"/>
      <c r="AU477" s="84"/>
      <c r="AV477" s="84"/>
      <c r="AW477" s="84"/>
      <c r="AX477" s="84"/>
      <c r="AY477" s="84"/>
      <c r="AZ477" s="84"/>
    </row>
    <row r="478" ht="15.75" customHeight="1">
      <c r="A478" s="9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5"/>
      <c r="AK478" s="85"/>
      <c r="AL478" s="103"/>
      <c r="AM478" s="104"/>
      <c r="AN478" s="103"/>
      <c r="AO478" s="104"/>
      <c r="AP478" s="103"/>
      <c r="AQ478" s="104"/>
      <c r="AR478" s="84"/>
      <c r="AS478" s="84"/>
      <c r="AT478" s="84"/>
      <c r="AU478" s="84"/>
      <c r="AV478" s="84"/>
      <c r="AW478" s="84"/>
      <c r="AX478" s="84"/>
      <c r="AY478" s="84"/>
      <c r="AZ478" s="84"/>
    </row>
    <row r="479" ht="15.75" customHeight="1">
      <c r="A479" s="9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5"/>
      <c r="AK479" s="85"/>
      <c r="AL479" s="103"/>
      <c r="AM479" s="104"/>
      <c r="AN479" s="103"/>
      <c r="AO479" s="104"/>
      <c r="AP479" s="103"/>
      <c r="AQ479" s="104"/>
      <c r="AR479" s="84"/>
      <c r="AS479" s="84"/>
      <c r="AT479" s="84"/>
      <c r="AU479" s="84"/>
      <c r="AV479" s="84"/>
      <c r="AW479" s="84"/>
      <c r="AX479" s="84"/>
      <c r="AY479" s="84"/>
      <c r="AZ479" s="84"/>
    </row>
    <row r="480" ht="15.75" customHeight="1">
      <c r="A480" s="9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5"/>
      <c r="AK480" s="85"/>
      <c r="AL480" s="103"/>
      <c r="AM480" s="104"/>
      <c r="AN480" s="103"/>
      <c r="AO480" s="104"/>
      <c r="AP480" s="103"/>
      <c r="AQ480" s="104"/>
      <c r="AR480" s="84"/>
      <c r="AS480" s="84"/>
      <c r="AT480" s="84"/>
      <c r="AU480" s="84"/>
      <c r="AV480" s="84"/>
      <c r="AW480" s="84"/>
      <c r="AX480" s="84"/>
      <c r="AY480" s="84"/>
      <c r="AZ480" s="84"/>
    </row>
    <row r="481" ht="15.75" customHeight="1">
      <c r="A481" s="9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5"/>
      <c r="AK481" s="85"/>
      <c r="AL481" s="103"/>
      <c r="AM481" s="104"/>
      <c r="AN481" s="103"/>
      <c r="AO481" s="104"/>
      <c r="AP481" s="103"/>
      <c r="AQ481" s="104"/>
      <c r="AR481" s="84"/>
      <c r="AS481" s="84"/>
      <c r="AT481" s="84"/>
      <c r="AU481" s="84"/>
      <c r="AV481" s="84"/>
      <c r="AW481" s="84"/>
      <c r="AX481" s="84"/>
      <c r="AY481" s="84"/>
      <c r="AZ481" s="84"/>
    </row>
    <row r="482" ht="15.75" customHeight="1">
      <c r="A482" s="9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5"/>
      <c r="AK482" s="85"/>
      <c r="AL482" s="103"/>
      <c r="AM482" s="104"/>
      <c r="AN482" s="103"/>
      <c r="AO482" s="104"/>
      <c r="AP482" s="103"/>
      <c r="AQ482" s="104"/>
      <c r="AR482" s="84"/>
      <c r="AS482" s="84"/>
      <c r="AT482" s="84"/>
      <c r="AU482" s="84"/>
      <c r="AV482" s="84"/>
      <c r="AW482" s="84"/>
      <c r="AX482" s="84"/>
      <c r="AY482" s="84"/>
      <c r="AZ482" s="84"/>
    </row>
    <row r="483" ht="15.75" customHeight="1">
      <c r="A483" s="9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5"/>
      <c r="AK483" s="85"/>
      <c r="AL483" s="103"/>
      <c r="AM483" s="104"/>
      <c r="AN483" s="103"/>
      <c r="AO483" s="104"/>
      <c r="AP483" s="103"/>
      <c r="AQ483" s="104"/>
      <c r="AR483" s="84"/>
      <c r="AS483" s="84"/>
      <c r="AT483" s="84"/>
      <c r="AU483" s="84"/>
      <c r="AV483" s="84"/>
      <c r="AW483" s="84"/>
      <c r="AX483" s="84"/>
      <c r="AY483" s="84"/>
      <c r="AZ483" s="84"/>
    </row>
    <row r="484" ht="15.75" customHeight="1">
      <c r="A484" s="9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5"/>
      <c r="AK484" s="85"/>
      <c r="AL484" s="103"/>
      <c r="AM484" s="104"/>
      <c r="AN484" s="103"/>
      <c r="AO484" s="104"/>
      <c r="AP484" s="103"/>
      <c r="AQ484" s="104"/>
      <c r="AR484" s="84"/>
      <c r="AS484" s="84"/>
      <c r="AT484" s="84"/>
      <c r="AU484" s="84"/>
      <c r="AV484" s="84"/>
      <c r="AW484" s="84"/>
      <c r="AX484" s="84"/>
      <c r="AY484" s="84"/>
      <c r="AZ484" s="84"/>
    </row>
    <row r="485" ht="15.75" customHeight="1">
      <c r="A485" s="9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5"/>
      <c r="AK485" s="85"/>
      <c r="AL485" s="103"/>
      <c r="AM485" s="104"/>
      <c r="AN485" s="103"/>
      <c r="AO485" s="104"/>
      <c r="AP485" s="103"/>
      <c r="AQ485" s="104"/>
      <c r="AR485" s="84"/>
      <c r="AS485" s="84"/>
      <c r="AT485" s="84"/>
      <c r="AU485" s="84"/>
      <c r="AV485" s="84"/>
      <c r="AW485" s="84"/>
      <c r="AX485" s="84"/>
      <c r="AY485" s="84"/>
      <c r="AZ485" s="84"/>
    </row>
    <row r="486" ht="15.75" customHeight="1">
      <c r="A486" s="9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5"/>
      <c r="AK486" s="85"/>
      <c r="AL486" s="103"/>
      <c r="AM486" s="104"/>
      <c r="AN486" s="103"/>
      <c r="AO486" s="104"/>
      <c r="AP486" s="103"/>
      <c r="AQ486" s="104"/>
      <c r="AR486" s="84"/>
      <c r="AS486" s="84"/>
      <c r="AT486" s="84"/>
      <c r="AU486" s="84"/>
      <c r="AV486" s="84"/>
      <c r="AW486" s="84"/>
      <c r="AX486" s="84"/>
      <c r="AY486" s="84"/>
      <c r="AZ486" s="84"/>
    </row>
    <row r="487" ht="15.75" customHeight="1">
      <c r="A487" s="9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5"/>
      <c r="AK487" s="85"/>
      <c r="AL487" s="103"/>
      <c r="AM487" s="104"/>
      <c r="AN487" s="103"/>
      <c r="AO487" s="104"/>
      <c r="AP487" s="103"/>
      <c r="AQ487" s="104"/>
      <c r="AR487" s="84"/>
      <c r="AS487" s="84"/>
      <c r="AT487" s="84"/>
      <c r="AU487" s="84"/>
      <c r="AV487" s="84"/>
      <c r="AW487" s="84"/>
      <c r="AX487" s="84"/>
      <c r="AY487" s="84"/>
      <c r="AZ487" s="84"/>
    </row>
    <row r="488" ht="15.75" customHeight="1">
      <c r="A488" s="9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5"/>
      <c r="AK488" s="85"/>
      <c r="AL488" s="103"/>
      <c r="AM488" s="104"/>
      <c r="AN488" s="103"/>
      <c r="AO488" s="104"/>
      <c r="AP488" s="103"/>
      <c r="AQ488" s="104"/>
      <c r="AR488" s="84"/>
      <c r="AS488" s="84"/>
      <c r="AT488" s="84"/>
      <c r="AU488" s="84"/>
      <c r="AV488" s="84"/>
      <c r="AW488" s="84"/>
      <c r="AX488" s="84"/>
      <c r="AY488" s="84"/>
      <c r="AZ488" s="84"/>
    </row>
    <row r="489" ht="15.75" customHeight="1">
      <c r="A489" s="9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5"/>
      <c r="AK489" s="85"/>
      <c r="AL489" s="103"/>
      <c r="AM489" s="104"/>
      <c r="AN489" s="103"/>
      <c r="AO489" s="104"/>
      <c r="AP489" s="103"/>
      <c r="AQ489" s="104"/>
      <c r="AR489" s="84"/>
      <c r="AS489" s="84"/>
      <c r="AT489" s="84"/>
      <c r="AU489" s="84"/>
      <c r="AV489" s="84"/>
      <c r="AW489" s="84"/>
      <c r="AX489" s="84"/>
      <c r="AY489" s="84"/>
      <c r="AZ489" s="84"/>
    </row>
    <row r="490" ht="15.75" customHeight="1">
      <c r="A490" s="9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5"/>
      <c r="AK490" s="85"/>
      <c r="AL490" s="103"/>
      <c r="AM490" s="104"/>
      <c r="AN490" s="103"/>
      <c r="AO490" s="104"/>
      <c r="AP490" s="103"/>
      <c r="AQ490" s="104"/>
      <c r="AR490" s="84"/>
      <c r="AS490" s="84"/>
      <c r="AT490" s="84"/>
      <c r="AU490" s="84"/>
      <c r="AV490" s="84"/>
      <c r="AW490" s="84"/>
      <c r="AX490" s="84"/>
      <c r="AY490" s="84"/>
      <c r="AZ490" s="84"/>
    </row>
    <row r="491" ht="15.75" customHeight="1">
      <c r="A491" s="9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5"/>
      <c r="AK491" s="85"/>
      <c r="AL491" s="103"/>
      <c r="AM491" s="104"/>
      <c r="AN491" s="103"/>
      <c r="AO491" s="104"/>
      <c r="AP491" s="103"/>
      <c r="AQ491" s="104"/>
      <c r="AR491" s="84"/>
      <c r="AS491" s="84"/>
      <c r="AT491" s="84"/>
      <c r="AU491" s="84"/>
      <c r="AV491" s="84"/>
      <c r="AW491" s="84"/>
      <c r="AX491" s="84"/>
      <c r="AY491" s="84"/>
      <c r="AZ491" s="84"/>
    </row>
    <row r="492" ht="15.75" customHeight="1">
      <c r="A492" s="9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5"/>
      <c r="AK492" s="85"/>
      <c r="AL492" s="103"/>
      <c r="AM492" s="104"/>
      <c r="AN492" s="103"/>
      <c r="AO492" s="104"/>
      <c r="AP492" s="103"/>
      <c r="AQ492" s="104"/>
      <c r="AR492" s="84"/>
      <c r="AS492" s="84"/>
      <c r="AT492" s="84"/>
      <c r="AU492" s="84"/>
      <c r="AV492" s="84"/>
      <c r="AW492" s="84"/>
      <c r="AX492" s="84"/>
      <c r="AY492" s="84"/>
      <c r="AZ492" s="84"/>
    </row>
    <row r="493" ht="15.75" customHeight="1">
      <c r="A493" s="9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5"/>
      <c r="AK493" s="85"/>
      <c r="AL493" s="103"/>
      <c r="AM493" s="104"/>
      <c r="AN493" s="103"/>
      <c r="AO493" s="104"/>
      <c r="AP493" s="103"/>
      <c r="AQ493" s="104"/>
      <c r="AR493" s="84"/>
      <c r="AS493" s="84"/>
      <c r="AT493" s="84"/>
      <c r="AU493" s="84"/>
      <c r="AV493" s="84"/>
      <c r="AW493" s="84"/>
      <c r="AX493" s="84"/>
      <c r="AY493" s="84"/>
      <c r="AZ493" s="84"/>
    </row>
    <row r="494" ht="15.75" customHeight="1">
      <c r="A494" s="9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5"/>
      <c r="AK494" s="85"/>
      <c r="AL494" s="103"/>
      <c r="AM494" s="104"/>
      <c r="AN494" s="103"/>
      <c r="AO494" s="104"/>
      <c r="AP494" s="103"/>
      <c r="AQ494" s="104"/>
      <c r="AR494" s="84"/>
      <c r="AS494" s="84"/>
      <c r="AT494" s="84"/>
      <c r="AU494" s="84"/>
      <c r="AV494" s="84"/>
      <c r="AW494" s="84"/>
      <c r="AX494" s="84"/>
      <c r="AY494" s="84"/>
      <c r="AZ494" s="84"/>
    </row>
    <row r="495" ht="15.75" customHeight="1">
      <c r="A495" s="9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5"/>
      <c r="AK495" s="85"/>
      <c r="AL495" s="103"/>
      <c r="AM495" s="104"/>
      <c r="AN495" s="103"/>
      <c r="AO495" s="104"/>
      <c r="AP495" s="103"/>
      <c r="AQ495" s="104"/>
      <c r="AR495" s="84"/>
      <c r="AS495" s="84"/>
      <c r="AT495" s="84"/>
      <c r="AU495" s="84"/>
      <c r="AV495" s="84"/>
      <c r="AW495" s="84"/>
      <c r="AX495" s="84"/>
      <c r="AY495" s="84"/>
      <c r="AZ495" s="84"/>
    </row>
    <row r="496" ht="15.75" customHeight="1">
      <c r="A496" s="9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5"/>
      <c r="AK496" s="85"/>
      <c r="AL496" s="103"/>
      <c r="AM496" s="104"/>
      <c r="AN496" s="103"/>
      <c r="AO496" s="104"/>
      <c r="AP496" s="103"/>
      <c r="AQ496" s="104"/>
      <c r="AR496" s="84"/>
      <c r="AS496" s="84"/>
      <c r="AT496" s="84"/>
      <c r="AU496" s="84"/>
      <c r="AV496" s="84"/>
      <c r="AW496" s="84"/>
      <c r="AX496" s="84"/>
      <c r="AY496" s="84"/>
      <c r="AZ496" s="84"/>
    </row>
    <row r="497" ht="15.75" customHeight="1">
      <c r="A497" s="9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5"/>
      <c r="AK497" s="85"/>
      <c r="AL497" s="103"/>
      <c r="AM497" s="104"/>
      <c r="AN497" s="103"/>
      <c r="AO497" s="104"/>
      <c r="AP497" s="103"/>
      <c r="AQ497" s="104"/>
      <c r="AR497" s="84"/>
      <c r="AS497" s="84"/>
      <c r="AT497" s="84"/>
      <c r="AU497" s="84"/>
      <c r="AV497" s="84"/>
      <c r="AW497" s="84"/>
      <c r="AX497" s="84"/>
      <c r="AY497" s="84"/>
      <c r="AZ497" s="84"/>
    </row>
    <row r="498" ht="15.75" customHeight="1">
      <c r="A498" s="9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5"/>
      <c r="AK498" s="85"/>
      <c r="AL498" s="103"/>
      <c r="AM498" s="104"/>
      <c r="AN498" s="103"/>
      <c r="AO498" s="104"/>
      <c r="AP498" s="103"/>
      <c r="AQ498" s="104"/>
      <c r="AR498" s="84"/>
      <c r="AS498" s="84"/>
      <c r="AT498" s="84"/>
      <c r="AU498" s="84"/>
      <c r="AV498" s="84"/>
      <c r="AW498" s="84"/>
      <c r="AX498" s="84"/>
      <c r="AY498" s="84"/>
      <c r="AZ498" s="84"/>
    </row>
    <row r="499" ht="15.75" customHeight="1">
      <c r="A499" s="9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5"/>
      <c r="AK499" s="85"/>
      <c r="AL499" s="103"/>
      <c r="AM499" s="104"/>
      <c r="AN499" s="103"/>
      <c r="AO499" s="104"/>
      <c r="AP499" s="103"/>
      <c r="AQ499" s="104"/>
      <c r="AR499" s="84"/>
      <c r="AS499" s="84"/>
      <c r="AT499" s="84"/>
      <c r="AU499" s="84"/>
      <c r="AV499" s="84"/>
      <c r="AW499" s="84"/>
      <c r="AX499" s="84"/>
      <c r="AY499" s="84"/>
      <c r="AZ499" s="84"/>
    </row>
    <row r="500" ht="15.75" customHeight="1">
      <c r="A500" s="9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5"/>
      <c r="AK500" s="85"/>
      <c r="AL500" s="103"/>
      <c r="AM500" s="104"/>
      <c r="AN500" s="103"/>
      <c r="AO500" s="104"/>
      <c r="AP500" s="103"/>
      <c r="AQ500" s="104"/>
      <c r="AR500" s="84"/>
      <c r="AS500" s="84"/>
      <c r="AT500" s="84"/>
      <c r="AU500" s="84"/>
      <c r="AV500" s="84"/>
      <c r="AW500" s="84"/>
      <c r="AX500" s="84"/>
      <c r="AY500" s="84"/>
      <c r="AZ500" s="84"/>
    </row>
    <row r="501" ht="15.75" customHeight="1">
      <c r="A501" s="9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5"/>
      <c r="AK501" s="85"/>
      <c r="AL501" s="103"/>
      <c r="AM501" s="104"/>
      <c r="AN501" s="103"/>
      <c r="AO501" s="104"/>
      <c r="AP501" s="103"/>
      <c r="AQ501" s="104"/>
      <c r="AR501" s="84"/>
      <c r="AS501" s="84"/>
      <c r="AT501" s="84"/>
      <c r="AU501" s="84"/>
      <c r="AV501" s="84"/>
      <c r="AW501" s="84"/>
      <c r="AX501" s="84"/>
      <c r="AY501" s="84"/>
      <c r="AZ501" s="84"/>
    </row>
    <row r="502" ht="15.75" customHeight="1">
      <c r="A502" s="9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5"/>
      <c r="AK502" s="85"/>
      <c r="AL502" s="103"/>
      <c r="AM502" s="104"/>
      <c r="AN502" s="103"/>
      <c r="AO502" s="104"/>
      <c r="AP502" s="103"/>
      <c r="AQ502" s="104"/>
      <c r="AR502" s="84"/>
      <c r="AS502" s="84"/>
      <c r="AT502" s="84"/>
      <c r="AU502" s="84"/>
      <c r="AV502" s="84"/>
      <c r="AW502" s="84"/>
      <c r="AX502" s="84"/>
      <c r="AY502" s="84"/>
      <c r="AZ502" s="84"/>
    </row>
    <row r="503" ht="15.75" customHeight="1">
      <c r="A503" s="9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5"/>
      <c r="AK503" s="85"/>
      <c r="AL503" s="103"/>
      <c r="AM503" s="104"/>
      <c r="AN503" s="103"/>
      <c r="AO503" s="104"/>
      <c r="AP503" s="103"/>
      <c r="AQ503" s="104"/>
      <c r="AR503" s="84"/>
      <c r="AS503" s="84"/>
      <c r="AT503" s="84"/>
      <c r="AU503" s="84"/>
      <c r="AV503" s="84"/>
      <c r="AW503" s="84"/>
      <c r="AX503" s="84"/>
      <c r="AY503" s="84"/>
      <c r="AZ503" s="84"/>
    </row>
    <row r="504" ht="15.75" customHeight="1">
      <c r="A504" s="9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5"/>
      <c r="AK504" s="85"/>
      <c r="AL504" s="103"/>
      <c r="AM504" s="104"/>
      <c r="AN504" s="103"/>
      <c r="AO504" s="104"/>
      <c r="AP504" s="103"/>
      <c r="AQ504" s="104"/>
      <c r="AR504" s="84"/>
      <c r="AS504" s="84"/>
      <c r="AT504" s="84"/>
      <c r="AU504" s="84"/>
      <c r="AV504" s="84"/>
      <c r="AW504" s="84"/>
      <c r="AX504" s="84"/>
      <c r="AY504" s="84"/>
      <c r="AZ504" s="84"/>
    </row>
    <row r="505" ht="15.75" customHeight="1">
      <c r="A505" s="9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5"/>
      <c r="AK505" s="85"/>
      <c r="AL505" s="103"/>
      <c r="AM505" s="104"/>
      <c r="AN505" s="103"/>
      <c r="AO505" s="104"/>
      <c r="AP505" s="103"/>
      <c r="AQ505" s="104"/>
      <c r="AR505" s="84"/>
      <c r="AS505" s="84"/>
      <c r="AT505" s="84"/>
      <c r="AU505" s="84"/>
      <c r="AV505" s="84"/>
      <c r="AW505" s="84"/>
      <c r="AX505" s="84"/>
      <c r="AY505" s="84"/>
      <c r="AZ505" s="84"/>
    </row>
    <row r="506" ht="15.75" customHeight="1">
      <c r="A506" s="9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5"/>
      <c r="AK506" s="85"/>
      <c r="AL506" s="103"/>
      <c r="AM506" s="104"/>
      <c r="AN506" s="103"/>
      <c r="AO506" s="104"/>
      <c r="AP506" s="103"/>
      <c r="AQ506" s="104"/>
      <c r="AR506" s="84"/>
      <c r="AS506" s="84"/>
      <c r="AT506" s="84"/>
      <c r="AU506" s="84"/>
      <c r="AV506" s="84"/>
      <c r="AW506" s="84"/>
      <c r="AX506" s="84"/>
      <c r="AY506" s="84"/>
      <c r="AZ506" s="84"/>
    </row>
    <row r="507" ht="15.75" customHeight="1">
      <c r="A507" s="9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5"/>
      <c r="AK507" s="85"/>
      <c r="AL507" s="103"/>
      <c r="AM507" s="104"/>
      <c r="AN507" s="103"/>
      <c r="AO507" s="104"/>
      <c r="AP507" s="103"/>
      <c r="AQ507" s="104"/>
      <c r="AR507" s="84"/>
      <c r="AS507" s="84"/>
      <c r="AT507" s="84"/>
      <c r="AU507" s="84"/>
      <c r="AV507" s="84"/>
      <c r="AW507" s="84"/>
      <c r="AX507" s="84"/>
      <c r="AY507" s="84"/>
      <c r="AZ507" s="84"/>
    </row>
    <row r="508" ht="15.75" customHeight="1">
      <c r="A508" s="9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5"/>
      <c r="AK508" s="85"/>
      <c r="AL508" s="103"/>
      <c r="AM508" s="104"/>
      <c r="AN508" s="103"/>
      <c r="AO508" s="104"/>
      <c r="AP508" s="103"/>
      <c r="AQ508" s="104"/>
      <c r="AR508" s="84"/>
      <c r="AS508" s="84"/>
      <c r="AT508" s="84"/>
      <c r="AU508" s="84"/>
      <c r="AV508" s="84"/>
      <c r="AW508" s="84"/>
      <c r="AX508" s="84"/>
      <c r="AY508" s="84"/>
      <c r="AZ508" s="84"/>
    </row>
    <row r="509" ht="15.75" customHeight="1">
      <c r="A509" s="9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5"/>
      <c r="AK509" s="85"/>
      <c r="AL509" s="103"/>
      <c r="AM509" s="104"/>
      <c r="AN509" s="103"/>
      <c r="AO509" s="104"/>
      <c r="AP509" s="103"/>
      <c r="AQ509" s="104"/>
      <c r="AR509" s="84"/>
      <c r="AS509" s="84"/>
      <c r="AT509" s="84"/>
      <c r="AU509" s="84"/>
      <c r="AV509" s="84"/>
      <c r="AW509" s="84"/>
      <c r="AX509" s="84"/>
      <c r="AY509" s="84"/>
      <c r="AZ509" s="84"/>
    </row>
    <row r="510" ht="15.75" customHeight="1">
      <c r="A510" s="9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5"/>
      <c r="AK510" s="85"/>
      <c r="AL510" s="103"/>
      <c r="AM510" s="104"/>
      <c r="AN510" s="103"/>
      <c r="AO510" s="104"/>
      <c r="AP510" s="103"/>
      <c r="AQ510" s="104"/>
      <c r="AR510" s="84"/>
      <c r="AS510" s="84"/>
      <c r="AT510" s="84"/>
      <c r="AU510" s="84"/>
      <c r="AV510" s="84"/>
      <c r="AW510" s="84"/>
      <c r="AX510" s="84"/>
      <c r="AY510" s="84"/>
      <c r="AZ510" s="84"/>
    </row>
    <row r="511" ht="15.75" customHeight="1">
      <c r="A511" s="9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5"/>
      <c r="AK511" s="85"/>
      <c r="AL511" s="103"/>
      <c r="AM511" s="104"/>
      <c r="AN511" s="103"/>
      <c r="AO511" s="104"/>
      <c r="AP511" s="103"/>
      <c r="AQ511" s="104"/>
      <c r="AR511" s="84"/>
      <c r="AS511" s="84"/>
      <c r="AT511" s="84"/>
      <c r="AU511" s="84"/>
      <c r="AV511" s="84"/>
      <c r="AW511" s="84"/>
      <c r="AX511" s="84"/>
      <c r="AY511" s="84"/>
      <c r="AZ511" s="84"/>
    </row>
    <row r="512" ht="15.75" customHeight="1">
      <c r="A512" s="9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5"/>
      <c r="AK512" s="85"/>
      <c r="AL512" s="103"/>
      <c r="AM512" s="104"/>
      <c r="AN512" s="103"/>
      <c r="AO512" s="104"/>
      <c r="AP512" s="103"/>
      <c r="AQ512" s="104"/>
      <c r="AR512" s="84"/>
      <c r="AS512" s="84"/>
      <c r="AT512" s="84"/>
      <c r="AU512" s="84"/>
      <c r="AV512" s="84"/>
      <c r="AW512" s="84"/>
      <c r="AX512" s="84"/>
      <c r="AY512" s="84"/>
      <c r="AZ512" s="84"/>
    </row>
    <row r="513" ht="15.75" customHeight="1">
      <c r="A513" s="9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5"/>
      <c r="AK513" s="85"/>
      <c r="AL513" s="103"/>
      <c r="AM513" s="104"/>
      <c r="AN513" s="103"/>
      <c r="AO513" s="104"/>
      <c r="AP513" s="103"/>
      <c r="AQ513" s="104"/>
      <c r="AR513" s="84"/>
      <c r="AS513" s="84"/>
      <c r="AT513" s="84"/>
      <c r="AU513" s="84"/>
      <c r="AV513" s="84"/>
      <c r="AW513" s="84"/>
      <c r="AX513" s="84"/>
      <c r="AY513" s="84"/>
      <c r="AZ513" s="84"/>
    </row>
    <row r="514" ht="15.75" customHeight="1">
      <c r="A514" s="9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5"/>
      <c r="AK514" s="85"/>
      <c r="AL514" s="103"/>
      <c r="AM514" s="104"/>
      <c r="AN514" s="103"/>
      <c r="AO514" s="104"/>
      <c r="AP514" s="103"/>
      <c r="AQ514" s="104"/>
      <c r="AR514" s="84"/>
      <c r="AS514" s="84"/>
      <c r="AT514" s="84"/>
      <c r="AU514" s="84"/>
      <c r="AV514" s="84"/>
      <c r="AW514" s="84"/>
      <c r="AX514" s="84"/>
      <c r="AY514" s="84"/>
      <c r="AZ514" s="84"/>
    </row>
    <row r="515" ht="15.75" customHeight="1">
      <c r="A515" s="9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5"/>
      <c r="AK515" s="85"/>
      <c r="AL515" s="103"/>
      <c r="AM515" s="104"/>
      <c r="AN515" s="103"/>
      <c r="AO515" s="104"/>
      <c r="AP515" s="103"/>
      <c r="AQ515" s="104"/>
      <c r="AR515" s="84"/>
      <c r="AS515" s="84"/>
      <c r="AT515" s="84"/>
      <c r="AU515" s="84"/>
      <c r="AV515" s="84"/>
      <c r="AW515" s="84"/>
      <c r="AX515" s="84"/>
      <c r="AY515" s="84"/>
      <c r="AZ515" s="84"/>
    </row>
    <row r="516" ht="15.75" customHeight="1">
      <c r="A516" s="9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5"/>
      <c r="AK516" s="85"/>
      <c r="AL516" s="103"/>
      <c r="AM516" s="104"/>
      <c r="AN516" s="103"/>
      <c r="AO516" s="104"/>
      <c r="AP516" s="103"/>
      <c r="AQ516" s="104"/>
      <c r="AR516" s="84"/>
      <c r="AS516" s="84"/>
      <c r="AT516" s="84"/>
      <c r="AU516" s="84"/>
      <c r="AV516" s="84"/>
      <c r="AW516" s="84"/>
      <c r="AX516" s="84"/>
      <c r="AY516" s="84"/>
      <c r="AZ516" s="84"/>
    </row>
    <row r="517" ht="15.75" customHeight="1">
      <c r="A517" s="9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5"/>
      <c r="AK517" s="85"/>
      <c r="AL517" s="103"/>
      <c r="AM517" s="104"/>
      <c r="AN517" s="103"/>
      <c r="AO517" s="104"/>
      <c r="AP517" s="103"/>
      <c r="AQ517" s="104"/>
      <c r="AR517" s="84"/>
      <c r="AS517" s="84"/>
      <c r="AT517" s="84"/>
      <c r="AU517" s="84"/>
      <c r="AV517" s="84"/>
      <c r="AW517" s="84"/>
      <c r="AX517" s="84"/>
      <c r="AY517" s="84"/>
      <c r="AZ517" s="84"/>
    </row>
    <row r="518" ht="15.75" customHeight="1">
      <c r="A518" s="9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5"/>
      <c r="AK518" s="85"/>
      <c r="AL518" s="103"/>
      <c r="AM518" s="104"/>
      <c r="AN518" s="103"/>
      <c r="AO518" s="104"/>
      <c r="AP518" s="103"/>
      <c r="AQ518" s="104"/>
      <c r="AR518" s="84"/>
      <c r="AS518" s="84"/>
      <c r="AT518" s="84"/>
      <c r="AU518" s="84"/>
      <c r="AV518" s="84"/>
      <c r="AW518" s="84"/>
      <c r="AX518" s="84"/>
      <c r="AY518" s="84"/>
      <c r="AZ518" s="84"/>
    </row>
    <row r="519" ht="15.75" customHeight="1">
      <c r="A519" s="9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5"/>
      <c r="AK519" s="85"/>
      <c r="AL519" s="103"/>
      <c r="AM519" s="104"/>
      <c r="AN519" s="103"/>
      <c r="AO519" s="104"/>
      <c r="AP519" s="103"/>
      <c r="AQ519" s="104"/>
      <c r="AR519" s="84"/>
      <c r="AS519" s="84"/>
      <c r="AT519" s="84"/>
      <c r="AU519" s="84"/>
      <c r="AV519" s="84"/>
      <c r="AW519" s="84"/>
      <c r="AX519" s="84"/>
      <c r="AY519" s="84"/>
      <c r="AZ519" s="84"/>
    </row>
    <row r="520" ht="15.75" customHeight="1">
      <c r="A520" s="9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5"/>
      <c r="AK520" s="85"/>
      <c r="AL520" s="103"/>
      <c r="AM520" s="104"/>
      <c r="AN520" s="103"/>
      <c r="AO520" s="104"/>
      <c r="AP520" s="103"/>
      <c r="AQ520" s="104"/>
      <c r="AR520" s="84"/>
      <c r="AS520" s="84"/>
      <c r="AT520" s="84"/>
      <c r="AU520" s="84"/>
      <c r="AV520" s="84"/>
      <c r="AW520" s="84"/>
      <c r="AX520" s="84"/>
      <c r="AY520" s="84"/>
      <c r="AZ520" s="84"/>
    </row>
    <row r="521" ht="15.75" customHeight="1">
      <c r="A521" s="9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5"/>
      <c r="AK521" s="85"/>
      <c r="AL521" s="103"/>
      <c r="AM521" s="104"/>
      <c r="AN521" s="103"/>
      <c r="AO521" s="104"/>
      <c r="AP521" s="103"/>
      <c r="AQ521" s="104"/>
      <c r="AR521" s="84"/>
      <c r="AS521" s="84"/>
      <c r="AT521" s="84"/>
      <c r="AU521" s="84"/>
      <c r="AV521" s="84"/>
      <c r="AW521" s="84"/>
      <c r="AX521" s="84"/>
      <c r="AY521" s="84"/>
      <c r="AZ521" s="84"/>
    </row>
    <row r="522" ht="15.75" customHeight="1">
      <c r="A522" s="9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5"/>
      <c r="AK522" s="85"/>
      <c r="AL522" s="103"/>
      <c r="AM522" s="104"/>
      <c r="AN522" s="103"/>
      <c r="AO522" s="104"/>
      <c r="AP522" s="103"/>
      <c r="AQ522" s="104"/>
      <c r="AR522" s="84"/>
      <c r="AS522" s="84"/>
      <c r="AT522" s="84"/>
      <c r="AU522" s="84"/>
      <c r="AV522" s="84"/>
      <c r="AW522" s="84"/>
      <c r="AX522" s="84"/>
      <c r="AY522" s="84"/>
      <c r="AZ522" s="84"/>
    </row>
    <row r="523" ht="15.75" customHeight="1">
      <c r="A523" s="9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5"/>
      <c r="AK523" s="85"/>
      <c r="AL523" s="103"/>
      <c r="AM523" s="104"/>
      <c r="AN523" s="103"/>
      <c r="AO523" s="104"/>
      <c r="AP523" s="103"/>
      <c r="AQ523" s="104"/>
      <c r="AR523" s="84"/>
      <c r="AS523" s="84"/>
      <c r="AT523" s="84"/>
      <c r="AU523" s="84"/>
      <c r="AV523" s="84"/>
      <c r="AW523" s="84"/>
      <c r="AX523" s="84"/>
      <c r="AY523" s="84"/>
      <c r="AZ523" s="84"/>
    </row>
    <row r="524" ht="15.75" customHeight="1">
      <c r="A524" s="9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5"/>
      <c r="AK524" s="85"/>
      <c r="AL524" s="103"/>
      <c r="AM524" s="104"/>
      <c r="AN524" s="103"/>
      <c r="AO524" s="104"/>
      <c r="AP524" s="103"/>
      <c r="AQ524" s="104"/>
      <c r="AR524" s="84"/>
      <c r="AS524" s="84"/>
      <c r="AT524" s="84"/>
      <c r="AU524" s="84"/>
      <c r="AV524" s="84"/>
      <c r="AW524" s="84"/>
      <c r="AX524" s="84"/>
      <c r="AY524" s="84"/>
      <c r="AZ524" s="84"/>
    </row>
    <row r="525" ht="15.75" customHeight="1">
      <c r="A525" s="9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5"/>
      <c r="AK525" s="85"/>
      <c r="AL525" s="103"/>
      <c r="AM525" s="104"/>
      <c r="AN525" s="103"/>
      <c r="AO525" s="104"/>
      <c r="AP525" s="103"/>
      <c r="AQ525" s="104"/>
      <c r="AR525" s="84"/>
      <c r="AS525" s="84"/>
      <c r="AT525" s="84"/>
      <c r="AU525" s="84"/>
      <c r="AV525" s="84"/>
      <c r="AW525" s="84"/>
      <c r="AX525" s="84"/>
      <c r="AY525" s="84"/>
      <c r="AZ525" s="84"/>
    </row>
    <row r="526" ht="15.75" customHeight="1">
      <c r="A526" s="9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5"/>
      <c r="AK526" s="85"/>
      <c r="AL526" s="103"/>
      <c r="AM526" s="104"/>
      <c r="AN526" s="103"/>
      <c r="AO526" s="104"/>
      <c r="AP526" s="103"/>
      <c r="AQ526" s="104"/>
      <c r="AR526" s="84"/>
      <c r="AS526" s="84"/>
      <c r="AT526" s="84"/>
      <c r="AU526" s="84"/>
      <c r="AV526" s="84"/>
      <c r="AW526" s="84"/>
      <c r="AX526" s="84"/>
      <c r="AY526" s="84"/>
      <c r="AZ526" s="84"/>
    </row>
    <row r="527" ht="15.75" customHeight="1">
      <c r="A527" s="9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5"/>
      <c r="AK527" s="85"/>
      <c r="AL527" s="103"/>
      <c r="AM527" s="104"/>
      <c r="AN527" s="103"/>
      <c r="AO527" s="104"/>
      <c r="AP527" s="103"/>
      <c r="AQ527" s="104"/>
      <c r="AR527" s="84"/>
      <c r="AS527" s="84"/>
      <c r="AT527" s="84"/>
      <c r="AU527" s="84"/>
      <c r="AV527" s="84"/>
      <c r="AW527" s="84"/>
      <c r="AX527" s="84"/>
      <c r="AY527" s="84"/>
      <c r="AZ527" s="84"/>
    </row>
    <row r="528" ht="15.75" customHeight="1">
      <c r="A528" s="9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5"/>
      <c r="AK528" s="85"/>
      <c r="AL528" s="103"/>
      <c r="AM528" s="104"/>
      <c r="AN528" s="103"/>
      <c r="AO528" s="104"/>
      <c r="AP528" s="103"/>
      <c r="AQ528" s="104"/>
      <c r="AR528" s="84"/>
      <c r="AS528" s="84"/>
      <c r="AT528" s="84"/>
      <c r="AU528" s="84"/>
      <c r="AV528" s="84"/>
      <c r="AW528" s="84"/>
      <c r="AX528" s="84"/>
      <c r="AY528" s="84"/>
      <c r="AZ528" s="84"/>
    </row>
    <row r="529" ht="15.75" customHeight="1">
      <c r="A529" s="9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5"/>
      <c r="AK529" s="85"/>
      <c r="AL529" s="103"/>
      <c r="AM529" s="104"/>
      <c r="AN529" s="103"/>
      <c r="AO529" s="104"/>
      <c r="AP529" s="103"/>
      <c r="AQ529" s="104"/>
      <c r="AR529" s="84"/>
      <c r="AS529" s="84"/>
      <c r="AT529" s="84"/>
      <c r="AU529" s="84"/>
      <c r="AV529" s="84"/>
      <c r="AW529" s="84"/>
      <c r="AX529" s="84"/>
      <c r="AY529" s="84"/>
      <c r="AZ529" s="84"/>
    </row>
    <row r="530" ht="15.75" customHeight="1">
      <c r="A530" s="9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5"/>
      <c r="AK530" s="85"/>
      <c r="AL530" s="103"/>
      <c r="AM530" s="104"/>
      <c r="AN530" s="103"/>
      <c r="AO530" s="104"/>
      <c r="AP530" s="103"/>
      <c r="AQ530" s="104"/>
      <c r="AR530" s="84"/>
      <c r="AS530" s="84"/>
      <c r="AT530" s="84"/>
      <c r="AU530" s="84"/>
      <c r="AV530" s="84"/>
      <c r="AW530" s="84"/>
      <c r="AX530" s="84"/>
      <c r="AY530" s="84"/>
      <c r="AZ530" s="84"/>
    </row>
    <row r="531" ht="15.75" customHeight="1">
      <c r="A531" s="9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5"/>
      <c r="AK531" s="85"/>
      <c r="AL531" s="103"/>
      <c r="AM531" s="104"/>
      <c r="AN531" s="103"/>
      <c r="AO531" s="104"/>
      <c r="AP531" s="103"/>
      <c r="AQ531" s="104"/>
      <c r="AR531" s="84"/>
      <c r="AS531" s="84"/>
      <c r="AT531" s="84"/>
      <c r="AU531" s="84"/>
      <c r="AV531" s="84"/>
      <c r="AW531" s="84"/>
      <c r="AX531" s="84"/>
      <c r="AY531" s="84"/>
      <c r="AZ531" s="84"/>
    </row>
    <row r="532" ht="15.75" customHeight="1">
      <c r="A532" s="9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5"/>
      <c r="AK532" s="85"/>
      <c r="AL532" s="103"/>
      <c r="AM532" s="104"/>
      <c r="AN532" s="103"/>
      <c r="AO532" s="104"/>
      <c r="AP532" s="103"/>
      <c r="AQ532" s="104"/>
      <c r="AR532" s="84"/>
      <c r="AS532" s="84"/>
      <c r="AT532" s="84"/>
      <c r="AU532" s="84"/>
      <c r="AV532" s="84"/>
      <c r="AW532" s="84"/>
      <c r="AX532" s="84"/>
      <c r="AY532" s="84"/>
      <c r="AZ532" s="84"/>
    </row>
    <row r="533" ht="15.75" customHeight="1">
      <c r="A533" s="9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5"/>
      <c r="AK533" s="85"/>
      <c r="AL533" s="103"/>
      <c r="AM533" s="104"/>
      <c r="AN533" s="103"/>
      <c r="AO533" s="104"/>
      <c r="AP533" s="103"/>
      <c r="AQ533" s="104"/>
      <c r="AR533" s="84"/>
      <c r="AS533" s="84"/>
      <c r="AT533" s="84"/>
      <c r="AU533" s="84"/>
      <c r="AV533" s="84"/>
      <c r="AW533" s="84"/>
      <c r="AX533" s="84"/>
      <c r="AY533" s="84"/>
      <c r="AZ533" s="84"/>
    </row>
    <row r="534" ht="15.75" customHeight="1">
      <c r="A534" s="9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5"/>
      <c r="AK534" s="85"/>
      <c r="AL534" s="103"/>
      <c r="AM534" s="104"/>
      <c r="AN534" s="103"/>
      <c r="AO534" s="104"/>
      <c r="AP534" s="103"/>
      <c r="AQ534" s="104"/>
      <c r="AR534" s="84"/>
      <c r="AS534" s="84"/>
      <c r="AT534" s="84"/>
      <c r="AU534" s="84"/>
      <c r="AV534" s="84"/>
      <c r="AW534" s="84"/>
      <c r="AX534" s="84"/>
      <c r="AY534" s="84"/>
      <c r="AZ534" s="84"/>
    </row>
    <row r="535" ht="15.75" customHeight="1">
      <c r="A535" s="9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5"/>
      <c r="AK535" s="85"/>
      <c r="AL535" s="103"/>
      <c r="AM535" s="104"/>
      <c r="AN535" s="103"/>
      <c r="AO535" s="104"/>
      <c r="AP535" s="103"/>
      <c r="AQ535" s="104"/>
      <c r="AR535" s="84"/>
      <c r="AS535" s="84"/>
      <c r="AT535" s="84"/>
      <c r="AU535" s="84"/>
      <c r="AV535" s="84"/>
      <c r="AW535" s="84"/>
      <c r="AX535" s="84"/>
      <c r="AY535" s="84"/>
      <c r="AZ535" s="84"/>
    </row>
    <row r="536" ht="15.75" customHeight="1">
      <c r="A536" s="9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5"/>
      <c r="AK536" s="85"/>
      <c r="AL536" s="103"/>
      <c r="AM536" s="104"/>
      <c r="AN536" s="103"/>
      <c r="AO536" s="104"/>
      <c r="AP536" s="103"/>
      <c r="AQ536" s="104"/>
      <c r="AR536" s="84"/>
      <c r="AS536" s="84"/>
      <c r="AT536" s="84"/>
      <c r="AU536" s="84"/>
      <c r="AV536" s="84"/>
      <c r="AW536" s="84"/>
      <c r="AX536" s="84"/>
      <c r="AY536" s="84"/>
      <c r="AZ536" s="84"/>
    </row>
    <row r="537" ht="15.75" customHeight="1">
      <c r="A537" s="9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5"/>
      <c r="AK537" s="85"/>
      <c r="AL537" s="103"/>
      <c r="AM537" s="104"/>
      <c r="AN537" s="103"/>
      <c r="AO537" s="104"/>
      <c r="AP537" s="103"/>
      <c r="AQ537" s="104"/>
      <c r="AR537" s="84"/>
      <c r="AS537" s="84"/>
      <c r="AT537" s="84"/>
      <c r="AU537" s="84"/>
      <c r="AV537" s="84"/>
      <c r="AW537" s="84"/>
      <c r="AX537" s="84"/>
      <c r="AY537" s="84"/>
      <c r="AZ537" s="84"/>
    </row>
    <row r="538" ht="15.75" customHeight="1">
      <c r="A538" s="9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5"/>
      <c r="AK538" s="85"/>
      <c r="AL538" s="103"/>
      <c r="AM538" s="104"/>
      <c r="AN538" s="103"/>
      <c r="AO538" s="104"/>
      <c r="AP538" s="103"/>
      <c r="AQ538" s="104"/>
      <c r="AR538" s="84"/>
      <c r="AS538" s="84"/>
      <c r="AT538" s="84"/>
      <c r="AU538" s="84"/>
      <c r="AV538" s="84"/>
      <c r="AW538" s="84"/>
      <c r="AX538" s="84"/>
      <c r="AY538" s="84"/>
      <c r="AZ538" s="84"/>
    </row>
    <row r="539" ht="15.75" customHeight="1">
      <c r="A539" s="9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5"/>
      <c r="AK539" s="85"/>
      <c r="AL539" s="103"/>
      <c r="AM539" s="104"/>
      <c r="AN539" s="103"/>
      <c r="AO539" s="104"/>
      <c r="AP539" s="103"/>
      <c r="AQ539" s="104"/>
      <c r="AR539" s="84"/>
      <c r="AS539" s="84"/>
      <c r="AT539" s="84"/>
      <c r="AU539" s="84"/>
      <c r="AV539" s="84"/>
      <c r="AW539" s="84"/>
      <c r="AX539" s="84"/>
      <c r="AY539" s="84"/>
      <c r="AZ539" s="84"/>
    </row>
    <row r="540" ht="15.75" customHeight="1">
      <c r="A540" s="9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5"/>
      <c r="AK540" s="85"/>
      <c r="AL540" s="103"/>
      <c r="AM540" s="104"/>
      <c r="AN540" s="103"/>
      <c r="AO540" s="104"/>
      <c r="AP540" s="103"/>
      <c r="AQ540" s="104"/>
      <c r="AR540" s="84"/>
      <c r="AS540" s="84"/>
      <c r="AT540" s="84"/>
      <c r="AU540" s="84"/>
      <c r="AV540" s="84"/>
      <c r="AW540" s="84"/>
      <c r="AX540" s="84"/>
      <c r="AY540" s="84"/>
      <c r="AZ540" s="84"/>
    </row>
    <row r="541" ht="15.75" customHeight="1">
      <c r="A541" s="9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5"/>
      <c r="AK541" s="85"/>
      <c r="AL541" s="103"/>
      <c r="AM541" s="104"/>
      <c r="AN541" s="103"/>
      <c r="AO541" s="104"/>
      <c r="AP541" s="103"/>
      <c r="AQ541" s="104"/>
      <c r="AR541" s="84"/>
      <c r="AS541" s="84"/>
      <c r="AT541" s="84"/>
      <c r="AU541" s="84"/>
      <c r="AV541" s="84"/>
      <c r="AW541" s="84"/>
      <c r="AX541" s="84"/>
      <c r="AY541" s="84"/>
      <c r="AZ541" s="84"/>
    </row>
    <row r="542" ht="15.75" customHeight="1">
      <c r="A542" s="9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5"/>
      <c r="AK542" s="85"/>
      <c r="AL542" s="103"/>
      <c r="AM542" s="104"/>
      <c r="AN542" s="103"/>
      <c r="AO542" s="104"/>
      <c r="AP542" s="103"/>
      <c r="AQ542" s="104"/>
      <c r="AR542" s="84"/>
      <c r="AS542" s="84"/>
      <c r="AT542" s="84"/>
      <c r="AU542" s="84"/>
      <c r="AV542" s="84"/>
      <c r="AW542" s="84"/>
      <c r="AX542" s="84"/>
      <c r="AY542" s="84"/>
      <c r="AZ542" s="84"/>
    </row>
    <row r="543" ht="15.75" customHeight="1">
      <c r="A543" s="9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5"/>
      <c r="AK543" s="85"/>
      <c r="AL543" s="103"/>
      <c r="AM543" s="104"/>
      <c r="AN543" s="103"/>
      <c r="AO543" s="104"/>
      <c r="AP543" s="103"/>
      <c r="AQ543" s="104"/>
      <c r="AR543" s="84"/>
      <c r="AS543" s="84"/>
      <c r="AT543" s="84"/>
      <c r="AU543" s="84"/>
      <c r="AV543" s="84"/>
      <c r="AW543" s="84"/>
      <c r="AX543" s="84"/>
      <c r="AY543" s="84"/>
      <c r="AZ543" s="84"/>
    </row>
    <row r="544" ht="15.75" customHeight="1">
      <c r="A544" s="9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5"/>
      <c r="AK544" s="85"/>
      <c r="AL544" s="103"/>
      <c r="AM544" s="104"/>
      <c r="AN544" s="103"/>
      <c r="AO544" s="104"/>
      <c r="AP544" s="103"/>
      <c r="AQ544" s="104"/>
      <c r="AR544" s="84"/>
      <c r="AS544" s="84"/>
      <c r="AT544" s="84"/>
      <c r="AU544" s="84"/>
      <c r="AV544" s="84"/>
      <c r="AW544" s="84"/>
      <c r="AX544" s="84"/>
      <c r="AY544" s="84"/>
      <c r="AZ544" s="84"/>
    </row>
    <row r="545" ht="15.75" customHeight="1">
      <c r="A545" s="9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5"/>
      <c r="AK545" s="85"/>
      <c r="AL545" s="103"/>
      <c r="AM545" s="104"/>
      <c r="AN545" s="103"/>
      <c r="AO545" s="104"/>
      <c r="AP545" s="103"/>
      <c r="AQ545" s="104"/>
      <c r="AR545" s="84"/>
      <c r="AS545" s="84"/>
      <c r="AT545" s="84"/>
      <c r="AU545" s="84"/>
      <c r="AV545" s="84"/>
      <c r="AW545" s="84"/>
      <c r="AX545" s="84"/>
      <c r="AY545" s="84"/>
      <c r="AZ545" s="84"/>
    </row>
    <row r="546" ht="15.75" customHeight="1">
      <c r="A546" s="9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5"/>
      <c r="AK546" s="85"/>
      <c r="AL546" s="103"/>
      <c r="AM546" s="104"/>
      <c r="AN546" s="103"/>
      <c r="AO546" s="104"/>
      <c r="AP546" s="103"/>
      <c r="AQ546" s="104"/>
      <c r="AR546" s="84"/>
      <c r="AS546" s="84"/>
      <c r="AT546" s="84"/>
      <c r="AU546" s="84"/>
      <c r="AV546" s="84"/>
      <c r="AW546" s="84"/>
      <c r="AX546" s="84"/>
      <c r="AY546" s="84"/>
      <c r="AZ546" s="84"/>
    </row>
    <row r="547" ht="15.75" customHeight="1">
      <c r="A547" s="9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5"/>
      <c r="AK547" s="85"/>
      <c r="AL547" s="103"/>
      <c r="AM547" s="104"/>
      <c r="AN547" s="103"/>
      <c r="AO547" s="104"/>
      <c r="AP547" s="103"/>
      <c r="AQ547" s="104"/>
      <c r="AR547" s="84"/>
      <c r="AS547" s="84"/>
      <c r="AT547" s="84"/>
      <c r="AU547" s="84"/>
      <c r="AV547" s="84"/>
      <c r="AW547" s="84"/>
      <c r="AX547" s="84"/>
      <c r="AY547" s="84"/>
      <c r="AZ547" s="84"/>
    </row>
    <row r="548" ht="15.75" customHeight="1">
      <c r="A548" s="9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5"/>
      <c r="AK548" s="85"/>
      <c r="AL548" s="103"/>
      <c r="AM548" s="104"/>
      <c r="AN548" s="103"/>
      <c r="AO548" s="104"/>
      <c r="AP548" s="103"/>
      <c r="AQ548" s="104"/>
      <c r="AR548" s="84"/>
      <c r="AS548" s="84"/>
      <c r="AT548" s="84"/>
      <c r="AU548" s="84"/>
      <c r="AV548" s="84"/>
      <c r="AW548" s="84"/>
      <c r="AX548" s="84"/>
      <c r="AY548" s="84"/>
      <c r="AZ548" s="84"/>
    </row>
    <row r="549" ht="15.75" customHeight="1">
      <c r="A549" s="9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5"/>
      <c r="AK549" s="85"/>
      <c r="AL549" s="103"/>
      <c r="AM549" s="104"/>
      <c r="AN549" s="103"/>
      <c r="AO549" s="104"/>
      <c r="AP549" s="103"/>
      <c r="AQ549" s="104"/>
      <c r="AR549" s="84"/>
      <c r="AS549" s="84"/>
      <c r="AT549" s="84"/>
      <c r="AU549" s="84"/>
      <c r="AV549" s="84"/>
      <c r="AW549" s="84"/>
      <c r="AX549" s="84"/>
      <c r="AY549" s="84"/>
      <c r="AZ549" s="84"/>
    </row>
    <row r="550" ht="15.75" customHeight="1">
      <c r="A550" s="9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5"/>
      <c r="AK550" s="85"/>
      <c r="AL550" s="103"/>
      <c r="AM550" s="104"/>
      <c r="AN550" s="103"/>
      <c r="AO550" s="104"/>
      <c r="AP550" s="103"/>
      <c r="AQ550" s="104"/>
      <c r="AR550" s="84"/>
      <c r="AS550" s="84"/>
      <c r="AT550" s="84"/>
      <c r="AU550" s="84"/>
      <c r="AV550" s="84"/>
      <c r="AW550" s="84"/>
      <c r="AX550" s="84"/>
      <c r="AY550" s="84"/>
      <c r="AZ550" s="84"/>
    </row>
    <row r="551" ht="15.75" customHeight="1">
      <c r="A551" s="9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5"/>
      <c r="AK551" s="85"/>
      <c r="AL551" s="103"/>
      <c r="AM551" s="104"/>
      <c r="AN551" s="103"/>
      <c r="AO551" s="104"/>
      <c r="AP551" s="103"/>
      <c r="AQ551" s="104"/>
      <c r="AR551" s="84"/>
      <c r="AS551" s="84"/>
      <c r="AT551" s="84"/>
      <c r="AU551" s="84"/>
      <c r="AV551" s="84"/>
      <c r="AW551" s="84"/>
      <c r="AX551" s="84"/>
      <c r="AY551" s="84"/>
      <c r="AZ551" s="84"/>
    </row>
    <row r="552" ht="15.75" customHeight="1">
      <c r="A552" s="9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5"/>
      <c r="AK552" s="85"/>
      <c r="AL552" s="103"/>
      <c r="AM552" s="104"/>
      <c r="AN552" s="103"/>
      <c r="AO552" s="104"/>
      <c r="AP552" s="103"/>
      <c r="AQ552" s="104"/>
      <c r="AR552" s="84"/>
      <c r="AS552" s="84"/>
      <c r="AT552" s="84"/>
      <c r="AU552" s="84"/>
      <c r="AV552" s="84"/>
      <c r="AW552" s="84"/>
      <c r="AX552" s="84"/>
      <c r="AY552" s="84"/>
      <c r="AZ552" s="84"/>
    </row>
    <row r="553" ht="15.75" customHeight="1">
      <c r="A553" s="9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5"/>
      <c r="AK553" s="85"/>
      <c r="AL553" s="103"/>
      <c r="AM553" s="104"/>
      <c r="AN553" s="103"/>
      <c r="AO553" s="104"/>
      <c r="AP553" s="103"/>
      <c r="AQ553" s="104"/>
      <c r="AR553" s="84"/>
      <c r="AS553" s="84"/>
      <c r="AT553" s="84"/>
      <c r="AU553" s="84"/>
      <c r="AV553" s="84"/>
      <c r="AW553" s="84"/>
      <c r="AX553" s="84"/>
      <c r="AY553" s="84"/>
      <c r="AZ553" s="84"/>
    </row>
    <row r="554" ht="15.75" customHeight="1">
      <c r="A554" s="9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5"/>
      <c r="AK554" s="85"/>
      <c r="AL554" s="103"/>
      <c r="AM554" s="104"/>
      <c r="AN554" s="103"/>
      <c r="AO554" s="104"/>
      <c r="AP554" s="103"/>
      <c r="AQ554" s="104"/>
      <c r="AR554" s="84"/>
      <c r="AS554" s="84"/>
      <c r="AT554" s="84"/>
      <c r="AU554" s="84"/>
      <c r="AV554" s="84"/>
      <c r="AW554" s="84"/>
      <c r="AX554" s="84"/>
      <c r="AY554" s="84"/>
      <c r="AZ554" s="84"/>
    </row>
    <row r="555" ht="15.75" customHeight="1">
      <c r="A555" s="9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5"/>
      <c r="AK555" s="85"/>
      <c r="AL555" s="103"/>
      <c r="AM555" s="104"/>
      <c r="AN555" s="103"/>
      <c r="AO555" s="104"/>
      <c r="AP555" s="103"/>
      <c r="AQ555" s="104"/>
      <c r="AR555" s="84"/>
      <c r="AS555" s="84"/>
      <c r="AT555" s="84"/>
      <c r="AU555" s="84"/>
      <c r="AV555" s="84"/>
      <c r="AW555" s="84"/>
      <c r="AX555" s="84"/>
      <c r="AY555" s="84"/>
      <c r="AZ555" s="84"/>
    </row>
    <row r="556" ht="15.75" customHeight="1">
      <c r="A556" s="9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5"/>
      <c r="AK556" s="85"/>
      <c r="AL556" s="103"/>
      <c r="AM556" s="104"/>
      <c r="AN556" s="103"/>
      <c r="AO556" s="104"/>
      <c r="AP556" s="103"/>
      <c r="AQ556" s="104"/>
      <c r="AR556" s="84"/>
      <c r="AS556" s="84"/>
      <c r="AT556" s="84"/>
      <c r="AU556" s="84"/>
      <c r="AV556" s="84"/>
      <c r="AW556" s="84"/>
      <c r="AX556" s="84"/>
      <c r="AY556" s="84"/>
      <c r="AZ556" s="84"/>
    </row>
    <row r="557" ht="15.75" customHeight="1">
      <c r="A557" s="9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5"/>
      <c r="AK557" s="85"/>
      <c r="AL557" s="103"/>
      <c r="AM557" s="104"/>
      <c r="AN557" s="103"/>
      <c r="AO557" s="104"/>
      <c r="AP557" s="103"/>
      <c r="AQ557" s="104"/>
      <c r="AR557" s="84"/>
      <c r="AS557" s="84"/>
      <c r="AT557" s="84"/>
      <c r="AU557" s="84"/>
      <c r="AV557" s="84"/>
      <c r="AW557" s="84"/>
      <c r="AX557" s="84"/>
      <c r="AY557" s="84"/>
      <c r="AZ557" s="84"/>
    </row>
    <row r="558" ht="15.75" customHeight="1">
      <c r="A558" s="9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5"/>
      <c r="AK558" s="85"/>
      <c r="AL558" s="103"/>
      <c r="AM558" s="104"/>
      <c r="AN558" s="103"/>
      <c r="AO558" s="104"/>
      <c r="AP558" s="103"/>
      <c r="AQ558" s="104"/>
      <c r="AR558" s="84"/>
      <c r="AS558" s="84"/>
      <c r="AT558" s="84"/>
      <c r="AU558" s="84"/>
      <c r="AV558" s="84"/>
      <c r="AW558" s="84"/>
      <c r="AX558" s="84"/>
      <c r="AY558" s="84"/>
      <c r="AZ558" s="84"/>
    </row>
    <row r="559" ht="15.75" customHeight="1">
      <c r="A559" s="9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5"/>
      <c r="AK559" s="85"/>
      <c r="AL559" s="103"/>
      <c r="AM559" s="104"/>
      <c r="AN559" s="103"/>
      <c r="AO559" s="104"/>
      <c r="AP559" s="103"/>
      <c r="AQ559" s="104"/>
      <c r="AR559" s="84"/>
      <c r="AS559" s="84"/>
      <c r="AT559" s="84"/>
      <c r="AU559" s="84"/>
      <c r="AV559" s="84"/>
      <c r="AW559" s="84"/>
      <c r="AX559" s="84"/>
      <c r="AY559" s="84"/>
      <c r="AZ559" s="84"/>
    </row>
    <row r="560" ht="15.75" customHeight="1">
      <c r="A560" s="9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5"/>
      <c r="AK560" s="85"/>
      <c r="AL560" s="103"/>
      <c r="AM560" s="104"/>
      <c r="AN560" s="103"/>
      <c r="AO560" s="104"/>
      <c r="AP560" s="103"/>
      <c r="AQ560" s="104"/>
      <c r="AR560" s="84"/>
      <c r="AS560" s="84"/>
      <c r="AT560" s="84"/>
      <c r="AU560" s="84"/>
      <c r="AV560" s="84"/>
      <c r="AW560" s="84"/>
      <c r="AX560" s="84"/>
      <c r="AY560" s="84"/>
      <c r="AZ560" s="84"/>
    </row>
    <row r="561" ht="15.75" customHeight="1">
      <c r="A561" s="9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5"/>
      <c r="AK561" s="85"/>
      <c r="AL561" s="103"/>
      <c r="AM561" s="104"/>
      <c r="AN561" s="103"/>
      <c r="AO561" s="104"/>
      <c r="AP561" s="103"/>
      <c r="AQ561" s="104"/>
      <c r="AR561" s="84"/>
      <c r="AS561" s="84"/>
      <c r="AT561" s="84"/>
      <c r="AU561" s="84"/>
      <c r="AV561" s="84"/>
      <c r="AW561" s="84"/>
      <c r="AX561" s="84"/>
      <c r="AY561" s="84"/>
      <c r="AZ561" s="84"/>
    </row>
    <row r="562" ht="15.75" customHeight="1">
      <c r="A562" s="9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5"/>
      <c r="AK562" s="85"/>
      <c r="AL562" s="103"/>
      <c r="AM562" s="104"/>
      <c r="AN562" s="103"/>
      <c r="AO562" s="104"/>
      <c r="AP562" s="103"/>
      <c r="AQ562" s="104"/>
      <c r="AR562" s="84"/>
      <c r="AS562" s="84"/>
      <c r="AT562" s="84"/>
      <c r="AU562" s="84"/>
      <c r="AV562" s="84"/>
      <c r="AW562" s="84"/>
      <c r="AX562" s="84"/>
      <c r="AY562" s="84"/>
      <c r="AZ562" s="84"/>
    </row>
    <row r="563" ht="15.75" customHeight="1">
      <c r="A563" s="9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5"/>
      <c r="AK563" s="85"/>
      <c r="AL563" s="103"/>
      <c r="AM563" s="104"/>
      <c r="AN563" s="103"/>
      <c r="AO563" s="104"/>
      <c r="AP563" s="103"/>
      <c r="AQ563" s="104"/>
      <c r="AR563" s="84"/>
      <c r="AS563" s="84"/>
      <c r="AT563" s="84"/>
      <c r="AU563" s="84"/>
      <c r="AV563" s="84"/>
      <c r="AW563" s="84"/>
      <c r="AX563" s="84"/>
      <c r="AY563" s="84"/>
      <c r="AZ563" s="84"/>
    </row>
    <row r="564" ht="15.75" customHeight="1">
      <c r="A564" s="9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5"/>
      <c r="AK564" s="85"/>
      <c r="AL564" s="103"/>
      <c r="AM564" s="104"/>
      <c r="AN564" s="103"/>
      <c r="AO564" s="104"/>
      <c r="AP564" s="103"/>
      <c r="AQ564" s="104"/>
      <c r="AR564" s="84"/>
      <c r="AS564" s="84"/>
      <c r="AT564" s="84"/>
      <c r="AU564" s="84"/>
      <c r="AV564" s="84"/>
      <c r="AW564" s="84"/>
      <c r="AX564" s="84"/>
      <c r="AY564" s="84"/>
      <c r="AZ564" s="84"/>
    </row>
    <row r="565" ht="15.75" customHeight="1">
      <c r="A565" s="9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5"/>
      <c r="AK565" s="85"/>
      <c r="AL565" s="103"/>
      <c r="AM565" s="104"/>
      <c r="AN565" s="103"/>
      <c r="AO565" s="104"/>
      <c r="AP565" s="103"/>
      <c r="AQ565" s="104"/>
      <c r="AR565" s="84"/>
      <c r="AS565" s="84"/>
      <c r="AT565" s="84"/>
      <c r="AU565" s="84"/>
      <c r="AV565" s="84"/>
      <c r="AW565" s="84"/>
      <c r="AX565" s="84"/>
      <c r="AY565" s="84"/>
      <c r="AZ565" s="84"/>
    </row>
    <row r="566" ht="15.75" customHeight="1">
      <c r="A566" s="9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5"/>
      <c r="AK566" s="85"/>
      <c r="AL566" s="103"/>
      <c r="AM566" s="104"/>
      <c r="AN566" s="103"/>
      <c r="AO566" s="104"/>
      <c r="AP566" s="103"/>
      <c r="AQ566" s="104"/>
      <c r="AR566" s="84"/>
      <c r="AS566" s="84"/>
      <c r="AT566" s="84"/>
      <c r="AU566" s="84"/>
      <c r="AV566" s="84"/>
      <c r="AW566" s="84"/>
      <c r="AX566" s="84"/>
      <c r="AY566" s="84"/>
      <c r="AZ566" s="84"/>
    </row>
    <row r="567" ht="15.75" customHeight="1">
      <c r="A567" s="9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5"/>
      <c r="AK567" s="85"/>
      <c r="AL567" s="103"/>
      <c r="AM567" s="104"/>
      <c r="AN567" s="103"/>
      <c r="AO567" s="104"/>
      <c r="AP567" s="103"/>
      <c r="AQ567" s="104"/>
      <c r="AR567" s="84"/>
      <c r="AS567" s="84"/>
      <c r="AT567" s="84"/>
      <c r="AU567" s="84"/>
      <c r="AV567" s="84"/>
      <c r="AW567" s="84"/>
      <c r="AX567" s="84"/>
      <c r="AY567" s="84"/>
      <c r="AZ567" s="84"/>
    </row>
    <row r="568" ht="15.75" customHeight="1">
      <c r="A568" s="9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5"/>
      <c r="AK568" s="85"/>
      <c r="AL568" s="103"/>
      <c r="AM568" s="104"/>
      <c r="AN568" s="103"/>
      <c r="AO568" s="104"/>
      <c r="AP568" s="103"/>
      <c r="AQ568" s="104"/>
      <c r="AR568" s="84"/>
      <c r="AS568" s="84"/>
      <c r="AT568" s="84"/>
      <c r="AU568" s="84"/>
      <c r="AV568" s="84"/>
      <c r="AW568" s="84"/>
      <c r="AX568" s="84"/>
      <c r="AY568" s="84"/>
      <c r="AZ568" s="84"/>
    </row>
    <row r="569" ht="15.75" customHeight="1">
      <c r="A569" s="9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5"/>
      <c r="AK569" s="85"/>
      <c r="AL569" s="103"/>
      <c r="AM569" s="104"/>
      <c r="AN569" s="103"/>
      <c r="AO569" s="104"/>
      <c r="AP569" s="103"/>
      <c r="AQ569" s="104"/>
      <c r="AR569" s="84"/>
      <c r="AS569" s="84"/>
      <c r="AT569" s="84"/>
      <c r="AU569" s="84"/>
      <c r="AV569" s="84"/>
      <c r="AW569" s="84"/>
      <c r="AX569" s="84"/>
      <c r="AY569" s="84"/>
      <c r="AZ569" s="84"/>
    </row>
    <row r="570" ht="15.75" customHeight="1">
      <c r="A570" s="9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5"/>
      <c r="AK570" s="85"/>
      <c r="AL570" s="103"/>
      <c r="AM570" s="104"/>
      <c r="AN570" s="103"/>
      <c r="AO570" s="104"/>
      <c r="AP570" s="103"/>
      <c r="AQ570" s="104"/>
      <c r="AR570" s="84"/>
      <c r="AS570" s="84"/>
      <c r="AT570" s="84"/>
      <c r="AU570" s="84"/>
      <c r="AV570" s="84"/>
      <c r="AW570" s="84"/>
      <c r="AX570" s="84"/>
      <c r="AY570" s="84"/>
      <c r="AZ570" s="84"/>
    </row>
    <row r="571" ht="15.75" customHeight="1">
      <c r="A571" s="9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5"/>
      <c r="AK571" s="85"/>
      <c r="AL571" s="103"/>
      <c r="AM571" s="104"/>
      <c r="AN571" s="103"/>
      <c r="AO571" s="104"/>
      <c r="AP571" s="103"/>
      <c r="AQ571" s="104"/>
      <c r="AR571" s="84"/>
      <c r="AS571" s="84"/>
      <c r="AT571" s="84"/>
      <c r="AU571" s="84"/>
      <c r="AV571" s="84"/>
      <c r="AW571" s="84"/>
      <c r="AX571" s="84"/>
      <c r="AY571" s="84"/>
      <c r="AZ571" s="84"/>
    </row>
    <row r="572" ht="15.75" customHeight="1">
      <c r="A572" s="9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5"/>
      <c r="AK572" s="85"/>
      <c r="AL572" s="103"/>
      <c r="AM572" s="104"/>
      <c r="AN572" s="103"/>
      <c r="AO572" s="104"/>
      <c r="AP572" s="103"/>
      <c r="AQ572" s="104"/>
      <c r="AR572" s="84"/>
      <c r="AS572" s="84"/>
      <c r="AT572" s="84"/>
      <c r="AU572" s="84"/>
      <c r="AV572" s="84"/>
      <c r="AW572" s="84"/>
      <c r="AX572" s="84"/>
      <c r="AY572" s="84"/>
      <c r="AZ572" s="84"/>
    </row>
    <row r="573" ht="15.75" customHeight="1">
      <c r="A573" s="9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5"/>
      <c r="AK573" s="85"/>
      <c r="AL573" s="103"/>
      <c r="AM573" s="104"/>
      <c r="AN573" s="103"/>
      <c r="AO573" s="104"/>
      <c r="AP573" s="103"/>
      <c r="AQ573" s="104"/>
      <c r="AR573" s="84"/>
      <c r="AS573" s="84"/>
      <c r="AT573" s="84"/>
      <c r="AU573" s="84"/>
      <c r="AV573" s="84"/>
      <c r="AW573" s="84"/>
      <c r="AX573" s="84"/>
      <c r="AY573" s="84"/>
      <c r="AZ573" s="84"/>
    </row>
    <row r="574" ht="15.75" customHeight="1">
      <c r="A574" s="9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5"/>
      <c r="AK574" s="85"/>
      <c r="AL574" s="103"/>
      <c r="AM574" s="104"/>
      <c r="AN574" s="103"/>
      <c r="AO574" s="104"/>
      <c r="AP574" s="103"/>
      <c r="AQ574" s="104"/>
      <c r="AR574" s="84"/>
      <c r="AS574" s="84"/>
      <c r="AT574" s="84"/>
      <c r="AU574" s="84"/>
      <c r="AV574" s="84"/>
      <c r="AW574" s="84"/>
      <c r="AX574" s="84"/>
      <c r="AY574" s="84"/>
      <c r="AZ574" s="84"/>
    </row>
    <row r="575" ht="15.75" customHeight="1">
      <c r="A575" s="9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5"/>
      <c r="AK575" s="85"/>
      <c r="AL575" s="103"/>
      <c r="AM575" s="104"/>
      <c r="AN575" s="103"/>
      <c r="AO575" s="104"/>
      <c r="AP575" s="103"/>
      <c r="AQ575" s="104"/>
      <c r="AR575" s="84"/>
      <c r="AS575" s="84"/>
      <c r="AT575" s="84"/>
      <c r="AU575" s="84"/>
      <c r="AV575" s="84"/>
      <c r="AW575" s="84"/>
      <c r="AX575" s="84"/>
      <c r="AY575" s="84"/>
      <c r="AZ575" s="84"/>
    </row>
    <row r="576" ht="15.75" customHeight="1">
      <c r="A576" s="9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5"/>
      <c r="AK576" s="85"/>
      <c r="AL576" s="103"/>
      <c r="AM576" s="104"/>
      <c r="AN576" s="103"/>
      <c r="AO576" s="104"/>
      <c r="AP576" s="103"/>
      <c r="AQ576" s="104"/>
      <c r="AR576" s="84"/>
      <c r="AS576" s="84"/>
      <c r="AT576" s="84"/>
      <c r="AU576" s="84"/>
      <c r="AV576" s="84"/>
      <c r="AW576" s="84"/>
      <c r="AX576" s="84"/>
      <c r="AY576" s="84"/>
      <c r="AZ576" s="84"/>
    </row>
    <row r="577" ht="15.75" customHeight="1">
      <c r="A577" s="9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5"/>
      <c r="AK577" s="85"/>
      <c r="AL577" s="103"/>
      <c r="AM577" s="104"/>
      <c r="AN577" s="103"/>
      <c r="AO577" s="104"/>
      <c r="AP577" s="103"/>
      <c r="AQ577" s="104"/>
      <c r="AR577" s="84"/>
      <c r="AS577" s="84"/>
      <c r="AT577" s="84"/>
      <c r="AU577" s="84"/>
      <c r="AV577" s="84"/>
      <c r="AW577" s="84"/>
      <c r="AX577" s="84"/>
      <c r="AY577" s="84"/>
      <c r="AZ577" s="84"/>
    </row>
    <row r="578" ht="15.75" customHeight="1">
      <c r="A578" s="9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5"/>
      <c r="AK578" s="85"/>
      <c r="AL578" s="103"/>
      <c r="AM578" s="104"/>
      <c r="AN578" s="103"/>
      <c r="AO578" s="104"/>
      <c r="AP578" s="103"/>
      <c r="AQ578" s="104"/>
      <c r="AR578" s="84"/>
      <c r="AS578" s="84"/>
      <c r="AT578" s="84"/>
      <c r="AU578" s="84"/>
      <c r="AV578" s="84"/>
      <c r="AW578" s="84"/>
      <c r="AX578" s="84"/>
      <c r="AY578" s="84"/>
      <c r="AZ578" s="84"/>
    </row>
    <row r="579" ht="15.75" customHeight="1">
      <c r="A579" s="9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5"/>
      <c r="AK579" s="85"/>
      <c r="AL579" s="103"/>
      <c r="AM579" s="104"/>
      <c r="AN579" s="103"/>
      <c r="AO579" s="104"/>
      <c r="AP579" s="103"/>
      <c r="AQ579" s="104"/>
      <c r="AR579" s="84"/>
      <c r="AS579" s="84"/>
      <c r="AT579" s="84"/>
      <c r="AU579" s="84"/>
      <c r="AV579" s="84"/>
      <c r="AW579" s="84"/>
      <c r="AX579" s="84"/>
      <c r="AY579" s="84"/>
      <c r="AZ579" s="84"/>
    </row>
    <row r="580" ht="15.75" customHeight="1">
      <c r="A580" s="9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5"/>
      <c r="AK580" s="85"/>
      <c r="AL580" s="103"/>
      <c r="AM580" s="104"/>
      <c r="AN580" s="103"/>
      <c r="AO580" s="104"/>
      <c r="AP580" s="103"/>
      <c r="AQ580" s="104"/>
      <c r="AR580" s="84"/>
      <c r="AS580" s="84"/>
      <c r="AT580" s="84"/>
      <c r="AU580" s="84"/>
      <c r="AV580" s="84"/>
      <c r="AW580" s="84"/>
      <c r="AX580" s="84"/>
      <c r="AY580" s="84"/>
      <c r="AZ580" s="84"/>
    </row>
    <row r="581" ht="15.75" customHeight="1">
      <c r="A581" s="9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5"/>
      <c r="AK581" s="85"/>
      <c r="AL581" s="103"/>
      <c r="AM581" s="104"/>
      <c r="AN581" s="103"/>
      <c r="AO581" s="104"/>
      <c r="AP581" s="103"/>
      <c r="AQ581" s="104"/>
      <c r="AR581" s="84"/>
      <c r="AS581" s="84"/>
      <c r="AT581" s="84"/>
      <c r="AU581" s="84"/>
      <c r="AV581" s="84"/>
      <c r="AW581" s="84"/>
      <c r="AX581" s="84"/>
      <c r="AY581" s="84"/>
      <c r="AZ581" s="84"/>
    </row>
    <row r="582" ht="15.75" customHeight="1">
      <c r="A582" s="9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5"/>
      <c r="AK582" s="85"/>
      <c r="AL582" s="103"/>
      <c r="AM582" s="104"/>
      <c r="AN582" s="103"/>
      <c r="AO582" s="104"/>
      <c r="AP582" s="103"/>
      <c r="AQ582" s="104"/>
      <c r="AR582" s="84"/>
      <c r="AS582" s="84"/>
      <c r="AT582" s="84"/>
      <c r="AU582" s="84"/>
      <c r="AV582" s="84"/>
      <c r="AW582" s="84"/>
      <c r="AX582" s="84"/>
      <c r="AY582" s="84"/>
      <c r="AZ582" s="84"/>
    </row>
    <row r="583" ht="15.75" customHeight="1">
      <c r="A583" s="9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5"/>
      <c r="AK583" s="85"/>
      <c r="AL583" s="103"/>
      <c r="AM583" s="104"/>
      <c r="AN583" s="103"/>
      <c r="AO583" s="104"/>
      <c r="AP583" s="103"/>
      <c r="AQ583" s="104"/>
      <c r="AR583" s="84"/>
      <c r="AS583" s="84"/>
      <c r="AT583" s="84"/>
      <c r="AU583" s="84"/>
      <c r="AV583" s="84"/>
      <c r="AW583" s="84"/>
      <c r="AX583" s="84"/>
      <c r="AY583" s="84"/>
      <c r="AZ583" s="84"/>
    </row>
    <row r="584" ht="15.75" customHeight="1">
      <c r="A584" s="9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5"/>
      <c r="AK584" s="85"/>
      <c r="AL584" s="103"/>
      <c r="AM584" s="104"/>
      <c r="AN584" s="103"/>
      <c r="AO584" s="104"/>
      <c r="AP584" s="103"/>
      <c r="AQ584" s="104"/>
      <c r="AR584" s="84"/>
      <c r="AS584" s="84"/>
      <c r="AT584" s="84"/>
      <c r="AU584" s="84"/>
      <c r="AV584" s="84"/>
      <c r="AW584" s="84"/>
      <c r="AX584" s="84"/>
      <c r="AY584" s="84"/>
      <c r="AZ584" s="84"/>
    </row>
    <row r="585" ht="15.75" customHeight="1">
      <c r="A585" s="9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5"/>
      <c r="AK585" s="85"/>
      <c r="AL585" s="103"/>
      <c r="AM585" s="104"/>
      <c r="AN585" s="103"/>
      <c r="AO585" s="104"/>
      <c r="AP585" s="103"/>
      <c r="AQ585" s="104"/>
      <c r="AR585" s="84"/>
      <c r="AS585" s="84"/>
      <c r="AT585" s="84"/>
      <c r="AU585" s="84"/>
      <c r="AV585" s="84"/>
      <c r="AW585" s="84"/>
      <c r="AX585" s="84"/>
      <c r="AY585" s="84"/>
      <c r="AZ585" s="84"/>
    </row>
    <row r="586" ht="15.75" customHeight="1">
      <c r="A586" s="9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5"/>
      <c r="AK586" s="85"/>
      <c r="AL586" s="103"/>
      <c r="AM586" s="104"/>
      <c r="AN586" s="103"/>
      <c r="AO586" s="104"/>
      <c r="AP586" s="103"/>
      <c r="AQ586" s="104"/>
      <c r="AR586" s="84"/>
      <c r="AS586" s="84"/>
      <c r="AT586" s="84"/>
      <c r="AU586" s="84"/>
      <c r="AV586" s="84"/>
      <c r="AW586" s="84"/>
      <c r="AX586" s="84"/>
      <c r="AY586" s="84"/>
      <c r="AZ586" s="84"/>
    </row>
    <row r="587" ht="15.75" customHeight="1">
      <c r="A587" s="9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5"/>
      <c r="AK587" s="85"/>
      <c r="AL587" s="103"/>
      <c r="AM587" s="104"/>
      <c r="AN587" s="103"/>
      <c r="AO587" s="104"/>
      <c r="AP587" s="103"/>
      <c r="AQ587" s="104"/>
      <c r="AR587" s="84"/>
      <c r="AS587" s="84"/>
      <c r="AT587" s="84"/>
      <c r="AU587" s="84"/>
      <c r="AV587" s="84"/>
      <c r="AW587" s="84"/>
      <c r="AX587" s="84"/>
      <c r="AY587" s="84"/>
      <c r="AZ587" s="84"/>
    </row>
    <row r="588" ht="15.75" customHeight="1">
      <c r="A588" s="9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5"/>
      <c r="AK588" s="85"/>
      <c r="AL588" s="103"/>
      <c r="AM588" s="104"/>
      <c r="AN588" s="103"/>
      <c r="AO588" s="104"/>
      <c r="AP588" s="103"/>
      <c r="AQ588" s="104"/>
      <c r="AR588" s="84"/>
      <c r="AS588" s="84"/>
      <c r="AT588" s="84"/>
      <c r="AU588" s="84"/>
      <c r="AV588" s="84"/>
      <c r="AW588" s="84"/>
      <c r="AX588" s="84"/>
      <c r="AY588" s="84"/>
      <c r="AZ588" s="84"/>
    </row>
    <row r="589" ht="15.75" customHeight="1">
      <c r="A589" s="9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5"/>
      <c r="AK589" s="85"/>
      <c r="AL589" s="103"/>
      <c r="AM589" s="104"/>
      <c r="AN589" s="103"/>
      <c r="AO589" s="104"/>
      <c r="AP589" s="103"/>
      <c r="AQ589" s="104"/>
      <c r="AR589" s="84"/>
      <c r="AS589" s="84"/>
      <c r="AT589" s="84"/>
      <c r="AU589" s="84"/>
      <c r="AV589" s="84"/>
      <c r="AW589" s="84"/>
      <c r="AX589" s="84"/>
      <c r="AY589" s="84"/>
      <c r="AZ589" s="84"/>
    </row>
    <row r="590" ht="15.75" customHeight="1">
      <c r="A590" s="9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5"/>
      <c r="AK590" s="85"/>
      <c r="AL590" s="103"/>
      <c r="AM590" s="104"/>
      <c r="AN590" s="103"/>
      <c r="AO590" s="104"/>
      <c r="AP590" s="103"/>
      <c r="AQ590" s="104"/>
      <c r="AR590" s="84"/>
      <c r="AS590" s="84"/>
      <c r="AT590" s="84"/>
      <c r="AU590" s="84"/>
      <c r="AV590" s="84"/>
      <c r="AW590" s="84"/>
      <c r="AX590" s="84"/>
      <c r="AY590" s="84"/>
      <c r="AZ590" s="84"/>
    </row>
    <row r="591" ht="15.75" customHeight="1">
      <c r="A591" s="9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5"/>
      <c r="AK591" s="85"/>
      <c r="AL591" s="103"/>
      <c r="AM591" s="104"/>
      <c r="AN591" s="103"/>
      <c r="AO591" s="104"/>
      <c r="AP591" s="103"/>
      <c r="AQ591" s="104"/>
      <c r="AR591" s="84"/>
      <c r="AS591" s="84"/>
      <c r="AT591" s="84"/>
      <c r="AU591" s="84"/>
      <c r="AV591" s="84"/>
      <c r="AW591" s="84"/>
      <c r="AX591" s="84"/>
      <c r="AY591" s="84"/>
      <c r="AZ591" s="84"/>
    </row>
    <row r="592" ht="15.75" customHeight="1">
      <c r="A592" s="9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5"/>
      <c r="AK592" s="85"/>
      <c r="AL592" s="103"/>
      <c r="AM592" s="104"/>
      <c r="AN592" s="103"/>
      <c r="AO592" s="104"/>
      <c r="AP592" s="103"/>
      <c r="AQ592" s="104"/>
      <c r="AR592" s="84"/>
      <c r="AS592" s="84"/>
      <c r="AT592" s="84"/>
      <c r="AU592" s="84"/>
      <c r="AV592" s="84"/>
      <c r="AW592" s="84"/>
      <c r="AX592" s="84"/>
      <c r="AY592" s="84"/>
      <c r="AZ592" s="84"/>
    </row>
    <row r="593" ht="15.75" customHeight="1">
      <c r="A593" s="9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5"/>
      <c r="AK593" s="85"/>
      <c r="AL593" s="103"/>
      <c r="AM593" s="104"/>
      <c r="AN593" s="103"/>
      <c r="AO593" s="104"/>
      <c r="AP593" s="103"/>
      <c r="AQ593" s="104"/>
      <c r="AR593" s="84"/>
      <c r="AS593" s="84"/>
      <c r="AT593" s="84"/>
      <c r="AU593" s="84"/>
      <c r="AV593" s="84"/>
      <c r="AW593" s="84"/>
      <c r="AX593" s="84"/>
      <c r="AY593" s="84"/>
      <c r="AZ593" s="84"/>
    </row>
    <row r="594" ht="15.75" customHeight="1">
      <c r="A594" s="9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5"/>
      <c r="AK594" s="85"/>
      <c r="AL594" s="103"/>
      <c r="AM594" s="104"/>
      <c r="AN594" s="103"/>
      <c r="AO594" s="104"/>
      <c r="AP594" s="103"/>
      <c r="AQ594" s="104"/>
      <c r="AR594" s="84"/>
      <c r="AS594" s="84"/>
      <c r="AT594" s="84"/>
      <c r="AU594" s="84"/>
      <c r="AV594" s="84"/>
      <c r="AW594" s="84"/>
      <c r="AX594" s="84"/>
      <c r="AY594" s="84"/>
      <c r="AZ594" s="84"/>
    </row>
    <row r="595" ht="15.75" customHeight="1">
      <c r="A595" s="9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5"/>
      <c r="AK595" s="85"/>
      <c r="AL595" s="103"/>
      <c r="AM595" s="104"/>
      <c r="AN595" s="103"/>
      <c r="AO595" s="104"/>
      <c r="AP595" s="103"/>
      <c r="AQ595" s="104"/>
      <c r="AR595" s="84"/>
      <c r="AS595" s="84"/>
      <c r="AT595" s="84"/>
      <c r="AU595" s="84"/>
      <c r="AV595" s="84"/>
      <c r="AW595" s="84"/>
      <c r="AX595" s="84"/>
      <c r="AY595" s="84"/>
      <c r="AZ595" s="84"/>
    </row>
    <row r="596" ht="15.75" customHeight="1">
      <c r="A596" s="9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5"/>
      <c r="AK596" s="85"/>
      <c r="AL596" s="103"/>
      <c r="AM596" s="104"/>
      <c r="AN596" s="103"/>
      <c r="AO596" s="104"/>
      <c r="AP596" s="103"/>
      <c r="AQ596" s="104"/>
      <c r="AR596" s="84"/>
      <c r="AS596" s="84"/>
      <c r="AT596" s="84"/>
      <c r="AU596" s="84"/>
      <c r="AV596" s="84"/>
      <c r="AW596" s="84"/>
      <c r="AX596" s="84"/>
      <c r="AY596" s="84"/>
      <c r="AZ596" s="84"/>
    </row>
    <row r="597" ht="15.75" customHeight="1">
      <c r="A597" s="9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5"/>
      <c r="AK597" s="85"/>
      <c r="AL597" s="103"/>
      <c r="AM597" s="104"/>
      <c r="AN597" s="103"/>
      <c r="AO597" s="104"/>
      <c r="AP597" s="103"/>
      <c r="AQ597" s="104"/>
      <c r="AR597" s="84"/>
      <c r="AS597" s="84"/>
      <c r="AT597" s="84"/>
      <c r="AU597" s="84"/>
      <c r="AV597" s="84"/>
      <c r="AW597" s="84"/>
      <c r="AX597" s="84"/>
      <c r="AY597" s="84"/>
      <c r="AZ597" s="84"/>
    </row>
    <row r="598" ht="15.75" customHeight="1">
      <c r="A598" s="9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5"/>
      <c r="AK598" s="85"/>
      <c r="AL598" s="103"/>
      <c r="AM598" s="104"/>
      <c r="AN598" s="103"/>
      <c r="AO598" s="104"/>
      <c r="AP598" s="103"/>
      <c r="AQ598" s="104"/>
      <c r="AR598" s="84"/>
      <c r="AS598" s="84"/>
      <c r="AT598" s="84"/>
      <c r="AU598" s="84"/>
      <c r="AV598" s="84"/>
      <c r="AW598" s="84"/>
      <c r="AX598" s="84"/>
      <c r="AY598" s="84"/>
      <c r="AZ598" s="84"/>
    </row>
    <row r="599" ht="15.75" customHeight="1">
      <c r="A599" s="9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5"/>
      <c r="AK599" s="85"/>
      <c r="AL599" s="103"/>
      <c r="AM599" s="104"/>
      <c r="AN599" s="103"/>
      <c r="AO599" s="104"/>
      <c r="AP599" s="103"/>
      <c r="AQ599" s="104"/>
      <c r="AR599" s="84"/>
      <c r="AS599" s="84"/>
      <c r="AT599" s="84"/>
      <c r="AU599" s="84"/>
      <c r="AV599" s="84"/>
      <c r="AW599" s="84"/>
      <c r="AX599" s="84"/>
      <c r="AY599" s="84"/>
      <c r="AZ599" s="84"/>
    </row>
    <row r="600" ht="15.75" customHeight="1">
      <c r="A600" s="9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5"/>
      <c r="AK600" s="85"/>
      <c r="AL600" s="103"/>
      <c r="AM600" s="104"/>
      <c r="AN600" s="103"/>
      <c r="AO600" s="104"/>
      <c r="AP600" s="103"/>
      <c r="AQ600" s="104"/>
      <c r="AR600" s="84"/>
      <c r="AS600" s="84"/>
      <c r="AT600" s="84"/>
      <c r="AU600" s="84"/>
      <c r="AV600" s="84"/>
      <c r="AW600" s="84"/>
      <c r="AX600" s="84"/>
      <c r="AY600" s="84"/>
      <c r="AZ600" s="84"/>
    </row>
    <row r="601" ht="15.75" customHeight="1">
      <c r="A601" s="9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5"/>
      <c r="AK601" s="85"/>
      <c r="AL601" s="103"/>
      <c r="AM601" s="104"/>
      <c r="AN601" s="103"/>
      <c r="AO601" s="104"/>
      <c r="AP601" s="103"/>
      <c r="AQ601" s="104"/>
      <c r="AR601" s="84"/>
      <c r="AS601" s="84"/>
      <c r="AT601" s="84"/>
      <c r="AU601" s="84"/>
      <c r="AV601" s="84"/>
      <c r="AW601" s="84"/>
      <c r="AX601" s="84"/>
      <c r="AY601" s="84"/>
      <c r="AZ601" s="84"/>
    </row>
    <row r="602" ht="15.75" customHeight="1">
      <c r="A602" s="9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5"/>
      <c r="AK602" s="85"/>
      <c r="AL602" s="103"/>
      <c r="AM602" s="104"/>
      <c r="AN602" s="103"/>
      <c r="AO602" s="104"/>
      <c r="AP602" s="103"/>
      <c r="AQ602" s="104"/>
      <c r="AR602" s="84"/>
      <c r="AS602" s="84"/>
      <c r="AT602" s="84"/>
      <c r="AU602" s="84"/>
      <c r="AV602" s="84"/>
      <c r="AW602" s="84"/>
      <c r="AX602" s="84"/>
      <c r="AY602" s="84"/>
      <c r="AZ602" s="84"/>
    </row>
    <row r="603" ht="15.75" customHeight="1">
      <c r="A603" s="9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5"/>
      <c r="AK603" s="85"/>
      <c r="AL603" s="103"/>
      <c r="AM603" s="104"/>
      <c r="AN603" s="103"/>
      <c r="AO603" s="104"/>
      <c r="AP603" s="103"/>
      <c r="AQ603" s="104"/>
      <c r="AR603" s="84"/>
      <c r="AS603" s="84"/>
      <c r="AT603" s="84"/>
      <c r="AU603" s="84"/>
      <c r="AV603" s="84"/>
      <c r="AW603" s="84"/>
      <c r="AX603" s="84"/>
      <c r="AY603" s="84"/>
      <c r="AZ603" s="84"/>
    </row>
    <row r="604" ht="15.75" customHeight="1">
      <c r="A604" s="9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5"/>
      <c r="AK604" s="85"/>
      <c r="AL604" s="103"/>
      <c r="AM604" s="104"/>
      <c r="AN604" s="103"/>
      <c r="AO604" s="104"/>
      <c r="AP604" s="103"/>
      <c r="AQ604" s="104"/>
      <c r="AR604" s="84"/>
      <c r="AS604" s="84"/>
      <c r="AT604" s="84"/>
      <c r="AU604" s="84"/>
      <c r="AV604" s="84"/>
      <c r="AW604" s="84"/>
      <c r="AX604" s="84"/>
      <c r="AY604" s="84"/>
      <c r="AZ604" s="84"/>
    </row>
    <row r="605" ht="15.75" customHeight="1">
      <c r="A605" s="9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5"/>
      <c r="AK605" s="85"/>
      <c r="AL605" s="103"/>
      <c r="AM605" s="104"/>
      <c r="AN605" s="103"/>
      <c r="AO605" s="104"/>
      <c r="AP605" s="103"/>
      <c r="AQ605" s="104"/>
      <c r="AR605" s="84"/>
      <c r="AS605" s="84"/>
      <c r="AT605" s="84"/>
      <c r="AU605" s="84"/>
      <c r="AV605" s="84"/>
      <c r="AW605" s="84"/>
      <c r="AX605" s="84"/>
      <c r="AY605" s="84"/>
      <c r="AZ605" s="84"/>
    </row>
    <row r="606" ht="15.75" customHeight="1">
      <c r="A606" s="9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5"/>
      <c r="AK606" s="85"/>
      <c r="AL606" s="103"/>
      <c r="AM606" s="104"/>
      <c r="AN606" s="103"/>
      <c r="AO606" s="104"/>
      <c r="AP606" s="103"/>
      <c r="AQ606" s="104"/>
      <c r="AR606" s="84"/>
      <c r="AS606" s="84"/>
      <c r="AT606" s="84"/>
      <c r="AU606" s="84"/>
      <c r="AV606" s="84"/>
      <c r="AW606" s="84"/>
      <c r="AX606" s="84"/>
      <c r="AY606" s="84"/>
      <c r="AZ606" s="84"/>
    </row>
    <row r="607" ht="15.75" customHeight="1">
      <c r="A607" s="9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5"/>
      <c r="AK607" s="85"/>
      <c r="AL607" s="103"/>
      <c r="AM607" s="104"/>
      <c r="AN607" s="103"/>
      <c r="AO607" s="104"/>
      <c r="AP607" s="103"/>
      <c r="AQ607" s="104"/>
      <c r="AR607" s="84"/>
      <c r="AS607" s="84"/>
      <c r="AT607" s="84"/>
      <c r="AU607" s="84"/>
      <c r="AV607" s="84"/>
      <c r="AW607" s="84"/>
      <c r="AX607" s="84"/>
      <c r="AY607" s="84"/>
      <c r="AZ607" s="84"/>
    </row>
    <row r="608" ht="15.75" customHeight="1">
      <c r="A608" s="9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5"/>
      <c r="AK608" s="85"/>
      <c r="AL608" s="103"/>
      <c r="AM608" s="104"/>
      <c r="AN608" s="103"/>
      <c r="AO608" s="104"/>
      <c r="AP608" s="103"/>
      <c r="AQ608" s="104"/>
      <c r="AR608" s="84"/>
      <c r="AS608" s="84"/>
      <c r="AT608" s="84"/>
      <c r="AU608" s="84"/>
      <c r="AV608" s="84"/>
      <c r="AW608" s="84"/>
      <c r="AX608" s="84"/>
      <c r="AY608" s="84"/>
      <c r="AZ608" s="84"/>
    </row>
    <row r="609" ht="15.75" customHeight="1">
      <c r="A609" s="9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5"/>
      <c r="AK609" s="85"/>
      <c r="AL609" s="103"/>
      <c r="AM609" s="104"/>
      <c r="AN609" s="103"/>
      <c r="AO609" s="104"/>
      <c r="AP609" s="103"/>
      <c r="AQ609" s="104"/>
      <c r="AR609" s="84"/>
      <c r="AS609" s="84"/>
      <c r="AT609" s="84"/>
      <c r="AU609" s="84"/>
      <c r="AV609" s="84"/>
      <c r="AW609" s="84"/>
      <c r="AX609" s="84"/>
      <c r="AY609" s="84"/>
      <c r="AZ609" s="84"/>
    </row>
    <row r="610" ht="15.75" customHeight="1">
      <c r="A610" s="9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5"/>
      <c r="AK610" s="85"/>
      <c r="AL610" s="103"/>
      <c r="AM610" s="104"/>
      <c r="AN610" s="103"/>
      <c r="AO610" s="104"/>
      <c r="AP610" s="103"/>
      <c r="AQ610" s="104"/>
      <c r="AR610" s="84"/>
      <c r="AS610" s="84"/>
      <c r="AT610" s="84"/>
      <c r="AU610" s="84"/>
      <c r="AV610" s="84"/>
      <c r="AW610" s="84"/>
      <c r="AX610" s="84"/>
      <c r="AY610" s="84"/>
      <c r="AZ610" s="84"/>
    </row>
    <row r="611" ht="15.75" customHeight="1">
      <c r="A611" s="9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5"/>
      <c r="AK611" s="85"/>
      <c r="AL611" s="103"/>
      <c r="AM611" s="104"/>
      <c r="AN611" s="103"/>
      <c r="AO611" s="104"/>
      <c r="AP611" s="103"/>
      <c r="AQ611" s="104"/>
      <c r="AR611" s="84"/>
      <c r="AS611" s="84"/>
      <c r="AT611" s="84"/>
      <c r="AU611" s="84"/>
      <c r="AV611" s="84"/>
      <c r="AW611" s="84"/>
      <c r="AX611" s="84"/>
      <c r="AY611" s="84"/>
      <c r="AZ611" s="84"/>
    </row>
    <row r="612" ht="15.75" customHeight="1">
      <c r="A612" s="9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5"/>
      <c r="AK612" s="85"/>
      <c r="AL612" s="103"/>
      <c r="AM612" s="104"/>
      <c r="AN612" s="103"/>
      <c r="AO612" s="104"/>
      <c r="AP612" s="103"/>
      <c r="AQ612" s="104"/>
      <c r="AR612" s="84"/>
      <c r="AS612" s="84"/>
      <c r="AT612" s="84"/>
      <c r="AU612" s="84"/>
      <c r="AV612" s="84"/>
      <c r="AW612" s="84"/>
      <c r="AX612" s="84"/>
      <c r="AY612" s="84"/>
      <c r="AZ612" s="84"/>
    </row>
    <row r="613" ht="15.75" customHeight="1">
      <c r="A613" s="9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5"/>
      <c r="AK613" s="85"/>
      <c r="AL613" s="103"/>
      <c r="AM613" s="104"/>
      <c r="AN613" s="103"/>
      <c r="AO613" s="104"/>
      <c r="AP613" s="103"/>
      <c r="AQ613" s="104"/>
      <c r="AR613" s="84"/>
      <c r="AS613" s="84"/>
      <c r="AT613" s="84"/>
      <c r="AU613" s="84"/>
      <c r="AV613" s="84"/>
      <c r="AW613" s="84"/>
      <c r="AX613" s="84"/>
      <c r="AY613" s="84"/>
      <c r="AZ613" s="84"/>
    </row>
    <row r="614" ht="15.75" customHeight="1">
      <c r="A614" s="9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5"/>
      <c r="AK614" s="85"/>
      <c r="AL614" s="103"/>
      <c r="AM614" s="104"/>
      <c r="AN614" s="103"/>
      <c r="AO614" s="104"/>
      <c r="AP614" s="103"/>
      <c r="AQ614" s="104"/>
      <c r="AR614" s="84"/>
      <c r="AS614" s="84"/>
      <c r="AT614" s="84"/>
      <c r="AU614" s="84"/>
      <c r="AV614" s="84"/>
      <c r="AW614" s="84"/>
      <c r="AX614" s="84"/>
      <c r="AY614" s="84"/>
      <c r="AZ614" s="84"/>
    </row>
    <row r="615" ht="15.75" customHeight="1">
      <c r="A615" s="9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5"/>
      <c r="AK615" s="85"/>
      <c r="AL615" s="103"/>
      <c r="AM615" s="104"/>
      <c r="AN615" s="103"/>
      <c r="AO615" s="104"/>
      <c r="AP615" s="103"/>
      <c r="AQ615" s="104"/>
      <c r="AR615" s="84"/>
      <c r="AS615" s="84"/>
      <c r="AT615" s="84"/>
      <c r="AU615" s="84"/>
      <c r="AV615" s="84"/>
      <c r="AW615" s="84"/>
      <c r="AX615" s="84"/>
      <c r="AY615" s="84"/>
      <c r="AZ615" s="84"/>
    </row>
    <row r="616" ht="15.75" customHeight="1">
      <c r="A616" s="9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5"/>
      <c r="AK616" s="85"/>
      <c r="AL616" s="103"/>
      <c r="AM616" s="104"/>
      <c r="AN616" s="103"/>
      <c r="AO616" s="104"/>
      <c r="AP616" s="103"/>
      <c r="AQ616" s="104"/>
      <c r="AR616" s="84"/>
      <c r="AS616" s="84"/>
      <c r="AT616" s="84"/>
      <c r="AU616" s="84"/>
      <c r="AV616" s="84"/>
      <c r="AW616" s="84"/>
      <c r="AX616" s="84"/>
      <c r="AY616" s="84"/>
      <c r="AZ616" s="84"/>
    </row>
    <row r="617" ht="15.75" customHeight="1">
      <c r="A617" s="9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5"/>
      <c r="AK617" s="85"/>
      <c r="AL617" s="103"/>
      <c r="AM617" s="104"/>
      <c r="AN617" s="103"/>
      <c r="AO617" s="104"/>
      <c r="AP617" s="103"/>
      <c r="AQ617" s="104"/>
      <c r="AR617" s="84"/>
      <c r="AS617" s="84"/>
      <c r="AT617" s="84"/>
      <c r="AU617" s="84"/>
      <c r="AV617" s="84"/>
      <c r="AW617" s="84"/>
      <c r="AX617" s="84"/>
      <c r="AY617" s="84"/>
      <c r="AZ617" s="84"/>
    </row>
    <row r="618" ht="15.75" customHeight="1">
      <c r="A618" s="9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5"/>
      <c r="AK618" s="85"/>
      <c r="AL618" s="103"/>
      <c r="AM618" s="104"/>
      <c r="AN618" s="103"/>
      <c r="AO618" s="104"/>
      <c r="AP618" s="103"/>
      <c r="AQ618" s="104"/>
      <c r="AR618" s="84"/>
      <c r="AS618" s="84"/>
      <c r="AT618" s="84"/>
      <c r="AU618" s="84"/>
      <c r="AV618" s="84"/>
      <c r="AW618" s="84"/>
      <c r="AX618" s="84"/>
      <c r="AY618" s="84"/>
      <c r="AZ618" s="84"/>
    </row>
    <row r="619" ht="15.75" customHeight="1">
      <c r="A619" s="9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5"/>
      <c r="AK619" s="85"/>
      <c r="AL619" s="103"/>
      <c r="AM619" s="104"/>
      <c r="AN619" s="103"/>
      <c r="AO619" s="104"/>
      <c r="AP619" s="103"/>
      <c r="AQ619" s="104"/>
      <c r="AR619" s="84"/>
      <c r="AS619" s="84"/>
      <c r="AT619" s="84"/>
      <c r="AU619" s="84"/>
      <c r="AV619" s="84"/>
      <c r="AW619" s="84"/>
      <c r="AX619" s="84"/>
      <c r="AY619" s="84"/>
      <c r="AZ619" s="84"/>
    </row>
    <row r="620" ht="15.75" customHeight="1">
      <c r="A620" s="9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5"/>
      <c r="AK620" s="85"/>
      <c r="AL620" s="103"/>
      <c r="AM620" s="104"/>
      <c r="AN620" s="103"/>
      <c r="AO620" s="104"/>
      <c r="AP620" s="103"/>
      <c r="AQ620" s="104"/>
      <c r="AR620" s="84"/>
      <c r="AS620" s="84"/>
      <c r="AT620" s="84"/>
      <c r="AU620" s="84"/>
      <c r="AV620" s="84"/>
      <c r="AW620" s="84"/>
      <c r="AX620" s="84"/>
      <c r="AY620" s="84"/>
      <c r="AZ620" s="84"/>
    </row>
    <row r="621" ht="15.75" customHeight="1">
      <c r="A621" s="9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5"/>
      <c r="AK621" s="85"/>
      <c r="AL621" s="103"/>
      <c r="AM621" s="104"/>
      <c r="AN621" s="103"/>
      <c r="AO621" s="104"/>
      <c r="AP621" s="103"/>
      <c r="AQ621" s="104"/>
      <c r="AR621" s="84"/>
      <c r="AS621" s="84"/>
      <c r="AT621" s="84"/>
      <c r="AU621" s="84"/>
      <c r="AV621" s="84"/>
      <c r="AW621" s="84"/>
      <c r="AX621" s="84"/>
      <c r="AY621" s="84"/>
      <c r="AZ621" s="84"/>
    </row>
    <row r="622" ht="15.75" customHeight="1">
      <c r="A622" s="9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5"/>
      <c r="AK622" s="85"/>
      <c r="AL622" s="103"/>
      <c r="AM622" s="104"/>
      <c r="AN622" s="103"/>
      <c r="AO622" s="104"/>
      <c r="AP622" s="103"/>
      <c r="AQ622" s="104"/>
      <c r="AR622" s="84"/>
      <c r="AS622" s="84"/>
      <c r="AT622" s="84"/>
      <c r="AU622" s="84"/>
      <c r="AV622" s="84"/>
      <c r="AW622" s="84"/>
      <c r="AX622" s="84"/>
      <c r="AY622" s="84"/>
      <c r="AZ622" s="84"/>
    </row>
    <row r="623" ht="15.75" customHeight="1">
      <c r="A623" s="9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5"/>
      <c r="AK623" s="85"/>
      <c r="AL623" s="103"/>
      <c r="AM623" s="104"/>
      <c r="AN623" s="103"/>
      <c r="AO623" s="104"/>
      <c r="AP623" s="103"/>
      <c r="AQ623" s="104"/>
      <c r="AR623" s="84"/>
      <c r="AS623" s="84"/>
      <c r="AT623" s="84"/>
      <c r="AU623" s="84"/>
      <c r="AV623" s="84"/>
      <c r="AW623" s="84"/>
      <c r="AX623" s="84"/>
      <c r="AY623" s="84"/>
      <c r="AZ623" s="84"/>
    </row>
    <row r="624" ht="15.75" customHeight="1">
      <c r="A624" s="9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5"/>
      <c r="AK624" s="85"/>
      <c r="AL624" s="103"/>
      <c r="AM624" s="104"/>
      <c r="AN624" s="103"/>
      <c r="AO624" s="104"/>
      <c r="AP624" s="103"/>
      <c r="AQ624" s="104"/>
      <c r="AR624" s="84"/>
      <c r="AS624" s="84"/>
      <c r="AT624" s="84"/>
      <c r="AU624" s="84"/>
      <c r="AV624" s="84"/>
      <c r="AW624" s="84"/>
      <c r="AX624" s="84"/>
      <c r="AY624" s="84"/>
      <c r="AZ624" s="84"/>
    </row>
    <row r="625" ht="15.75" customHeight="1">
      <c r="A625" s="9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5"/>
      <c r="AK625" s="85"/>
      <c r="AL625" s="103"/>
      <c r="AM625" s="104"/>
      <c r="AN625" s="103"/>
      <c r="AO625" s="104"/>
      <c r="AP625" s="103"/>
      <c r="AQ625" s="104"/>
      <c r="AR625" s="84"/>
      <c r="AS625" s="84"/>
      <c r="AT625" s="84"/>
      <c r="AU625" s="84"/>
      <c r="AV625" s="84"/>
      <c r="AW625" s="84"/>
      <c r="AX625" s="84"/>
      <c r="AY625" s="84"/>
      <c r="AZ625" s="84"/>
    </row>
    <row r="626" ht="15.75" customHeight="1">
      <c r="A626" s="9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5"/>
      <c r="AK626" s="85"/>
      <c r="AL626" s="103"/>
      <c r="AM626" s="104"/>
      <c r="AN626" s="103"/>
      <c r="AO626" s="104"/>
      <c r="AP626" s="103"/>
      <c r="AQ626" s="104"/>
      <c r="AR626" s="84"/>
      <c r="AS626" s="84"/>
      <c r="AT626" s="84"/>
      <c r="AU626" s="84"/>
      <c r="AV626" s="84"/>
      <c r="AW626" s="84"/>
      <c r="AX626" s="84"/>
      <c r="AY626" s="84"/>
      <c r="AZ626" s="84"/>
    </row>
    <row r="627" ht="15.75" customHeight="1">
      <c r="A627" s="9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5"/>
      <c r="AK627" s="85"/>
      <c r="AL627" s="103"/>
      <c r="AM627" s="104"/>
      <c r="AN627" s="103"/>
      <c r="AO627" s="104"/>
      <c r="AP627" s="103"/>
      <c r="AQ627" s="104"/>
      <c r="AR627" s="84"/>
      <c r="AS627" s="84"/>
      <c r="AT627" s="84"/>
      <c r="AU627" s="84"/>
      <c r="AV627" s="84"/>
      <c r="AW627" s="84"/>
      <c r="AX627" s="84"/>
      <c r="AY627" s="84"/>
      <c r="AZ627" s="84"/>
    </row>
    <row r="628" ht="15.75" customHeight="1">
      <c r="A628" s="9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5"/>
      <c r="AK628" s="85"/>
      <c r="AL628" s="103"/>
      <c r="AM628" s="104"/>
      <c r="AN628" s="103"/>
      <c r="AO628" s="104"/>
      <c r="AP628" s="103"/>
      <c r="AQ628" s="104"/>
      <c r="AR628" s="84"/>
      <c r="AS628" s="84"/>
      <c r="AT628" s="84"/>
      <c r="AU628" s="84"/>
      <c r="AV628" s="84"/>
      <c r="AW628" s="84"/>
      <c r="AX628" s="84"/>
      <c r="AY628" s="84"/>
      <c r="AZ628" s="84"/>
    </row>
    <row r="629" ht="15.75" customHeight="1">
      <c r="A629" s="9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5"/>
      <c r="AK629" s="85"/>
      <c r="AL629" s="103"/>
      <c r="AM629" s="104"/>
      <c r="AN629" s="103"/>
      <c r="AO629" s="104"/>
      <c r="AP629" s="103"/>
      <c r="AQ629" s="104"/>
      <c r="AR629" s="84"/>
      <c r="AS629" s="84"/>
      <c r="AT629" s="84"/>
      <c r="AU629" s="84"/>
      <c r="AV629" s="84"/>
      <c r="AW629" s="84"/>
      <c r="AX629" s="84"/>
      <c r="AY629" s="84"/>
      <c r="AZ629" s="84"/>
    </row>
    <row r="630" ht="15.75" customHeight="1">
      <c r="A630" s="9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5"/>
      <c r="AK630" s="85"/>
      <c r="AL630" s="103"/>
      <c r="AM630" s="104"/>
      <c r="AN630" s="103"/>
      <c r="AO630" s="104"/>
      <c r="AP630" s="103"/>
      <c r="AQ630" s="104"/>
      <c r="AR630" s="84"/>
      <c r="AS630" s="84"/>
      <c r="AT630" s="84"/>
      <c r="AU630" s="84"/>
      <c r="AV630" s="84"/>
      <c r="AW630" s="84"/>
      <c r="AX630" s="84"/>
      <c r="AY630" s="84"/>
      <c r="AZ630" s="84"/>
    </row>
    <row r="631" ht="15.75" customHeight="1">
      <c r="A631" s="9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5"/>
      <c r="AK631" s="85"/>
      <c r="AL631" s="103"/>
      <c r="AM631" s="104"/>
      <c r="AN631" s="103"/>
      <c r="AO631" s="104"/>
      <c r="AP631" s="103"/>
      <c r="AQ631" s="104"/>
      <c r="AR631" s="84"/>
      <c r="AS631" s="84"/>
      <c r="AT631" s="84"/>
      <c r="AU631" s="84"/>
      <c r="AV631" s="84"/>
      <c r="AW631" s="84"/>
      <c r="AX631" s="84"/>
      <c r="AY631" s="84"/>
      <c r="AZ631" s="84"/>
    </row>
    <row r="632" ht="15.75" customHeight="1">
      <c r="A632" s="9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5"/>
      <c r="AK632" s="85"/>
      <c r="AL632" s="103"/>
      <c r="AM632" s="104"/>
      <c r="AN632" s="103"/>
      <c r="AO632" s="104"/>
      <c r="AP632" s="103"/>
      <c r="AQ632" s="104"/>
      <c r="AR632" s="84"/>
      <c r="AS632" s="84"/>
      <c r="AT632" s="84"/>
      <c r="AU632" s="84"/>
      <c r="AV632" s="84"/>
      <c r="AW632" s="84"/>
      <c r="AX632" s="84"/>
      <c r="AY632" s="84"/>
      <c r="AZ632" s="84"/>
    </row>
    <row r="633" ht="15.75" customHeight="1">
      <c r="A633" s="9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5"/>
      <c r="AK633" s="85"/>
      <c r="AL633" s="103"/>
      <c r="AM633" s="104"/>
      <c r="AN633" s="103"/>
      <c r="AO633" s="104"/>
      <c r="AP633" s="103"/>
      <c r="AQ633" s="104"/>
      <c r="AR633" s="84"/>
      <c r="AS633" s="84"/>
      <c r="AT633" s="84"/>
      <c r="AU633" s="84"/>
      <c r="AV633" s="84"/>
      <c r="AW633" s="84"/>
      <c r="AX633" s="84"/>
      <c r="AY633" s="84"/>
      <c r="AZ633" s="84"/>
    </row>
    <row r="634" ht="15.75" customHeight="1">
      <c r="A634" s="9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5"/>
      <c r="AK634" s="85"/>
      <c r="AL634" s="103"/>
      <c r="AM634" s="104"/>
      <c r="AN634" s="103"/>
      <c r="AO634" s="104"/>
      <c r="AP634" s="103"/>
      <c r="AQ634" s="104"/>
      <c r="AR634" s="84"/>
      <c r="AS634" s="84"/>
      <c r="AT634" s="84"/>
      <c r="AU634" s="84"/>
      <c r="AV634" s="84"/>
      <c r="AW634" s="84"/>
      <c r="AX634" s="84"/>
      <c r="AY634" s="84"/>
      <c r="AZ634" s="84"/>
    </row>
    <row r="635" ht="15.75" customHeight="1">
      <c r="A635" s="9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5"/>
      <c r="AK635" s="85"/>
      <c r="AL635" s="103"/>
      <c r="AM635" s="104"/>
      <c r="AN635" s="103"/>
      <c r="AO635" s="104"/>
      <c r="AP635" s="103"/>
      <c r="AQ635" s="104"/>
      <c r="AR635" s="84"/>
      <c r="AS635" s="84"/>
      <c r="AT635" s="84"/>
      <c r="AU635" s="84"/>
      <c r="AV635" s="84"/>
      <c r="AW635" s="84"/>
      <c r="AX635" s="84"/>
      <c r="AY635" s="84"/>
      <c r="AZ635" s="84"/>
    </row>
    <row r="636" ht="15.75" customHeight="1">
      <c r="A636" s="9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5"/>
      <c r="AK636" s="85"/>
      <c r="AL636" s="103"/>
      <c r="AM636" s="104"/>
      <c r="AN636" s="103"/>
      <c r="AO636" s="104"/>
      <c r="AP636" s="103"/>
      <c r="AQ636" s="104"/>
      <c r="AR636" s="84"/>
      <c r="AS636" s="84"/>
      <c r="AT636" s="84"/>
      <c r="AU636" s="84"/>
      <c r="AV636" s="84"/>
      <c r="AW636" s="84"/>
      <c r="AX636" s="84"/>
      <c r="AY636" s="84"/>
      <c r="AZ636" s="84"/>
    </row>
    <row r="637" ht="15.75" customHeight="1">
      <c r="A637" s="9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5"/>
      <c r="AK637" s="85"/>
      <c r="AL637" s="103"/>
      <c r="AM637" s="104"/>
      <c r="AN637" s="103"/>
      <c r="AO637" s="104"/>
      <c r="AP637" s="103"/>
      <c r="AQ637" s="104"/>
      <c r="AR637" s="84"/>
      <c r="AS637" s="84"/>
      <c r="AT637" s="84"/>
      <c r="AU637" s="84"/>
      <c r="AV637" s="84"/>
      <c r="AW637" s="84"/>
      <c r="AX637" s="84"/>
      <c r="AY637" s="84"/>
      <c r="AZ637" s="84"/>
    </row>
    <row r="638" ht="15.75" customHeight="1">
      <c r="A638" s="9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5"/>
      <c r="AK638" s="85"/>
      <c r="AL638" s="103"/>
      <c r="AM638" s="104"/>
      <c r="AN638" s="103"/>
      <c r="AO638" s="104"/>
      <c r="AP638" s="103"/>
      <c r="AQ638" s="104"/>
      <c r="AR638" s="84"/>
      <c r="AS638" s="84"/>
      <c r="AT638" s="84"/>
      <c r="AU638" s="84"/>
      <c r="AV638" s="84"/>
      <c r="AW638" s="84"/>
      <c r="AX638" s="84"/>
      <c r="AY638" s="84"/>
      <c r="AZ638" s="84"/>
    </row>
    <row r="639" ht="15.75" customHeight="1">
      <c r="A639" s="9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5"/>
      <c r="AK639" s="85"/>
      <c r="AL639" s="103"/>
      <c r="AM639" s="104"/>
      <c r="AN639" s="103"/>
      <c r="AO639" s="104"/>
      <c r="AP639" s="103"/>
      <c r="AQ639" s="104"/>
      <c r="AR639" s="84"/>
      <c r="AS639" s="84"/>
      <c r="AT639" s="84"/>
      <c r="AU639" s="84"/>
      <c r="AV639" s="84"/>
      <c r="AW639" s="84"/>
      <c r="AX639" s="84"/>
      <c r="AY639" s="84"/>
      <c r="AZ639" s="84"/>
    </row>
    <row r="640" ht="15.75" customHeight="1">
      <c r="A640" s="9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5"/>
      <c r="AK640" s="85"/>
      <c r="AL640" s="103"/>
      <c r="AM640" s="104"/>
      <c r="AN640" s="103"/>
      <c r="AO640" s="104"/>
      <c r="AP640" s="103"/>
      <c r="AQ640" s="104"/>
      <c r="AR640" s="84"/>
      <c r="AS640" s="84"/>
      <c r="AT640" s="84"/>
      <c r="AU640" s="84"/>
      <c r="AV640" s="84"/>
      <c r="AW640" s="84"/>
      <c r="AX640" s="84"/>
      <c r="AY640" s="84"/>
      <c r="AZ640" s="84"/>
    </row>
    <row r="641" ht="15.75" customHeight="1">
      <c r="A641" s="9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5"/>
      <c r="AK641" s="85"/>
      <c r="AL641" s="103"/>
      <c r="AM641" s="104"/>
      <c r="AN641" s="103"/>
      <c r="AO641" s="104"/>
      <c r="AP641" s="103"/>
      <c r="AQ641" s="104"/>
      <c r="AR641" s="84"/>
      <c r="AS641" s="84"/>
      <c r="AT641" s="84"/>
      <c r="AU641" s="84"/>
      <c r="AV641" s="84"/>
      <c r="AW641" s="84"/>
      <c r="AX641" s="84"/>
      <c r="AY641" s="84"/>
      <c r="AZ641" s="84"/>
    </row>
    <row r="642" ht="15.75" customHeight="1">
      <c r="A642" s="9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5"/>
      <c r="AK642" s="85"/>
      <c r="AL642" s="103"/>
      <c r="AM642" s="104"/>
      <c r="AN642" s="103"/>
      <c r="AO642" s="104"/>
      <c r="AP642" s="103"/>
      <c r="AQ642" s="104"/>
      <c r="AR642" s="84"/>
      <c r="AS642" s="84"/>
      <c r="AT642" s="84"/>
      <c r="AU642" s="84"/>
      <c r="AV642" s="84"/>
      <c r="AW642" s="84"/>
      <c r="AX642" s="84"/>
      <c r="AY642" s="84"/>
      <c r="AZ642" s="84"/>
    </row>
    <row r="643" ht="15.75" customHeight="1">
      <c r="A643" s="9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5"/>
      <c r="AK643" s="85"/>
      <c r="AL643" s="103"/>
      <c r="AM643" s="104"/>
      <c r="AN643" s="103"/>
      <c r="AO643" s="104"/>
      <c r="AP643" s="103"/>
      <c r="AQ643" s="104"/>
      <c r="AR643" s="84"/>
      <c r="AS643" s="84"/>
      <c r="AT643" s="84"/>
      <c r="AU643" s="84"/>
      <c r="AV643" s="84"/>
      <c r="AW643" s="84"/>
      <c r="AX643" s="84"/>
      <c r="AY643" s="84"/>
      <c r="AZ643" s="84"/>
    </row>
    <row r="644" ht="15.75" customHeight="1">
      <c r="A644" s="9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5"/>
      <c r="AK644" s="85"/>
      <c r="AL644" s="103"/>
      <c r="AM644" s="104"/>
      <c r="AN644" s="103"/>
      <c r="AO644" s="104"/>
      <c r="AP644" s="103"/>
      <c r="AQ644" s="104"/>
      <c r="AR644" s="84"/>
      <c r="AS644" s="84"/>
      <c r="AT644" s="84"/>
      <c r="AU644" s="84"/>
      <c r="AV644" s="84"/>
      <c r="AW644" s="84"/>
      <c r="AX644" s="84"/>
      <c r="AY644" s="84"/>
      <c r="AZ644" s="84"/>
    </row>
    <row r="645" ht="15.75" customHeight="1">
      <c r="A645" s="9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5"/>
      <c r="AK645" s="85"/>
      <c r="AL645" s="103"/>
      <c r="AM645" s="104"/>
      <c r="AN645" s="103"/>
      <c r="AO645" s="104"/>
      <c r="AP645" s="103"/>
      <c r="AQ645" s="104"/>
      <c r="AR645" s="84"/>
      <c r="AS645" s="84"/>
      <c r="AT645" s="84"/>
      <c r="AU645" s="84"/>
      <c r="AV645" s="84"/>
      <c r="AW645" s="84"/>
      <c r="AX645" s="84"/>
      <c r="AY645" s="84"/>
      <c r="AZ645" s="84"/>
    </row>
    <row r="646" ht="15.75" customHeight="1">
      <c r="A646" s="9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5"/>
      <c r="AK646" s="85"/>
      <c r="AL646" s="103"/>
      <c r="AM646" s="104"/>
      <c r="AN646" s="103"/>
      <c r="AO646" s="104"/>
      <c r="AP646" s="103"/>
      <c r="AQ646" s="104"/>
      <c r="AR646" s="84"/>
      <c r="AS646" s="84"/>
      <c r="AT646" s="84"/>
      <c r="AU646" s="84"/>
      <c r="AV646" s="84"/>
      <c r="AW646" s="84"/>
      <c r="AX646" s="84"/>
      <c r="AY646" s="84"/>
      <c r="AZ646" s="84"/>
    </row>
    <row r="647" ht="15.75" customHeight="1">
      <c r="A647" s="9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5"/>
      <c r="AK647" s="85"/>
      <c r="AL647" s="103"/>
      <c r="AM647" s="104"/>
      <c r="AN647" s="103"/>
      <c r="AO647" s="104"/>
      <c r="AP647" s="103"/>
      <c r="AQ647" s="104"/>
      <c r="AR647" s="84"/>
      <c r="AS647" s="84"/>
      <c r="AT647" s="84"/>
      <c r="AU647" s="84"/>
      <c r="AV647" s="84"/>
      <c r="AW647" s="84"/>
      <c r="AX647" s="84"/>
      <c r="AY647" s="84"/>
      <c r="AZ647" s="84"/>
    </row>
    <row r="648" ht="15.75" customHeight="1">
      <c r="A648" s="9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5"/>
      <c r="AK648" s="85"/>
      <c r="AL648" s="103"/>
      <c r="AM648" s="104"/>
      <c r="AN648" s="103"/>
      <c r="AO648" s="104"/>
      <c r="AP648" s="103"/>
      <c r="AQ648" s="104"/>
      <c r="AR648" s="84"/>
      <c r="AS648" s="84"/>
      <c r="AT648" s="84"/>
      <c r="AU648" s="84"/>
      <c r="AV648" s="84"/>
      <c r="AW648" s="84"/>
      <c r="AX648" s="84"/>
      <c r="AY648" s="84"/>
      <c r="AZ648" s="84"/>
    </row>
    <row r="649" ht="15.75" customHeight="1">
      <c r="A649" s="9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5"/>
      <c r="AK649" s="85"/>
      <c r="AL649" s="103"/>
      <c r="AM649" s="104"/>
      <c r="AN649" s="103"/>
      <c r="AO649" s="104"/>
      <c r="AP649" s="103"/>
      <c r="AQ649" s="104"/>
      <c r="AR649" s="84"/>
      <c r="AS649" s="84"/>
      <c r="AT649" s="84"/>
      <c r="AU649" s="84"/>
      <c r="AV649" s="84"/>
      <c r="AW649" s="84"/>
      <c r="AX649" s="84"/>
      <c r="AY649" s="84"/>
      <c r="AZ649" s="84"/>
    </row>
    <row r="650" ht="15.75" customHeight="1">
      <c r="A650" s="9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5"/>
      <c r="AK650" s="85"/>
      <c r="AL650" s="103"/>
      <c r="AM650" s="104"/>
      <c r="AN650" s="103"/>
      <c r="AO650" s="104"/>
      <c r="AP650" s="103"/>
      <c r="AQ650" s="104"/>
      <c r="AR650" s="84"/>
      <c r="AS650" s="84"/>
      <c r="AT650" s="84"/>
      <c r="AU650" s="84"/>
      <c r="AV650" s="84"/>
      <c r="AW650" s="84"/>
      <c r="AX650" s="84"/>
      <c r="AY650" s="84"/>
      <c r="AZ650" s="84"/>
    </row>
    <row r="651" ht="15.75" customHeight="1">
      <c r="A651" s="9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5"/>
      <c r="AK651" s="85"/>
      <c r="AL651" s="103"/>
      <c r="AM651" s="104"/>
      <c r="AN651" s="103"/>
      <c r="AO651" s="104"/>
      <c r="AP651" s="103"/>
      <c r="AQ651" s="104"/>
      <c r="AR651" s="84"/>
      <c r="AS651" s="84"/>
      <c r="AT651" s="84"/>
      <c r="AU651" s="84"/>
      <c r="AV651" s="84"/>
      <c r="AW651" s="84"/>
      <c r="AX651" s="84"/>
      <c r="AY651" s="84"/>
      <c r="AZ651" s="84"/>
    </row>
    <row r="652" ht="15.75" customHeight="1">
      <c r="A652" s="9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5"/>
      <c r="AK652" s="85"/>
      <c r="AL652" s="103"/>
      <c r="AM652" s="104"/>
      <c r="AN652" s="103"/>
      <c r="AO652" s="104"/>
      <c r="AP652" s="103"/>
      <c r="AQ652" s="104"/>
      <c r="AR652" s="84"/>
      <c r="AS652" s="84"/>
      <c r="AT652" s="84"/>
      <c r="AU652" s="84"/>
      <c r="AV652" s="84"/>
      <c r="AW652" s="84"/>
      <c r="AX652" s="84"/>
      <c r="AY652" s="84"/>
      <c r="AZ652" s="84"/>
    </row>
    <row r="653" ht="15.75" customHeight="1">
      <c r="A653" s="9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5"/>
      <c r="AK653" s="85"/>
      <c r="AL653" s="103"/>
      <c r="AM653" s="104"/>
      <c r="AN653" s="103"/>
      <c r="AO653" s="104"/>
      <c r="AP653" s="103"/>
      <c r="AQ653" s="104"/>
      <c r="AR653" s="84"/>
      <c r="AS653" s="84"/>
      <c r="AT653" s="84"/>
      <c r="AU653" s="84"/>
      <c r="AV653" s="84"/>
      <c r="AW653" s="84"/>
      <c r="AX653" s="84"/>
      <c r="AY653" s="84"/>
      <c r="AZ653" s="84"/>
    </row>
    <row r="654" ht="15.75" customHeight="1">
      <c r="A654" s="9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5"/>
      <c r="AK654" s="85"/>
      <c r="AL654" s="103"/>
      <c r="AM654" s="104"/>
      <c r="AN654" s="103"/>
      <c r="AO654" s="104"/>
      <c r="AP654" s="103"/>
      <c r="AQ654" s="104"/>
      <c r="AR654" s="84"/>
      <c r="AS654" s="84"/>
      <c r="AT654" s="84"/>
      <c r="AU654" s="84"/>
      <c r="AV654" s="84"/>
      <c r="AW654" s="84"/>
      <c r="AX654" s="84"/>
      <c r="AY654" s="84"/>
      <c r="AZ654" s="84"/>
    </row>
    <row r="655" ht="15.75" customHeight="1">
      <c r="A655" s="9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5"/>
      <c r="AK655" s="85"/>
      <c r="AL655" s="103"/>
      <c r="AM655" s="104"/>
      <c r="AN655" s="103"/>
      <c r="AO655" s="104"/>
      <c r="AP655" s="103"/>
      <c r="AQ655" s="104"/>
      <c r="AR655" s="84"/>
      <c r="AS655" s="84"/>
      <c r="AT655" s="84"/>
      <c r="AU655" s="84"/>
      <c r="AV655" s="84"/>
      <c r="AW655" s="84"/>
      <c r="AX655" s="84"/>
      <c r="AY655" s="84"/>
      <c r="AZ655" s="84"/>
    </row>
    <row r="656" ht="15.75" customHeight="1">
      <c r="A656" s="9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5"/>
      <c r="AK656" s="85"/>
      <c r="AL656" s="103"/>
      <c r="AM656" s="104"/>
      <c r="AN656" s="103"/>
      <c r="AO656" s="104"/>
      <c r="AP656" s="103"/>
      <c r="AQ656" s="104"/>
      <c r="AR656" s="84"/>
      <c r="AS656" s="84"/>
      <c r="AT656" s="84"/>
      <c r="AU656" s="84"/>
      <c r="AV656" s="84"/>
      <c r="AW656" s="84"/>
      <c r="AX656" s="84"/>
      <c r="AY656" s="84"/>
      <c r="AZ656" s="84"/>
    </row>
    <row r="657" ht="15.75" customHeight="1">
      <c r="A657" s="9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5"/>
      <c r="AK657" s="85"/>
      <c r="AL657" s="103"/>
      <c r="AM657" s="104"/>
      <c r="AN657" s="103"/>
      <c r="AO657" s="104"/>
      <c r="AP657" s="103"/>
      <c r="AQ657" s="104"/>
      <c r="AR657" s="84"/>
      <c r="AS657" s="84"/>
      <c r="AT657" s="84"/>
      <c r="AU657" s="84"/>
      <c r="AV657" s="84"/>
      <c r="AW657" s="84"/>
      <c r="AX657" s="84"/>
      <c r="AY657" s="84"/>
      <c r="AZ657" s="84"/>
    </row>
    <row r="658" ht="15.75" customHeight="1">
      <c r="A658" s="9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5"/>
      <c r="AK658" s="85"/>
      <c r="AL658" s="103"/>
      <c r="AM658" s="104"/>
      <c r="AN658" s="103"/>
      <c r="AO658" s="104"/>
      <c r="AP658" s="103"/>
      <c r="AQ658" s="104"/>
      <c r="AR658" s="84"/>
      <c r="AS658" s="84"/>
      <c r="AT658" s="84"/>
      <c r="AU658" s="84"/>
      <c r="AV658" s="84"/>
      <c r="AW658" s="84"/>
      <c r="AX658" s="84"/>
      <c r="AY658" s="84"/>
      <c r="AZ658" s="84"/>
    </row>
    <row r="659" ht="15.75" customHeight="1">
      <c r="A659" s="9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5"/>
      <c r="AK659" s="85"/>
      <c r="AL659" s="103"/>
      <c r="AM659" s="104"/>
      <c r="AN659" s="103"/>
      <c r="AO659" s="104"/>
      <c r="AP659" s="103"/>
      <c r="AQ659" s="104"/>
      <c r="AR659" s="84"/>
      <c r="AS659" s="84"/>
      <c r="AT659" s="84"/>
      <c r="AU659" s="84"/>
      <c r="AV659" s="84"/>
      <c r="AW659" s="84"/>
      <c r="AX659" s="84"/>
      <c r="AY659" s="84"/>
      <c r="AZ659" s="84"/>
    </row>
    <row r="660" ht="15.75" customHeight="1">
      <c r="A660" s="9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5"/>
      <c r="AK660" s="85"/>
      <c r="AL660" s="103"/>
      <c r="AM660" s="104"/>
      <c r="AN660" s="103"/>
      <c r="AO660" s="104"/>
      <c r="AP660" s="103"/>
      <c r="AQ660" s="104"/>
      <c r="AR660" s="84"/>
      <c r="AS660" s="84"/>
      <c r="AT660" s="84"/>
      <c r="AU660" s="84"/>
      <c r="AV660" s="84"/>
      <c r="AW660" s="84"/>
      <c r="AX660" s="84"/>
      <c r="AY660" s="84"/>
      <c r="AZ660" s="84"/>
    </row>
    <row r="661" ht="15.75" customHeight="1">
      <c r="A661" s="9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5"/>
      <c r="AK661" s="85"/>
      <c r="AL661" s="103"/>
      <c r="AM661" s="104"/>
      <c r="AN661" s="103"/>
      <c r="AO661" s="104"/>
      <c r="AP661" s="103"/>
      <c r="AQ661" s="104"/>
      <c r="AR661" s="84"/>
      <c r="AS661" s="84"/>
      <c r="AT661" s="84"/>
      <c r="AU661" s="84"/>
      <c r="AV661" s="84"/>
      <c r="AW661" s="84"/>
      <c r="AX661" s="84"/>
      <c r="AY661" s="84"/>
      <c r="AZ661" s="84"/>
    </row>
    <row r="662" ht="15.75" customHeight="1">
      <c r="A662" s="9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5"/>
      <c r="AK662" s="85"/>
      <c r="AL662" s="103"/>
      <c r="AM662" s="104"/>
      <c r="AN662" s="103"/>
      <c r="AO662" s="104"/>
      <c r="AP662" s="103"/>
      <c r="AQ662" s="104"/>
      <c r="AR662" s="84"/>
      <c r="AS662" s="84"/>
      <c r="AT662" s="84"/>
      <c r="AU662" s="84"/>
      <c r="AV662" s="84"/>
      <c r="AW662" s="84"/>
      <c r="AX662" s="84"/>
      <c r="AY662" s="84"/>
      <c r="AZ662" s="84"/>
    </row>
    <row r="663" ht="15.75" customHeight="1">
      <c r="A663" s="9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5"/>
      <c r="AK663" s="85"/>
      <c r="AL663" s="103"/>
      <c r="AM663" s="104"/>
      <c r="AN663" s="103"/>
      <c r="AO663" s="104"/>
      <c r="AP663" s="103"/>
      <c r="AQ663" s="104"/>
      <c r="AR663" s="84"/>
      <c r="AS663" s="84"/>
      <c r="AT663" s="84"/>
      <c r="AU663" s="84"/>
      <c r="AV663" s="84"/>
      <c r="AW663" s="84"/>
      <c r="AX663" s="84"/>
      <c r="AY663" s="84"/>
      <c r="AZ663" s="84"/>
    </row>
    <row r="664" ht="15.75" customHeight="1">
      <c r="A664" s="9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5"/>
      <c r="AK664" s="85"/>
      <c r="AL664" s="103"/>
      <c r="AM664" s="104"/>
      <c r="AN664" s="103"/>
      <c r="AO664" s="104"/>
      <c r="AP664" s="103"/>
      <c r="AQ664" s="104"/>
      <c r="AR664" s="84"/>
      <c r="AS664" s="84"/>
      <c r="AT664" s="84"/>
      <c r="AU664" s="84"/>
      <c r="AV664" s="84"/>
      <c r="AW664" s="84"/>
      <c r="AX664" s="84"/>
      <c r="AY664" s="84"/>
      <c r="AZ664" s="84"/>
    </row>
    <row r="665" ht="15.75" customHeight="1">
      <c r="A665" s="9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5"/>
      <c r="AK665" s="85"/>
      <c r="AL665" s="103"/>
      <c r="AM665" s="104"/>
      <c r="AN665" s="103"/>
      <c r="AO665" s="104"/>
      <c r="AP665" s="103"/>
      <c r="AQ665" s="104"/>
      <c r="AR665" s="84"/>
      <c r="AS665" s="84"/>
      <c r="AT665" s="84"/>
      <c r="AU665" s="84"/>
      <c r="AV665" s="84"/>
      <c r="AW665" s="84"/>
      <c r="AX665" s="84"/>
      <c r="AY665" s="84"/>
      <c r="AZ665" s="84"/>
    </row>
    <row r="666" ht="15.75" customHeight="1">
      <c r="A666" s="9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5"/>
      <c r="AK666" s="85"/>
      <c r="AL666" s="103"/>
      <c r="AM666" s="104"/>
      <c r="AN666" s="103"/>
      <c r="AO666" s="104"/>
      <c r="AP666" s="103"/>
      <c r="AQ666" s="104"/>
      <c r="AR666" s="84"/>
      <c r="AS666" s="84"/>
      <c r="AT666" s="84"/>
      <c r="AU666" s="84"/>
      <c r="AV666" s="84"/>
      <c r="AW666" s="84"/>
      <c r="AX666" s="84"/>
      <c r="AY666" s="84"/>
      <c r="AZ666" s="84"/>
    </row>
    <row r="667" ht="15.75" customHeight="1">
      <c r="A667" s="9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5"/>
      <c r="AK667" s="85"/>
      <c r="AL667" s="103"/>
      <c r="AM667" s="104"/>
      <c r="AN667" s="103"/>
      <c r="AO667" s="104"/>
      <c r="AP667" s="103"/>
      <c r="AQ667" s="104"/>
      <c r="AR667" s="84"/>
      <c r="AS667" s="84"/>
      <c r="AT667" s="84"/>
      <c r="AU667" s="84"/>
      <c r="AV667" s="84"/>
      <c r="AW667" s="84"/>
      <c r="AX667" s="84"/>
      <c r="AY667" s="84"/>
      <c r="AZ667" s="84"/>
    </row>
    <row r="668" ht="15.75" customHeight="1">
      <c r="A668" s="9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5"/>
      <c r="AK668" s="85"/>
      <c r="AL668" s="103"/>
      <c r="AM668" s="104"/>
      <c r="AN668" s="103"/>
      <c r="AO668" s="104"/>
      <c r="AP668" s="103"/>
      <c r="AQ668" s="104"/>
      <c r="AR668" s="84"/>
      <c r="AS668" s="84"/>
      <c r="AT668" s="84"/>
      <c r="AU668" s="84"/>
      <c r="AV668" s="84"/>
      <c r="AW668" s="84"/>
      <c r="AX668" s="84"/>
      <c r="AY668" s="84"/>
      <c r="AZ668" s="84"/>
    </row>
    <row r="669" ht="15.75" customHeight="1">
      <c r="A669" s="9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5"/>
      <c r="AK669" s="85"/>
      <c r="AL669" s="103"/>
      <c r="AM669" s="104"/>
      <c r="AN669" s="103"/>
      <c r="AO669" s="104"/>
      <c r="AP669" s="103"/>
      <c r="AQ669" s="104"/>
      <c r="AR669" s="84"/>
      <c r="AS669" s="84"/>
      <c r="AT669" s="84"/>
      <c r="AU669" s="84"/>
      <c r="AV669" s="84"/>
      <c r="AW669" s="84"/>
      <c r="AX669" s="84"/>
      <c r="AY669" s="84"/>
      <c r="AZ669" s="84"/>
    </row>
    <row r="670" ht="15.75" customHeight="1">
      <c r="A670" s="9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5"/>
      <c r="AK670" s="85"/>
      <c r="AL670" s="103"/>
      <c r="AM670" s="104"/>
      <c r="AN670" s="103"/>
      <c r="AO670" s="104"/>
      <c r="AP670" s="103"/>
      <c r="AQ670" s="104"/>
      <c r="AR670" s="84"/>
      <c r="AS670" s="84"/>
      <c r="AT670" s="84"/>
      <c r="AU670" s="84"/>
      <c r="AV670" s="84"/>
      <c r="AW670" s="84"/>
      <c r="AX670" s="84"/>
      <c r="AY670" s="84"/>
      <c r="AZ670" s="84"/>
    </row>
    <row r="671" ht="15.75" customHeight="1">
      <c r="A671" s="9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5"/>
      <c r="AK671" s="85"/>
      <c r="AL671" s="103"/>
      <c r="AM671" s="104"/>
      <c r="AN671" s="103"/>
      <c r="AO671" s="104"/>
      <c r="AP671" s="103"/>
      <c r="AQ671" s="104"/>
      <c r="AR671" s="84"/>
      <c r="AS671" s="84"/>
      <c r="AT671" s="84"/>
      <c r="AU671" s="84"/>
      <c r="AV671" s="84"/>
      <c r="AW671" s="84"/>
      <c r="AX671" s="84"/>
      <c r="AY671" s="84"/>
      <c r="AZ671" s="84"/>
    </row>
    <row r="672" ht="15.75" customHeight="1">
      <c r="A672" s="9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5"/>
      <c r="AK672" s="85"/>
      <c r="AL672" s="103"/>
      <c r="AM672" s="104"/>
      <c r="AN672" s="103"/>
      <c r="AO672" s="104"/>
      <c r="AP672" s="103"/>
      <c r="AQ672" s="104"/>
      <c r="AR672" s="84"/>
      <c r="AS672" s="84"/>
      <c r="AT672" s="84"/>
      <c r="AU672" s="84"/>
      <c r="AV672" s="84"/>
      <c r="AW672" s="84"/>
      <c r="AX672" s="84"/>
      <c r="AY672" s="84"/>
      <c r="AZ672" s="84"/>
    </row>
    <row r="673" ht="15.75" customHeight="1">
      <c r="A673" s="9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5"/>
      <c r="AK673" s="85"/>
      <c r="AL673" s="103"/>
      <c r="AM673" s="104"/>
      <c r="AN673" s="103"/>
      <c r="AO673" s="104"/>
      <c r="AP673" s="103"/>
      <c r="AQ673" s="104"/>
      <c r="AR673" s="84"/>
      <c r="AS673" s="84"/>
      <c r="AT673" s="84"/>
      <c r="AU673" s="84"/>
      <c r="AV673" s="84"/>
      <c r="AW673" s="84"/>
      <c r="AX673" s="84"/>
      <c r="AY673" s="84"/>
      <c r="AZ673" s="84"/>
    </row>
    <row r="674" ht="15.75" customHeight="1">
      <c r="A674" s="9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5"/>
      <c r="AK674" s="85"/>
      <c r="AL674" s="103"/>
      <c r="AM674" s="104"/>
      <c r="AN674" s="103"/>
      <c r="AO674" s="104"/>
      <c r="AP674" s="103"/>
      <c r="AQ674" s="104"/>
      <c r="AR674" s="84"/>
      <c r="AS674" s="84"/>
      <c r="AT674" s="84"/>
      <c r="AU674" s="84"/>
      <c r="AV674" s="84"/>
      <c r="AW674" s="84"/>
      <c r="AX674" s="84"/>
      <c r="AY674" s="84"/>
      <c r="AZ674" s="84"/>
    </row>
    <row r="675" ht="15.75" customHeight="1">
      <c r="A675" s="9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5"/>
      <c r="AK675" s="85"/>
      <c r="AL675" s="103"/>
      <c r="AM675" s="104"/>
      <c r="AN675" s="103"/>
      <c r="AO675" s="104"/>
      <c r="AP675" s="103"/>
      <c r="AQ675" s="104"/>
      <c r="AR675" s="84"/>
      <c r="AS675" s="84"/>
      <c r="AT675" s="84"/>
      <c r="AU675" s="84"/>
      <c r="AV675" s="84"/>
      <c r="AW675" s="84"/>
      <c r="AX675" s="84"/>
      <c r="AY675" s="84"/>
      <c r="AZ675" s="84"/>
    </row>
    <row r="676" ht="15.75" customHeight="1">
      <c r="A676" s="9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5"/>
      <c r="AK676" s="85"/>
      <c r="AL676" s="103"/>
      <c r="AM676" s="104"/>
      <c r="AN676" s="103"/>
      <c r="AO676" s="104"/>
      <c r="AP676" s="103"/>
      <c r="AQ676" s="104"/>
      <c r="AR676" s="84"/>
      <c r="AS676" s="84"/>
      <c r="AT676" s="84"/>
      <c r="AU676" s="84"/>
      <c r="AV676" s="84"/>
      <c r="AW676" s="84"/>
      <c r="AX676" s="84"/>
      <c r="AY676" s="84"/>
      <c r="AZ676" s="84"/>
    </row>
    <row r="677" ht="15.75" customHeight="1">
      <c r="A677" s="9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5"/>
      <c r="AK677" s="85"/>
      <c r="AL677" s="103"/>
      <c r="AM677" s="104"/>
      <c r="AN677" s="103"/>
      <c r="AO677" s="104"/>
      <c r="AP677" s="103"/>
      <c r="AQ677" s="104"/>
      <c r="AR677" s="84"/>
      <c r="AS677" s="84"/>
      <c r="AT677" s="84"/>
      <c r="AU677" s="84"/>
      <c r="AV677" s="84"/>
      <c r="AW677" s="84"/>
      <c r="AX677" s="84"/>
      <c r="AY677" s="84"/>
      <c r="AZ677" s="84"/>
    </row>
    <row r="678" ht="15.75" customHeight="1">
      <c r="A678" s="9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5"/>
      <c r="AK678" s="85"/>
      <c r="AL678" s="103"/>
      <c r="AM678" s="104"/>
      <c r="AN678" s="103"/>
      <c r="AO678" s="104"/>
      <c r="AP678" s="103"/>
      <c r="AQ678" s="104"/>
      <c r="AR678" s="84"/>
      <c r="AS678" s="84"/>
      <c r="AT678" s="84"/>
      <c r="AU678" s="84"/>
      <c r="AV678" s="84"/>
      <c r="AW678" s="84"/>
      <c r="AX678" s="84"/>
      <c r="AY678" s="84"/>
      <c r="AZ678" s="84"/>
    </row>
    <row r="679" ht="15.75" customHeight="1">
      <c r="A679" s="9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5"/>
      <c r="AK679" s="85"/>
      <c r="AL679" s="103"/>
      <c r="AM679" s="104"/>
      <c r="AN679" s="103"/>
      <c r="AO679" s="104"/>
      <c r="AP679" s="103"/>
      <c r="AQ679" s="104"/>
      <c r="AR679" s="84"/>
      <c r="AS679" s="84"/>
      <c r="AT679" s="84"/>
      <c r="AU679" s="84"/>
      <c r="AV679" s="84"/>
      <c r="AW679" s="84"/>
      <c r="AX679" s="84"/>
      <c r="AY679" s="84"/>
      <c r="AZ679" s="84"/>
    </row>
    <row r="680" ht="15.75" customHeight="1">
      <c r="A680" s="9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5"/>
      <c r="AK680" s="85"/>
      <c r="AL680" s="103"/>
      <c r="AM680" s="104"/>
      <c r="AN680" s="103"/>
      <c r="AO680" s="104"/>
      <c r="AP680" s="103"/>
      <c r="AQ680" s="104"/>
      <c r="AR680" s="84"/>
      <c r="AS680" s="84"/>
      <c r="AT680" s="84"/>
      <c r="AU680" s="84"/>
      <c r="AV680" s="84"/>
      <c r="AW680" s="84"/>
      <c r="AX680" s="84"/>
      <c r="AY680" s="84"/>
      <c r="AZ680" s="84"/>
    </row>
    <row r="681" ht="15.75" customHeight="1">
      <c r="A681" s="9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5"/>
      <c r="AK681" s="85"/>
      <c r="AL681" s="103"/>
      <c r="AM681" s="104"/>
      <c r="AN681" s="103"/>
      <c r="AO681" s="104"/>
      <c r="AP681" s="103"/>
      <c r="AQ681" s="104"/>
      <c r="AR681" s="84"/>
      <c r="AS681" s="84"/>
      <c r="AT681" s="84"/>
      <c r="AU681" s="84"/>
      <c r="AV681" s="84"/>
      <c r="AW681" s="84"/>
      <c r="AX681" s="84"/>
      <c r="AY681" s="84"/>
      <c r="AZ681" s="84"/>
    </row>
    <row r="682" ht="15.75" customHeight="1">
      <c r="A682" s="9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5"/>
      <c r="AK682" s="85"/>
      <c r="AL682" s="103"/>
      <c r="AM682" s="104"/>
      <c r="AN682" s="103"/>
      <c r="AO682" s="104"/>
      <c r="AP682" s="103"/>
      <c r="AQ682" s="104"/>
      <c r="AR682" s="84"/>
      <c r="AS682" s="84"/>
      <c r="AT682" s="84"/>
      <c r="AU682" s="84"/>
      <c r="AV682" s="84"/>
      <c r="AW682" s="84"/>
      <c r="AX682" s="84"/>
      <c r="AY682" s="84"/>
      <c r="AZ682" s="84"/>
    </row>
    <row r="683" ht="15.75" customHeight="1">
      <c r="A683" s="9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5"/>
      <c r="AK683" s="85"/>
      <c r="AL683" s="103"/>
      <c r="AM683" s="104"/>
      <c r="AN683" s="103"/>
      <c r="AO683" s="104"/>
      <c r="AP683" s="103"/>
      <c r="AQ683" s="104"/>
      <c r="AR683" s="84"/>
      <c r="AS683" s="84"/>
      <c r="AT683" s="84"/>
      <c r="AU683" s="84"/>
      <c r="AV683" s="84"/>
      <c r="AW683" s="84"/>
      <c r="AX683" s="84"/>
      <c r="AY683" s="84"/>
      <c r="AZ683" s="84"/>
    </row>
    <row r="684" ht="15.75" customHeight="1">
      <c r="A684" s="9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5"/>
      <c r="AK684" s="85"/>
      <c r="AL684" s="103"/>
      <c r="AM684" s="104"/>
      <c r="AN684" s="103"/>
      <c r="AO684" s="104"/>
      <c r="AP684" s="103"/>
      <c r="AQ684" s="104"/>
      <c r="AR684" s="84"/>
      <c r="AS684" s="84"/>
      <c r="AT684" s="84"/>
      <c r="AU684" s="84"/>
      <c r="AV684" s="84"/>
      <c r="AW684" s="84"/>
      <c r="AX684" s="84"/>
      <c r="AY684" s="84"/>
      <c r="AZ684" s="84"/>
    </row>
    <row r="685" ht="15.75" customHeight="1">
      <c r="A685" s="9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5"/>
      <c r="AK685" s="85"/>
      <c r="AL685" s="103"/>
      <c r="AM685" s="104"/>
      <c r="AN685" s="103"/>
      <c r="AO685" s="104"/>
      <c r="AP685" s="103"/>
      <c r="AQ685" s="104"/>
      <c r="AR685" s="84"/>
      <c r="AS685" s="84"/>
      <c r="AT685" s="84"/>
      <c r="AU685" s="84"/>
      <c r="AV685" s="84"/>
      <c r="AW685" s="84"/>
      <c r="AX685" s="84"/>
      <c r="AY685" s="84"/>
      <c r="AZ685" s="84"/>
    </row>
    <row r="686" ht="15.75" customHeight="1">
      <c r="A686" s="9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5"/>
      <c r="AK686" s="85"/>
      <c r="AL686" s="103"/>
      <c r="AM686" s="104"/>
      <c r="AN686" s="103"/>
      <c r="AO686" s="104"/>
      <c r="AP686" s="103"/>
      <c r="AQ686" s="104"/>
      <c r="AR686" s="84"/>
      <c r="AS686" s="84"/>
      <c r="AT686" s="84"/>
      <c r="AU686" s="84"/>
      <c r="AV686" s="84"/>
      <c r="AW686" s="84"/>
      <c r="AX686" s="84"/>
      <c r="AY686" s="84"/>
      <c r="AZ686" s="84"/>
    </row>
    <row r="687" ht="15.75" customHeight="1">
      <c r="A687" s="9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5"/>
      <c r="AK687" s="85"/>
      <c r="AL687" s="103"/>
      <c r="AM687" s="104"/>
      <c r="AN687" s="103"/>
      <c r="AO687" s="104"/>
      <c r="AP687" s="103"/>
      <c r="AQ687" s="104"/>
      <c r="AR687" s="84"/>
      <c r="AS687" s="84"/>
      <c r="AT687" s="84"/>
      <c r="AU687" s="84"/>
      <c r="AV687" s="84"/>
      <c r="AW687" s="84"/>
      <c r="AX687" s="84"/>
      <c r="AY687" s="84"/>
      <c r="AZ687" s="84"/>
    </row>
    <row r="688" ht="15.75" customHeight="1">
      <c r="A688" s="9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5"/>
      <c r="AK688" s="85"/>
      <c r="AL688" s="103"/>
      <c r="AM688" s="104"/>
      <c r="AN688" s="103"/>
      <c r="AO688" s="104"/>
      <c r="AP688" s="103"/>
      <c r="AQ688" s="104"/>
      <c r="AR688" s="84"/>
      <c r="AS688" s="84"/>
      <c r="AT688" s="84"/>
      <c r="AU688" s="84"/>
      <c r="AV688" s="84"/>
      <c r="AW688" s="84"/>
      <c r="AX688" s="84"/>
      <c r="AY688" s="84"/>
      <c r="AZ688" s="84"/>
    </row>
    <row r="689" ht="15.75" customHeight="1">
      <c r="A689" s="9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5"/>
      <c r="AK689" s="85"/>
      <c r="AL689" s="103"/>
      <c r="AM689" s="104"/>
      <c r="AN689" s="103"/>
      <c r="AO689" s="104"/>
      <c r="AP689" s="103"/>
      <c r="AQ689" s="104"/>
      <c r="AR689" s="84"/>
      <c r="AS689" s="84"/>
      <c r="AT689" s="84"/>
      <c r="AU689" s="84"/>
      <c r="AV689" s="84"/>
      <c r="AW689" s="84"/>
      <c r="AX689" s="84"/>
      <c r="AY689" s="84"/>
      <c r="AZ689" s="84"/>
    </row>
    <row r="690" ht="15.75" customHeight="1">
      <c r="A690" s="9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5"/>
      <c r="AK690" s="85"/>
      <c r="AL690" s="103"/>
      <c r="AM690" s="104"/>
      <c r="AN690" s="103"/>
      <c r="AO690" s="104"/>
      <c r="AP690" s="103"/>
      <c r="AQ690" s="104"/>
      <c r="AR690" s="84"/>
      <c r="AS690" s="84"/>
      <c r="AT690" s="84"/>
      <c r="AU690" s="84"/>
      <c r="AV690" s="84"/>
      <c r="AW690" s="84"/>
      <c r="AX690" s="84"/>
      <c r="AY690" s="84"/>
      <c r="AZ690" s="84"/>
    </row>
    <row r="691" ht="15.75" customHeight="1">
      <c r="A691" s="9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5"/>
      <c r="AK691" s="85"/>
      <c r="AL691" s="103"/>
      <c r="AM691" s="104"/>
      <c r="AN691" s="103"/>
      <c r="AO691" s="104"/>
      <c r="AP691" s="103"/>
      <c r="AQ691" s="104"/>
      <c r="AR691" s="84"/>
      <c r="AS691" s="84"/>
      <c r="AT691" s="84"/>
      <c r="AU691" s="84"/>
      <c r="AV691" s="84"/>
      <c r="AW691" s="84"/>
      <c r="AX691" s="84"/>
      <c r="AY691" s="84"/>
      <c r="AZ691" s="84"/>
    </row>
    <row r="692" ht="15.75" customHeight="1">
      <c r="A692" s="9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5"/>
      <c r="AK692" s="85"/>
      <c r="AL692" s="103"/>
      <c r="AM692" s="104"/>
      <c r="AN692" s="103"/>
      <c r="AO692" s="104"/>
      <c r="AP692" s="103"/>
      <c r="AQ692" s="104"/>
      <c r="AR692" s="84"/>
      <c r="AS692" s="84"/>
      <c r="AT692" s="84"/>
      <c r="AU692" s="84"/>
      <c r="AV692" s="84"/>
      <c r="AW692" s="84"/>
      <c r="AX692" s="84"/>
      <c r="AY692" s="84"/>
      <c r="AZ692" s="84"/>
    </row>
    <row r="693" ht="15.75" customHeight="1">
      <c r="A693" s="9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5"/>
      <c r="AK693" s="85"/>
      <c r="AL693" s="103"/>
      <c r="AM693" s="104"/>
      <c r="AN693" s="103"/>
      <c r="AO693" s="104"/>
      <c r="AP693" s="103"/>
      <c r="AQ693" s="104"/>
      <c r="AR693" s="84"/>
      <c r="AS693" s="84"/>
      <c r="AT693" s="84"/>
      <c r="AU693" s="84"/>
      <c r="AV693" s="84"/>
      <c r="AW693" s="84"/>
      <c r="AX693" s="84"/>
      <c r="AY693" s="84"/>
      <c r="AZ693" s="84"/>
    </row>
    <row r="694" ht="15.75" customHeight="1">
      <c r="A694" s="9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5"/>
      <c r="AK694" s="85"/>
      <c r="AL694" s="103"/>
      <c r="AM694" s="104"/>
      <c r="AN694" s="103"/>
      <c r="AO694" s="104"/>
      <c r="AP694" s="103"/>
      <c r="AQ694" s="104"/>
      <c r="AR694" s="84"/>
      <c r="AS694" s="84"/>
      <c r="AT694" s="84"/>
      <c r="AU694" s="84"/>
      <c r="AV694" s="84"/>
      <c r="AW694" s="84"/>
      <c r="AX694" s="84"/>
      <c r="AY694" s="84"/>
      <c r="AZ694" s="84"/>
    </row>
    <row r="695" ht="15.75" customHeight="1">
      <c r="A695" s="9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5"/>
      <c r="AK695" s="85"/>
      <c r="AL695" s="103"/>
      <c r="AM695" s="104"/>
      <c r="AN695" s="103"/>
      <c r="AO695" s="104"/>
      <c r="AP695" s="103"/>
      <c r="AQ695" s="104"/>
      <c r="AR695" s="84"/>
      <c r="AS695" s="84"/>
      <c r="AT695" s="84"/>
      <c r="AU695" s="84"/>
      <c r="AV695" s="84"/>
      <c r="AW695" s="84"/>
      <c r="AX695" s="84"/>
      <c r="AY695" s="84"/>
      <c r="AZ695" s="84"/>
    </row>
    <row r="696" ht="15.75" customHeight="1">
      <c r="A696" s="9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5"/>
      <c r="AK696" s="85"/>
      <c r="AL696" s="103"/>
      <c r="AM696" s="104"/>
      <c r="AN696" s="103"/>
      <c r="AO696" s="104"/>
      <c r="AP696" s="103"/>
      <c r="AQ696" s="104"/>
      <c r="AR696" s="84"/>
      <c r="AS696" s="84"/>
      <c r="AT696" s="84"/>
      <c r="AU696" s="84"/>
      <c r="AV696" s="84"/>
      <c r="AW696" s="84"/>
      <c r="AX696" s="84"/>
      <c r="AY696" s="84"/>
      <c r="AZ696" s="84"/>
    </row>
    <row r="697" ht="15.75" customHeight="1">
      <c r="A697" s="9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5"/>
      <c r="AK697" s="85"/>
      <c r="AL697" s="103"/>
      <c r="AM697" s="104"/>
      <c r="AN697" s="103"/>
      <c r="AO697" s="104"/>
      <c r="AP697" s="103"/>
      <c r="AQ697" s="104"/>
      <c r="AR697" s="84"/>
      <c r="AS697" s="84"/>
      <c r="AT697" s="84"/>
      <c r="AU697" s="84"/>
      <c r="AV697" s="84"/>
      <c r="AW697" s="84"/>
      <c r="AX697" s="84"/>
      <c r="AY697" s="84"/>
      <c r="AZ697" s="84"/>
    </row>
    <row r="698" ht="15.75" customHeight="1">
      <c r="A698" s="9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5"/>
      <c r="AK698" s="85"/>
      <c r="AL698" s="103"/>
      <c r="AM698" s="104"/>
      <c r="AN698" s="103"/>
      <c r="AO698" s="104"/>
      <c r="AP698" s="103"/>
      <c r="AQ698" s="104"/>
      <c r="AR698" s="84"/>
      <c r="AS698" s="84"/>
      <c r="AT698" s="84"/>
      <c r="AU698" s="84"/>
      <c r="AV698" s="84"/>
      <c r="AW698" s="84"/>
      <c r="AX698" s="84"/>
      <c r="AY698" s="84"/>
      <c r="AZ698" s="84"/>
    </row>
    <row r="699" ht="15.75" customHeight="1">
      <c r="A699" s="9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5"/>
      <c r="AK699" s="85"/>
      <c r="AL699" s="103"/>
      <c r="AM699" s="104"/>
      <c r="AN699" s="103"/>
      <c r="AO699" s="104"/>
      <c r="AP699" s="103"/>
      <c r="AQ699" s="104"/>
      <c r="AR699" s="84"/>
      <c r="AS699" s="84"/>
      <c r="AT699" s="84"/>
      <c r="AU699" s="84"/>
      <c r="AV699" s="84"/>
      <c r="AW699" s="84"/>
      <c r="AX699" s="84"/>
      <c r="AY699" s="84"/>
      <c r="AZ699" s="84"/>
    </row>
    <row r="700" ht="15.75" customHeight="1">
      <c r="A700" s="9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5"/>
      <c r="AK700" s="85"/>
      <c r="AL700" s="103"/>
      <c r="AM700" s="104"/>
      <c r="AN700" s="103"/>
      <c r="AO700" s="104"/>
      <c r="AP700" s="103"/>
      <c r="AQ700" s="104"/>
      <c r="AR700" s="84"/>
      <c r="AS700" s="84"/>
      <c r="AT700" s="84"/>
      <c r="AU700" s="84"/>
      <c r="AV700" s="84"/>
      <c r="AW700" s="84"/>
      <c r="AX700" s="84"/>
      <c r="AY700" s="84"/>
      <c r="AZ700" s="84"/>
    </row>
    <row r="701" ht="15.75" customHeight="1">
      <c r="A701" s="9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5"/>
      <c r="AK701" s="85"/>
      <c r="AL701" s="103"/>
      <c r="AM701" s="104"/>
      <c r="AN701" s="103"/>
      <c r="AO701" s="104"/>
      <c r="AP701" s="103"/>
      <c r="AQ701" s="104"/>
      <c r="AR701" s="84"/>
      <c r="AS701" s="84"/>
      <c r="AT701" s="84"/>
      <c r="AU701" s="84"/>
      <c r="AV701" s="84"/>
      <c r="AW701" s="84"/>
      <c r="AX701" s="84"/>
      <c r="AY701" s="84"/>
      <c r="AZ701" s="84"/>
    </row>
    <row r="702" ht="15.75" customHeight="1">
      <c r="A702" s="9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5"/>
      <c r="AK702" s="85"/>
      <c r="AL702" s="103"/>
      <c r="AM702" s="104"/>
      <c r="AN702" s="103"/>
      <c r="AO702" s="104"/>
      <c r="AP702" s="103"/>
      <c r="AQ702" s="104"/>
      <c r="AR702" s="84"/>
      <c r="AS702" s="84"/>
      <c r="AT702" s="84"/>
      <c r="AU702" s="84"/>
      <c r="AV702" s="84"/>
      <c r="AW702" s="84"/>
      <c r="AX702" s="84"/>
      <c r="AY702" s="84"/>
      <c r="AZ702" s="84"/>
    </row>
    <row r="703" ht="15.75" customHeight="1">
      <c r="A703" s="9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5"/>
      <c r="AK703" s="85"/>
      <c r="AL703" s="103"/>
      <c r="AM703" s="104"/>
      <c r="AN703" s="103"/>
      <c r="AO703" s="104"/>
      <c r="AP703" s="103"/>
      <c r="AQ703" s="104"/>
      <c r="AR703" s="84"/>
      <c r="AS703" s="84"/>
      <c r="AT703" s="84"/>
      <c r="AU703" s="84"/>
      <c r="AV703" s="84"/>
      <c r="AW703" s="84"/>
      <c r="AX703" s="84"/>
      <c r="AY703" s="84"/>
      <c r="AZ703" s="84"/>
    </row>
    <row r="704" ht="15.75" customHeight="1">
      <c r="A704" s="9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5"/>
      <c r="AK704" s="85"/>
      <c r="AL704" s="103"/>
      <c r="AM704" s="104"/>
      <c r="AN704" s="103"/>
      <c r="AO704" s="104"/>
      <c r="AP704" s="103"/>
      <c r="AQ704" s="104"/>
      <c r="AR704" s="84"/>
      <c r="AS704" s="84"/>
      <c r="AT704" s="84"/>
      <c r="AU704" s="84"/>
      <c r="AV704" s="84"/>
      <c r="AW704" s="84"/>
      <c r="AX704" s="84"/>
      <c r="AY704" s="84"/>
      <c r="AZ704" s="84"/>
    </row>
    <row r="705" ht="15.75" customHeight="1">
      <c r="A705" s="9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5"/>
      <c r="AK705" s="85"/>
      <c r="AL705" s="103"/>
      <c r="AM705" s="104"/>
      <c r="AN705" s="103"/>
      <c r="AO705" s="104"/>
      <c r="AP705" s="103"/>
      <c r="AQ705" s="104"/>
      <c r="AR705" s="84"/>
      <c r="AS705" s="84"/>
      <c r="AT705" s="84"/>
      <c r="AU705" s="84"/>
      <c r="AV705" s="84"/>
      <c r="AW705" s="84"/>
      <c r="AX705" s="84"/>
      <c r="AY705" s="84"/>
      <c r="AZ705" s="84"/>
    </row>
    <row r="706" ht="15.75" customHeight="1">
      <c r="A706" s="9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5"/>
      <c r="AK706" s="85"/>
      <c r="AL706" s="103"/>
      <c r="AM706" s="104"/>
      <c r="AN706" s="103"/>
      <c r="AO706" s="104"/>
      <c r="AP706" s="103"/>
      <c r="AQ706" s="104"/>
      <c r="AR706" s="84"/>
      <c r="AS706" s="84"/>
      <c r="AT706" s="84"/>
      <c r="AU706" s="84"/>
      <c r="AV706" s="84"/>
      <c r="AW706" s="84"/>
      <c r="AX706" s="84"/>
      <c r="AY706" s="84"/>
      <c r="AZ706" s="84"/>
    </row>
    <row r="707" ht="15.75" customHeight="1">
      <c r="A707" s="9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5"/>
      <c r="AK707" s="85"/>
      <c r="AL707" s="103"/>
      <c r="AM707" s="104"/>
      <c r="AN707" s="103"/>
      <c r="AO707" s="104"/>
      <c r="AP707" s="103"/>
      <c r="AQ707" s="104"/>
      <c r="AR707" s="84"/>
      <c r="AS707" s="84"/>
      <c r="AT707" s="84"/>
      <c r="AU707" s="84"/>
      <c r="AV707" s="84"/>
      <c r="AW707" s="84"/>
      <c r="AX707" s="84"/>
      <c r="AY707" s="84"/>
      <c r="AZ707" s="84"/>
    </row>
    <row r="708" ht="15.75" customHeight="1">
      <c r="A708" s="9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5"/>
      <c r="AK708" s="85"/>
      <c r="AL708" s="103"/>
      <c r="AM708" s="104"/>
      <c r="AN708" s="103"/>
      <c r="AO708" s="104"/>
      <c r="AP708" s="103"/>
      <c r="AQ708" s="104"/>
      <c r="AR708" s="84"/>
      <c r="AS708" s="84"/>
      <c r="AT708" s="84"/>
      <c r="AU708" s="84"/>
      <c r="AV708" s="84"/>
      <c r="AW708" s="84"/>
      <c r="AX708" s="84"/>
      <c r="AY708" s="84"/>
      <c r="AZ708" s="84"/>
    </row>
    <row r="709" ht="15.75" customHeight="1">
      <c r="A709" s="9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5"/>
      <c r="AK709" s="85"/>
      <c r="AL709" s="103"/>
      <c r="AM709" s="104"/>
      <c r="AN709" s="103"/>
      <c r="AO709" s="104"/>
      <c r="AP709" s="103"/>
      <c r="AQ709" s="104"/>
      <c r="AR709" s="84"/>
      <c r="AS709" s="84"/>
      <c r="AT709" s="84"/>
      <c r="AU709" s="84"/>
      <c r="AV709" s="84"/>
      <c r="AW709" s="84"/>
      <c r="AX709" s="84"/>
      <c r="AY709" s="84"/>
      <c r="AZ709" s="84"/>
    </row>
    <row r="710" ht="15.75" customHeight="1">
      <c r="A710" s="9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5"/>
      <c r="AK710" s="85"/>
      <c r="AL710" s="103"/>
      <c r="AM710" s="104"/>
      <c r="AN710" s="103"/>
      <c r="AO710" s="104"/>
      <c r="AP710" s="103"/>
      <c r="AQ710" s="104"/>
      <c r="AR710" s="84"/>
      <c r="AS710" s="84"/>
      <c r="AT710" s="84"/>
      <c r="AU710" s="84"/>
      <c r="AV710" s="84"/>
      <c r="AW710" s="84"/>
      <c r="AX710" s="84"/>
      <c r="AY710" s="84"/>
      <c r="AZ710" s="84"/>
    </row>
    <row r="711" ht="15.75" customHeight="1">
      <c r="A711" s="9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5"/>
      <c r="AK711" s="85"/>
      <c r="AL711" s="103"/>
      <c r="AM711" s="104"/>
      <c r="AN711" s="103"/>
      <c r="AO711" s="104"/>
      <c r="AP711" s="103"/>
      <c r="AQ711" s="104"/>
      <c r="AR711" s="84"/>
      <c r="AS711" s="84"/>
      <c r="AT711" s="84"/>
      <c r="AU711" s="84"/>
      <c r="AV711" s="84"/>
      <c r="AW711" s="84"/>
      <c r="AX711" s="84"/>
      <c r="AY711" s="84"/>
      <c r="AZ711" s="84"/>
    </row>
    <row r="712" ht="15.75" customHeight="1">
      <c r="A712" s="9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5"/>
      <c r="AK712" s="85"/>
      <c r="AL712" s="103"/>
      <c r="AM712" s="104"/>
      <c r="AN712" s="103"/>
      <c r="AO712" s="104"/>
      <c r="AP712" s="103"/>
      <c r="AQ712" s="104"/>
      <c r="AR712" s="84"/>
      <c r="AS712" s="84"/>
      <c r="AT712" s="84"/>
      <c r="AU712" s="84"/>
      <c r="AV712" s="84"/>
      <c r="AW712" s="84"/>
      <c r="AX712" s="84"/>
      <c r="AY712" s="84"/>
      <c r="AZ712" s="84"/>
    </row>
    <row r="713" ht="15.75" customHeight="1">
      <c r="A713" s="9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5"/>
      <c r="AK713" s="85"/>
      <c r="AL713" s="103"/>
      <c r="AM713" s="104"/>
      <c r="AN713" s="103"/>
      <c r="AO713" s="104"/>
      <c r="AP713" s="103"/>
      <c r="AQ713" s="104"/>
      <c r="AR713" s="84"/>
      <c r="AS713" s="84"/>
      <c r="AT713" s="84"/>
      <c r="AU713" s="84"/>
      <c r="AV713" s="84"/>
      <c r="AW713" s="84"/>
      <c r="AX713" s="84"/>
      <c r="AY713" s="84"/>
      <c r="AZ713" s="84"/>
    </row>
    <row r="714" ht="15.75" customHeight="1">
      <c r="A714" s="9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5"/>
      <c r="AK714" s="85"/>
      <c r="AL714" s="103"/>
      <c r="AM714" s="104"/>
      <c r="AN714" s="103"/>
      <c r="AO714" s="104"/>
      <c r="AP714" s="103"/>
      <c r="AQ714" s="104"/>
      <c r="AR714" s="84"/>
      <c r="AS714" s="84"/>
      <c r="AT714" s="84"/>
      <c r="AU714" s="84"/>
      <c r="AV714" s="84"/>
      <c r="AW714" s="84"/>
      <c r="AX714" s="84"/>
      <c r="AY714" s="84"/>
      <c r="AZ714" s="84"/>
    </row>
    <row r="715" ht="15.75" customHeight="1">
      <c r="A715" s="9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5"/>
      <c r="AK715" s="85"/>
      <c r="AL715" s="103"/>
      <c r="AM715" s="104"/>
      <c r="AN715" s="103"/>
      <c r="AO715" s="104"/>
      <c r="AP715" s="103"/>
      <c r="AQ715" s="104"/>
      <c r="AR715" s="84"/>
      <c r="AS715" s="84"/>
      <c r="AT715" s="84"/>
      <c r="AU715" s="84"/>
      <c r="AV715" s="84"/>
      <c r="AW715" s="84"/>
      <c r="AX715" s="84"/>
      <c r="AY715" s="84"/>
      <c r="AZ715" s="84"/>
    </row>
    <row r="716" ht="15.75" customHeight="1">
      <c r="A716" s="9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5"/>
      <c r="AK716" s="85"/>
      <c r="AL716" s="103"/>
      <c r="AM716" s="104"/>
      <c r="AN716" s="103"/>
      <c r="AO716" s="104"/>
      <c r="AP716" s="103"/>
      <c r="AQ716" s="104"/>
      <c r="AR716" s="84"/>
      <c r="AS716" s="84"/>
      <c r="AT716" s="84"/>
      <c r="AU716" s="84"/>
      <c r="AV716" s="84"/>
      <c r="AW716" s="84"/>
      <c r="AX716" s="84"/>
      <c r="AY716" s="84"/>
      <c r="AZ716" s="84"/>
    </row>
    <row r="717" ht="15.75" customHeight="1">
      <c r="A717" s="9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5"/>
      <c r="AK717" s="85"/>
      <c r="AL717" s="103"/>
      <c r="AM717" s="104"/>
      <c r="AN717" s="103"/>
      <c r="AO717" s="104"/>
      <c r="AP717" s="103"/>
      <c r="AQ717" s="104"/>
      <c r="AR717" s="84"/>
      <c r="AS717" s="84"/>
      <c r="AT717" s="84"/>
      <c r="AU717" s="84"/>
      <c r="AV717" s="84"/>
      <c r="AW717" s="84"/>
      <c r="AX717" s="84"/>
      <c r="AY717" s="84"/>
      <c r="AZ717" s="84"/>
    </row>
    <row r="718" ht="15.75" customHeight="1">
      <c r="A718" s="9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5"/>
      <c r="AK718" s="85"/>
      <c r="AL718" s="103"/>
      <c r="AM718" s="104"/>
      <c r="AN718" s="103"/>
      <c r="AO718" s="104"/>
      <c r="AP718" s="103"/>
      <c r="AQ718" s="104"/>
      <c r="AR718" s="84"/>
      <c r="AS718" s="84"/>
      <c r="AT718" s="84"/>
      <c r="AU718" s="84"/>
      <c r="AV718" s="84"/>
      <c r="AW718" s="84"/>
      <c r="AX718" s="84"/>
      <c r="AY718" s="84"/>
      <c r="AZ718" s="84"/>
    </row>
    <row r="719" ht="15.75" customHeight="1">
      <c r="A719" s="9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5"/>
      <c r="AK719" s="85"/>
      <c r="AL719" s="103"/>
      <c r="AM719" s="104"/>
      <c r="AN719" s="103"/>
      <c r="AO719" s="104"/>
      <c r="AP719" s="103"/>
      <c r="AQ719" s="104"/>
      <c r="AR719" s="84"/>
      <c r="AS719" s="84"/>
      <c r="AT719" s="84"/>
      <c r="AU719" s="84"/>
      <c r="AV719" s="84"/>
      <c r="AW719" s="84"/>
      <c r="AX719" s="84"/>
      <c r="AY719" s="84"/>
      <c r="AZ719" s="84"/>
    </row>
    <row r="720" ht="15.75" customHeight="1">
      <c r="A720" s="9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5"/>
      <c r="AK720" s="85"/>
      <c r="AL720" s="103"/>
      <c r="AM720" s="104"/>
      <c r="AN720" s="103"/>
      <c r="AO720" s="104"/>
      <c r="AP720" s="103"/>
      <c r="AQ720" s="104"/>
      <c r="AR720" s="84"/>
      <c r="AS720" s="84"/>
      <c r="AT720" s="84"/>
      <c r="AU720" s="84"/>
      <c r="AV720" s="84"/>
      <c r="AW720" s="84"/>
      <c r="AX720" s="84"/>
      <c r="AY720" s="84"/>
      <c r="AZ720" s="84"/>
    </row>
    <row r="721" ht="15.75" customHeight="1">
      <c r="A721" s="9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5"/>
      <c r="AK721" s="85"/>
      <c r="AL721" s="103"/>
      <c r="AM721" s="104"/>
      <c r="AN721" s="103"/>
      <c r="AO721" s="104"/>
      <c r="AP721" s="103"/>
      <c r="AQ721" s="104"/>
      <c r="AR721" s="84"/>
      <c r="AS721" s="84"/>
      <c r="AT721" s="84"/>
      <c r="AU721" s="84"/>
      <c r="AV721" s="84"/>
      <c r="AW721" s="84"/>
      <c r="AX721" s="84"/>
      <c r="AY721" s="84"/>
      <c r="AZ721" s="84"/>
    </row>
    <row r="722" ht="15.75" customHeight="1">
      <c r="A722" s="9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5"/>
      <c r="AK722" s="85"/>
      <c r="AL722" s="103"/>
      <c r="AM722" s="104"/>
      <c r="AN722" s="103"/>
      <c r="AO722" s="104"/>
      <c r="AP722" s="103"/>
      <c r="AQ722" s="104"/>
      <c r="AR722" s="84"/>
      <c r="AS722" s="84"/>
      <c r="AT722" s="84"/>
      <c r="AU722" s="84"/>
      <c r="AV722" s="84"/>
      <c r="AW722" s="84"/>
      <c r="AX722" s="84"/>
      <c r="AY722" s="84"/>
      <c r="AZ722" s="84"/>
    </row>
    <row r="723" ht="15.75" customHeight="1">
      <c r="A723" s="9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5"/>
      <c r="AK723" s="85"/>
      <c r="AL723" s="103"/>
      <c r="AM723" s="104"/>
      <c r="AN723" s="103"/>
      <c r="AO723" s="104"/>
      <c r="AP723" s="103"/>
      <c r="AQ723" s="104"/>
      <c r="AR723" s="84"/>
      <c r="AS723" s="84"/>
      <c r="AT723" s="84"/>
      <c r="AU723" s="84"/>
      <c r="AV723" s="84"/>
      <c r="AW723" s="84"/>
      <c r="AX723" s="84"/>
      <c r="AY723" s="84"/>
      <c r="AZ723" s="84"/>
    </row>
    <row r="724" ht="15.75" customHeight="1">
      <c r="A724" s="9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5"/>
      <c r="AK724" s="85"/>
      <c r="AL724" s="103"/>
      <c r="AM724" s="104"/>
      <c r="AN724" s="103"/>
      <c r="AO724" s="104"/>
      <c r="AP724" s="103"/>
      <c r="AQ724" s="104"/>
      <c r="AR724" s="84"/>
      <c r="AS724" s="84"/>
      <c r="AT724" s="84"/>
      <c r="AU724" s="84"/>
      <c r="AV724" s="84"/>
      <c r="AW724" s="84"/>
      <c r="AX724" s="84"/>
      <c r="AY724" s="84"/>
      <c r="AZ724" s="84"/>
    </row>
    <row r="725" ht="15.75" customHeight="1">
      <c r="A725" s="9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5"/>
      <c r="AK725" s="85"/>
      <c r="AL725" s="103"/>
      <c r="AM725" s="104"/>
      <c r="AN725" s="103"/>
      <c r="AO725" s="104"/>
      <c r="AP725" s="103"/>
      <c r="AQ725" s="104"/>
      <c r="AR725" s="84"/>
      <c r="AS725" s="84"/>
      <c r="AT725" s="84"/>
      <c r="AU725" s="84"/>
      <c r="AV725" s="84"/>
      <c r="AW725" s="84"/>
      <c r="AX725" s="84"/>
      <c r="AY725" s="84"/>
      <c r="AZ725" s="84"/>
    </row>
    <row r="726" ht="15.75" customHeight="1">
      <c r="A726" s="9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5"/>
      <c r="AK726" s="85"/>
      <c r="AL726" s="103"/>
      <c r="AM726" s="104"/>
      <c r="AN726" s="103"/>
      <c r="AO726" s="104"/>
      <c r="AP726" s="103"/>
      <c r="AQ726" s="104"/>
      <c r="AR726" s="84"/>
      <c r="AS726" s="84"/>
      <c r="AT726" s="84"/>
      <c r="AU726" s="84"/>
      <c r="AV726" s="84"/>
      <c r="AW726" s="84"/>
      <c r="AX726" s="84"/>
      <c r="AY726" s="84"/>
      <c r="AZ726" s="84"/>
    </row>
    <row r="727" ht="15.75" customHeight="1">
      <c r="A727" s="9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5"/>
      <c r="AK727" s="85"/>
      <c r="AL727" s="103"/>
      <c r="AM727" s="104"/>
      <c r="AN727" s="103"/>
      <c r="AO727" s="104"/>
      <c r="AP727" s="103"/>
      <c r="AQ727" s="104"/>
      <c r="AR727" s="84"/>
      <c r="AS727" s="84"/>
      <c r="AT727" s="84"/>
      <c r="AU727" s="84"/>
      <c r="AV727" s="84"/>
      <c r="AW727" s="84"/>
      <c r="AX727" s="84"/>
      <c r="AY727" s="84"/>
      <c r="AZ727" s="84"/>
    </row>
    <row r="728" ht="15.75" customHeight="1">
      <c r="A728" s="9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5"/>
      <c r="AK728" s="85"/>
      <c r="AL728" s="103"/>
      <c r="AM728" s="104"/>
      <c r="AN728" s="103"/>
      <c r="AO728" s="104"/>
      <c r="AP728" s="103"/>
      <c r="AQ728" s="104"/>
      <c r="AR728" s="84"/>
      <c r="AS728" s="84"/>
      <c r="AT728" s="84"/>
      <c r="AU728" s="84"/>
      <c r="AV728" s="84"/>
      <c r="AW728" s="84"/>
      <c r="AX728" s="84"/>
      <c r="AY728" s="84"/>
      <c r="AZ728" s="84"/>
    </row>
    <row r="729" ht="15.75" customHeight="1">
      <c r="A729" s="9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5"/>
      <c r="AK729" s="85"/>
      <c r="AL729" s="103"/>
      <c r="AM729" s="104"/>
      <c r="AN729" s="103"/>
      <c r="AO729" s="104"/>
      <c r="AP729" s="103"/>
      <c r="AQ729" s="104"/>
      <c r="AR729" s="84"/>
      <c r="AS729" s="84"/>
      <c r="AT729" s="84"/>
      <c r="AU729" s="84"/>
      <c r="AV729" s="84"/>
      <c r="AW729" s="84"/>
      <c r="AX729" s="84"/>
      <c r="AY729" s="84"/>
      <c r="AZ729" s="84"/>
    </row>
    <row r="730" ht="15.75" customHeight="1">
      <c r="A730" s="9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5"/>
      <c r="AK730" s="85"/>
      <c r="AL730" s="103"/>
      <c r="AM730" s="104"/>
      <c r="AN730" s="103"/>
      <c r="AO730" s="104"/>
      <c r="AP730" s="103"/>
      <c r="AQ730" s="104"/>
      <c r="AR730" s="84"/>
      <c r="AS730" s="84"/>
      <c r="AT730" s="84"/>
      <c r="AU730" s="84"/>
      <c r="AV730" s="84"/>
      <c r="AW730" s="84"/>
      <c r="AX730" s="84"/>
      <c r="AY730" s="84"/>
      <c r="AZ730" s="84"/>
    </row>
    <row r="731" ht="15.75" customHeight="1">
      <c r="A731" s="9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5"/>
      <c r="AK731" s="85"/>
      <c r="AL731" s="103"/>
      <c r="AM731" s="104"/>
      <c r="AN731" s="103"/>
      <c r="AO731" s="104"/>
      <c r="AP731" s="103"/>
      <c r="AQ731" s="104"/>
      <c r="AR731" s="84"/>
      <c r="AS731" s="84"/>
      <c r="AT731" s="84"/>
      <c r="AU731" s="84"/>
      <c r="AV731" s="84"/>
      <c r="AW731" s="84"/>
      <c r="AX731" s="84"/>
      <c r="AY731" s="84"/>
      <c r="AZ731" s="84"/>
    </row>
    <row r="732" ht="15.75" customHeight="1">
      <c r="A732" s="9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5"/>
      <c r="AK732" s="85"/>
      <c r="AL732" s="103"/>
      <c r="AM732" s="104"/>
      <c r="AN732" s="103"/>
      <c r="AO732" s="104"/>
      <c r="AP732" s="103"/>
      <c r="AQ732" s="104"/>
      <c r="AR732" s="84"/>
      <c r="AS732" s="84"/>
      <c r="AT732" s="84"/>
      <c r="AU732" s="84"/>
      <c r="AV732" s="84"/>
      <c r="AW732" s="84"/>
      <c r="AX732" s="84"/>
      <c r="AY732" s="84"/>
      <c r="AZ732" s="84"/>
    </row>
    <row r="733" ht="15.75" customHeight="1">
      <c r="A733" s="9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5"/>
      <c r="AK733" s="85"/>
      <c r="AL733" s="103"/>
      <c r="AM733" s="104"/>
      <c r="AN733" s="103"/>
      <c r="AO733" s="104"/>
      <c r="AP733" s="103"/>
      <c r="AQ733" s="104"/>
      <c r="AR733" s="84"/>
      <c r="AS733" s="84"/>
      <c r="AT733" s="84"/>
      <c r="AU733" s="84"/>
      <c r="AV733" s="84"/>
      <c r="AW733" s="84"/>
      <c r="AX733" s="84"/>
      <c r="AY733" s="84"/>
      <c r="AZ733" s="84"/>
    </row>
    <row r="734" ht="15.75" customHeight="1">
      <c r="A734" s="9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5"/>
      <c r="AK734" s="85"/>
      <c r="AL734" s="103"/>
      <c r="AM734" s="104"/>
      <c r="AN734" s="103"/>
      <c r="AO734" s="104"/>
      <c r="AP734" s="103"/>
      <c r="AQ734" s="104"/>
      <c r="AR734" s="84"/>
      <c r="AS734" s="84"/>
      <c r="AT734" s="84"/>
      <c r="AU734" s="84"/>
      <c r="AV734" s="84"/>
      <c r="AW734" s="84"/>
      <c r="AX734" s="84"/>
      <c r="AY734" s="84"/>
      <c r="AZ734" s="84"/>
    </row>
    <row r="735" ht="15.75" customHeight="1">
      <c r="A735" s="9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5"/>
      <c r="AK735" s="85"/>
      <c r="AL735" s="103"/>
      <c r="AM735" s="104"/>
      <c r="AN735" s="103"/>
      <c r="AO735" s="104"/>
      <c r="AP735" s="103"/>
      <c r="AQ735" s="104"/>
      <c r="AR735" s="84"/>
      <c r="AS735" s="84"/>
      <c r="AT735" s="84"/>
      <c r="AU735" s="84"/>
      <c r="AV735" s="84"/>
      <c r="AW735" s="84"/>
      <c r="AX735" s="84"/>
      <c r="AY735" s="84"/>
      <c r="AZ735" s="84"/>
    </row>
    <row r="736" ht="15.75" customHeight="1">
      <c r="A736" s="9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5"/>
      <c r="AK736" s="85"/>
      <c r="AL736" s="103"/>
      <c r="AM736" s="104"/>
      <c r="AN736" s="103"/>
      <c r="AO736" s="104"/>
      <c r="AP736" s="103"/>
      <c r="AQ736" s="104"/>
      <c r="AR736" s="84"/>
      <c r="AS736" s="84"/>
      <c r="AT736" s="84"/>
      <c r="AU736" s="84"/>
      <c r="AV736" s="84"/>
      <c r="AW736" s="84"/>
      <c r="AX736" s="84"/>
      <c r="AY736" s="84"/>
      <c r="AZ736" s="84"/>
    </row>
    <row r="737" ht="15.75" customHeight="1">
      <c r="A737" s="9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5"/>
      <c r="AK737" s="85"/>
      <c r="AL737" s="103"/>
      <c r="AM737" s="104"/>
      <c r="AN737" s="103"/>
      <c r="AO737" s="104"/>
      <c r="AP737" s="103"/>
      <c r="AQ737" s="104"/>
      <c r="AR737" s="84"/>
      <c r="AS737" s="84"/>
      <c r="AT737" s="84"/>
      <c r="AU737" s="84"/>
      <c r="AV737" s="84"/>
      <c r="AW737" s="84"/>
      <c r="AX737" s="84"/>
      <c r="AY737" s="84"/>
      <c r="AZ737" s="84"/>
    </row>
    <row r="738" ht="15.75" customHeight="1">
      <c r="A738" s="9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5"/>
      <c r="AK738" s="85"/>
      <c r="AL738" s="103"/>
      <c r="AM738" s="104"/>
      <c r="AN738" s="103"/>
      <c r="AO738" s="104"/>
      <c r="AP738" s="103"/>
      <c r="AQ738" s="104"/>
      <c r="AR738" s="84"/>
      <c r="AS738" s="84"/>
      <c r="AT738" s="84"/>
      <c r="AU738" s="84"/>
      <c r="AV738" s="84"/>
      <c r="AW738" s="84"/>
      <c r="AX738" s="84"/>
      <c r="AY738" s="84"/>
      <c r="AZ738" s="84"/>
    </row>
    <row r="739" ht="15.75" customHeight="1">
      <c r="A739" s="9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5"/>
      <c r="AK739" s="85"/>
      <c r="AL739" s="103"/>
      <c r="AM739" s="104"/>
      <c r="AN739" s="103"/>
      <c r="AO739" s="104"/>
      <c r="AP739" s="103"/>
      <c r="AQ739" s="104"/>
      <c r="AR739" s="84"/>
      <c r="AS739" s="84"/>
      <c r="AT739" s="84"/>
      <c r="AU739" s="84"/>
      <c r="AV739" s="84"/>
      <c r="AW739" s="84"/>
      <c r="AX739" s="84"/>
      <c r="AY739" s="84"/>
      <c r="AZ739" s="84"/>
    </row>
    <row r="740" ht="15.75" customHeight="1">
      <c r="A740" s="9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5"/>
      <c r="AK740" s="85"/>
      <c r="AL740" s="103"/>
      <c r="AM740" s="104"/>
      <c r="AN740" s="103"/>
      <c r="AO740" s="104"/>
      <c r="AP740" s="103"/>
      <c r="AQ740" s="104"/>
      <c r="AR740" s="84"/>
      <c r="AS740" s="84"/>
      <c r="AT740" s="84"/>
      <c r="AU740" s="84"/>
      <c r="AV740" s="84"/>
      <c r="AW740" s="84"/>
      <c r="AX740" s="84"/>
      <c r="AY740" s="84"/>
      <c r="AZ740" s="84"/>
    </row>
    <row r="741" ht="15.75" customHeight="1">
      <c r="A741" s="9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5"/>
      <c r="AK741" s="85"/>
      <c r="AL741" s="103"/>
      <c r="AM741" s="104"/>
      <c r="AN741" s="103"/>
      <c r="AO741" s="104"/>
      <c r="AP741" s="103"/>
      <c r="AQ741" s="104"/>
      <c r="AR741" s="84"/>
      <c r="AS741" s="84"/>
      <c r="AT741" s="84"/>
      <c r="AU741" s="84"/>
      <c r="AV741" s="84"/>
      <c r="AW741" s="84"/>
      <c r="AX741" s="84"/>
      <c r="AY741" s="84"/>
      <c r="AZ741" s="84"/>
    </row>
    <row r="742" ht="15.75" customHeight="1">
      <c r="A742" s="9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5"/>
      <c r="AK742" s="85"/>
      <c r="AL742" s="103"/>
      <c r="AM742" s="104"/>
      <c r="AN742" s="103"/>
      <c r="AO742" s="104"/>
      <c r="AP742" s="103"/>
      <c r="AQ742" s="104"/>
      <c r="AR742" s="84"/>
      <c r="AS742" s="84"/>
      <c r="AT742" s="84"/>
      <c r="AU742" s="84"/>
      <c r="AV742" s="84"/>
      <c r="AW742" s="84"/>
      <c r="AX742" s="84"/>
      <c r="AY742" s="84"/>
      <c r="AZ742" s="84"/>
    </row>
    <row r="743" ht="15.75" customHeight="1">
      <c r="A743" s="9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5"/>
      <c r="AK743" s="85"/>
      <c r="AL743" s="103"/>
      <c r="AM743" s="104"/>
      <c r="AN743" s="103"/>
      <c r="AO743" s="104"/>
      <c r="AP743" s="103"/>
      <c r="AQ743" s="104"/>
      <c r="AR743" s="84"/>
      <c r="AS743" s="84"/>
      <c r="AT743" s="84"/>
      <c r="AU743" s="84"/>
      <c r="AV743" s="84"/>
      <c r="AW743" s="84"/>
      <c r="AX743" s="84"/>
      <c r="AY743" s="84"/>
      <c r="AZ743" s="84"/>
    </row>
    <row r="744" ht="15.75" customHeight="1">
      <c r="A744" s="9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5"/>
      <c r="AK744" s="85"/>
      <c r="AL744" s="103"/>
      <c r="AM744" s="104"/>
      <c r="AN744" s="103"/>
      <c r="AO744" s="104"/>
      <c r="AP744" s="103"/>
      <c r="AQ744" s="104"/>
      <c r="AR744" s="84"/>
      <c r="AS744" s="84"/>
      <c r="AT744" s="84"/>
      <c r="AU744" s="84"/>
      <c r="AV744" s="84"/>
      <c r="AW744" s="84"/>
      <c r="AX744" s="84"/>
      <c r="AY744" s="84"/>
      <c r="AZ744" s="84"/>
    </row>
    <row r="745" ht="15.75" customHeight="1">
      <c r="A745" s="9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5"/>
      <c r="AK745" s="85"/>
      <c r="AL745" s="103"/>
      <c r="AM745" s="104"/>
      <c r="AN745" s="103"/>
      <c r="AO745" s="104"/>
      <c r="AP745" s="103"/>
      <c r="AQ745" s="104"/>
      <c r="AR745" s="84"/>
      <c r="AS745" s="84"/>
      <c r="AT745" s="84"/>
      <c r="AU745" s="84"/>
      <c r="AV745" s="84"/>
      <c r="AW745" s="84"/>
      <c r="AX745" s="84"/>
      <c r="AY745" s="84"/>
      <c r="AZ745" s="84"/>
    </row>
    <row r="746" ht="15.75" customHeight="1">
      <c r="A746" s="9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5"/>
      <c r="AK746" s="85"/>
      <c r="AL746" s="103"/>
      <c r="AM746" s="104"/>
      <c r="AN746" s="103"/>
      <c r="AO746" s="104"/>
      <c r="AP746" s="103"/>
      <c r="AQ746" s="104"/>
      <c r="AR746" s="84"/>
      <c r="AS746" s="84"/>
      <c r="AT746" s="84"/>
      <c r="AU746" s="84"/>
      <c r="AV746" s="84"/>
      <c r="AW746" s="84"/>
      <c r="AX746" s="84"/>
      <c r="AY746" s="84"/>
      <c r="AZ746" s="84"/>
    </row>
    <row r="747" ht="15.75" customHeight="1">
      <c r="A747" s="9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5"/>
      <c r="AK747" s="85"/>
      <c r="AL747" s="103"/>
      <c r="AM747" s="104"/>
      <c r="AN747" s="103"/>
      <c r="AO747" s="104"/>
      <c r="AP747" s="103"/>
      <c r="AQ747" s="104"/>
      <c r="AR747" s="84"/>
      <c r="AS747" s="84"/>
      <c r="AT747" s="84"/>
      <c r="AU747" s="84"/>
      <c r="AV747" s="84"/>
      <c r="AW747" s="84"/>
      <c r="AX747" s="84"/>
      <c r="AY747" s="84"/>
      <c r="AZ747" s="84"/>
    </row>
    <row r="748" ht="15.75" customHeight="1">
      <c r="A748" s="9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5"/>
      <c r="AK748" s="85"/>
      <c r="AL748" s="103"/>
      <c r="AM748" s="104"/>
      <c r="AN748" s="103"/>
      <c r="AO748" s="104"/>
      <c r="AP748" s="103"/>
      <c r="AQ748" s="104"/>
      <c r="AR748" s="84"/>
      <c r="AS748" s="84"/>
      <c r="AT748" s="84"/>
      <c r="AU748" s="84"/>
      <c r="AV748" s="84"/>
      <c r="AW748" s="84"/>
      <c r="AX748" s="84"/>
      <c r="AY748" s="84"/>
      <c r="AZ748" s="84"/>
    </row>
    <row r="749" ht="15.75" customHeight="1">
      <c r="A749" s="9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5"/>
      <c r="AK749" s="85"/>
      <c r="AL749" s="103"/>
      <c r="AM749" s="104"/>
      <c r="AN749" s="103"/>
      <c r="AO749" s="104"/>
      <c r="AP749" s="103"/>
      <c r="AQ749" s="104"/>
      <c r="AR749" s="84"/>
      <c r="AS749" s="84"/>
      <c r="AT749" s="84"/>
      <c r="AU749" s="84"/>
      <c r="AV749" s="84"/>
      <c r="AW749" s="84"/>
      <c r="AX749" s="84"/>
      <c r="AY749" s="84"/>
      <c r="AZ749" s="84"/>
    </row>
    <row r="750" ht="15.75" customHeight="1">
      <c r="A750" s="9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5"/>
      <c r="AK750" s="85"/>
      <c r="AL750" s="103"/>
      <c r="AM750" s="104"/>
      <c r="AN750" s="103"/>
      <c r="AO750" s="104"/>
      <c r="AP750" s="103"/>
      <c r="AQ750" s="104"/>
      <c r="AR750" s="84"/>
      <c r="AS750" s="84"/>
      <c r="AT750" s="84"/>
      <c r="AU750" s="84"/>
      <c r="AV750" s="84"/>
      <c r="AW750" s="84"/>
      <c r="AX750" s="84"/>
      <c r="AY750" s="84"/>
      <c r="AZ750" s="84"/>
    </row>
    <row r="751" ht="15.75" customHeight="1">
      <c r="A751" s="9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5"/>
      <c r="AK751" s="85"/>
      <c r="AL751" s="103"/>
      <c r="AM751" s="104"/>
      <c r="AN751" s="103"/>
      <c r="AO751" s="104"/>
      <c r="AP751" s="103"/>
      <c r="AQ751" s="104"/>
      <c r="AR751" s="84"/>
      <c r="AS751" s="84"/>
      <c r="AT751" s="84"/>
      <c r="AU751" s="84"/>
      <c r="AV751" s="84"/>
      <c r="AW751" s="84"/>
      <c r="AX751" s="84"/>
      <c r="AY751" s="84"/>
      <c r="AZ751" s="84"/>
    </row>
    <row r="752" ht="15.75" customHeight="1">
      <c r="A752" s="9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5"/>
      <c r="AK752" s="85"/>
      <c r="AL752" s="103"/>
      <c r="AM752" s="104"/>
      <c r="AN752" s="103"/>
      <c r="AO752" s="104"/>
      <c r="AP752" s="103"/>
      <c r="AQ752" s="104"/>
      <c r="AR752" s="84"/>
      <c r="AS752" s="84"/>
      <c r="AT752" s="84"/>
      <c r="AU752" s="84"/>
      <c r="AV752" s="84"/>
      <c r="AW752" s="84"/>
      <c r="AX752" s="84"/>
      <c r="AY752" s="84"/>
      <c r="AZ752" s="84"/>
    </row>
    <row r="753" ht="15.75" customHeight="1">
      <c r="A753" s="9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5"/>
      <c r="AK753" s="85"/>
      <c r="AL753" s="103"/>
      <c r="AM753" s="104"/>
      <c r="AN753" s="103"/>
      <c r="AO753" s="104"/>
      <c r="AP753" s="103"/>
      <c r="AQ753" s="104"/>
      <c r="AR753" s="84"/>
      <c r="AS753" s="84"/>
      <c r="AT753" s="84"/>
      <c r="AU753" s="84"/>
      <c r="AV753" s="84"/>
      <c r="AW753" s="84"/>
      <c r="AX753" s="84"/>
      <c r="AY753" s="84"/>
      <c r="AZ753" s="84"/>
    </row>
    <row r="754" ht="15.75" customHeight="1">
      <c r="A754" s="9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5"/>
      <c r="AK754" s="85"/>
      <c r="AL754" s="103"/>
      <c r="AM754" s="104"/>
      <c r="AN754" s="103"/>
      <c r="AO754" s="104"/>
      <c r="AP754" s="103"/>
      <c r="AQ754" s="104"/>
      <c r="AR754" s="84"/>
      <c r="AS754" s="84"/>
      <c r="AT754" s="84"/>
      <c r="AU754" s="84"/>
      <c r="AV754" s="84"/>
      <c r="AW754" s="84"/>
      <c r="AX754" s="84"/>
      <c r="AY754" s="84"/>
      <c r="AZ754" s="84"/>
    </row>
    <row r="755" ht="15.75" customHeight="1">
      <c r="A755" s="9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5"/>
      <c r="AK755" s="85"/>
      <c r="AL755" s="103"/>
      <c r="AM755" s="104"/>
      <c r="AN755" s="103"/>
      <c r="AO755" s="104"/>
      <c r="AP755" s="103"/>
      <c r="AQ755" s="104"/>
      <c r="AR755" s="84"/>
      <c r="AS755" s="84"/>
      <c r="AT755" s="84"/>
      <c r="AU755" s="84"/>
      <c r="AV755" s="84"/>
      <c r="AW755" s="84"/>
      <c r="AX755" s="84"/>
      <c r="AY755" s="84"/>
      <c r="AZ755" s="84"/>
    </row>
    <row r="756" ht="15.75" customHeight="1">
      <c r="A756" s="9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5"/>
      <c r="AK756" s="85"/>
      <c r="AL756" s="103"/>
      <c r="AM756" s="104"/>
      <c r="AN756" s="103"/>
      <c r="AO756" s="104"/>
      <c r="AP756" s="103"/>
      <c r="AQ756" s="104"/>
      <c r="AR756" s="84"/>
      <c r="AS756" s="84"/>
      <c r="AT756" s="84"/>
      <c r="AU756" s="84"/>
      <c r="AV756" s="84"/>
      <c r="AW756" s="84"/>
      <c r="AX756" s="84"/>
      <c r="AY756" s="84"/>
      <c r="AZ756" s="84"/>
    </row>
    <row r="757" ht="15.75" customHeight="1">
      <c r="A757" s="9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5"/>
      <c r="AK757" s="85"/>
      <c r="AL757" s="103"/>
      <c r="AM757" s="104"/>
      <c r="AN757" s="103"/>
      <c r="AO757" s="104"/>
      <c r="AP757" s="103"/>
      <c r="AQ757" s="104"/>
      <c r="AR757" s="84"/>
      <c r="AS757" s="84"/>
      <c r="AT757" s="84"/>
      <c r="AU757" s="84"/>
      <c r="AV757" s="84"/>
      <c r="AW757" s="84"/>
      <c r="AX757" s="84"/>
      <c r="AY757" s="84"/>
      <c r="AZ757" s="84"/>
    </row>
    <row r="758" ht="15.75" customHeight="1">
      <c r="A758" s="9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5"/>
      <c r="AK758" s="85"/>
      <c r="AL758" s="103"/>
      <c r="AM758" s="104"/>
      <c r="AN758" s="103"/>
      <c r="AO758" s="104"/>
      <c r="AP758" s="103"/>
      <c r="AQ758" s="104"/>
      <c r="AR758" s="84"/>
      <c r="AS758" s="84"/>
      <c r="AT758" s="84"/>
      <c r="AU758" s="84"/>
      <c r="AV758" s="84"/>
      <c r="AW758" s="84"/>
      <c r="AX758" s="84"/>
      <c r="AY758" s="84"/>
      <c r="AZ758" s="84"/>
    </row>
    <row r="759" ht="15.75" customHeight="1">
      <c r="A759" s="9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5"/>
      <c r="AK759" s="85"/>
      <c r="AL759" s="103"/>
      <c r="AM759" s="104"/>
      <c r="AN759" s="103"/>
      <c r="AO759" s="104"/>
      <c r="AP759" s="103"/>
      <c r="AQ759" s="104"/>
      <c r="AR759" s="84"/>
      <c r="AS759" s="84"/>
      <c r="AT759" s="84"/>
      <c r="AU759" s="84"/>
      <c r="AV759" s="84"/>
      <c r="AW759" s="84"/>
      <c r="AX759" s="84"/>
      <c r="AY759" s="84"/>
      <c r="AZ759" s="84"/>
    </row>
    <row r="760" ht="15.75" customHeight="1">
      <c r="A760" s="9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5"/>
      <c r="AK760" s="85"/>
      <c r="AL760" s="103"/>
      <c r="AM760" s="104"/>
      <c r="AN760" s="103"/>
      <c r="AO760" s="104"/>
      <c r="AP760" s="103"/>
      <c r="AQ760" s="104"/>
      <c r="AR760" s="84"/>
      <c r="AS760" s="84"/>
      <c r="AT760" s="84"/>
      <c r="AU760" s="84"/>
      <c r="AV760" s="84"/>
      <c r="AW760" s="84"/>
      <c r="AX760" s="84"/>
      <c r="AY760" s="84"/>
      <c r="AZ760" s="84"/>
    </row>
    <row r="761" ht="15.75" customHeight="1">
      <c r="A761" s="9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5"/>
      <c r="AK761" s="85"/>
      <c r="AL761" s="103"/>
      <c r="AM761" s="104"/>
      <c r="AN761" s="103"/>
      <c r="AO761" s="104"/>
      <c r="AP761" s="103"/>
      <c r="AQ761" s="104"/>
      <c r="AR761" s="84"/>
      <c r="AS761" s="84"/>
      <c r="AT761" s="84"/>
      <c r="AU761" s="84"/>
      <c r="AV761" s="84"/>
      <c r="AW761" s="84"/>
      <c r="AX761" s="84"/>
      <c r="AY761" s="84"/>
      <c r="AZ761" s="84"/>
    </row>
    <row r="762" ht="15.75" customHeight="1">
      <c r="A762" s="9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5"/>
      <c r="AK762" s="85"/>
      <c r="AL762" s="103"/>
      <c r="AM762" s="104"/>
      <c r="AN762" s="103"/>
      <c r="AO762" s="104"/>
      <c r="AP762" s="103"/>
      <c r="AQ762" s="104"/>
      <c r="AR762" s="84"/>
      <c r="AS762" s="84"/>
      <c r="AT762" s="84"/>
      <c r="AU762" s="84"/>
      <c r="AV762" s="84"/>
      <c r="AW762" s="84"/>
      <c r="AX762" s="84"/>
      <c r="AY762" s="84"/>
      <c r="AZ762" s="84"/>
    </row>
    <row r="763" ht="15.75" customHeight="1">
      <c r="A763" s="9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5"/>
      <c r="AK763" s="85"/>
      <c r="AL763" s="103"/>
      <c r="AM763" s="104"/>
      <c r="AN763" s="103"/>
      <c r="AO763" s="104"/>
      <c r="AP763" s="103"/>
      <c r="AQ763" s="104"/>
      <c r="AR763" s="84"/>
      <c r="AS763" s="84"/>
      <c r="AT763" s="84"/>
      <c r="AU763" s="84"/>
      <c r="AV763" s="84"/>
      <c r="AW763" s="84"/>
      <c r="AX763" s="84"/>
      <c r="AY763" s="84"/>
      <c r="AZ763" s="84"/>
    </row>
    <row r="764" ht="15.75" customHeight="1">
      <c r="A764" s="9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5"/>
      <c r="AK764" s="85"/>
      <c r="AL764" s="103"/>
      <c r="AM764" s="104"/>
      <c r="AN764" s="103"/>
      <c r="AO764" s="104"/>
      <c r="AP764" s="103"/>
      <c r="AQ764" s="104"/>
      <c r="AR764" s="84"/>
      <c r="AS764" s="84"/>
      <c r="AT764" s="84"/>
      <c r="AU764" s="84"/>
      <c r="AV764" s="84"/>
      <c r="AW764" s="84"/>
      <c r="AX764" s="84"/>
      <c r="AY764" s="84"/>
      <c r="AZ764" s="84"/>
    </row>
    <row r="765" ht="15.75" customHeight="1">
      <c r="A765" s="9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5"/>
      <c r="AK765" s="85"/>
      <c r="AL765" s="103"/>
      <c r="AM765" s="104"/>
      <c r="AN765" s="103"/>
      <c r="AO765" s="104"/>
      <c r="AP765" s="103"/>
      <c r="AQ765" s="104"/>
      <c r="AR765" s="84"/>
      <c r="AS765" s="84"/>
      <c r="AT765" s="84"/>
      <c r="AU765" s="84"/>
      <c r="AV765" s="84"/>
      <c r="AW765" s="84"/>
      <c r="AX765" s="84"/>
      <c r="AY765" s="84"/>
      <c r="AZ765" s="84"/>
    </row>
    <row r="766" ht="15.75" customHeight="1">
      <c r="A766" s="9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5"/>
      <c r="AK766" s="85"/>
      <c r="AL766" s="103"/>
      <c r="AM766" s="104"/>
      <c r="AN766" s="103"/>
      <c r="AO766" s="104"/>
      <c r="AP766" s="103"/>
      <c r="AQ766" s="104"/>
      <c r="AR766" s="84"/>
      <c r="AS766" s="84"/>
      <c r="AT766" s="84"/>
      <c r="AU766" s="84"/>
      <c r="AV766" s="84"/>
      <c r="AW766" s="84"/>
      <c r="AX766" s="84"/>
      <c r="AY766" s="84"/>
      <c r="AZ766" s="84"/>
    </row>
    <row r="767" ht="15.75" customHeight="1">
      <c r="A767" s="9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5"/>
      <c r="AK767" s="85"/>
      <c r="AL767" s="103"/>
      <c r="AM767" s="104"/>
      <c r="AN767" s="103"/>
      <c r="AO767" s="104"/>
      <c r="AP767" s="103"/>
      <c r="AQ767" s="104"/>
      <c r="AR767" s="84"/>
      <c r="AS767" s="84"/>
      <c r="AT767" s="84"/>
      <c r="AU767" s="84"/>
      <c r="AV767" s="84"/>
      <c r="AW767" s="84"/>
      <c r="AX767" s="84"/>
      <c r="AY767" s="84"/>
      <c r="AZ767" s="84"/>
    </row>
    <row r="768" ht="15.75" customHeight="1">
      <c r="A768" s="9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5"/>
      <c r="AK768" s="85"/>
      <c r="AL768" s="103"/>
      <c r="AM768" s="104"/>
      <c r="AN768" s="103"/>
      <c r="AO768" s="104"/>
      <c r="AP768" s="103"/>
      <c r="AQ768" s="104"/>
      <c r="AR768" s="84"/>
      <c r="AS768" s="84"/>
      <c r="AT768" s="84"/>
      <c r="AU768" s="84"/>
      <c r="AV768" s="84"/>
      <c r="AW768" s="84"/>
      <c r="AX768" s="84"/>
      <c r="AY768" s="84"/>
      <c r="AZ768" s="84"/>
    </row>
    <row r="769" ht="15.75" customHeight="1">
      <c r="A769" s="9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5"/>
      <c r="AK769" s="85"/>
      <c r="AL769" s="103"/>
      <c r="AM769" s="104"/>
      <c r="AN769" s="103"/>
      <c r="AO769" s="104"/>
      <c r="AP769" s="103"/>
      <c r="AQ769" s="104"/>
      <c r="AR769" s="84"/>
      <c r="AS769" s="84"/>
      <c r="AT769" s="84"/>
      <c r="AU769" s="84"/>
      <c r="AV769" s="84"/>
      <c r="AW769" s="84"/>
      <c r="AX769" s="84"/>
      <c r="AY769" s="84"/>
      <c r="AZ769" s="84"/>
    </row>
    <row r="770" ht="15.75" customHeight="1">
      <c r="A770" s="9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5"/>
      <c r="AK770" s="85"/>
      <c r="AL770" s="103"/>
      <c r="AM770" s="104"/>
      <c r="AN770" s="103"/>
      <c r="AO770" s="104"/>
      <c r="AP770" s="103"/>
      <c r="AQ770" s="104"/>
      <c r="AR770" s="84"/>
      <c r="AS770" s="84"/>
      <c r="AT770" s="84"/>
      <c r="AU770" s="84"/>
      <c r="AV770" s="84"/>
      <c r="AW770" s="84"/>
      <c r="AX770" s="84"/>
      <c r="AY770" s="84"/>
      <c r="AZ770" s="84"/>
    </row>
    <row r="771" ht="15.75" customHeight="1">
      <c r="A771" s="9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5"/>
      <c r="AK771" s="85"/>
      <c r="AL771" s="103"/>
      <c r="AM771" s="104"/>
      <c r="AN771" s="103"/>
      <c r="AO771" s="104"/>
      <c r="AP771" s="103"/>
      <c r="AQ771" s="104"/>
      <c r="AR771" s="84"/>
      <c r="AS771" s="84"/>
      <c r="AT771" s="84"/>
      <c r="AU771" s="84"/>
      <c r="AV771" s="84"/>
      <c r="AW771" s="84"/>
      <c r="AX771" s="84"/>
      <c r="AY771" s="84"/>
      <c r="AZ771" s="84"/>
    </row>
    <row r="772" ht="15.75" customHeight="1">
      <c r="A772" s="9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5"/>
      <c r="AK772" s="85"/>
      <c r="AL772" s="103"/>
      <c r="AM772" s="104"/>
      <c r="AN772" s="103"/>
      <c r="AO772" s="104"/>
      <c r="AP772" s="103"/>
      <c r="AQ772" s="104"/>
      <c r="AR772" s="84"/>
      <c r="AS772" s="84"/>
      <c r="AT772" s="84"/>
      <c r="AU772" s="84"/>
      <c r="AV772" s="84"/>
      <c r="AW772" s="84"/>
      <c r="AX772" s="84"/>
      <c r="AY772" s="84"/>
      <c r="AZ772" s="84"/>
    </row>
    <row r="773" ht="15.75" customHeight="1">
      <c r="A773" s="9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5"/>
      <c r="AK773" s="85"/>
      <c r="AL773" s="103"/>
      <c r="AM773" s="104"/>
      <c r="AN773" s="103"/>
      <c r="AO773" s="104"/>
      <c r="AP773" s="103"/>
      <c r="AQ773" s="104"/>
      <c r="AR773" s="84"/>
      <c r="AS773" s="84"/>
      <c r="AT773" s="84"/>
      <c r="AU773" s="84"/>
      <c r="AV773" s="84"/>
      <c r="AW773" s="84"/>
      <c r="AX773" s="84"/>
      <c r="AY773" s="84"/>
      <c r="AZ773" s="84"/>
    </row>
    <row r="774" ht="15.75" customHeight="1">
      <c r="A774" s="9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5"/>
      <c r="AK774" s="85"/>
      <c r="AL774" s="103"/>
      <c r="AM774" s="104"/>
      <c r="AN774" s="103"/>
      <c r="AO774" s="104"/>
      <c r="AP774" s="103"/>
      <c r="AQ774" s="104"/>
      <c r="AR774" s="84"/>
      <c r="AS774" s="84"/>
      <c r="AT774" s="84"/>
      <c r="AU774" s="84"/>
      <c r="AV774" s="84"/>
      <c r="AW774" s="84"/>
      <c r="AX774" s="84"/>
      <c r="AY774" s="84"/>
      <c r="AZ774" s="84"/>
    </row>
    <row r="775" ht="15.75" customHeight="1">
      <c r="A775" s="9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5"/>
      <c r="AK775" s="85"/>
      <c r="AL775" s="103"/>
      <c r="AM775" s="104"/>
      <c r="AN775" s="103"/>
      <c r="AO775" s="104"/>
      <c r="AP775" s="103"/>
      <c r="AQ775" s="104"/>
      <c r="AR775" s="84"/>
      <c r="AS775" s="84"/>
      <c r="AT775" s="84"/>
      <c r="AU775" s="84"/>
      <c r="AV775" s="84"/>
      <c r="AW775" s="84"/>
      <c r="AX775" s="84"/>
      <c r="AY775" s="84"/>
      <c r="AZ775" s="84"/>
    </row>
    <row r="776" ht="15.75" customHeight="1">
      <c r="A776" s="9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5"/>
      <c r="AK776" s="85"/>
      <c r="AL776" s="103"/>
      <c r="AM776" s="104"/>
      <c r="AN776" s="103"/>
      <c r="AO776" s="104"/>
      <c r="AP776" s="103"/>
      <c r="AQ776" s="104"/>
      <c r="AR776" s="84"/>
      <c r="AS776" s="84"/>
      <c r="AT776" s="84"/>
      <c r="AU776" s="84"/>
      <c r="AV776" s="84"/>
      <c r="AW776" s="84"/>
      <c r="AX776" s="84"/>
      <c r="AY776" s="84"/>
      <c r="AZ776" s="84"/>
    </row>
    <row r="777" ht="15.75" customHeight="1">
      <c r="A777" s="9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5"/>
      <c r="AK777" s="85"/>
      <c r="AL777" s="103"/>
      <c r="AM777" s="104"/>
      <c r="AN777" s="103"/>
      <c r="AO777" s="104"/>
      <c r="AP777" s="103"/>
      <c r="AQ777" s="104"/>
      <c r="AR777" s="84"/>
      <c r="AS777" s="84"/>
      <c r="AT777" s="84"/>
      <c r="AU777" s="84"/>
      <c r="AV777" s="84"/>
      <c r="AW777" s="84"/>
      <c r="AX777" s="84"/>
      <c r="AY777" s="84"/>
      <c r="AZ777" s="84"/>
    </row>
    <row r="778" ht="15.75" customHeight="1">
      <c r="A778" s="9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5"/>
      <c r="AK778" s="85"/>
      <c r="AL778" s="103"/>
      <c r="AM778" s="104"/>
      <c r="AN778" s="103"/>
      <c r="AO778" s="104"/>
      <c r="AP778" s="103"/>
      <c r="AQ778" s="104"/>
      <c r="AR778" s="84"/>
      <c r="AS778" s="84"/>
      <c r="AT778" s="84"/>
      <c r="AU778" s="84"/>
      <c r="AV778" s="84"/>
      <c r="AW778" s="84"/>
      <c r="AX778" s="84"/>
      <c r="AY778" s="84"/>
      <c r="AZ778" s="84"/>
    </row>
    <row r="779" ht="15.75" customHeight="1">
      <c r="A779" s="9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5"/>
      <c r="AK779" s="85"/>
      <c r="AL779" s="103"/>
      <c r="AM779" s="104"/>
      <c r="AN779" s="103"/>
      <c r="AO779" s="104"/>
      <c r="AP779" s="103"/>
      <c r="AQ779" s="104"/>
      <c r="AR779" s="84"/>
      <c r="AS779" s="84"/>
      <c r="AT779" s="84"/>
      <c r="AU779" s="84"/>
      <c r="AV779" s="84"/>
      <c r="AW779" s="84"/>
      <c r="AX779" s="84"/>
      <c r="AY779" s="84"/>
      <c r="AZ779" s="84"/>
    </row>
    <row r="780" ht="15.75" customHeight="1">
      <c r="A780" s="9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5"/>
      <c r="AK780" s="85"/>
      <c r="AL780" s="103"/>
      <c r="AM780" s="104"/>
      <c r="AN780" s="103"/>
      <c r="AO780" s="104"/>
      <c r="AP780" s="103"/>
      <c r="AQ780" s="104"/>
      <c r="AR780" s="84"/>
      <c r="AS780" s="84"/>
      <c r="AT780" s="84"/>
      <c r="AU780" s="84"/>
      <c r="AV780" s="84"/>
      <c r="AW780" s="84"/>
      <c r="AX780" s="84"/>
      <c r="AY780" s="84"/>
      <c r="AZ780" s="84"/>
    </row>
    <row r="781" ht="15.75" customHeight="1">
      <c r="A781" s="9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5"/>
      <c r="AK781" s="85"/>
      <c r="AL781" s="103"/>
      <c r="AM781" s="104"/>
      <c r="AN781" s="103"/>
      <c r="AO781" s="104"/>
      <c r="AP781" s="103"/>
      <c r="AQ781" s="104"/>
      <c r="AR781" s="84"/>
      <c r="AS781" s="84"/>
      <c r="AT781" s="84"/>
      <c r="AU781" s="84"/>
      <c r="AV781" s="84"/>
      <c r="AW781" s="84"/>
      <c r="AX781" s="84"/>
      <c r="AY781" s="84"/>
      <c r="AZ781" s="84"/>
    </row>
    <row r="782" ht="15.75" customHeight="1">
      <c r="A782" s="9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5"/>
      <c r="AK782" s="85"/>
      <c r="AL782" s="103"/>
      <c r="AM782" s="104"/>
      <c r="AN782" s="103"/>
      <c r="AO782" s="104"/>
      <c r="AP782" s="103"/>
      <c r="AQ782" s="104"/>
      <c r="AR782" s="84"/>
      <c r="AS782" s="84"/>
      <c r="AT782" s="84"/>
      <c r="AU782" s="84"/>
      <c r="AV782" s="84"/>
      <c r="AW782" s="84"/>
      <c r="AX782" s="84"/>
      <c r="AY782" s="84"/>
      <c r="AZ782" s="84"/>
    </row>
    <row r="783" ht="15.75" customHeight="1">
      <c r="A783" s="9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5"/>
      <c r="AK783" s="85"/>
      <c r="AL783" s="103"/>
      <c r="AM783" s="104"/>
      <c r="AN783" s="103"/>
      <c r="AO783" s="104"/>
      <c r="AP783" s="103"/>
      <c r="AQ783" s="104"/>
      <c r="AR783" s="84"/>
      <c r="AS783" s="84"/>
      <c r="AT783" s="84"/>
      <c r="AU783" s="84"/>
      <c r="AV783" s="84"/>
      <c r="AW783" s="84"/>
      <c r="AX783" s="84"/>
      <c r="AY783" s="84"/>
      <c r="AZ783" s="84"/>
    </row>
    <row r="784" ht="15.75" customHeight="1">
      <c r="A784" s="9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5"/>
      <c r="AK784" s="85"/>
      <c r="AL784" s="103"/>
      <c r="AM784" s="104"/>
      <c r="AN784" s="103"/>
      <c r="AO784" s="104"/>
      <c r="AP784" s="103"/>
      <c r="AQ784" s="104"/>
      <c r="AR784" s="84"/>
      <c r="AS784" s="84"/>
      <c r="AT784" s="84"/>
      <c r="AU784" s="84"/>
      <c r="AV784" s="84"/>
      <c r="AW784" s="84"/>
      <c r="AX784" s="84"/>
      <c r="AY784" s="84"/>
      <c r="AZ784" s="84"/>
    </row>
    <row r="785" ht="15.75" customHeight="1">
      <c r="A785" s="9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5"/>
      <c r="AK785" s="85"/>
      <c r="AL785" s="103"/>
      <c r="AM785" s="104"/>
      <c r="AN785" s="103"/>
      <c r="AO785" s="104"/>
      <c r="AP785" s="103"/>
      <c r="AQ785" s="104"/>
      <c r="AR785" s="84"/>
      <c r="AS785" s="84"/>
      <c r="AT785" s="84"/>
      <c r="AU785" s="84"/>
      <c r="AV785" s="84"/>
      <c r="AW785" s="84"/>
      <c r="AX785" s="84"/>
      <c r="AY785" s="84"/>
      <c r="AZ785" s="84"/>
    </row>
    <row r="786" ht="15.75" customHeight="1">
      <c r="A786" s="9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5"/>
      <c r="AK786" s="85"/>
      <c r="AL786" s="103"/>
      <c r="AM786" s="104"/>
      <c r="AN786" s="103"/>
      <c r="AO786" s="104"/>
      <c r="AP786" s="103"/>
      <c r="AQ786" s="104"/>
      <c r="AR786" s="84"/>
      <c r="AS786" s="84"/>
      <c r="AT786" s="84"/>
      <c r="AU786" s="84"/>
      <c r="AV786" s="84"/>
      <c r="AW786" s="84"/>
      <c r="AX786" s="84"/>
      <c r="AY786" s="84"/>
      <c r="AZ786" s="84"/>
    </row>
    <row r="787" ht="15.75" customHeight="1">
      <c r="A787" s="9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5"/>
      <c r="AK787" s="85"/>
      <c r="AL787" s="103"/>
      <c r="AM787" s="104"/>
      <c r="AN787" s="103"/>
      <c r="AO787" s="104"/>
      <c r="AP787" s="103"/>
      <c r="AQ787" s="104"/>
      <c r="AR787" s="84"/>
      <c r="AS787" s="84"/>
      <c r="AT787" s="84"/>
      <c r="AU787" s="84"/>
      <c r="AV787" s="84"/>
      <c r="AW787" s="84"/>
      <c r="AX787" s="84"/>
      <c r="AY787" s="84"/>
      <c r="AZ787" s="84"/>
    </row>
    <row r="788" ht="15.75" customHeight="1">
      <c r="A788" s="9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5"/>
      <c r="AK788" s="85"/>
      <c r="AL788" s="103"/>
      <c r="AM788" s="104"/>
      <c r="AN788" s="103"/>
      <c r="AO788" s="104"/>
      <c r="AP788" s="103"/>
      <c r="AQ788" s="104"/>
      <c r="AR788" s="84"/>
      <c r="AS788" s="84"/>
      <c r="AT788" s="84"/>
      <c r="AU788" s="84"/>
      <c r="AV788" s="84"/>
      <c r="AW788" s="84"/>
      <c r="AX788" s="84"/>
      <c r="AY788" s="84"/>
      <c r="AZ788" s="84"/>
    </row>
    <row r="789" ht="15.75" customHeight="1">
      <c r="A789" s="9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5"/>
      <c r="AK789" s="85"/>
      <c r="AL789" s="103"/>
      <c r="AM789" s="104"/>
      <c r="AN789" s="103"/>
      <c r="AO789" s="104"/>
      <c r="AP789" s="103"/>
      <c r="AQ789" s="104"/>
      <c r="AR789" s="84"/>
      <c r="AS789" s="84"/>
      <c r="AT789" s="84"/>
      <c r="AU789" s="84"/>
      <c r="AV789" s="84"/>
      <c r="AW789" s="84"/>
      <c r="AX789" s="84"/>
      <c r="AY789" s="84"/>
      <c r="AZ789" s="84"/>
    </row>
    <row r="790" ht="15.75" customHeight="1">
      <c r="A790" s="9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5"/>
      <c r="AK790" s="85"/>
      <c r="AL790" s="103"/>
      <c r="AM790" s="104"/>
      <c r="AN790" s="103"/>
      <c r="AO790" s="104"/>
      <c r="AP790" s="103"/>
      <c r="AQ790" s="104"/>
      <c r="AR790" s="84"/>
      <c r="AS790" s="84"/>
      <c r="AT790" s="84"/>
      <c r="AU790" s="84"/>
      <c r="AV790" s="84"/>
      <c r="AW790" s="84"/>
      <c r="AX790" s="84"/>
      <c r="AY790" s="84"/>
      <c r="AZ790" s="84"/>
    </row>
    <row r="791" ht="15.75" customHeight="1">
      <c r="A791" s="9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5"/>
      <c r="AK791" s="85"/>
      <c r="AL791" s="103"/>
      <c r="AM791" s="104"/>
      <c r="AN791" s="103"/>
      <c r="AO791" s="104"/>
      <c r="AP791" s="103"/>
      <c r="AQ791" s="104"/>
      <c r="AR791" s="84"/>
      <c r="AS791" s="84"/>
      <c r="AT791" s="84"/>
      <c r="AU791" s="84"/>
      <c r="AV791" s="84"/>
      <c r="AW791" s="84"/>
      <c r="AX791" s="84"/>
      <c r="AY791" s="84"/>
      <c r="AZ791" s="84"/>
    </row>
    <row r="792" ht="15.75" customHeight="1">
      <c r="A792" s="9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5"/>
      <c r="AK792" s="85"/>
      <c r="AL792" s="103"/>
      <c r="AM792" s="104"/>
      <c r="AN792" s="103"/>
      <c r="AO792" s="104"/>
      <c r="AP792" s="103"/>
      <c r="AQ792" s="104"/>
      <c r="AR792" s="84"/>
      <c r="AS792" s="84"/>
      <c r="AT792" s="84"/>
      <c r="AU792" s="84"/>
      <c r="AV792" s="84"/>
      <c r="AW792" s="84"/>
      <c r="AX792" s="84"/>
      <c r="AY792" s="84"/>
      <c r="AZ792" s="84"/>
    </row>
    <row r="793" ht="15.75" customHeight="1">
      <c r="A793" s="9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5"/>
      <c r="AK793" s="85"/>
      <c r="AL793" s="103"/>
      <c r="AM793" s="104"/>
      <c r="AN793" s="103"/>
      <c r="AO793" s="104"/>
      <c r="AP793" s="103"/>
      <c r="AQ793" s="104"/>
      <c r="AR793" s="84"/>
      <c r="AS793" s="84"/>
      <c r="AT793" s="84"/>
      <c r="AU793" s="84"/>
      <c r="AV793" s="84"/>
      <c r="AW793" s="84"/>
      <c r="AX793" s="84"/>
      <c r="AY793" s="84"/>
      <c r="AZ793" s="84"/>
    </row>
    <row r="794" ht="15.75" customHeight="1">
      <c r="A794" s="9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5"/>
      <c r="AK794" s="85"/>
      <c r="AL794" s="103"/>
      <c r="AM794" s="104"/>
      <c r="AN794" s="103"/>
      <c r="AO794" s="104"/>
      <c r="AP794" s="103"/>
      <c r="AQ794" s="104"/>
      <c r="AR794" s="84"/>
      <c r="AS794" s="84"/>
      <c r="AT794" s="84"/>
      <c r="AU794" s="84"/>
      <c r="AV794" s="84"/>
      <c r="AW794" s="84"/>
      <c r="AX794" s="84"/>
      <c r="AY794" s="84"/>
      <c r="AZ794" s="84"/>
    </row>
    <row r="795" ht="15.75" customHeight="1">
      <c r="A795" s="9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5"/>
      <c r="AK795" s="85"/>
      <c r="AL795" s="103"/>
      <c r="AM795" s="104"/>
      <c r="AN795" s="103"/>
      <c r="AO795" s="104"/>
      <c r="AP795" s="103"/>
      <c r="AQ795" s="104"/>
      <c r="AR795" s="84"/>
      <c r="AS795" s="84"/>
      <c r="AT795" s="84"/>
      <c r="AU795" s="84"/>
      <c r="AV795" s="84"/>
      <c r="AW795" s="84"/>
      <c r="AX795" s="84"/>
      <c r="AY795" s="84"/>
      <c r="AZ795" s="84"/>
    </row>
    <row r="796" ht="15.75" customHeight="1">
      <c r="A796" s="9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5"/>
      <c r="AK796" s="85"/>
      <c r="AL796" s="103"/>
      <c r="AM796" s="104"/>
      <c r="AN796" s="103"/>
      <c r="AO796" s="104"/>
      <c r="AP796" s="103"/>
      <c r="AQ796" s="104"/>
      <c r="AR796" s="84"/>
      <c r="AS796" s="84"/>
      <c r="AT796" s="84"/>
      <c r="AU796" s="84"/>
      <c r="AV796" s="84"/>
      <c r="AW796" s="84"/>
      <c r="AX796" s="84"/>
      <c r="AY796" s="84"/>
      <c r="AZ796" s="84"/>
    </row>
    <row r="797" ht="15.75" customHeight="1">
      <c r="A797" s="9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5"/>
      <c r="AK797" s="85"/>
      <c r="AL797" s="103"/>
      <c r="AM797" s="104"/>
      <c r="AN797" s="103"/>
      <c r="AO797" s="104"/>
      <c r="AP797" s="103"/>
      <c r="AQ797" s="104"/>
      <c r="AR797" s="84"/>
      <c r="AS797" s="84"/>
      <c r="AT797" s="84"/>
      <c r="AU797" s="84"/>
      <c r="AV797" s="84"/>
      <c r="AW797" s="84"/>
      <c r="AX797" s="84"/>
      <c r="AY797" s="84"/>
      <c r="AZ797" s="84"/>
    </row>
    <row r="798" ht="15.75" customHeight="1">
      <c r="A798" s="9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5"/>
      <c r="AK798" s="85"/>
      <c r="AL798" s="103"/>
      <c r="AM798" s="104"/>
      <c r="AN798" s="103"/>
      <c r="AO798" s="104"/>
      <c r="AP798" s="103"/>
      <c r="AQ798" s="104"/>
      <c r="AR798" s="84"/>
      <c r="AS798" s="84"/>
      <c r="AT798" s="84"/>
      <c r="AU798" s="84"/>
      <c r="AV798" s="84"/>
      <c r="AW798" s="84"/>
      <c r="AX798" s="84"/>
      <c r="AY798" s="84"/>
      <c r="AZ798" s="84"/>
    </row>
    <row r="799" ht="15.75" customHeight="1">
      <c r="A799" s="9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5"/>
      <c r="AK799" s="85"/>
      <c r="AL799" s="103"/>
      <c r="AM799" s="104"/>
      <c r="AN799" s="103"/>
      <c r="AO799" s="104"/>
      <c r="AP799" s="103"/>
      <c r="AQ799" s="104"/>
      <c r="AR799" s="84"/>
      <c r="AS799" s="84"/>
      <c r="AT799" s="84"/>
      <c r="AU799" s="84"/>
      <c r="AV799" s="84"/>
      <c r="AW799" s="84"/>
      <c r="AX799" s="84"/>
      <c r="AY799" s="84"/>
      <c r="AZ799" s="84"/>
    </row>
    <row r="800" ht="15.75" customHeight="1">
      <c r="A800" s="9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5"/>
      <c r="AK800" s="85"/>
      <c r="AL800" s="103"/>
      <c r="AM800" s="104"/>
      <c r="AN800" s="103"/>
      <c r="AO800" s="104"/>
      <c r="AP800" s="103"/>
      <c r="AQ800" s="104"/>
      <c r="AR800" s="84"/>
      <c r="AS800" s="84"/>
      <c r="AT800" s="84"/>
      <c r="AU800" s="84"/>
      <c r="AV800" s="84"/>
      <c r="AW800" s="84"/>
      <c r="AX800" s="84"/>
      <c r="AY800" s="84"/>
      <c r="AZ800" s="84"/>
    </row>
    <row r="801" ht="15.75" customHeight="1">
      <c r="A801" s="9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5"/>
      <c r="AK801" s="85"/>
      <c r="AL801" s="103"/>
      <c r="AM801" s="104"/>
      <c r="AN801" s="103"/>
      <c r="AO801" s="104"/>
      <c r="AP801" s="103"/>
      <c r="AQ801" s="104"/>
      <c r="AR801" s="84"/>
      <c r="AS801" s="84"/>
      <c r="AT801" s="84"/>
      <c r="AU801" s="84"/>
      <c r="AV801" s="84"/>
      <c r="AW801" s="84"/>
      <c r="AX801" s="84"/>
      <c r="AY801" s="84"/>
      <c r="AZ801" s="84"/>
    </row>
    <row r="802" ht="15.75" customHeight="1">
      <c r="A802" s="9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5"/>
      <c r="AK802" s="85"/>
      <c r="AL802" s="103"/>
      <c r="AM802" s="104"/>
      <c r="AN802" s="103"/>
      <c r="AO802" s="104"/>
      <c r="AP802" s="103"/>
      <c r="AQ802" s="104"/>
      <c r="AR802" s="84"/>
      <c r="AS802" s="84"/>
      <c r="AT802" s="84"/>
      <c r="AU802" s="84"/>
      <c r="AV802" s="84"/>
      <c r="AW802" s="84"/>
      <c r="AX802" s="84"/>
      <c r="AY802" s="84"/>
      <c r="AZ802" s="84"/>
    </row>
    <row r="803" ht="15.75" customHeight="1">
      <c r="A803" s="9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5"/>
      <c r="AK803" s="85"/>
      <c r="AL803" s="103"/>
      <c r="AM803" s="104"/>
      <c r="AN803" s="103"/>
      <c r="AO803" s="104"/>
      <c r="AP803" s="103"/>
      <c r="AQ803" s="104"/>
      <c r="AR803" s="84"/>
      <c r="AS803" s="84"/>
      <c r="AT803" s="84"/>
      <c r="AU803" s="84"/>
      <c r="AV803" s="84"/>
      <c r="AW803" s="84"/>
      <c r="AX803" s="84"/>
      <c r="AY803" s="84"/>
      <c r="AZ803" s="84"/>
    </row>
    <row r="804" ht="15.75" customHeight="1">
      <c r="A804" s="9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5"/>
      <c r="AK804" s="85"/>
      <c r="AL804" s="103"/>
      <c r="AM804" s="104"/>
      <c r="AN804" s="103"/>
      <c r="AO804" s="104"/>
      <c r="AP804" s="103"/>
      <c r="AQ804" s="104"/>
      <c r="AR804" s="84"/>
      <c r="AS804" s="84"/>
      <c r="AT804" s="84"/>
      <c r="AU804" s="84"/>
      <c r="AV804" s="84"/>
      <c r="AW804" s="84"/>
      <c r="AX804" s="84"/>
      <c r="AY804" s="84"/>
      <c r="AZ804" s="84"/>
    </row>
    <row r="805" ht="15.75" customHeight="1">
      <c r="A805" s="9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5"/>
      <c r="AK805" s="85"/>
      <c r="AL805" s="103"/>
      <c r="AM805" s="104"/>
      <c r="AN805" s="103"/>
      <c r="AO805" s="104"/>
      <c r="AP805" s="103"/>
      <c r="AQ805" s="104"/>
      <c r="AR805" s="84"/>
      <c r="AS805" s="84"/>
      <c r="AT805" s="84"/>
      <c r="AU805" s="84"/>
      <c r="AV805" s="84"/>
      <c r="AW805" s="84"/>
      <c r="AX805" s="84"/>
      <c r="AY805" s="84"/>
      <c r="AZ805" s="84"/>
    </row>
    <row r="806" ht="15.75" customHeight="1">
      <c r="A806" s="9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5"/>
      <c r="AK806" s="85"/>
      <c r="AL806" s="103"/>
      <c r="AM806" s="104"/>
      <c r="AN806" s="103"/>
      <c r="AO806" s="104"/>
      <c r="AP806" s="103"/>
      <c r="AQ806" s="104"/>
      <c r="AR806" s="84"/>
      <c r="AS806" s="84"/>
      <c r="AT806" s="84"/>
      <c r="AU806" s="84"/>
      <c r="AV806" s="84"/>
      <c r="AW806" s="84"/>
      <c r="AX806" s="84"/>
      <c r="AY806" s="84"/>
      <c r="AZ806" s="84"/>
    </row>
    <row r="807" ht="15.75" customHeight="1">
      <c r="A807" s="9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5"/>
      <c r="AK807" s="85"/>
      <c r="AL807" s="103"/>
      <c r="AM807" s="104"/>
      <c r="AN807" s="103"/>
      <c r="AO807" s="104"/>
      <c r="AP807" s="103"/>
      <c r="AQ807" s="104"/>
      <c r="AR807" s="84"/>
      <c r="AS807" s="84"/>
      <c r="AT807" s="84"/>
      <c r="AU807" s="84"/>
      <c r="AV807" s="84"/>
      <c r="AW807" s="84"/>
      <c r="AX807" s="84"/>
      <c r="AY807" s="84"/>
      <c r="AZ807" s="84"/>
    </row>
    <row r="808" ht="15.75" customHeight="1">
      <c r="A808" s="9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5"/>
      <c r="AK808" s="85"/>
      <c r="AL808" s="103"/>
      <c r="AM808" s="104"/>
      <c r="AN808" s="103"/>
      <c r="AO808" s="104"/>
      <c r="AP808" s="103"/>
      <c r="AQ808" s="104"/>
      <c r="AR808" s="84"/>
      <c r="AS808" s="84"/>
      <c r="AT808" s="84"/>
      <c r="AU808" s="84"/>
      <c r="AV808" s="84"/>
      <c r="AW808" s="84"/>
      <c r="AX808" s="84"/>
      <c r="AY808" s="84"/>
      <c r="AZ808" s="84"/>
    </row>
    <row r="809" ht="15.75" customHeight="1">
      <c r="A809" s="9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5"/>
      <c r="AK809" s="85"/>
      <c r="AL809" s="103"/>
      <c r="AM809" s="104"/>
      <c r="AN809" s="103"/>
      <c r="AO809" s="104"/>
      <c r="AP809" s="103"/>
      <c r="AQ809" s="104"/>
      <c r="AR809" s="84"/>
      <c r="AS809" s="84"/>
      <c r="AT809" s="84"/>
      <c r="AU809" s="84"/>
      <c r="AV809" s="84"/>
      <c r="AW809" s="84"/>
      <c r="AX809" s="84"/>
      <c r="AY809" s="84"/>
      <c r="AZ809" s="84"/>
    </row>
    <row r="810" ht="15.75" customHeight="1">
      <c r="A810" s="9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5"/>
      <c r="AK810" s="85"/>
      <c r="AL810" s="103"/>
      <c r="AM810" s="104"/>
      <c r="AN810" s="103"/>
      <c r="AO810" s="104"/>
      <c r="AP810" s="103"/>
      <c r="AQ810" s="104"/>
      <c r="AR810" s="84"/>
      <c r="AS810" s="84"/>
      <c r="AT810" s="84"/>
      <c r="AU810" s="84"/>
      <c r="AV810" s="84"/>
      <c r="AW810" s="84"/>
      <c r="AX810" s="84"/>
      <c r="AY810" s="84"/>
      <c r="AZ810" s="84"/>
    </row>
    <row r="811" ht="15.75" customHeight="1">
      <c r="A811" s="9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5"/>
      <c r="AK811" s="85"/>
      <c r="AL811" s="103"/>
      <c r="AM811" s="104"/>
      <c r="AN811" s="103"/>
      <c r="AO811" s="104"/>
      <c r="AP811" s="103"/>
      <c r="AQ811" s="104"/>
      <c r="AR811" s="84"/>
      <c r="AS811" s="84"/>
      <c r="AT811" s="84"/>
      <c r="AU811" s="84"/>
      <c r="AV811" s="84"/>
      <c r="AW811" s="84"/>
      <c r="AX811" s="84"/>
      <c r="AY811" s="84"/>
      <c r="AZ811" s="84"/>
    </row>
    <row r="812" ht="15.75" customHeight="1">
      <c r="A812" s="9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5"/>
      <c r="AK812" s="85"/>
      <c r="AL812" s="103"/>
      <c r="AM812" s="104"/>
      <c r="AN812" s="103"/>
      <c r="AO812" s="104"/>
      <c r="AP812" s="103"/>
      <c r="AQ812" s="104"/>
      <c r="AR812" s="84"/>
      <c r="AS812" s="84"/>
      <c r="AT812" s="84"/>
      <c r="AU812" s="84"/>
      <c r="AV812" s="84"/>
      <c r="AW812" s="84"/>
      <c r="AX812" s="84"/>
      <c r="AY812" s="84"/>
      <c r="AZ812" s="84"/>
    </row>
    <row r="813" ht="15.75" customHeight="1">
      <c r="A813" s="9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5"/>
      <c r="AK813" s="85"/>
      <c r="AL813" s="103"/>
      <c r="AM813" s="104"/>
      <c r="AN813" s="103"/>
      <c r="AO813" s="104"/>
      <c r="AP813" s="103"/>
      <c r="AQ813" s="104"/>
      <c r="AR813" s="84"/>
      <c r="AS813" s="84"/>
      <c r="AT813" s="84"/>
      <c r="AU813" s="84"/>
      <c r="AV813" s="84"/>
      <c r="AW813" s="84"/>
      <c r="AX813" s="84"/>
      <c r="AY813" s="84"/>
      <c r="AZ813" s="84"/>
    </row>
    <row r="814" ht="15.75" customHeight="1">
      <c r="A814" s="9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5"/>
      <c r="AK814" s="85"/>
      <c r="AL814" s="103"/>
      <c r="AM814" s="104"/>
      <c r="AN814" s="103"/>
      <c r="AO814" s="104"/>
      <c r="AP814" s="103"/>
      <c r="AQ814" s="104"/>
      <c r="AR814" s="84"/>
      <c r="AS814" s="84"/>
      <c r="AT814" s="84"/>
      <c r="AU814" s="84"/>
      <c r="AV814" s="84"/>
      <c r="AW814" s="84"/>
      <c r="AX814" s="84"/>
      <c r="AY814" s="84"/>
      <c r="AZ814" s="84"/>
    </row>
    <row r="815" ht="15.75" customHeight="1">
      <c r="A815" s="9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5"/>
      <c r="AK815" s="85"/>
      <c r="AL815" s="103"/>
      <c r="AM815" s="104"/>
      <c r="AN815" s="103"/>
      <c r="AO815" s="104"/>
      <c r="AP815" s="103"/>
      <c r="AQ815" s="104"/>
      <c r="AR815" s="84"/>
      <c r="AS815" s="84"/>
      <c r="AT815" s="84"/>
      <c r="AU815" s="84"/>
      <c r="AV815" s="84"/>
      <c r="AW815" s="84"/>
      <c r="AX815" s="84"/>
      <c r="AY815" s="84"/>
      <c r="AZ815" s="84"/>
    </row>
    <row r="816" ht="15.75" customHeight="1">
      <c r="A816" s="9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5"/>
      <c r="AK816" s="85"/>
      <c r="AL816" s="103"/>
      <c r="AM816" s="104"/>
      <c r="AN816" s="103"/>
      <c r="AO816" s="104"/>
      <c r="AP816" s="103"/>
      <c r="AQ816" s="104"/>
      <c r="AR816" s="84"/>
      <c r="AS816" s="84"/>
      <c r="AT816" s="84"/>
      <c r="AU816" s="84"/>
      <c r="AV816" s="84"/>
      <c r="AW816" s="84"/>
      <c r="AX816" s="84"/>
      <c r="AY816" s="84"/>
      <c r="AZ816" s="84"/>
    </row>
    <row r="817" ht="15.75" customHeight="1">
      <c r="A817" s="9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5"/>
      <c r="AK817" s="85"/>
      <c r="AL817" s="103"/>
      <c r="AM817" s="104"/>
      <c r="AN817" s="103"/>
      <c r="AO817" s="104"/>
      <c r="AP817" s="103"/>
      <c r="AQ817" s="104"/>
      <c r="AR817" s="84"/>
      <c r="AS817" s="84"/>
      <c r="AT817" s="84"/>
      <c r="AU817" s="84"/>
      <c r="AV817" s="84"/>
      <c r="AW817" s="84"/>
      <c r="AX817" s="84"/>
      <c r="AY817" s="84"/>
      <c r="AZ817" s="84"/>
    </row>
    <row r="818" ht="15.75" customHeight="1">
      <c r="A818" s="9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5"/>
      <c r="AK818" s="85"/>
      <c r="AL818" s="103"/>
      <c r="AM818" s="104"/>
      <c r="AN818" s="103"/>
      <c r="AO818" s="104"/>
      <c r="AP818" s="103"/>
      <c r="AQ818" s="104"/>
      <c r="AR818" s="84"/>
      <c r="AS818" s="84"/>
      <c r="AT818" s="84"/>
      <c r="AU818" s="84"/>
      <c r="AV818" s="84"/>
      <c r="AW818" s="84"/>
      <c r="AX818" s="84"/>
      <c r="AY818" s="84"/>
      <c r="AZ818" s="84"/>
    </row>
    <row r="819" ht="15.75" customHeight="1">
      <c r="A819" s="9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5"/>
      <c r="AK819" s="85"/>
      <c r="AL819" s="103"/>
      <c r="AM819" s="104"/>
      <c r="AN819" s="103"/>
      <c r="AO819" s="104"/>
      <c r="AP819" s="103"/>
      <c r="AQ819" s="104"/>
      <c r="AR819" s="84"/>
      <c r="AS819" s="84"/>
      <c r="AT819" s="84"/>
      <c r="AU819" s="84"/>
      <c r="AV819" s="84"/>
      <c r="AW819" s="84"/>
      <c r="AX819" s="84"/>
      <c r="AY819" s="84"/>
      <c r="AZ819" s="84"/>
    </row>
    <row r="820" ht="15.75" customHeight="1">
      <c r="A820" s="9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5"/>
      <c r="AK820" s="85"/>
      <c r="AL820" s="103"/>
      <c r="AM820" s="104"/>
      <c r="AN820" s="103"/>
      <c r="AO820" s="104"/>
      <c r="AP820" s="103"/>
      <c r="AQ820" s="104"/>
      <c r="AR820" s="84"/>
      <c r="AS820" s="84"/>
      <c r="AT820" s="84"/>
      <c r="AU820" s="84"/>
      <c r="AV820" s="84"/>
      <c r="AW820" s="84"/>
      <c r="AX820" s="84"/>
      <c r="AY820" s="84"/>
      <c r="AZ820" s="84"/>
    </row>
    <row r="821" ht="15.75" customHeight="1">
      <c r="A821" s="9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5"/>
      <c r="AK821" s="85"/>
      <c r="AL821" s="103"/>
      <c r="AM821" s="104"/>
      <c r="AN821" s="103"/>
      <c r="AO821" s="104"/>
      <c r="AP821" s="103"/>
      <c r="AQ821" s="104"/>
      <c r="AR821" s="84"/>
      <c r="AS821" s="84"/>
      <c r="AT821" s="84"/>
      <c r="AU821" s="84"/>
      <c r="AV821" s="84"/>
      <c r="AW821" s="84"/>
      <c r="AX821" s="84"/>
      <c r="AY821" s="84"/>
      <c r="AZ821" s="84"/>
    </row>
    <row r="822" ht="15.75" customHeight="1">
      <c r="A822" s="9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5"/>
      <c r="AK822" s="85"/>
      <c r="AL822" s="103"/>
      <c r="AM822" s="104"/>
      <c r="AN822" s="103"/>
      <c r="AO822" s="104"/>
      <c r="AP822" s="103"/>
      <c r="AQ822" s="104"/>
      <c r="AR822" s="84"/>
      <c r="AS822" s="84"/>
      <c r="AT822" s="84"/>
      <c r="AU822" s="84"/>
      <c r="AV822" s="84"/>
      <c r="AW822" s="84"/>
      <c r="AX822" s="84"/>
      <c r="AY822" s="84"/>
      <c r="AZ822" s="84"/>
    </row>
    <row r="823" ht="15.75" customHeight="1">
      <c r="A823" s="9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5"/>
      <c r="AK823" s="85"/>
      <c r="AL823" s="103"/>
      <c r="AM823" s="104"/>
      <c r="AN823" s="103"/>
      <c r="AO823" s="104"/>
      <c r="AP823" s="103"/>
      <c r="AQ823" s="104"/>
      <c r="AR823" s="84"/>
      <c r="AS823" s="84"/>
      <c r="AT823" s="84"/>
      <c r="AU823" s="84"/>
      <c r="AV823" s="84"/>
      <c r="AW823" s="84"/>
      <c r="AX823" s="84"/>
      <c r="AY823" s="84"/>
      <c r="AZ823" s="84"/>
    </row>
    <row r="824" ht="15.75" customHeight="1">
      <c r="A824" s="9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5"/>
      <c r="AK824" s="85"/>
      <c r="AL824" s="103"/>
      <c r="AM824" s="104"/>
      <c r="AN824" s="103"/>
      <c r="AO824" s="104"/>
      <c r="AP824" s="103"/>
      <c r="AQ824" s="104"/>
      <c r="AR824" s="84"/>
      <c r="AS824" s="84"/>
      <c r="AT824" s="84"/>
      <c r="AU824" s="84"/>
      <c r="AV824" s="84"/>
      <c r="AW824" s="84"/>
      <c r="AX824" s="84"/>
      <c r="AY824" s="84"/>
      <c r="AZ824" s="84"/>
    </row>
    <row r="825" ht="15.75" customHeight="1">
      <c r="A825" s="9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5"/>
      <c r="AK825" s="85"/>
      <c r="AL825" s="103"/>
      <c r="AM825" s="104"/>
      <c r="AN825" s="103"/>
      <c r="AO825" s="104"/>
      <c r="AP825" s="103"/>
      <c r="AQ825" s="104"/>
      <c r="AR825" s="84"/>
      <c r="AS825" s="84"/>
      <c r="AT825" s="84"/>
      <c r="AU825" s="84"/>
      <c r="AV825" s="84"/>
      <c r="AW825" s="84"/>
      <c r="AX825" s="84"/>
      <c r="AY825" s="84"/>
      <c r="AZ825" s="84"/>
    </row>
    <row r="826" ht="15.75" customHeight="1">
      <c r="A826" s="9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5"/>
      <c r="AK826" s="85"/>
      <c r="AL826" s="103"/>
      <c r="AM826" s="104"/>
      <c r="AN826" s="103"/>
      <c r="AO826" s="104"/>
      <c r="AP826" s="103"/>
      <c r="AQ826" s="104"/>
      <c r="AR826" s="84"/>
      <c r="AS826" s="84"/>
      <c r="AT826" s="84"/>
      <c r="AU826" s="84"/>
      <c r="AV826" s="84"/>
      <c r="AW826" s="84"/>
      <c r="AX826" s="84"/>
      <c r="AY826" s="84"/>
      <c r="AZ826" s="84"/>
    </row>
    <row r="827" ht="15.75" customHeight="1">
      <c r="A827" s="9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5"/>
      <c r="AK827" s="85"/>
      <c r="AL827" s="103"/>
      <c r="AM827" s="104"/>
      <c r="AN827" s="103"/>
      <c r="AO827" s="104"/>
      <c r="AP827" s="103"/>
      <c r="AQ827" s="104"/>
      <c r="AR827" s="84"/>
      <c r="AS827" s="84"/>
      <c r="AT827" s="84"/>
      <c r="AU827" s="84"/>
      <c r="AV827" s="84"/>
      <c r="AW827" s="84"/>
      <c r="AX827" s="84"/>
      <c r="AY827" s="84"/>
      <c r="AZ827" s="84"/>
    </row>
    <row r="828" ht="15.75" customHeight="1">
      <c r="A828" s="9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5"/>
      <c r="AK828" s="85"/>
      <c r="AL828" s="103"/>
      <c r="AM828" s="104"/>
      <c r="AN828" s="103"/>
      <c r="AO828" s="104"/>
      <c r="AP828" s="103"/>
      <c r="AQ828" s="104"/>
      <c r="AR828" s="84"/>
      <c r="AS828" s="84"/>
      <c r="AT828" s="84"/>
      <c r="AU828" s="84"/>
      <c r="AV828" s="84"/>
      <c r="AW828" s="84"/>
      <c r="AX828" s="84"/>
      <c r="AY828" s="84"/>
      <c r="AZ828" s="84"/>
    </row>
    <row r="829" ht="15.75" customHeight="1">
      <c r="A829" s="9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5"/>
      <c r="AK829" s="85"/>
      <c r="AL829" s="103"/>
      <c r="AM829" s="104"/>
      <c r="AN829" s="103"/>
      <c r="AO829" s="104"/>
      <c r="AP829" s="103"/>
      <c r="AQ829" s="104"/>
      <c r="AR829" s="84"/>
      <c r="AS829" s="84"/>
      <c r="AT829" s="84"/>
      <c r="AU829" s="84"/>
      <c r="AV829" s="84"/>
      <c r="AW829" s="84"/>
      <c r="AX829" s="84"/>
      <c r="AY829" s="84"/>
      <c r="AZ829" s="84"/>
    </row>
    <row r="830" ht="15.75" customHeight="1">
      <c r="A830" s="9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5"/>
      <c r="AK830" s="85"/>
      <c r="AL830" s="103"/>
      <c r="AM830" s="104"/>
      <c r="AN830" s="103"/>
      <c r="AO830" s="104"/>
      <c r="AP830" s="103"/>
      <c r="AQ830" s="104"/>
      <c r="AR830" s="84"/>
      <c r="AS830" s="84"/>
      <c r="AT830" s="84"/>
      <c r="AU830" s="84"/>
      <c r="AV830" s="84"/>
      <c r="AW830" s="84"/>
      <c r="AX830" s="84"/>
      <c r="AY830" s="84"/>
      <c r="AZ830" s="84"/>
    </row>
    <row r="831" ht="15.75" customHeight="1">
      <c r="A831" s="9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5"/>
      <c r="AK831" s="85"/>
      <c r="AL831" s="103"/>
      <c r="AM831" s="104"/>
      <c r="AN831" s="103"/>
      <c r="AO831" s="104"/>
      <c r="AP831" s="103"/>
      <c r="AQ831" s="104"/>
      <c r="AR831" s="84"/>
      <c r="AS831" s="84"/>
      <c r="AT831" s="84"/>
      <c r="AU831" s="84"/>
      <c r="AV831" s="84"/>
      <c r="AW831" s="84"/>
      <c r="AX831" s="84"/>
      <c r="AY831" s="84"/>
      <c r="AZ831" s="84"/>
    </row>
    <row r="832" ht="15.75" customHeight="1">
      <c r="A832" s="9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5"/>
      <c r="AK832" s="85"/>
      <c r="AL832" s="103"/>
      <c r="AM832" s="104"/>
      <c r="AN832" s="103"/>
      <c r="AO832" s="104"/>
      <c r="AP832" s="103"/>
      <c r="AQ832" s="104"/>
      <c r="AR832" s="84"/>
      <c r="AS832" s="84"/>
      <c r="AT832" s="84"/>
      <c r="AU832" s="84"/>
      <c r="AV832" s="84"/>
      <c r="AW832" s="84"/>
      <c r="AX832" s="84"/>
      <c r="AY832" s="84"/>
      <c r="AZ832" s="84"/>
    </row>
    <row r="833" ht="15.75" customHeight="1">
      <c r="A833" s="9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5"/>
      <c r="AK833" s="85"/>
      <c r="AL833" s="103"/>
      <c r="AM833" s="104"/>
      <c r="AN833" s="103"/>
      <c r="AO833" s="104"/>
      <c r="AP833" s="103"/>
      <c r="AQ833" s="104"/>
      <c r="AR833" s="84"/>
      <c r="AS833" s="84"/>
      <c r="AT833" s="84"/>
      <c r="AU833" s="84"/>
      <c r="AV833" s="84"/>
      <c r="AW833" s="84"/>
      <c r="AX833" s="84"/>
      <c r="AY833" s="84"/>
      <c r="AZ833" s="84"/>
    </row>
    <row r="834" ht="15.75" customHeight="1">
      <c r="A834" s="9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5"/>
      <c r="AK834" s="85"/>
      <c r="AL834" s="103"/>
      <c r="AM834" s="104"/>
      <c r="AN834" s="103"/>
      <c r="AO834" s="104"/>
      <c r="AP834" s="103"/>
      <c r="AQ834" s="104"/>
      <c r="AR834" s="84"/>
      <c r="AS834" s="84"/>
      <c r="AT834" s="84"/>
      <c r="AU834" s="84"/>
      <c r="AV834" s="84"/>
      <c r="AW834" s="84"/>
      <c r="AX834" s="84"/>
      <c r="AY834" s="84"/>
      <c r="AZ834" s="84"/>
    </row>
    <row r="835" ht="15.75" customHeight="1">
      <c r="A835" s="9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5"/>
      <c r="AK835" s="85"/>
      <c r="AL835" s="103"/>
      <c r="AM835" s="104"/>
      <c r="AN835" s="103"/>
      <c r="AO835" s="104"/>
      <c r="AP835" s="103"/>
      <c r="AQ835" s="104"/>
      <c r="AR835" s="84"/>
      <c r="AS835" s="84"/>
      <c r="AT835" s="84"/>
      <c r="AU835" s="84"/>
      <c r="AV835" s="84"/>
      <c r="AW835" s="84"/>
      <c r="AX835" s="84"/>
      <c r="AY835" s="84"/>
      <c r="AZ835" s="84"/>
    </row>
    <row r="836" ht="15.75" customHeight="1">
      <c r="A836" s="9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5"/>
      <c r="AK836" s="85"/>
      <c r="AL836" s="103"/>
      <c r="AM836" s="104"/>
      <c r="AN836" s="103"/>
      <c r="AO836" s="104"/>
      <c r="AP836" s="103"/>
      <c r="AQ836" s="104"/>
      <c r="AR836" s="84"/>
      <c r="AS836" s="84"/>
      <c r="AT836" s="84"/>
      <c r="AU836" s="84"/>
      <c r="AV836" s="84"/>
      <c r="AW836" s="84"/>
      <c r="AX836" s="84"/>
      <c r="AY836" s="84"/>
      <c r="AZ836" s="84"/>
    </row>
    <row r="837" ht="15.75" customHeight="1">
      <c r="A837" s="9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5"/>
      <c r="AK837" s="85"/>
      <c r="AL837" s="103"/>
      <c r="AM837" s="104"/>
      <c r="AN837" s="103"/>
      <c r="AO837" s="104"/>
      <c r="AP837" s="103"/>
      <c r="AQ837" s="104"/>
      <c r="AR837" s="84"/>
      <c r="AS837" s="84"/>
      <c r="AT837" s="84"/>
      <c r="AU837" s="84"/>
      <c r="AV837" s="84"/>
      <c r="AW837" s="84"/>
      <c r="AX837" s="84"/>
      <c r="AY837" s="84"/>
      <c r="AZ837" s="84"/>
    </row>
    <row r="838" ht="15.75" customHeight="1">
      <c r="A838" s="9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5"/>
      <c r="AK838" s="85"/>
      <c r="AL838" s="103"/>
      <c r="AM838" s="104"/>
      <c r="AN838" s="103"/>
      <c r="AO838" s="104"/>
      <c r="AP838" s="103"/>
      <c r="AQ838" s="104"/>
      <c r="AR838" s="84"/>
      <c r="AS838" s="84"/>
      <c r="AT838" s="84"/>
      <c r="AU838" s="84"/>
      <c r="AV838" s="84"/>
      <c r="AW838" s="84"/>
      <c r="AX838" s="84"/>
      <c r="AY838" s="84"/>
      <c r="AZ838" s="84"/>
    </row>
    <row r="839" ht="15.75" customHeight="1">
      <c r="A839" s="9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5"/>
      <c r="AK839" s="85"/>
      <c r="AL839" s="103"/>
      <c r="AM839" s="104"/>
      <c r="AN839" s="103"/>
      <c r="AO839" s="104"/>
      <c r="AP839" s="103"/>
      <c r="AQ839" s="104"/>
      <c r="AR839" s="84"/>
      <c r="AS839" s="84"/>
      <c r="AT839" s="84"/>
      <c r="AU839" s="84"/>
      <c r="AV839" s="84"/>
      <c r="AW839" s="84"/>
      <c r="AX839" s="84"/>
      <c r="AY839" s="84"/>
      <c r="AZ839" s="84"/>
    </row>
    <row r="840" ht="15.75" customHeight="1">
      <c r="A840" s="9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5"/>
      <c r="AK840" s="85"/>
      <c r="AL840" s="103"/>
      <c r="AM840" s="104"/>
      <c r="AN840" s="103"/>
      <c r="AO840" s="104"/>
      <c r="AP840" s="103"/>
      <c r="AQ840" s="104"/>
      <c r="AR840" s="84"/>
      <c r="AS840" s="84"/>
      <c r="AT840" s="84"/>
      <c r="AU840" s="84"/>
      <c r="AV840" s="84"/>
      <c r="AW840" s="84"/>
      <c r="AX840" s="84"/>
      <c r="AY840" s="84"/>
      <c r="AZ840" s="84"/>
    </row>
    <row r="841" ht="15.75" customHeight="1">
      <c r="A841" s="9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5"/>
      <c r="AK841" s="85"/>
      <c r="AL841" s="103"/>
      <c r="AM841" s="104"/>
      <c r="AN841" s="103"/>
      <c r="AO841" s="104"/>
      <c r="AP841" s="103"/>
      <c r="AQ841" s="104"/>
      <c r="AR841" s="84"/>
      <c r="AS841" s="84"/>
      <c r="AT841" s="84"/>
      <c r="AU841" s="84"/>
      <c r="AV841" s="84"/>
      <c r="AW841" s="84"/>
      <c r="AX841" s="84"/>
      <c r="AY841" s="84"/>
      <c r="AZ841" s="84"/>
    </row>
    <row r="842" ht="15.75" customHeight="1">
      <c r="A842" s="9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5"/>
      <c r="AK842" s="85"/>
      <c r="AL842" s="103"/>
      <c r="AM842" s="104"/>
      <c r="AN842" s="103"/>
      <c r="AO842" s="104"/>
      <c r="AP842" s="103"/>
      <c r="AQ842" s="104"/>
      <c r="AR842" s="84"/>
      <c r="AS842" s="84"/>
      <c r="AT842" s="84"/>
      <c r="AU842" s="84"/>
      <c r="AV842" s="84"/>
      <c r="AW842" s="84"/>
      <c r="AX842" s="84"/>
      <c r="AY842" s="84"/>
      <c r="AZ842" s="84"/>
    </row>
    <row r="843" ht="15.75" customHeight="1">
      <c r="A843" s="9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5"/>
      <c r="AK843" s="85"/>
      <c r="AL843" s="103"/>
      <c r="AM843" s="104"/>
      <c r="AN843" s="103"/>
      <c r="AO843" s="104"/>
      <c r="AP843" s="103"/>
      <c r="AQ843" s="104"/>
      <c r="AR843" s="84"/>
      <c r="AS843" s="84"/>
      <c r="AT843" s="84"/>
      <c r="AU843" s="84"/>
      <c r="AV843" s="84"/>
      <c r="AW843" s="84"/>
      <c r="AX843" s="84"/>
      <c r="AY843" s="84"/>
      <c r="AZ843" s="84"/>
    </row>
    <row r="844" ht="15.75" customHeight="1">
      <c r="A844" s="9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5"/>
      <c r="AK844" s="85"/>
      <c r="AL844" s="103"/>
      <c r="AM844" s="104"/>
      <c r="AN844" s="103"/>
      <c r="AO844" s="104"/>
      <c r="AP844" s="103"/>
      <c r="AQ844" s="104"/>
      <c r="AR844" s="84"/>
      <c r="AS844" s="84"/>
      <c r="AT844" s="84"/>
      <c r="AU844" s="84"/>
      <c r="AV844" s="84"/>
      <c r="AW844" s="84"/>
      <c r="AX844" s="84"/>
      <c r="AY844" s="84"/>
      <c r="AZ844" s="84"/>
    </row>
    <row r="845" ht="15.75" customHeight="1">
      <c r="A845" s="9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5"/>
      <c r="AK845" s="85"/>
      <c r="AL845" s="103"/>
      <c r="AM845" s="104"/>
      <c r="AN845" s="103"/>
      <c r="AO845" s="104"/>
      <c r="AP845" s="103"/>
      <c r="AQ845" s="104"/>
      <c r="AR845" s="84"/>
      <c r="AS845" s="84"/>
      <c r="AT845" s="84"/>
      <c r="AU845" s="84"/>
      <c r="AV845" s="84"/>
      <c r="AW845" s="84"/>
      <c r="AX845" s="84"/>
      <c r="AY845" s="84"/>
      <c r="AZ845" s="84"/>
    </row>
    <row r="846" ht="15.75" customHeight="1">
      <c r="A846" s="9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5"/>
      <c r="AK846" s="85"/>
      <c r="AL846" s="103"/>
      <c r="AM846" s="104"/>
      <c r="AN846" s="103"/>
      <c r="AO846" s="104"/>
      <c r="AP846" s="103"/>
      <c r="AQ846" s="104"/>
      <c r="AR846" s="84"/>
      <c r="AS846" s="84"/>
      <c r="AT846" s="84"/>
      <c r="AU846" s="84"/>
      <c r="AV846" s="84"/>
      <c r="AW846" s="84"/>
      <c r="AX846" s="84"/>
      <c r="AY846" s="84"/>
      <c r="AZ846" s="84"/>
    </row>
    <row r="847" ht="15.75" customHeight="1">
      <c r="A847" s="9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5"/>
      <c r="AK847" s="85"/>
      <c r="AL847" s="103"/>
      <c r="AM847" s="104"/>
      <c r="AN847" s="103"/>
      <c r="AO847" s="104"/>
      <c r="AP847" s="103"/>
      <c r="AQ847" s="104"/>
      <c r="AR847" s="84"/>
      <c r="AS847" s="84"/>
      <c r="AT847" s="84"/>
      <c r="AU847" s="84"/>
      <c r="AV847" s="84"/>
      <c r="AW847" s="84"/>
      <c r="AX847" s="84"/>
      <c r="AY847" s="84"/>
      <c r="AZ847" s="84"/>
    </row>
    <row r="848" ht="15.75" customHeight="1">
      <c r="A848" s="9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5"/>
      <c r="AK848" s="85"/>
      <c r="AL848" s="103"/>
      <c r="AM848" s="104"/>
      <c r="AN848" s="103"/>
      <c r="AO848" s="104"/>
      <c r="AP848" s="103"/>
      <c r="AQ848" s="104"/>
      <c r="AR848" s="84"/>
      <c r="AS848" s="84"/>
      <c r="AT848" s="84"/>
      <c r="AU848" s="84"/>
      <c r="AV848" s="84"/>
      <c r="AW848" s="84"/>
      <c r="AX848" s="84"/>
      <c r="AY848" s="84"/>
      <c r="AZ848" s="84"/>
    </row>
    <row r="849" ht="15.75" customHeight="1">
      <c r="A849" s="9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5"/>
      <c r="AK849" s="85"/>
      <c r="AL849" s="103"/>
      <c r="AM849" s="104"/>
      <c r="AN849" s="103"/>
      <c r="AO849" s="104"/>
      <c r="AP849" s="103"/>
      <c r="AQ849" s="104"/>
      <c r="AR849" s="84"/>
      <c r="AS849" s="84"/>
      <c r="AT849" s="84"/>
      <c r="AU849" s="84"/>
      <c r="AV849" s="84"/>
      <c r="AW849" s="84"/>
      <c r="AX849" s="84"/>
      <c r="AY849" s="84"/>
      <c r="AZ849" s="84"/>
    </row>
    <row r="850" ht="15.75" customHeight="1">
      <c r="A850" s="9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5"/>
      <c r="AK850" s="85"/>
      <c r="AL850" s="103"/>
      <c r="AM850" s="104"/>
      <c r="AN850" s="103"/>
      <c r="AO850" s="104"/>
      <c r="AP850" s="103"/>
      <c r="AQ850" s="104"/>
      <c r="AR850" s="84"/>
      <c r="AS850" s="84"/>
      <c r="AT850" s="84"/>
      <c r="AU850" s="84"/>
      <c r="AV850" s="84"/>
      <c r="AW850" s="84"/>
      <c r="AX850" s="84"/>
      <c r="AY850" s="84"/>
      <c r="AZ850" s="84"/>
    </row>
    <row r="851" ht="15.75" customHeight="1">
      <c r="A851" s="9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5"/>
      <c r="AK851" s="85"/>
      <c r="AL851" s="103"/>
      <c r="AM851" s="104"/>
      <c r="AN851" s="103"/>
      <c r="AO851" s="104"/>
      <c r="AP851" s="103"/>
      <c r="AQ851" s="104"/>
      <c r="AR851" s="84"/>
      <c r="AS851" s="84"/>
      <c r="AT851" s="84"/>
      <c r="AU851" s="84"/>
      <c r="AV851" s="84"/>
      <c r="AW851" s="84"/>
      <c r="AX851" s="84"/>
      <c r="AY851" s="84"/>
      <c r="AZ851" s="84"/>
    </row>
    <row r="852" ht="15.75" customHeight="1">
      <c r="A852" s="9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5"/>
      <c r="AK852" s="85"/>
      <c r="AL852" s="103"/>
      <c r="AM852" s="104"/>
      <c r="AN852" s="103"/>
      <c r="AO852" s="104"/>
      <c r="AP852" s="103"/>
      <c r="AQ852" s="104"/>
      <c r="AR852" s="84"/>
      <c r="AS852" s="84"/>
      <c r="AT852" s="84"/>
      <c r="AU852" s="84"/>
      <c r="AV852" s="84"/>
      <c r="AW852" s="84"/>
      <c r="AX852" s="84"/>
      <c r="AY852" s="84"/>
      <c r="AZ852" s="84"/>
    </row>
    <row r="853" ht="15.75" customHeight="1">
      <c r="A853" s="9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5"/>
      <c r="AK853" s="85"/>
      <c r="AL853" s="103"/>
      <c r="AM853" s="104"/>
      <c r="AN853" s="103"/>
      <c r="AO853" s="104"/>
      <c r="AP853" s="103"/>
      <c r="AQ853" s="104"/>
      <c r="AR853" s="84"/>
      <c r="AS853" s="84"/>
      <c r="AT853" s="84"/>
      <c r="AU853" s="84"/>
      <c r="AV853" s="84"/>
      <c r="AW853" s="84"/>
      <c r="AX853" s="84"/>
      <c r="AY853" s="84"/>
      <c r="AZ853" s="84"/>
    </row>
    <row r="854" ht="15.75" customHeight="1">
      <c r="A854" s="9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5"/>
      <c r="AK854" s="85"/>
      <c r="AL854" s="103"/>
      <c r="AM854" s="104"/>
      <c r="AN854" s="103"/>
      <c r="AO854" s="104"/>
      <c r="AP854" s="103"/>
      <c r="AQ854" s="104"/>
      <c r="AR854" s="84"/>
      <c r="AS854" s="84"/>
      <c r="AT854" s="84"/>
      <c r="AU854" s="84"/>
      <c r="AV854" s="84"/>
      <c r="AW854" s="84"/>
      <c r="AX854" s="84"/>
      <c r="AY854" s="84"/>
      <c r="AZ854" s="84"/>
    </row>
    <row r="855" ht="15.75" customHeight="1">
      <c r="A855" s="9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5"/>
      <c r="AK855" s="85"/>
      <c r="AL855" s="103"/>
      <c r="AM855" s="104"/>
      <c r="AN855" s="103"/>
      <c r="AO855" s="104"/>
      <c r="AP855" s="103"/>
      <c r="AQ855" s="104"/>
      <c r="AR855" s="84"/>
      <c r="AS855" s="84"/>
      <c r="AT855" s="84"/>
      <c r="AU855" s="84"/>
      <c r="AV855" s="84"/>
      <c r="AW855" s="84"/>
      <c r="AX855" s="84"/>
      <c r="AY855" s="84"/>
      <c r="AZ855" s="84"/>
    </row>
    <row r="856" ht="15.75" customHeight="1">
      <c r="A856" s="9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5"/>
      <c r="AK856" s="85"/>
      <c r="AL856" s="103"/>
      <c r="AM856" s="104"/>
      <c r="AN856" s="103"/>
      <c r="AO856" s="104"/>
      <c r="AP856" s="103"/>
      <c r="AQ856" s="104"/>
      <c r="AR856" s="84"/>
      <c r="AS856" s="84"/>
      <c r="AT856" s="84"/>
      <c r="AU856" s="84"/>
      <c r="AV856" s="84"/>
      <c r="AW856" s="84"/>
      <c r="AX856" s="84"/>
      <c r="AY856" s="84"/>
      <c r="AZ856" s="84"/>
    </row>
    <row r="857" ht="15.75" customHeight="1">
      <c r="A857" s="9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5"/>
      <c r="AK857" s="85"/>
      <c r="AL857" s="103"/>
      <c r="AM857" s="104"/>
      <c r="AN857" s="103"/>
      <c r="AO857" s="104"/>
      <c r="AP857" s="103"/>
      <c r="AQ857" s="104"/>
      <c r="AR857" s="84"/>
      <c r="AS857" s="84"/>
      <c r="AT857" s="84"/>
      <c r="AU857" s="84"/>
      <c r="AV857" s="84"/>
      <c r="AW857" s="84"/>
      <c r="AX857" s="84"/>
      <c r="AY857" s="84"/>
      <c r="AZ857" s="84"/>
    </row>
    <row r="858" ht="15.75" customHeight="1">
      <c r="A858" s="9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5"/>
      <c r="AK858" s="85"/>
      <c r="AL858" s="103"/>
      <c r="AM858" s="104"/>
      <c r="AN858" s="103"/>
      <c r="AO858" s="104"/>
      <c r="AP858" s="103"/>
      <c r="AQ858" s="104"/>
      <c r="AR858" s="84"/>
      <c r="AS858" s="84"/>
      <c r="AT858" s="84"/>
      <c r="AU858" s="84"/>
      <c r="AV858" s="84"/>
      <c r="AW858" s="84"/>
      <c r="AX858" s="84"/>
      <c r="AY858" s="84"/>
      <c r="AZ858" s="84"/>
    </row>
    <row r="859" ht="15.75" customHeight="1">
      <c r="A859" s="9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5"/>
      <c r="AK859" s="85"/>
      <c r="AL859" s="103"/>
      <c r="AM859" s="104"/>
      <c r="AN859" s="103"/>
      <c r="AO859" s="104"/>
      <c r="AP859" s="103"/>
      <c r="AQ859" s="104"/>
      <c r="AR859" s="84"/>
      <c r="AS859" s="84"/>
      <c r="AT859" s="84"/>
      <c r="AU859" s="84"/>
      <c r="AV859" s="84"/>
      <c r="AW859" s="84"/>
      <c r="AX859" s="84"/>
      <c r="AY859" s="84"/>
      <c r="AZ859" s="84"/>
    </row>
    <row r="860" ht="15.75" customHeight="1">
      <c r="A860" s="9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5"/>
      <c r="AK860" s="85"/>
      <c r="AL860" s="103"/>
      <c r="AM860" s="104"/>
      <c r="AN860" s="103"/>
      <c r="AO860" s="104"/>
      <c r="AP860" s="103"/>
      <c r="AQ860" s="104"/>
      <c r="AR860" s="84"/>
      <c r="AS860" s="84"/>
      <c r="AT860" s="84"/>
      <c r="AU860" s="84"/>
      <c r="AV860" s="84"/>
      <c r="AW860" s="84"/>
      <c r="AX860" s="84"/>
      <c r="AY860" s="84"/>
      <c r="AZ860" s="84"/>
    </row>
    <row r="861" ht="15.75" customHeight="1">
      <c r="A861" s="9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5"/>
      <c r="AK861" s="85"/>
      <c r="AL861" s="103"/>
      <c r="AM861" s="104"/>
      <c r="AN861" s="103"/>
      <c r="AO861" s="104"/>
      <c r="AP861" s="103"/>
      <c r="AQ861" s="104"/>
      <c r="AR861" s="84"/>
      <c r="AS861" s="84"/>
      <c r="AT861" s="84"/>
      <c r="AU861" s="84"/>
      <c r="AV861" s="84"/>
      <c r="AW861" s="84"/>
      <c r="AX861" s="84"/>
      <c r="AY861" s="84"/>
      <c r="AZ861" s="84"/>
    </row>
    <row r="862" ht="15.75" customHeight="1">
      <c r="A862" s="9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5"/>
      <c r="AK862" s="85"/>
      <c r="AL862" s="103"/>
      <c r="AM862" s="104"/>
      <c r="AN862" s="103"/>
      <c r="AO862" s="104"/>
      <c r="AP862" s="103"/>
      <c r="AQ862" s="104"/>
      <c r="AR862" s="84"/>
      <c r="AS862" s="84"/>
      <c r="AT862" s="84"/>
      <c r="AU862" s="84"/>
      <c r="AV862" s="84"/>
      <c r="AW862" s="84"/>
      <c r="AX862" s="84"/>
      <c r="AY862" s="84"/>
      <c r="AZ862" s="84"/>
    </row>
    <row r="863" ht="15.75" customHeight="1">
      <c r="A863" s="9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5"/>
      <c r="AK863" s="85"/>
      <c r="AL863" s="103"/>
      <c r="AM863" s="104"/>
      <c r="AN863" s="103"/>
      <c r="AO863" s="104"/>
      <c r="AP863" s="103"/>
      <c r="AQ863" s="104"/>
      <c r="AR863" s="84"/>
      <c r="AS863" s="84"/>
      <c r="AT863" s="84"/>
      <c r="AU863" s="84"/>
      <c r="AV863" s="84"/>
      <c r="AW863" s="84"/>
      <c r="AX863" s="84"/>
      <c r="AY863" s="84"/>
      <c r="AZ863" s="84"/>
    </row>
    <row r="864" ht="15.75" customHeight="1">
      <c r="A864" s="9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5"/>
      <c r="AK864" s="85"/>
      <c r="AL864" s="103"/>
      <c r="AM864" s="104"/>
      <c r="AN864" s="103"/>
      <c r="AO864" s="104"/>
      <c r="AP864" s="103"/>
      <c r="AQ864" s="104"/>
      <c r="AR864" s="84"/>
      <c r="AS864" s="84"/>
      <c r="AT864" s="84"/>
      <c r="AU864" s="84"/>
      <c r="AV864" s="84"/>
      <c r="AW864" s="84"/>
      <c r="AX864" s="84"/>
      <c r="AY864" s="84"/>
      <c r="AZ864" s="84"/>
    </row>
    <row r="865" ht="15.75" customHeight="1">
      <c r="A865" s="9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5"/>
      <c r="AK865" s="85"/>
      <c r="AL865" s="103"/>
      <c r="AM865" s="104"/>
      <c r="AN865" s="103"/>
      <c r="AO865" s="104"/>
      <c r="AP865" s="103"/>
      <c r="AQ865" s="104"/>
      <c r="AR865" s="84"/>
      <c r="AS865" s="84"/>
      <c r="AT865" s="84"/>
      <c r="AU865" s="84"/>
      <c r="AV865" s="84"/>
      <c r="AW865" s="84"/>
      <c r="AX865" s="84"/>
      <c r="AY865" s="84"/>
      <c r="AZ865" s="84"/>
    </row>
    <row r="866" ht="15.75" customHeight="1">
      <c r="A866" s="9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5"/>
      <c r="AK866" s="85"/>
      <c r="AL866" s="103"/>
      <c r="AM866" s="104"/>
      <c r="AN866" s="103"/>
      <c r="AO866" s="104"/>
      <c r="AP866" s="103"/>
      <c r="AQ866" s="104"/>
      <c r="AR866" s="84"/>
      <c r="AS866" s="84"/>
      <c r="AT866" s="84"/>
      <c r="AU866" s="84"/>
      <c r="AV866" s="84"/>
      <c r="AW866" s="84"/>
      <c r="AX866" s="84"/>
      <c r="AY866" s="84"/>
      <c r="AZ866" s="84"/>
    </row>
    <row r="867" ht="15.75" customHeight="1">
      <c r="A867" s="9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5"/>
      <c r="AK867" s="85"/>
      <c r="AL867" s="103"/>
      <c r="AM867" s="104"/>
      <c r="AN867" s="103"/>
      <c r="AO867" s="104"/>
      <c r="AP867" s="103"/>
      <c r="AQ867" s="104"/>
      <c r="AR867" s="84"/>
      <c r="AS867" s="84"/>
      <c r="AT867" s="84"/>
      <c r="AU867" s="84"/>
      <c r="AV867" s="84"/>
      <c r="AW867" s="84"/>
      <c r="AX867" s="84"/>
      <c r="AY867" s="84"/>
      <c r="AZ867" s="84"/>
    </row>
    <row r="868" ht="15.75" customHeight="1">
      <c r="A868" s="9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5"/>
      <c r="AK868" s="85"/>
      <c r="AL868" s="103"/>
      <c r="AM868" s="104"/>
      <c r="AN868" s="103"/>
      <c r="AO868" s="104"/>
      <c r="AP868" s="103"/>
      <c r="AQ868" s="104"/>
      <c r="AR868" s="84"/>
      <c r="AS868" s="84"/>
      <c r="AT868" s="84"/>
      <c r="AU868" s="84"/>
      <c r="AV868" s="84"/>
      <c r="AW868" s="84"/>
      <c r="AX868" s="84"/>
      <c r="AY868" s="84"/>
      <c r="AZ868" s="84"/>
    </row>
    <row r="869" ht="15.75" customHeight="1">
      <c r="A869" s="9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5"/>
      <c r="AK869" s="85"/>
      <c r="AL869" s="103"/>
      <c r="AM869" s="104"/>
      <c r="AN869" s="103"/>
      <c r="AO869" s="104"/>
      <c r="AP869" s="103"/>
      <c r="AQ869" s="104"/>
      <c r="AR869" s="84"/>
      <c r="AS869" s="84"/>
      <c r="AT869" s="84"/>
      <c r="AU869" s="84"/>
      <c r="AV869" s="84"/>
      <c r="AW869" s="84"/>
      <c r="AX869" s="84"/>
      <c r="AY869" s="84"/>
      <c r="AZ869" s="84"/>
    </row>
    <row r="870" ht="15.75" customHeight="1">
      <c r="A870" s="9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5"/>
      <c r="AK870" s="85"/>
      <c r="AL870" s="103"/>
      <c r="AM870" s="104"/>
      <c r="AN870" s="103"/>
      <c r="AO870" s="104"/>
      <c r="AP870" s="103"/>
      <c r="AQ870" s="104"/>
      <c r="AR870" s="84"/>
      <c r="AS870" s="84"/>
      <c r="AT870" s="84"/>
      <c r="AU870" s="84"/>
      <c r="AV870" s="84"/>
      <c r="AW870" s="84"/>
      <c r="AX870" s="84"/>
      <c r="AY870" s="84"/>
      <c r="AZ870" s="84"/>
    </row>
    <row r="871" ht="15.75" customHeight="1">
      <c r="A871" s="9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5"/>
      <c r="AK871" s="85"/>
      <c r="AL871" s="103"/>
      <c r="AM871" s="104"/>
      <c r="AN871" s="103"/>
      <c r="AO871" s="104"/>
      <c r="AP871" s="103"/>
      <c r="AQ871" s="104"/>
      <c r="AR871" s="84"/>
      <c r="AS871" s="84"/>
      <c r="AT871" s="84"/>
      <c r="AU871" s="84"/>
      <c r="AV871" s="84"/>
      <c r="AW871" s="84"/>
      <c r="AX871" s="84"/>
      <c r="AY871" s="84"/>
      <c r="AZ871" s="84"/>
    </row>
    <row r="872" ht="15.75" customHeight="1">
      <c r="A872" s="9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5"/>
      <c r="AK872" s="85"/>
      <c r="AL872" s="103"/>
      <c r="AM872" s="104"/>
      <c r="AN872" s="103"/>
      <c r="AO872" s="104"/>
      <c r="AP872" s="103"/>
      <c r="AQ872" s="104"/>
      <c r="AR872" s="84"/>
      <c r="AS872" s="84"/>
      <c r="AT872" s="84"/>
      <c r="AU872" s="84"/>
      <c r="AV872" s="84"/>
      <c r="AW872" s="84"/>
      <c r="AX872" s="84"/>
      <c r="AY872" s="84"/>
      <c r="AZ872" s="84"/>
    </row>
    <row r="873" ht="15.75" customHeight="1">
      <c r="A873" s="9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5"/>
      <c r="AK873" s="85"/>
      <c r="AL873" s="103"/>
      <c r="AM873" s="104"/>
      <c r="AN873" s="103"/>
      <c r="AO873" s="104"/>
      <c r="AP873" s="103"/>
      <c r="AQ873" s="104"/>
      <c r="AR873" s="84"/>
      <c r="AS873" s="84"/>
      <c r="AT873" s="84"/>
      <c r="AU873" s="84"/>
      <c r="AV873" s="84"/>
      <c r="AW873" s="84"/>
      <c r="AX873" s="84"/>
      <c r="AY873" s="84"/>
      <c r="AZ873" s="84"/>
    </row>
    <row r="874" ht="15.75" customHeight="1">
      <c r="A874" s="9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5"/>
      <c r="AK874" s="85"/>
      <c r="AL874" s="103"/>
      <c r="AM874" s="104"/>
      <c r="AN874" s="103"/>
      <c r="AO874" s="104"/>
      <c r="AP874" s="103"/>
      <c r="AQ874" s="104"/>
      <c r="AR874" s="84"/>
      <c r="AS874" s="84"/>
      <c r="AT874" s="84"/>
      <c r="AU874" s="84"/>
      <c r="AV874" s="84"/>
      <c r="AW874" s="84"/>
      <c r="AX874" s="84"/>
      <c r="AY874" s="84"/>
      <c r="AZ874" s="84"/>
    </row>
    <row r="875" ht="15.75" customHeight="1">
      <c r="A875" s="9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5"/>
      <c r="AK875" s="85"/>
      <c r="AL875" s="103"/>
      <c r="AM875" s="104"/>
      <c r="AN875" s="103"/>
      <c r="AO875" s="104"/>
      <c r="AP875" s="103"/>
      <c r="AQ875" s="104"/>
      <c r="AR875" s="84"/>
      <c r="AS875" s="84"/>
      <c r="AT875" s="84"/>
      <c r="AU875" s="84"/>
      <c r="AV875" s="84"/>
      <c r="AW875" s="84"/>
      <c r="AX875" s="84"/>
      <c r="AY875" s="84"/>
      <c r="AZ875" s="84"/>
    </row>
    <row r="876" ht="15.75" customHeight="1">
      <c r="A876" s="9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5"/>
      <c r="AK876" s="85"/>
      <c r="AL876" s="103"/>
      <c r="AM876" s="104"/>
      <c r="AN876" s="103"/>
      <c r="AO876" s="104"/>
      <c r="AP876" s="103"/>
      <c r="AQ876" s="104"/>
      <c r="AR876" s="84"/>
      <c r="AS876" s="84"/>
      <c r="AT876" s="84"/>
      <c r="AU876" s="84"/>
      <c r="AV876" s="84"/>
      <c r="AW876" s="84"/>
      <c r="AX876" s="84"/>
      <c r="AY876" s="84"/>
      <c r="AZ876" s="84"/>
    </row>
    <row r="877" ht="15.75" customHeight="1">
      <c r="A877" s="9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5"/>
      <c r="AK877" s="85"/>
      <c r="AL877" s="103"/>
      <c r="AM877" s="104"/>
      <c r="AN877" s="103"/>
      <c r="AO877" s="104"/>
      <c r="AP877" s="103"/>
      <c r="AQ877" s="104"/>
      <c r="AR877" s="84"/>
      <c r="AS877" s="84"/>
      <c r="AT877" s="84"/>
      <c r="AU877" s="84"/>
      <c r="AV877" s="84"/>
      <c r="AW877" s="84"/>
      <c r="AX877" s="84"/>
      <c r="AY877" s="84"/>
      <c r="AZ877" s="84"/>
    </row>
    <row r="878" ht="15.75" customHeight="1">
      <c r="A878" s="9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5"/>
      <c r="AK878" s="85"/>
      <c r="AL878" s="103"/>
      <c r="AM878" s="104"/>
      <c r="AN878" s="103"/>
      <c r="AO878" s="104"/>
      <c r="AP878" s="103"/>
      <c r="AQ878" s="104"/>
      <c r="AR878" s="84"/>
      <c r="AS878" s="84"/>
      <c r="AT878" s="84"/>
      <c r="AU878" s="84"/>
      <c r="AV878" s="84"/>
      <c r="AW878" s="84"/>
      <c r="AX878" s="84"/>
      <c r="AY878" s="84"/>
      <c r="AZ878" s="84"/>
    </row>
    <row r="879" ht="15.75" customHeight="1">
      <c r="A879" s="9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5"/>
      <c r="AK879" s="85"/>
      <c r="AL879" s="103"/>
      <c r="AM879" s="104"/>
      <c r="AN879" s="103"/>
      <c r="AO879" s="104"/>
      <c r="AP879" s="103"/>
      <c r="AQ879" s="104"/>
      <c r="AR879" s="84"/>
      <c r="AS879" s="84"/>
      <c r="AT879" s="84"/>
      <c r="AU879" s="84"/>
      <c r="AV879" s="84"/>
      <c r="AW879" s="84"/>
      <c r="AX879" s="84"/>
      <c r="AY879" s="84"/>
      <c r="AZ879" s="84"/>
    </row>
    <row r="880" ht="15.75" customHeight="1">
      <c r="A880" s="9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5"/>
      <c r="AK880" s="85"/>
      <c r="AL880" s="103"/>
      <c r="AM880" s="104"/>
      <c r="AN880" s="103"/>
      <c r="AO880" s="104"/>
      <c r="AP880" s="103"/>
      <c r="AQ880" s="104"/>
      <c r="AR880" s="84"/>
      <c r="AS880" s="84"/>
      <c r="AT880" s="84"/>
      <c r="AU880" s="84"/>
      <c r="AV880" s="84"/>
      <c r="AW880" s="84"/>
      <c r="AX880" s="84"/>
      <c r="AY880" s="84"/>
      <c r="AZ880" s="84"/>
    </row>
    <row r="881" ht="15.75" customHeight="1">
      <c r="A881" s="9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5"/>
      <c r="AK881" s="85"/>
      <c r="AL881" s="103"/>
      <c r="AM881" s="104"/>
      <c r="AN881" s="103"/>
      <c r="AO881" s="104"/>
      <c r="AP881" s="103"/>
      <c r="AQ881" s="104"/>
      <c r="AR881" s="84"/>
      <c r="AS881" s="84"/>
      <c r="AT881" s="84"/>
      <c r="AU881" s="84"/>
      <c r="AV881" s="84"/>
      <c r="AW881" s="84"/>
      <c r="AX881" s="84"/>
      <c r="AY881" s="84"/>
      <c r="AZ881" s="84"/>
    </row>
    <row r="882" ht="15.75" customHeight="1">
      <c r="A882" s="9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5"/>
      <c r="AK882" s="85"/>
      <c r="AL882" s="103"/>
      <c r="AM882" s="104"/>
      <c r="AN882" s="103"/>
      <c r="AO882" s="104"/>
      <c r="AP882" s="103"/>
      <c r="AQ882" s="104"/>
      <c r="AR882" s="84"/>
      <c r="AS882" s="84"/>
      <c r="AT882" s="84"/>
      <c r="AU882" s="84"/>
      <c r="AV882" s="84"/>
      <c r="AW882" s="84"/>
      <c r="AX882" s="84"/>
      <c r="AY882" s="84"/>
      <c r="AZ882" s="84"/>
    </row>
    <row r="883" ht="15.75" customHeight="1">
      <c r="A883" s="9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5"/>
      <c r="AK883" s="85"/>
      <c r="AL883" s="103"/>
      <c r="AM883" s="104"/>
      <c r="AN883" s="103"/>
      <c r="AO883" s="104"/>
      <c r="AP883" s="103"/>
      <c r="AQ883" s="104"/>
      <c r="AR883" s="84"/>
      <c r="AS883" s="84"/>
      <c r="AT883" s="84"/>
      <c r="AU883" s="84"/>
      <c r="AV883" s="84"/>
      <c r="AW883" s="84"/>
      <c r="AX883" s="84"/>
      <c r="AY883" s="84"/>
      <c r="AZ883" s="84"/>
    </row>
    <row r="884" ht="15.75" customHeight="1">
      <c r="A884" s="9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5"/>
      <c r="AK884" s="85"/>
      <c r="AL884" s="103"/>
      <c r="AM884" s="104"/>
      <c r="AN884" s="103"/>
      <c r="AO884" s="104"/>
      <c r="AP884" s="103"/>
      <c r="AQ884" s="104"/>
      <c r="AR884" s="84"/>
      <c r="AS884" s="84"/>
      <c r="AT884" s="84"/>
      <c r="AU884" s="84"/>
      <c r="AV884" s="84"/>
      <c r="AW884" s="84"/>
      <c r="AX884" s="84"/>
      <c r="AY884" s="84"/>
      <c r="AZ884" s="84"/>
    </row>
    <row r="885" ht="15.75" customHeight="1">
      <c r="A885" s="9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5"/>
      <c r="AK885" s="85"/>
      <c r="AL885" s="103"/>
      <c r="AM885" s="104"/>
      <c r="AN885" s="103"/>
      <c r="AO885" s="104"/>
      <c r="AP885" s="103"/>
      <c r="AQ885" s="104"/>
      <c r="AR885" s="84"/>
      <c r="AS885" s="84"/>
      <c r="AT885" s="84"/>
      <c r="AU885" s="84"/>
      <c r="AV885" s="84"/>
      <c r="AW885" s="84"/>
      <c r="AX885" s="84"/>
      <c r="AY885" s="84"/>
      <c r="AZ885" s="84"/>
    </row>
    <row r="886" ht="15.75" customHeight="1">
      <c r="A886" s="9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5"/>
      <c r="AK886" s="85"/>
      <c r="AL886" s="103"/>
      <c r="AM886" s="104"/>
      <c r="AN886" s="103"/>
      <c r="AO886" s="104"/>
      <c r="AP886" s="103"/>
      <c r="AQ886" s="104"/>
      <c r="AR886" s="84"/>
      <c r="AS886" s="84"/>
      <c r="AT886" s="84"/>
      <c r="AU886" s="84"/>
      <c r="AV886" s="84"/>
      <c r="AW886" s="84"/>
      <c r="AX886" s="84"/>
      <c r="AY886" s="84"/>
      <c r="AZ886" s="84"/>
    </row>
    <row r="887" ht="15.75" customHeight="1">
      <c r="A887" s="9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5"/>
      <c r="AK887" s="85"/>
      <c r="AL887" s="103"/>
      <c r="AM887" s="104"/>
      <c r="AN887" s="103"/>
      <c r="AO887" s="104"/>
      <c r="AP887" s="103"/>
      <c r="AQ887" s="104"/>
      <c r="AR887" s="84"/>
      <c r="AS887" s="84"/>
      <c r="AT887" s="84"/>
      <c r="AU887" s="84"/>
      <c r="AV887" s="84"/>
      <c r="AW887" s="84"/>
      <c r="AX887" s="84"/>
      <c r="AY887" s="84"/>
      <c r="AZ887" s="84"/>
    </row>
    <row r="888" ht="15.75" customHeight="1">
      <c r="A888" s="9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5"/>
      <c r="AK888" s="85"/>
      <c r="AL888" s="103"/>
      <c r="AM888" s="104"/>
      <c r="AN888" s="103"/>
      <c r="AO888" s="104"/>
      <c r="AP888" s="103"/>
      <c r="AQ888" s="104"/>
      <c r="AR888" s="84"/>
      <c r="AS888" s="84"/>
      <c r="AT888" s="84"/>
      <c r="AU888" s="84"/>
      <c r="AV888" s="84"/>
      <c r="AW888" s="84"/>
      <c r="AX888" s="84"/>
      <c r="AY888" s="84"/>
      <c r="AZ888" s="84"/>
    </row>
    <row r="889" ht="15.75" customHeight="1">
      <c r="A889" s="9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5"/>
      <c r="AK889" s="85"/>
      <c r="AL889" s="103"/>
      <c r="AM889" s="104"/>
      <c r="AN889" s="103"/>
      <c r="AO889" s="104"/>
      <c r="AP889" s="103"/>
      <c r="AQ889" s="104"/>
      <c r="AR889" s="84"/>
      <c r="AS889" s="84"/>
      <c r="AT889" s="84"/>
      <c r="AU889" s="84"/>
      <c r="AV889" s="84"/>
      <c r="AW889" s="84"/>
      <c r="AX889" s="84"/>
      <c r="AY889" s="84"/>
      <c r="AZ889" s="84"/>
    </row>
    <row r="890" ht="15.75" customHeight="1">
      <c r="A890" s="9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5"/>
      <c r="AK890" s="85"/>
      <c r="AL890" s="103"/>
      <c r="AM890" s="104"/>
      <c r="AN890" s="103"/>
      <c r="AO890" s="104"/>
      <c r="AP890" s="103"/>
      <c r="AQ890" s="104"/>
      <c r="AR890" s="84"/>
      <c r="AS890" s="84"/>
      <c r="AT890" s="84"/>
      <c r="AU890" s="84"/>
      <c r="AV890" s="84"/>
      <c r="AW890" s="84"/>
      <c r="AX890" s="84"/>
      <c r="AY890" s="84"/>
      <c r="AZ890" s="84"/>
    </row>
    <row r="891" ht="15.75" customHeight="1">
      <c r="A891" s="9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5"/>
      <c r="AK891" s="85"/>
      <c r="AL891" s="103"/>
      <c r="AM891" s="104"/>
      <c r="AN891" s="103"/>
      <c r="AO891" s="104"/>
      <c r="AP891" s="103"/>
      <c r="AQ891" s="104"/>
      <c r="AR891" s="84"/>
      <c r="AS891" s="84"/>
      <c r="AT891" s="84"/>
      <c r="AU891" s="84"/>
      <c r="AV891" s="84"/>
      <c r="AW891" s="84"/>
      <c r="AX891" s="84"/>
      <c r="AY891" s="84"/>
      <c r="AZ891" s="84"/>
    </row>
    <row r="892" ht="15.75" customHeight="1">
      <c r="A892" s="9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5"/>
      <c r="AK892" s="85"/>
      <c r="AL892" s="103"/>
      <c r="AM892" s="104"/>
      <c r="AN892" s="103"/>
      <c r="AO892" s="104"/>
      <c r="AP892" s="103"/>
      <c r="AQ892" s="104"/>
      <c r="AR892" s="84"/>
      <c r="AS892" s="84"/>
      <c r="AT892" s="84"/>
      <c r="AU892" s="84"/>
      <c r="AV892" s="84"/>
      <c r="AW892" s="84"/>
      <c r="AX892" s="84"/>
      <c r="AY892" s="84"/>
      <c r="AZ892" s="84"/>
    </row>
    <row r="893" ht="15.75" customHeight="1">
      <c r="A893" s="9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5"/>
      <c r="AK893" s="85"/>
      <c r="AL893" s="103"/>
      <c r="AM893" s="104"/>
      <c r="AN893" s="103"/>
      <c r="AO893" s="104"/>
      <c r="AP893" s="103"/>
      <c r="AQ893" s="104"/>
      <c r="AR893" s="84"/>
      <c r="AS893" s="84"/>
      <c r="AT893" s="84"/>
      <c r="AU893" s="84"/>
      <c r="AV893" s="84"/>
      <c r="AW893" s="84"/>
      <c r="AX893" s="84"/>
      <c r="AY893" s="84"/>
      <c r="AZ893" s="84"/>
    </row>
    <row r="894" ht="15.75" customHeight="1">
      <c r="A894" s="9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5"/>
      <c r="AK894" s="85"/>
      <c r="AL894" s="103"/>
      <c r="AM894" s="104"/>
      <c r="AN894" s="103"/>
      <c r="AO894" s="104"/>
      <c r="AP894" s="103"/>
      <c r="AQ894" s="104"/>
      <c r="AR894" s="84"/>
      <c r="AS894" s="84"/>
      <c r="AT894" s="84"/>
      <c r="AU894" s="84"/>
      <c r="AV894" s="84"/>
      <c r="AW894" s="84"/>
      <c r="AX894" s="84"/>
      <c r="AY894" s="84"/>
      <c r="AZ894" s="84"/>
    </row>
    <row r="895" ht="15.75" customHeight="1">
      <c r="A895" s="9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5"/>
      <c r="AK895" s="85"/>
      <c r="AL895" s="103"/>
      <c r="AM895" s="104"/>
      <c r="AN895" s="103"/>
      <c r="AO895" s="104"/>
      <c r="AP895" s="103"/>
      <c r="AQ895" s="104"/>
      <c r="AR895" s="84"/>
      <c r="AS895" s="84"/>
      <c r="AT895" s="84"/>
      <c r="AU895" s="84"/>
      <c r="AV895" s="84"/>
      <c r="AW895" s="84"/>
      <c r="AX895" s="84"/>
      <c r="AY895" s="84"/>
      <c r="AZ895" s="84"/>
    </row>
    <row r="896" ht="15.75" customHeight="1">
      <c r="A896" s="9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5"/>
      <c r="AK896" s="85"/>
      <c r="AL896" s="103"/>
      <c r="AM896" s="104"/>
      <c r="AN896" s="103"/>
      <c r="AO896" s="104"/>
      <c r="AP896" s="103"/>
      <c r="AQ896" s="104"/>
      <c r="AR896" s="84"/>
      <c r="AS896" s="84"/>
      <c r="AT896" s="84"/>
      <c r="AU896" s="84"/>
      <c r="AV896" s="84"/>
      <c r="AW896" s="84"/>
      <c r="AX896" s="84"/>
      <c r="AY896" s="84"/>
      <c r="AZ896" s="84"/>
    </row>
    <row r="897" ht="15.75" customHeight="1">
      <c r="A897" s="9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5"/>
      <c r="AK897" s="85"/>
      <c r="AL897" s="103"/>
      <c r="AM897" s="104"/>
      <c r="AN897" s="103"/>
      <c r="AO897" s="104"/>
      <c r="AP897" s="103"/>
      <c r="AQ897" s="104"/>
      <c r="AR897" s="84"/>
      <c r="AS897" s="84"/>
      <c r="AT897" s="84"/>
      <c r="AU897" s="84"/>
      <c r="AV897" s="84"/>
      <c r="AW897" s="84"/>
      <c r="AX897" s="84"/>
      <c r="AY897" s="84"/>
      <c r="AZ897" s="84"/>
    </row>
    <row r="898" ht="15.75" customHeight="1">
      <c r="A898" s="9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5"/>
      <c r="AK898" s="85"/>
      <c r="AL898" s="103"/>
      <c r="AM898" s="104"/>
      <c r="AN898" s="103"/>
      <c r="AO898" s="104"/>
      <c r="AP898" s="103"/>
      <c r="AQ898" s="104"/>
      <c r="AR898" s="84"/>
      <c r="AS898" s="84"/>
      <c r="AT898" s="84"/>
      <c r="AU898" s="84"/>
      <c r="AV898" s="84"/>
      <c r="AW898" s="84"/>
      <c r="AX898" s="84"/>
      <c r="AY898" s="84"/>
      <c r="AZ898" s="84"/>
    </row>
    <row r="899" ht="15.75" customHeight="1">
      <c r="A899" s="9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5"/>
      <c r="AK899" s="85"/>
      <c r="AL899" s="103"/>
      <c r="AM899" s="104"/>
      <c r="AN899" s="103"/>
      <c r="AO899" s="104"/>
      <c r="AP899" s="103"/>
      <c r="AQ899" s="104"/>
      <c r="AR899" s="84"/>
      <c r="AS899" s="84"/>
      <c r="AT899" s="84"/>
      <c r="AU899" s="84"/>
      <c r="AV899" s="84"/>
      <c r="AW899" s="84"/>
      <c r="AX899" s="84"/>
      <c r="AY899" s="84"/>
      <c r="AZ899" s="84"/>
    </row>
    <row r="900" ht="15.75" customHeight="1">
      <c r="A900" s="9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5"/>
      <c r="AK900" s="85"/>
      <c r="AL900" s="103"/>
      <c r="AM900" s="104"/>
      <c r="AN900" s="103"/>
      <c r="AO900" s="104"/>
      <c r="AP900" s="103"/>
      <c r="AQ900" s="104"/>
      <c r="AR900" s="84"/>
      <c r="AS900" s="84"/>
      <c r="AT900" s="84"/>
      <c r="AU900" s="84"/>
      <c r="AV900" s="84"/>
      <c r="AW900" s="84"/>
      <c r="AX900" s="84"/>
      <c r="AY900" s="84"/>
      <c r="AZ900" s="84"/>
    </row>
    <row r="901" ht="15.75" customHeight="1">
      <c r="A901" s="9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5"/>
      <c r="AK901" s="85"/>
      <c r="AL901" s="103"/>
      <c r="AM901" s="104"/>
      <c r="AN901" s="103"/>
      <c r="AO901" s="104"/>
      <c r="AP901" s="103"/>
      <c r="AQ901" s="104"/>
      <c r="AR901" s="84"/>
      <c r="AS901" s="84"/>
      <c r="AT901" s="84"/>
      <c r="AU901" s="84"/>
      <c r="AV901" s="84"/>
      <c r="AW901" s="84"/>
      <c r="AX901" s="84"/>
      <c r="AY901" s="84"/>
      <c r="AZ901" s="84"/>
    </row>
    <row r="902" ht="15.75" customHeight="1">
      <c r="A902" s="9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5"/>
      <c r="AK902" s="85"/>
      <c r="AL902" s="103"/>
      <c r="AM902" s="104"/>
      <c r="AN902" s="103"/>
      <c r="AO902" s="104"/>
      <c r="AP902" s="103"/>
      <c r="AQ902" s="104"/>
      <c r="AR902" s="84"/>
      <c r="AS902" s="84"/>
      <c r="AT902" s="84"/>
      <c r="AU902" s="84"/>
      <c r="AV902" s="84"/>
      <c r="AW902" s="84"/>
      <c r="AX902" s="84"/>
      <c r="AY902" s="84"/>
      <c r="AZ902" s="84"/>
    </row>
    <row r="903" ht="15.75" customHeight="1">
      <c r="A903" s="9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5"/>
      <c r="AK903" s="85"/>
      <c r="AL903" s="103"/>
      <c r="AM903" s="104"/>
      <c r="AN903" s="103"/>
      <c r="AO903" s="104"/>
      <c r="AP903" s="103"/>
      <c r="AQ903" s="104"/>
      <c r="AR903" s="84"/>
      <c r="AS903" s="84"/>
      <c r="AT903" s="84"/>
      <c r="AU903" s="84"/>
      <c r="AV903" s="84"/>
      <c r="AW903" s="84"/>
      <c r="AX903" s="84"/>
      <c r="AY903" s="84"/>
      <c r="AZ903" s="84"/>
    </row>
    <row r="904" ht="15.75" customHeight="1">
      <c r="A904" s="9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5"/>
      <c r="AK904" s="85"/>
      <c r="AL904" s="103"/>
      <c r="AM904" s="104"/>
      <c r="AN904" s="103"/>
      <c r="AO904" s="104"/>
      <c r="AP904" s="103"/>
      <c r="AQ904" s="104"/>
      <c r="AR904" s="84"/>
      <c r="AS904" s="84"/>
      <c r="AT904" s="84"/>
      <c r="AU904" s="84"/>
      <c r="AV904" s="84"/>
      <c r="AW904" s="84"/>
      <c r="AX904" s="84"/>
      <c r="AY904" s="84"/>
      <c r="AZ904" s="84"/>
    </row>
    <row r="905" ht="15.75" customHeight="1">
      <c r="A905" s="9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5"/>
      <c r="AK905" s="85"/>
      <c r="AL905" s="103"/>
      <c r="AM905" s="104"/>
      <c r="AN905" s="103"/>
      <c r="AO905" s="104"/>
      <c r="AP905" s="103"/>
      <c r="AQ905" s="104"/>
      <c r="AR905" s="84"/>
      <c r="AS905" s="84"/>
      <c r="AT905" s="84"/>
      <c r="AU905" s="84"/>
      <c r="AV905" s="84"/>
      <c r="AW905" s="84"/>
      <c r="AX905" s="84"/>
      <c r="AY905" s="84"/>
      <c r="AZ905" s="84"/>
    </row>
    <row r="906" ht="15.75" customHeight="1">
      <c r="A906" s="9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5"/>
      <c r="AK906" s="85"/>
      <c r="AL906" s="103"/>
      <c r="AM906" s="104"/>
      <c r="AN906" s="103"/>
      <c r="AO906" s="104"/>
      <c r="AP906" s="103"/>
      <c r="AQ906" s="104"/>
      <c r="AR906" s="84"/>
      <c r="AS906" s="84"/>
      <c r="AT906" s="84"/>
      <c r="AU906" s="84"/>
      <c r="AV906" s="84"/>
      <c r="AW906" s="84"/>
      <c r="AX906" s="84"/>
      <c r="AY906" s="84"/>
      <c r="AZ906" s="84"/>
    </row>
    <row r="907" ht="15.75" customHeight="1">
      <c r="A907" s="9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5"/>
      <c r="AK907" s="85"/>
      <c r="AL907" s="103"/>
      <c r="AM907" s="104"/>
      <c r="AN907" s="103"/>
      <c r="AO907" s="104"/>
      <c r="AP907" s="103"/>
      <c r="AQ907" s="104"/>
      <c r="AR907" s="84"/>
      <c r="AS907" s="84"/>
      <c r="AT907" s="84"/>
      <c r="AU907" s="84"/>
      <c r="AV907" s="84"/>
      <c r="AW907" s="84"/>
      <c r="AX907" s="84"/>
      <c r="AY907" s="84"/>
      <c r="AZ907" s="84"/>
    </row>
    <row r="908" ht="15.75" customHeight="1">
      <c r="A908" s="9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5"/>
      <c r="AK908" s="85"/>
      <c r="AL908" s="103"/>
      <c r="AM908" s="104"/>
      <c r="AN908" s="103"/>
      <c r="AO908" s="104"/>
      <c r="AP908" s="103"/>
      <c r="AQ908" s="104"/>
      <c r="AR908" s="84"/>
      <c r="AS908" s="84"/>
      <c r="AT908" s="84"/>
      <c r="AU908" s="84"/>
      <c r="AV908" s="84"/>
      <c r="AW908" s="84"/>
      <c r="AX908" s="84"/>
      <c r="AY908" s="84"/>
      <c r="AZ908" s="84"/>
    </row>
    <row r="909" ht="15.75" customHeight="1">
      <c r="A909" s="9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5"/>
      <c r="AK909" s="85"/>
      <c r="AL909" s="103"/>
      <c r="AM909" s="104"/>
      <c r="AN909" s="103"/>
      <c r="AO909" s="104"/>
      <c r="AP909" s="103"/>
      <c r="AQ909" s="104"/>
      <c r="AR909" s="84"/>
      <c r="AS909" s="84"/>
      <c r="AT909" s="84"/>
      <c r="AU909" s="84"/>
      <c r="AV909" s="84"/>
      <c r="AW909" s="84"/>
      <c r="AX909" s="84"/>
      <c r="AY909" s="84"/>
      <c r="AZ909" s="84"/>
    </row>
    <row r="910" ht="15.75" customHeight="1">
      <c r="A910" s="9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5"/>
      <c r="AK910" s="85"/>
      <c r="AL910" s="103"/>
      <c r="AM910" s="104"/>
      <c r="AN910" s="103"/>
      <c r="AO910" s="104"/>
      <c r="AP910" s="103"/>
      <c r="AQ910" s="104"/>
      <c r="AR910" s="84"/>
      <c r="AS910" s="84"/>
      <c r="AT910" s="84"/>
      <c r="AU910" s="84"/>
      <c r="AV910" s="84"/>
      <c r="AW910" s="84"/>
      <c r="AX910" s="84"/>
      <c r="AY910" s="84"/>
      <c r="AZ910" s="84"/>
    </row>
    <row r="911" ht="15.75" customHeight="1">
      <c r="A911" s="9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5"/>
      <c r="AK911" s="85"/>
      <c r="AL911" s="103"/>
      <c r="AM911" s="104"/>
      <c r="AN911" s="103"/>
      <c r="AO911" s="104"/>
      <c r="AP911" s="103"/>
      <c r="AQ911" s="104"/>
      <c r="AR911" s="84"/>
      <c r="AS911" s="84"/>
      <c r="AT911" s="84"/>
      <c r="AU911" s="84"/>
      <c r="AV911" s="84"/>
      <c r="AW911" s="84"/>
      <c r="AX911" s="84"/>
      <c r="AY911" s="84"/>
      <c r="AZ911" s="84"/>
    </row>
    <row r="912" ht="15.75" customHeight="1">
      <c r="A912" s="9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5"/>
      <c r="AK912" s="85"/>
      <c r="AL912" s="103"/>
      <c r="AM912" s="104"/>
      <c r="AN912" s="103"/>
      <c r="AO912" s="104"/>
      <c r="AP912" s="103"/>
      <c r="AQ912" s="104"/>
      <c r="AR912" s="84"/>
      <c r="AS912" s="84"/>
      <c r="AT912" s="84"/>
      <c r="AU912" s="84"/>
      <c r="AV912" s="84"/>
      <c r="AW912" s="84"/>
      <c r="AX912" s="84"/>
      <c r="AY912" s="84"/>
      <c r="AZ912" s="84"/>
    </row>
    <row r="913" ht="15.75" customHeight="1">
      <c r="A913" s="9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5"/>
      <c r="AK913" s="85"/>
      <c r="AL913" s="103"/>
      <c r="AM913" s="104"/>
      <c r="AN913" s="103"/>
      <c r="AO913" s="104"/>
      <c r="AP913" s="103"/>
      <c r="AQ913" s="104"/>
      <c r="AR913" s="84"/>
      <c r="AS913" s="84"/>
      <c r="AT913" s="84"/>
      <c r="AU913" s="84"/>
      <c r="AV913" s="84"/>
      <c r="AW913" s="84"/>
      <c r="AX913" s="84"/>
      <c r="AY913" s="84"/>
      <c r="AZ913" s="84"/>
    </row>
    <row r="914" ht="15.75" customHeight="1">
      <c r="A914" s="9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5"/>
      <c r="AK914" s="85"/>
      <c r="AL914" s="103"/>
      <c r="AM914" s="104"/>
      <c r="AN914" s="103"/>
      <c r="AO914" s="104"/>
      <c r="AP914" s="103"/>
      <c r="AQ914" s="104"/>
      <c r="AR914" s="84"/>
      <c r="AS914" s="84"/>
      <c r="AT914" s="84"/>
      <c r="AU914" s="84"/>
      <c r="AV914" s="84"/>
      <c r="AW914" s="84"/>
      <c r="AX914" s="84"/>
      <c r="AY914" s="84"/>
      <c r="AZ914" s="84"/>
    </row>
    <row r="915" ht="15.75" customHeight="1">
      <c r="A915" s="9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5"/>
      <c r="AK915" s="85"/>
      <c r="AL915" s="103"/>
      <c r="AM915" s="104"/>
      <c r="AN915" s="103"/>
      <c r="AO915" s="104"/>
      <c r="AP915" s="103"/>
      <c r="AQ915" s="104"/>
      <c r="AR915" s="84"/>
      <c r="AS915" s="84"/>
      <c r="AT915" s="84"/>
      <c r="AU915" s="84"/>
      <c r="AV915" s="84"/>
      <c r="AW915" s="84"/>
      <c r="AX915" s="84"/>
      <c r="AY915" s="84"/>
      <c r="AZ915" s="84"/>
    </row>
    <row r="916" ht="15.75" customHeight="1">
      <c r="A916" s="9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5"/>
      <c r="AK916" s="85"/>
      <c r="AL916" s="103"/>
      <c r="AM916" s="104"/>
      <c r="AN916" s="103"/>
      <c r="AO916" s="104"/>
      <c r="AP916" s="103"/>
      <c r="AQ916" s="104"/>
      <c r="AR916" s="84"/>
      <c r="AS916" s="84"/>
      <c r="AT916" s="84"/>
      <c r="AU916" s="84"/>
      <c r="AV916" s="84"/>
      <c r="AW916" s="84"/>
      <c r="AX916" s="84"/>
      <c r="AY916" s="84"/>
      <c r="AZ916" s="84"/>
    </row>
    <row r="917" ht="15.75" customHeight="1">
      <c r="A917" s="9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5"/>
      <c r="AK917" s="85"/>
      <c r="AL917" s="103"/>
      <c r="AM917" s="104"/>
      <c r="AN917" s="103"/>
      <c r="AO917" s="104"/>
      <c r="AP917" s="103"/>
      <c r="AQ917" s="104"/>
      <c r="AR917" s="84"/>
      <c r="AS917" s="84"/>
      <c r="AT917" s="84"/>
      <c r="AU917" s="84"/>
      <c r="AV917" s="84"/>
      <c r="AW917" s="84"/>
      <c r="AX917" s="84"/>
      <c r="AY917" s="84"/>
      <c r="AZ917" s="84"/>
    </row>
    <row r="918" ht="15.75" customHeight="1">
      <c r="A918" s="9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5"/>
      <c r="AK918" s="85"/>
      <c r="AL918" s="103"/>
      <c r="AM918" s="104"/>
      <c r="AN918" s="103"/>
      <c r="AO918" s="104"/>
      <c r="AP918" s="103"/>
      <c r="AQ918" s="104"/>
      <c r="AR918" s="84"/>
      <c r="AS918" s="84"/>
      <c r="AT918" s="84"/>
      <c r="AU918" s="84"/>
      <c r="AV918" s="84"/>
      <c r="AW918" s="84"/>
      <c r="AX918" s="84"/>
      <c r="AY918" s="84"/>
      <c r="AZ918" s="84"/>
    </row>
    <row r="919" ht="15.75" customHeight="1">
      <c r="A919" s="9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5"/>
      <c r="AK919" s="85"/>
      <c r="AL919" s="103"/>
      <c r="AM919" s="104"/>
      <c r="AN919" s="103"/>
      <c r="AO919" s="104"/>
      <c r="AP919" s="103"/>
      <c r="AQ919" s="104"/>
      <c r="AR919" s="84"/>
      <c r="AS919" s="84"/>
      <c r="AT919" s="84"/>
      <c r="AU919" s="84"/>
      <c r="AV919" s="84"/>
      <c r="AW919" s="84"/>
      <c r="AX919" s="84"/>
      <c r="AY919" s="84"/>
      <c r="AZ919" s="84"/>
    </row>
    <row r="920" ht="15.75" customHeight="1">
      <c r="A920" s="9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5"/>
      <c r="AK920" s="85"/>
      <c r="AL920" s="103"/>
      <c r="AM920" s="104"/>
      <c r="AN920" s="103"/>
      <c r="AO920" s="104"/>
      <c r="AP920" s="103"/>
      <c r="AQ920" s="104"/>
      <c r="AR920" s="84"/>
      <c r="AS920" s="84"/>
      <c r="AT920" s="84"/>
      <c r="AU920" s="84"/>
      <c r="AV920" s="84"/>
      <c r="AW920" s="84"/>
      <c r="AX920" s="84"/>
      <c r="AY920" s="84"/>
      <c r="AZ920" s="84"/>
    </row>
    <row r="921" ht="15.75" customHeight="1">
      <c r="A921" s="9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5"/>
      <c r="AK921" s="85"/>
      <c r="AL921" s="103"/>
      <c r="AM921" s="104"/>
      <c r="AN921" s="103"/>
      <c r="AO921" s="104"/>
      <c r="AP921" s="103"/>
      <c r="AQ921" s="104"/>
      <c r="AR921" s="84"/>
      <c r="AS921" s="84"/>
      <c r="AT921" s="84"/>
      <c r="AU921" s="84"/>
      <c r="AV921" s="84"/>
      <c r="AW921" s="84"/>
      <c r="AX921" s="84"/>
      <c r="AY921" s="84"/>
      <c r="AZ921" s="84"/>
    </row>
    <row r="922" ht="15.75" customHeight="1">
      <c r="A922" s="9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5"/>
      <c r="AK922" s="85"/>
      <c r="AL922" s="103"/>
      <c r="AM922" s="104"/>
      <c r="AN922" s="103"/>
      <c r="AO922" s="104"/>
      <c r="AP922" s="103"/>
      <c r="AQ922" s="104"/>
      <c r="AR922" s="84"/>
      <c r="AS922" s="84"/>
      <c r="AT922" s="84"/>
      <c r="AU922" s="84"/>
      <c r="AV922" s="84"/>
      <c r="AW922" s="84"/>
      <c r="AX922" s="84"/>
      <c r="AY922" s="84"/>
      <c r="AZ922" s="84"/>
    </row>
    <row r="923" ht="15.75" customHeight="1">
      <c r="A923" s="9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5"/>
      <c r="AK923" s="85"/>
      <c r="AL923" s="103"/>
      <c r="AM923" s="104"/>
      <c r="AN923" s="103"/>
      <c r="AO923" s="104"/>
      <c r="AP923" s="103"/>
      <c r="AQ923" s="104"/>
      <c r="AR923" s="84"/>
      <c r="AS923" s="84"/>
      <c r="AT923" s="84"/>
      <c r="AU923" s="84"/>
      <c r="AV923" s="84"/>
      <c r="AW923" s="84"/>
      <c r="AX923" s="84"/>
      <c r="AY923" s="84"/>
      <c r="AZ923" s="84"/>
    </row>
    <row r="924" ht="15.75" customHeight="1">
      <c r="A924" s="9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5"/>
      <c r="AK924" s="85"/>
      <c r="AL924" s="103"/>
      <c r="AM924" s="104"/>
      <c r="AN924" s="103"/>
      <c r="AO924" s="104"/>
      <c r="AP924" s="103"/>
      <c r="AQ924" s="104"/>
      <c r="AR924" s="84"/>
      <c r="AS924" s="84"/>
      <c r="AT924" s="84"/>
      <c r="AU924" s="84"/>
      <c r="AV924" s="84"/>
      <c r="AW924" s="84"/>
      <c r="AX924" s="84"/>
      <c r="AY924" s="84"/>
      <c r="AZ924" s="84"/>
    </row>
    <row r="925" ht="15.75" customHeight="1">
      <c r="A925" s="9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5"/>
      <c r="AK925" s="85"/>
      <c r="AL925" s="103"/>
      <c r="AM925" s="104"/>
      <c r="AN925" s="103"/>
      <c r="AO925" s="104"/>
      <c r="AP925" s="103"/>
      <c r="AQ925" s="104"/>
      <c r="AR925" s="84"/>
      <c r="AS925" s="84"/>
      <c r="AT925" s="84"/>
      <c r="AU925" s="84"/>
      <c r="AV925" s="84"/>
      <c r="AW925" s="84"/>
      <c r="AX925" s="84"/>
      <c r="AY925" s="84"/>
      <c r="AZ925" s="84"/>
    </row>
    <row r="926" ht="15.75" customHeight="1">
      <c r="A926" s="9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5"/>
      <c r="AK926" s="85"/>
      <c r="AL926" s="103"/>
      <c r="AM926" s="104"/>
      <c r="AN926" s="103"/>
      <c r="AO926" s="104"/>
      <c r="AP926" s="103"/>
      <c r="AQ926" s="104"/>
      <c r="AR926" s="84"/>
      <c r="AS926" s="84"/>
      <c r="AT926" s="84"/>
      <c r="AU926" s="84"/>
      <c r="AV926" s="84"/>
      <c r="AW926" s="84"/>
      <c r="AX926" s="84"/>
      <c r="AY926" s="84"/>
      <c r="AZ926" s="84"/>
    </row>
    <row r="927" ht="15.75" customHeight="1">
      <c r="A927" s="9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5"/>
      <c r="AK927" s="85"/>
      <c r="AL927" s="103"/>
      <c r="AM927" s="104"/>
      <c r="AN927" s="103"/>
      <c r="AO927" s="104"/>
      <c r="AP927" s="103"/>
      <c r="AQ927" s="104"/>
      <c r="AR927" s="84"/>
      <c r="AS927" s="84"/>
      <c r="AT927" s="84"/>
      <c r="AU927" s="84"/>
      <c r="AV927" s="84"/>
      <c r="AW927" s="84"/>
      <c r="AX927" s="84"/>
      <c r="AY927" s="84"/>
      <c r="AZ927" s="84"/>
    </row>
    <row r="928" ht="15.75" customHeight="1">
      <c r="A928" s="9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5"/>
      <c r="AK928" s="85"/>
      <c r="AL928" s="103"/>
      <c r="AM928" s="104"/>
      <c r="AN928" s="103"/>
      <c r="AO928" s="104"/>
      <c r="AP928" s="103"/>
      <c r="AQ928" s="104"/>
      <c r="AR928" s="84"/>
      <c r="AS928" s="84"/>
      <c r="AT928" s="84"/>
      <c r="AU928" s="84"/>
      <c r="AV928" s="84"/>
      <c r="AW928" s="84"/>
      <c r="AX928" s="84"/>
      <c r="AY928" s="84"/>
      <c r="AZ928" s="84"/>
    </row>
    <row r="929" ht="15.75" customHeight="1">
      <c r="A929" s="9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5"/>
      <c r="AK929" s="85"/>
      <c r="AL929" s="103"/>
      <c r="AM929" s="104"/>
      <c r="AN929" s="103"/>
      <c r="AO929" s="104"/>
      <c r="AP929" s="103"/>
      <c r="AQ929" s="104"/>
      <c r="AR929" s="84"/>
      <c r="AS929" s="84"/>
      <c r="AT929" s="84"/>
      <c r="AU929" s="84"/>
      <c r="AV929" s="84"/>
      <c r="AW929" s="84"/>
      <c r="AX929" s="84"/>
      <c r="AY929" s="84"/>
      <c r="AZ929" s="84"/>
    </row>
    <row r="930" ht="15.75" customHeight="1">
      <c r="A930" s="9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5"/>
      <c r="AK930" s="85"/>
      <c r="AL930" s="103"/>
      <c r="AM930" s="104"/>
      <c r="AN930" s="103"/>
      <c r="AO930" s="104"/>
      <c r="AP930" s="103"/>
      <c r="AQ930" s="104"/>
      <c r="AR930" s="84"/>
      <c r="AS930" s="84"/>
      <c r="AT930" s="84"/>
      <c r="AU930" s="84"/>
      <c r="AV930" s="84"/>
      <c r="AW930" s="84"/>
      <c r="AX930" s="84"/>
      <c r="AY930" s="84"/>
      <c r="AZ930" s="84"/>
    </row>
    <row r="931" ht="15.75" customHeight="1">
      <c r="A931" s="9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5"/>
      <c r="AK931" s="85"/>
      <c r="AL931" s="103"/>
      <c r="AM931" s="104"/>
      <c r="AN931" s="103"/>
      <c r="AO931" s="104"/>
      <c r="AP931" s="103"/>
      <c r="AQ931" s="104"/>
      <c r="AR931" s="84"/>
      <c r="AS931" s="84"/>
      <c r="AT931" s="84"/>
      <c r="AU931" s="84"/>
      <c r="AV931" s="84"/>
      <c r="AW931" s="84"/>
      <c r="AX931" s="84"/>
      <c r="AY931" s="84"/>
      <c r="AZ931" s="84"/>
    </row>
    <row r="932" ht="15.75" customHeight="1">
      <c r="A932" s="9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5"/>
      <c r="AK932" s="85"/>
      <c r="AL932" s="103"/>
      <c r="AM932" s="104"/>
      <c r="AN932" s="103"/>
      <c r="AO932" s="104"/>
      <c r="AP932" s="103"/>
      <c r="AQ932" s="104"/>
      <c r="AR932" s="84"/>
      <c r="AS932" s="84"/>
      <c r="AT932" s="84"/>
      <c r="AU932" s="84"/>
      <c r="AV932" s="84"/>
      <c r="AW932" s="84"/>
      <c r="AX932" s="84"/>
      <c r="AY932" s="84"/>
      <c r="AZ932" s="84"/>
    </row>
    <row r="933" ht="15.75" customHeight="1">
      <c r="A933" s="9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5"/>
      <c r="AK933" s="85"/>
      <c r="AL933" s="103"/>
      <c r="AM933" s="104"/>
      <c r="AN933" s="103"/>
      <c r="AO933" s="104"/>
      <c r="AP933" s="103"/>
      <c r="AQ933" s="104"/>
      <c r="AR933" s="84"/>
      <c r="AS933" s="84"/>
      <c r="AT933" s="84"/>
      <c r="AU933" s="84"/>
      <c r="AV933" s="84"/>
      <c r="AW933" s="84"/>
      <c r="AX933" s="84"/>
      <c r="AY933" s="84"/>
      <c r="AZ933" s="84"/>
    </row>
    <row r="934" ht="15.75" customHeight="1">
      <c r="A934" s="9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5"/>
      <c r="AK934" s="85"/>
      <c r="AL934" s="103"/>
      <c r="AM934" s="104"/>
      <c r="AN934" s="103"/>
      <c r="AO934" s="104"/>
      <c r="AP934" s="103"/>
      <c r="AQ934" s="104"/>
      <c r="AR934" s="84"/>
      <c r="AS934" s="84"/>
      <c r="AT934" s="84"/>
      <c r="AU934" s="84"/>
      <c r="AV934" s="84"/>
      <c r="AW934" s="84"/>
      <c r="AX934" s="84"/>
      <c r="AY934" s="84"/>
      <c r="AZ934" s="84"/>
    </row>
    <row r="935" ht="15.75" customHeight="1">
      <c r="A935" s="9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5"/>
      <c r="AK935" s="85"/>
      <c r="AL935" s="103"/>
      <c r="AM935" s="104"/>
      <c r="AN935" s="103"/>
      <c r="AO935" s="104"/>
      <c r="AP935" s="103"/>
      <c r="AQ935" s="104"/>
      <c r="AR935" s="84"/>
      <c r="AS935" s="84"/>
      <c r="AT935" s="84"/>
      <c r="AU935" s="84"/>
      <c r="AV935" s="84"/>
      <c r="AW935" s="84"/>
      <c r="AX935" s="84"/>
      <c r="AY935" s="84"/>
      <c r="AZ935" s="84"/>
    </row>
    <row r="936" ht="15.75" customHeight="1">
      <c r="A936" s="9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5"/>
      <c r="AK936" s="85"/>
      <c r="AL936" s="103"/>
      <c r="AM936" s="104"/>
      <c r="AN936" s="103"/>
      <c r="AO936" s="104"/>
      <c r="AP936" s="103"/>
      <c r="AQ936" s="104"/>
      <c r="AR936" s="84"/>
      <c r="AS936" s="84"/>
      <c r="AT936" s="84"/>
      <c r="AU936" s="84"/>
      <c r="AV936" s="84"/>
      <c r="AW936" s="84"/>
      <c r="AX936" s="84"/>
      <c r="AY936" s="84"/>
      <c r="AZ936" s="84"/>
    </row>
    <row r="937" ht="15.75" customHeight="1">
      <c r="A937" s="9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5"/>
      <c r="AK937" s="85"/>
      <c r="AL937" s="103"/>
      <c r="AM937" s="104"/>
      <c r="AN937" s="103"/>
      <c r="AO937" s="104"/>
      <c r="AP937" s="103"/>
      <c r="AQ937" s="104"/>
      <c r="AR937" s="84"/>
      <c r="AS937" s="84"/>
      <c r="AT937" s="84"/>
      <c r="AU937" s="84"/>
      <c r="AV937" s="84"/>
      <c r="AW937" s="84"/>
      <c r="AX937" s="84"/>
      <c r="AY937" s="84"/>
      <c r="AZ937" s="84"/>
    </row>
    <row r="938" ht="15.75" customHeight="1">
      <c r="A938" s="9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5"/>
      <c r="AK938" s="85"/>
      <c r="AL938" s="103"/>
      <c r="AM938" s="104"/>
      <c r="AN938" s="103"/>
      <c r="AO938" s="104"/>
      <c r="AP938" s="103"/>
      <c r="AQ938" s="104"/>
      <c r="AR938" s="84"/>
      <c r="AS938" s="84"/>
      <c r="AT938" s="84"/>
      <c r="AU938" s="84"/>
      <c r="AV938" s="84"/>
      <c r="AW938" s="84"/>
      <c r="AX938" s="84"/>
      <c r="AY938" s="84"/>
      <c r="AZ938" s="84"/>
    </row>
    <row r="939" ht="15.75" customHeight="1">
      <c r="A939" s="9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5"/>
      <c r="AK939" s="85"/>
      <c r="AL939" s="103"/>
      <c r="AM939" s="104"/>
      <c r="AN939" s="103"/>
      <c r="AO939" s="104"/>
      <c r="AP939" s="103"/>
      <c r="AQ939" s="104"/>
      <c r="AR939" s="84"/>
      <c r="AS939" s="84"/>
      <c r="AT939" s="84"/>
      <c r="AU939" s="84"/>
      <c r="AV939" s="84"/>
      <c r="AW939" s="84"/>
      <c r="AX939" s="84"/>
      <c r="AY939" s="84"/>
      <c r="AZ939" s="84"/>
    </row>
    <row r="940" ht="15.75" customHeight="1">
      <c r="A940" s="9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5"/>
      <c r="AK940" s="85"/>
      <c r="AL940" s="103"/>
      <c r="AM940" s="104"/>
      <c r="AN940" s="103"/>
      <c r="AO940" s="104"/>
      <c r="AP940" s="103"/>
      <c r="AQ940" s="104"/>
      <c r="AR940" s="84"/>
      <c r="AS940" s="84"/>
      <c r="AT940" s="84"/>
      <c r="AU940" s="84"/>
      <c r="AV940" s="84"/>
      <c r="AW940" s="84"/>
      <c r="AX940" s="84"/>
      <c r="AY940" s="84"/>
      <c r="AZ940" s="84"/>
    </row>
    <row r="941" ht="15.75" customHeight="1">
      <c r="A941" s="9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5"/>
      <c r="AK941" s="85"/>
      <c r="AL941" s="103"/>
      <c r="AM941" s="104"/>
      <c r="AN941" s="103"/>
      <c r="AO941" s="104"/>
      <c r="AP941" s="103"/>
      <c r="AQ941" s="104"/>
      <c r="AR941" s="84"/>
      <c r="AS941" s="84"/>
      <c r="AT941" s="84"/>
      <c r="AU941" s="84"/>
      <c r="AV941" s="84"/>
      <c r="AW941" s="84"/>
      <c r="AX941" s="84"/>
      <c r="AY941" s="84"/>
      <c r="AZ941" s="84"/>
    </row>
    <row r="942" ht="15.75" customHeight="1">
      <c r="A942" s="9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5"/>
      <c r="AK942" s="85"/>
      <c r="AL942" s="103"/>
      <c r="AM942" s="104"/>
      <c r="AN942" s="103"/>
      <c r="AO942" s="104"/>
      <c r="AP942" s="103"/>
      <c r="AQ942" s="104"/>
      <c r="AR942" s="84"/>
      <c r="AS942" s="84"/>
      <c r="AT942" s="84"/>
      <c r="AU942" s="84"/>
      <c r="AV942" s="84"/>
      <c r="AW942" s="84"/>
      <c r="AX942" s="84"/>
      <c r="AY942" s="84"/>
      <c r="AZ942" s="84"/>
    </row>
    <row r="943" ht="15.75" customHeight="1">
      <c r="A943" s="9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5"/>
      <c r="AK943" s="85"/>
      <c r="AL943" s="103"/>
      <c r="AM943" s="104"/>
      <c r="AN943" s="103"/>
      <c r="AO943" s="104"/>
      <c r="AP943" s="103"/>
      <c r="AQ943" s="104"/>
      <c r="AR943" s="84"/>
      <c r="AS943" s="84"/>
      <c r="AT943" s="84"/>
      <c r="AU943" s="84"/>
      <c r="AV943" s="84"/>
      <c r="AW943" s="84"/>
      <c r="AX943" s="84"/>
      <c r="AY943" s="84"/>
      <c r="AZ943" s="84"/>
    </row>
    <row r="944" ht="15.75" customHeight="1">
      <c r="A944" s="9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5"/>
      <c r="AK944" s="85"/>
      <c r="AL944" s="103"/>
      <c r="AM944" s="104"/>
      <c r="AN944" s="103"/>
      <c r="AO944" s="104"/>
      <c r="AP944" s="103"/>
      <c r="AQ944" s="104"/>
      <c r="AR944" s="84"/>
      <c r="AS944" s="84"/>
      <c r="AT944" s="84"/>
      <c r="AU944" s="84"/>
      <c r="AV944" s="84"/>
      <c r="AW944" s="84"/>
      <c r="AX944" s="84"/>
      <c r="AY944" s="84"/>
      <c r="AZ944" s="84"/>
    </row>
    <row r="945" ht="15.75" customHeight="1">
      <c r="A945" s="9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5"/>
      <c r="AK945" s="85"/>
      <c r="AL945" s="103"/>
      <c r="AM945" s="104"/>
      <c r="AN945" s="103"/>
      <c r="AO945" s="104"/>
      <c r="AP945" s="103"/>
      <c r="AQ945" s="104"/>
      <c r="AR945" s="84"/>
      <c r="AS945" s="84"/>
      <c r="AT945" s="84"/>
      <c r="AU945" s="84"/>
      <c r="AV945" s="84"/>
      <c r="AW945" s="84"/>
      <c r="AX945" s="84"/>
      <c r="AY945" s="84"/>
      <c r="AZ945" s="84"/>
    </row>
    <row r="946" ht="15.75" customHeight="1">
      <c r="A946" s="9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5"/>
      <c r="AK946" s="85"/>
      <c r="AL946" s="103"/>
      <c r="AM946" s="104"/>
      <c r="AN946" s="103"/>
      <c r="AO946" s="104"/>
      <c r="AP946" s="103"/>
      <c r="AQ946" s="104"/>
      <c r="AR946" s="84"/>
      <c r="AS946" s="84"/>
      <c r="AT946" s="84"/>
      <c r="AU946" s="84"/>
      <c r="AV946" s="84"/>
      <c r="AW946" s="84"/>
      <c r="AX946" s="84"/>
      <c r="AY946" s="84"/>
      <c r="AZ946" s="84"/>
    </row>
    <row r="947" ht="15.75" customHeight="1">
      <c r="A947" s="9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5"/>
      <c r="AK947" s="85"/>
      <c r="AL947" s="103"/>
      <c r="AM947" s="104"/>
      <c r="AN947" s="103"/>
      <c r="AO947" s="104"/>
      <c r="AP947" s="103"/>
      <c r="AQ947" s="104"/>
      <c r="AR947" s="84"/>
      <c r="AS947" s="84"/>
      <c r="AT947" s="84"/>
      <c r="AU947" s="84"/>
      <c r="AV947" s="84"/>
      <c r="AW947" s="84"/>
      <c r="AX947" s="84"/>
      <c r="AY947" s="84"/>
      <c r="AZ947" s="84"/>
    </row>
    <row r="948" ht="15.75" customHeight="1">
      <c r="A948" s="9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5"/>
      <c r="AK948" s="85"/>
      <c r="AL948" s="103"/>
      <c r="AM948" s="104"/>
      <c r="AN948" s="103"/>
      <c r="AO948" s="104"/>
      <c r="AP948" s="103"/>
      <c r="AQ948" s="104"/>
      <c r="AR948" s="84"/>
      <c r="AS948" s="84"/>
      <c r="AT948" s="84"/>
      <c r="AU948" s="84"/>
      <c r="AV948" s="84"/>
      <c r="AW948" s="84"/>
      <c r="AX948" s="84"/>
      <c r="AY948" s="84"/>
      <c r="AZ948" s="84"/>
    </row>
    <row r="949" ht="15.75" customHeight="1">
      <c r="A949" s="9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5"/>
      <c r="AK949" s="85"/>
      <c r="AL949" s="103"/>
      <c r="AM949" s="104"/>
      <c r="AN949" s="103"/>
      <c r="AO949" s="104"/>
      <c r="AP949" s="103"/>
      <c r="AQ949" s="104"/>
      <c r="AR949" s="84"/>
      <c r="AS949" s="84"/>
      <c r="AT949" s="84"/>
      <c r="AU949" s="84"/>
      <c r="AV949" s="84"/>
      <c r="AW949" s="84"/>
      <c r="AX949" s="84"/>
      <c r="AY949" s="84"/>
      <c r="AZ949" s="84"/>
    </row>
    <row r="950" ht="15.75" customHeight="1">
      <c r="A950" s="9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5"/>
      <c r="AK950" s="85"/>
      <c r="AL950" s="103"/>
      <c r="AM950" s="104"/>
      <c r="AN950" s="103"/>
      <c r="AO950" s="104"/>
      <c r="AP950" s="103"/>
      <c r="AQ950" s="104"/>
      <c r="AR950" s="84"/>
      <c r="AS950" s="84"/>
      <c r="AT950" s="84"/>
      <c r="AU950" s="84"/>
      <c r="AV950" s="84"/>
      <c r="AW950" s="84"/>
      <c r="AX950" s="84"/>
      <c r="AY950" s="84"/>
      <c r="AZ950" s="84"/>
    </row>
    <row r="951" ht="15.75" customHeight="1">
      <c r="A951" s="9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5"/>
      <c r="AK951" s="85"/>
      <c r="AL951" s="103"/>
      <c r="AM951" s="104"/>
      <c r="AN951" s="103"/>
      <c r="AO951" s="104"/>
      <c r="AP951" s="103"/>
      <c r="AQ951" s="104"/>
      <c r="AR951" s="84"/>
      <c r="AS951" s="84"/>
      <c r="AT951" s="84"/>
      <c r="AU951" s="84"/>
      <c r="AV951" s="84"/>
      <c r="AW951" s="84"/>
      <c r="AX951" s="84"/>
      <c r="AY951" s="84"/>
      <c r="AZ951" s="84"/>
    </row>
    <row r="952" ht="15.75" customHeight="1">
      <c r="A952" s="9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5"/>
      <c r="AK952" s="85"/>
      <c r="AL952" s="103"/>
      <c r="AM952" s="104"/>
      <c r="AN952" s="103"/>
      <c r="AO952" s="104"/>
      <c r="AP952" s="103"/>
      <c r="AQ952" s="104"/>
      <c r="AR952" s="84"/>
      <c r="AS952" s="84"/>
      <c r="AT952" s="84"/>
      <c r="AU952" s="84"/>
      <c r="AV952" s="84"/>
      <c r="AW952" s="84"/>
      <c r="AX952" s="84"/>
      <c r="AY952" s="84"/>
      <c r="AZ952" s="84"/>
    </row>
    <row r="953" ht="15.75" customHeight="1">
      <c r="A953" s="9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5"/>
      <c r="AK953" s="85"/>
      <c r="AL953" s="103"/>
      <c r="AM953" s="104"/>
      <c r="AN953" s="103"/>
      <c r="AO953" s="104"/>
      <c r="AP953" s="103"/>
      <c r="AQ953" s="104"/>
      <c r="AR953" s="84"/>
      <c r="AS953" s="84"/>
      <c r="AT953" s="84"/>
      <c r="AU953" s="84"/>
      <c r="AV953" s="84"/>
      <c r="AW953" s="84"/>
      <c r="AX953" s="84"/>
      <c r="AY953" s="84"/>
      <c r="AZ953" s="84"/>
    </row>
    <row r="954" ht="15.75" customHeight="1">
      <c r="A954" s="9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5"/>
      <c r="AK954" s="85"/>
      <c r="AL954" s="103"/>
      <c r="AM954" s="104"/>
      <c r="AN954" s="103"/>
      <c r="AO954" s="104"/>
      <c r="AP954" s="103"/>
      <c r="AQ954" s="104"/>
      <c r="AR954" s="84"/>
      <c r="AS954" s="84"/>
      <c r="AT954" s="84"/>
      <c r="AU954" s="84"/>
      <c r="AV954" s="84"/>
      <c r="AW954" s="84"/>
      <c r="AX954" s="84"/>
      <c r="AY954" s="84"/>
      <c r="AZ954" s="84"/>
    </row>
    <row r="955" ht="15.75" customHeight="1">
      <c r="A955" s="9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5"/>
      <c r="AK955" s="85"/>
      <c r="AL955" s="103"/>
      <c r="AM955" s="104"/>
      <c r="AN955" s="103"/>
      <c r="AO955" s="104"/>
      <c r="AP955" s="103"/>
      <c r="AQ955" s="104"/>
      <c r="AR955" s="84"/>
      <c r="AS955" s="84"/>
      <c r="AT955" s="84"/>
      <c r="AU955" s="84"/>
      <c r="AV955" s="84"/>
      <c r="AW955" s="84"/>
      <c r="AX955" s="84"/>
      <c r="AY955" s="84"/>
      <c r="AZ955" s="84"/>
    </row>
    <row r="956" ht="15.75" customHeight="1">
      <c r="A956" s="9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5"/>
      <c r="AK956" s="85"/>
      <c r="AL956" s="103"/>
      <c r="AM956" s="104"/>
      <c r="AN956" s="103"/>
      <c r="AO956" s="104"/>
      <c r="AP956" s="103"/>
      <c r="AQ956" s="104"/>
      <c r="AR956" s="84"/>
      <c r="AS956" s="84"/>
      <c r="AT956" s="84"/>
      <c r="AU956" s="84"/>
      <c r="AV956" s="84"/>
      <c r="AW956" s="84"/>
      <c r="AX956" s="84"/>
      <c r="AY956" s="84"/>
      <c r="AZ956" s="84"/>
    </row>
    <row r="957" ht="15.75" customHeight="1">
      <c r="A957" s="9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5"/>
      <c r="AK957" s="85"/>
      <c r="AL957" s="103"/>
      <c r="AM957" s="104"/>
      <c r="AN957" s="103"/>
      <c r="AO957" s="104"/>
      <c r="AP957" s="103"/>
      <c r="AQ957" s="104"/>
      <c r="AR957" s="84"/>
      <c r="AS957" s="84"/>
      <c r="AT957" s="84"/>
      <c r="AU957" s="84"/>
      <c r="AV957" s="84"/>
      <c r="AW957" s="84"/>
      <c r="AX957" s="84"/>
      <c r="AY957" s="84"/>
      <c r="AZ957" s="84"/>
    </row>
    <row r="958" ht="15.75" customHeight="1">
      <c r="A958" s="9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5"/>
      <c r="AK958" s="85"/>
      <c r="AL958" s="103"/>
      <c r="AM958" s="104"/>
      <c r="AN958" s="103"/>
      <c r="AO958" s="104"/>
      <c r="AP958" s="103"/>
      <c r="AQ958" s="104"/>
      <c r="AR958" s="84"/>
      <c r="AS958" s="84"/>
      <c r="AT958" s="84"/>
      <c r="AU958" s="84"/>
      <c r="AV958" s="84"/>
      <c r="AW958" s="84"/>
      <c r="AX958" s="84"/>
      <c r="AY958" s="84"/>
      <c r="AZ958" s="84"/>
    </row>
    <row r="959" ht="15.75" customHeight="1">
      <c r="A959" s="9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5"/>
      <c r="AK959" s="85"/>
      <c r="AL959" s="103"/>
      <c r="AM959" s="104"/>
      <c r="AN959" s="103"/>
      <c r="AO959" s="104"/>
      <c r="AP959" s="103"/>
      <c r="AQ959" s="104"/>
      <c r="AR959" s="84"/>
      <c r="AS959" s="84"/>
      <c r="AT959" s="84"/>
      <c r="AU959" s="84"/>
      <c r="AV959" s="84"/>
      <c r="AW959" s="84"/>
      <c r="AX959" s="84"/>
      <c r="AY959" s="84"/>
      <c r="AZ959" s="84"/>
    </row>
    <row r="960" ht="15.75" customHeight="1">
      <c r="A960" s="9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5"/>
      <c r="AK960" s="85"/>
      <c r="AL960" s="103"/>
      <c r="AM960" s="104"/>
      <c r="AN960" s="103"/>
      <c r="AO960" s="104"/>
      <c r="AP960" s="103"/>
      <c r="AQ960" s="104"/>
      <c r="AR960" s="84"/>
      <c r="AS960" s="84"/>
      <c r="AT960" s="84"/>
      <c r="AU960" s="84"/>
      <c r="AV960" s="84"/>
      <c r="AW960" s="84"/>
      <c r="AX960" s="84"/>
      <c r="AY960" s="84"/>
      <c r="AZ960" s="84"/>
    </row>
    <row r="961" ht="15.75" customHeight="1">
      <c r="A961" s="9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5"/>
      <c r="AK961" s="85"/>
      <c r="AL961" s="103"/>
      <c r="AM961" s="104"/>
      <c r="AN961" s="103"/>
      <c r="AO961" s="104"/>
      <c r="AP961" s="103"/>
      <c r="AQ961" s="104"/>
      <c r="AR961" s="84"/>
      <c r="AS961" s="84"/>
      <c r="AT961" s="84"/>
      <c r="AU961" s="84"/>
      <c r="AV961" s="84"/>
      <c r="AW961" s="84"/>
      <c r="AX961" s="84"/>
      <c r="AY961" s="84"/>
      <c r="AZ961" s="84"/>
    </row>
    <row r="962" ht="15.75" customHeight="1">
      <c r="A962" s="9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5"/>
      <c r="AK962" s="85"/>
      <c r="AL962" s="103"/>
      <c r="AM962" s="104"/>
      <c r="AN962" s="103"/>
      <c r="AO962" s="104"/>
      <c r="AP962" s="103"/>
      <c r="AQ962" s="104"/>
      <c r="AR962" s="84"/>
      <c r="AS962" s="84"/>
      <c r="AT962" s="84"/>
      <c r="AU962" s="84"/>
      <c r="AV962" s="84"/>
      <c r="AW962" s="84"/>
      <c r="AX962" s="84"/>
      <c r="AY962" s="84"/>
      <c r="AZ962" s="84"/>
    </row>
    <row r="963" ht="15.75" customHeight="1">
      <c r="A963" s="9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5"/>
      <c r="AK963" s="85"/>
      <c r="AL963" s="103"/>
      <c r="AM963" s="104"/>
      <c r="AN963" s="103"/>
      <c r="AO963" s="104"/>
      <c r="AP963" s="103"/>
      <c r="AQ963" s="104"/>
      <c r="AR963" s="84"/>
      <c r="AS963" s="84"/>
      <c r="AT963" s="84"/>
      <c r="AU963" s="84"/>
      <c r="AV963" s="84"/>
      <c r="AW963" s="84"/>
      <c r="AX963" s="84"/>
      <c r="AY963" s="84"/>
      <c r="AZ963" s="84"/>
    </row>
    <row r="964" ht="15.75" customHeight="1">
      <c r="A964" s="9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5"/>
      <c r="AK964" s="85"/>
      <c r="AL964" s="103"/>
      <c r="AM964" s="104"/>
      <c r="AN964" s="103"/>
      <c r="AO964" s="104"/>
      <c r="AP964" s="103"/>
      <c r="AQ964" s="104"/>
      <c r="AR964" s="84"/>
      <c r="AS964" s="84"/>
      <c r="AT964" s="84"/>
      <c r="AU964" s="84"/>
      <c r="AV964" s="84"/>
      <c r="AW964" s="84"/>
      <c r="AX964" s="84"/>
      <c r="AY964" s="84"/>
      <c r="AZ964" s="84"/>
    </row>
    <row r="965" ht="15.75" customHeight="1">
      <c r="A965" s="9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5"/>
      <c r="AK965" s="85"/>
      <c r="AL965" s="103"/>
      <c r="AM965" s="104"/>
      <c r="AN965" s="103"/>
      <c r="AO965" s="104"/>
      <c r="AP965" s="103"/>
      <c r="AQ965" s="104"/>
      <c r="AR965" s="84"/>
      <c r="AS965" s="84"/>
      <c r="AT965" s="84"/>
      <c r="AU965" s="84"/>
      <c r="AV965" s="84"/>
      <c r="AW965" s="84"/>
      <c r="AX965" s="84"/>
      <c r="AY965" s="84"/>
      <c r="AZ965" s="84"/>
    </row>
    <row r="966" ht="15.75" customHeight="1">
      <c r="A966" s="9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5"/>
      <c r="AK966" s="85"/>
      <c r="AL966" s="103"/>
      <c r="AM966" s="104"/>
      <c r="AN966" s="103"/>
      <c r="AO966" s="104"/>
      <c r="AP966" s="103"/>
      <c r="AQ966" s="104"/>
      <c r="AR966" s="84"/>
      <c r="AS966" s="84"/>
      <c r="AT966" s="84"/>
      <c r="AU966" s="84"/>
      <c r="AV966" s="84"/>
      <c r="AW966" s="84"/>
      <c r="AX966" s="84"/>
      <c r="AY966" s="84"/>
      <c r="AZ966" s="84"/>
    </row>
    <row r="967" ht="15.75" customHeight="1">
      <c r="A967" s="9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5"/>
      <c r="AK967" s="85"/>
      <c r="AL967" s="103"/>
      <c r="AM967" s="104"/>
      <c r="AN967" s="103"/>
      <c r="AO967" s="104"/>
      <c r="AP967" s="103"/>
      <c r="AQ967" s="104"/>
      <c r="AR967" s="84"/>
      <c r="AS967" s="84"/>
      <c r="AT967" s="84"/>
      <c r="AU967" s="84"/>
      <c r="AV967" s="84"/>
      <c r="AW967" s="84"/>
      <c r="AX967" s="84"/>
      <c r="AY967" s="84"/>
      <c r="AZ967" s="84"/>
    </row>
    <row r="968" ht="15.75" customHeight="1">
      <c r="A968" s="9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5"/>
      <c r="AK968" s="85"/>
      <c r="AL968" s="103"/>
      <c r="AM968" s="104"/>
      <c r="AN968" s="103"/>
      <c r="AO968" s="104"/>
      <c r="AP968" s="103"/>
      <c r="AQ968" s="104"/>
      <c r="AR968" s="84"/>
      <c r="AS968" s="84"/>
      <c r="AT968" s="84"/>
      <c r="AU968" s="84"/>
      <c r="AV968" s="84"/>
      <c r="AW968" s="84"/>
      <c r="AX968" s="84"/>
      <c r="AY968" s="84"/>
      <c r="AZ968" s="84"/>
    </row>
    <row r="969" ht="15.75" customHeight="1">
      <c r="A969" s="9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5"/>
      <c r="AK969" s="85"/>
      <c r="AL969" s="103"/>
      <c r="AM969" s="104"/>
      <c r="AN969" s="103"/>
      <c r="AO969" s="104"/>
      <c r="AP969" s="103"/>
      <c r="AQ969" s="104"/>
      <c r="AR969" s="84"/>
      <c r="AS969" s="84"/>
      <c r="AT969" s="84"/>
      <c r="AU969" s="84"/>
      <c r="AV969" s="84"/>
      <c r="AW969" s="84"/>
      <c r="AX969" s="84"/>
      <c r="AY969" s="84"/>
      <c r="AZ969" s="84"/>
    </row>
    <row r="970" ht="15.75" customHeight="1">
      <c r="A970" s="9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5"/>
      <c r="AK970" s="85"/>
      <c r="AL970" s="103"/>
      <c r="AM970" s="104"/>
      <c r="AN970" s="103"/>
      <c r="AO970" s="104"/>
      <c r="AP970" s="103"/>
      <c r="AQ970" s="104"/>
      <c r="AR970" s="84"/>
      <c r="AS970" s="84"/>
      <c r="AT970" s="84"/>
      <c r="AU970" s="84"/>
      <c r="AV970" s="84"/>
      <c r="AW970" s="84"/>
      <c r="AX970" s="84"/>
      <c r="AY970" s="84"/>
      <c r="AZ970" s="84"/>
    </row>
    <row r="971" ht="15.75" customHeight="1">
      <c r="A971" s="9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5"/>
      <c r="AK971" s="85"/>
      <c r="AL971" s="103"/>
      <c r="AM971" s="104"/>
      <c r="AN971" s="103"/>
      <c r="AO971" s="104"/>
      <c r="AP971" s="103"/>
      <c r="AQ971" s="104"/>
      <c r="AR971" s="84"/>
      <c r="AS971" s="84"/>
      <c r="AT971" s="84"/>
      <c r="AU971" s="84"/>
      <c r="AV971" s="84"/>
      <c r="AW971" s="84"/>
      <c r="AX971" s="84"/>
      <c r="AY971" s="84"/>
      <c r="AZ971" s="84"/>
    </row>
    <row r="972" ht="15.75" customHeight="1">
      <c r="A972" s="9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5"/>
      <c r="AK972" s="85"/>
      <c r="AL972" s="103"/>
      <c r="AM972" s="104"/>
      <c r="AN972" s="103"/>
      <c r="AO972" s="104"/>
      <c r="AP972" s="103"/>
      <c r="AQ972" s="104"/>
      <c r="AR972" s="84"/>
      <c r="AS972" s="84"/>
      <c r="AT972" s="84"/>
      <c r="AU972" s="84"/>
      <c r="AV972" s="84"/>
      <c r="AW972" s="84"/>
      <c r="AX972" s="84"/>
      <c r="AY972" s="84"/>
      <c r="AZ972" s="84"/>
    </row>
    <row r="973" ht="15.75" customHeight="1">
      <c r="A973" s="9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5"/>
      <c r="AK973" s="85"/>
      <c r="AL973" s="103"/>
      <c r="AM973" s="104"/>
      <c r="AN973" s="103"/>
      <c r="AO973" s="104"/>
      <c r="AP973" s="103"/>
      <c r="AQ973" s="104"/>
      <c r="AR973" s="84"/>
      <c r="AS973" s="84"/>
      <c r="AT973" s="84"/>
      <c r="AU973" s="84"/>
      <c r="AV973" s="84"/>
      <c r="AW973" s="84"/>
      <c r="AX973" s="84"/>
      <c r="AY973" s="84"/>
      <c r="AZ973" s="84"/>
    </row>
    <row r="974" ht="15.75" customHeight="1">
      <c r="A974" s="9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5"/>
      <c r="AK974" s="85"/>
      <c r="AL974" s="103"/>
      <c r="AM974" s="104"/>
      <c r="AN974" s="103"/>
      <c r="AO974" s="104"/>
      <c r="AP974" s="103"/>
      <c r="AQ974" s="104"/>
      <c r="AR974" s="84"/>
      <c r="AS974" s="84"/>
      <c r="AT974" s="84"/>
      <c r="AU974" s="84"/>
      <c r="AV974" s="84"/>
      <c r="AW974" s="84"/>
      <c r="AX974" s="84"/>
      <c r="AY974" s="84"/>
      <c r="AZ974" s="84"/>
    </row>
    <row r="975" ht="15.75" customHeight="1">
      <c r="A975" s="9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5"/>
      <c r="AK975" s="85"/>
      <c r="AL975" s="103"/>
      <c r="AM975" s="104"/>
      <c r="AN975" s="103"/>
      <c r="AO975" s="104"/>
      <c r="AP975" s="103"/>
      <c r="AQ975" s="104"/>
      <c r="AR975" s="84"/>
      <c r="AS975" s="84"/>
      <c r="AT975" s="84"/>
      <c r="AU975" s="84"/>
      <c r="AV975" s="84"/>
      <c r="AW975" s="84"/>
      <c r="AX975" s="84"/>
      <c r="AY975" s="84"/>
      <c r="AZ975" s="84"/>
    </row>
    <row r="976" ht="15.75" customHeight="1">
      <c r="A976" s="9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5"/>
      <c r="AK976" s="85"/>
      <c r="AL976" s="103"/>
      <c r="AM976" s="104"/>
      <c r="AN976" s="103"/>
      <c r="AO976" s="104"/>
      <c r="AP976" s="103"/>
      <c r="AQ976" s="104"/>
      <c r="AR976" s="84"/>
      <c r="AS976" s="84"/>
      <c r="AT976" s="84"/>
      <c r="AU976" s="84"/>
      <c r="AV976" s="84"/>
      <c r="AW976" s="84"/>
      <c r="AX976" s="84"/>
      <c r="AY976" s="84"/>
      <c r="AZ976" s="84"/>
    </row>
    <row r="977" ht="15.75" customHeight="1">
      <c r="A977" s="9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5"/>
      <c r="AK977" s="85"/>
      <c r="AL977" s="103"/>
      <c r="AM977" s="104"/>
      <c r="AN977" s="103"/>
      <c r="AO977" s="104"/>
      <c r="AP977" s="103"/>
      <c r="AQ977" s="104"/>
      <c r="AR977" s="84"/>
      <c r="AS977" s="84"/>
      <c r="AT977" s="84"/>
      <c r="AU977" s="84"/>
      <c r="AV977" s="84"/>
      <c r="AW977" s="84"/>
      <c r="AX977" s="84"/>
      <c r="AY977" s="84"/>
      <c r="AZ977" s="84"/>
    </row>
    <row r="978" ht="15.75" customHeight="1">
      <c r="A978" s="9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5"/>
      <c r="AK978" s="85"/>
      <c r="AL978" s="103"/>
      <c r="AM978" s="104"/>
      <c r="AN978" s="103"/>
      <c r="AO978" s="104"/>
      <c r="AP978" s="103"/>
      <c r="AQ978" s="104"/>
      <c r="AR978" s="84"/>
      <c r="AS978" s="84"/>
      <c r="AT978" s="84"/>
      <c r="AU978" s="84"/>
      <c r="AV978" s="84"/>
      <c r="AW978" s="84"/>
      <c r="AX978" s="84"/>
      <c r="AY978" s="84"/>
      <c r="AZ978" s="84"/>
    </row>
    <row r="979" ht="15.75" customHeight="1">
      <c r="A979" s="9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5"/>
      <c r="AK979" s="85"/>
      <c r="AL979" s="103"/>
      <c r="AM979" s="104"/>
      <c r="AN979" s="103"/>
      <c r="AO979" s="104"/>
      <c r="AP979" s="103"/>
      <c r="AQ979" s="104"/>
      <c r="AR979" s="84"/>
      <c r="AS979" s="84"/>
      <c r="AT979" s="84"/>
      <c r="AU979" s="84"/>
      <c r="AV979" s="84"/>
      <c r="AW979" s="84"/>
      <c r="AX979" s="84"/>
      <c r="AY979" s="84"/>
      <c r="AZ979" s="84"/>
    </row>
    <row r="980" ht="15.75" customHeight="1">
      <c r="A980" s="9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5"/>
      <c r="AK980" s="85"/>
      <c r="AL980" s="103"/>
      <c r="AM980" s="104"/>
      <c r="AN980" s="103"/>
      <c r="AO980" s="104"/>
      <c r="AP980" s="103"/>
      <c r="AQ980" s="104"/>
      <c r="AR980" s="84"/>
      <c r="AS980" s="84"/>
      <c r="AT980" s="84"/>
      <c r="AU980" s="84"/>
      <c r="AV980" s="84"/>
      <c r="AW980" s="84"/>
      <c r="AX980" s="84"/>
      <c r="AY980" s="84"/>
      <c r="AZ980" s="84"/>
    </row>
    <row r="981" ht="15.75" customHeight="1">
      <c r="A981" s="9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5"/>
      <c r="AK981" s="85"/>
      <c r="AL981" s="103"/>
      <c r="AM981" s="104"/>
      <c r="AN981" s="103"/>
      <c r="AO981" s="104"/>
      <c r="AP981" s="103"/>
      <c r="AQ981" s="104"/>
      <c r="AR981" s="84"/>
      <c r="AS981" s="84"/>
      <c r="AT981" s="84"/>
      <c r="AU981" s="84"/>
      <c r="AV981" s="84"/>
      <c r="AW981" s="84"/>
      <c r="AX981" s="84"/>
      <c r="AY981" s="84"/>
      <c r="AZ981" s="84"/>
    </row>
    <row r="982" ht="15.75" customHeight="1">
      <c r="A982" s="9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5"/>
      <c r="AK982" s="85"/>
      <c r="AL982" s="103"/>
      <c r="AM982" s="104"/>
      <c r="AN982" s="103"/>
      <c r="AO982" s="104"/>
      <c r="AP982" s="103"/>
      <c r="AQ982" s="104"/>
      <c r="AR982" s="84"/>
      <c r="AS982" s="84"/>
      <c r="AT982" s="84"/>
      <c r="AU982" s="84"/>
      <c r="AV982" s="84"/>
      <c r="AW982" s="84"/>
      <c r="AX982" s="84"/>
      <c r="AY982" s="84"/>
      <c r="AZ982" s="84"/>
    </row>
    <row r="983" ht="15.75" customHeight="1">
      <c r="A983" s="9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5"/>
      <c r="AK983" s="85"/>
      <c r="AL983" s="103"/>
      <c r="AM983" s="104"/>
      <c r="AN983" s="103"/>
      <c r="AO983" s="104"/>
      <c r="AP983" s="103"/>
      <c r="AQ983" s="104"/>
      <c r="AR983" s="84"/>
      <c r="AS983" s="84"/>
      <c r="AT983" s="84"/>
      <c r="AU983" s="84"/>
      <c r="AV983" s="84"/>
      <c r="AW983" s="84"/>
      <c r="AX983" s="84"/>
      <c r="AY983" s="84"/>
      <c r="AZ983" s="84"/>
    </row>
    <row r="984" ht="15.75" customHeight="1">
      <c r="A984" s="9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5"/>
      <c r="AK984" s="85"/>
      <c r="AL984" s="103"/>
      <c r="AM984" s="104"/>
      <c r="AN984" s="103"/>
      <c r="AO984" s="104"/>
      <c r="AP984" s="103"/>
      <c r="AQ984" s="104"/>
      <c r="AR984" s="84"/>
      <c r="AS984" s="84"/>
      <c r="AT984" s="84"/>
      <c r="AU984" s="84"/>
      <c r="AV984" s="84"/>
      <c r="AW984" s="84"/>
      <c r="AX984" s="84"/>
      <c r="AY984" s="84"/>
      <c r="AZ984" s="84"/>
    </row>
    <row r="985" ht="15.75" customHeight="1">
      <c r="A985" s="9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5"/>
      <c r="AK985" s="85"/>
      <c r="AL985" s="103"/>
      <c r="AM985" s="104"/>
      <c r="AN985" s="103"/>
      <c r="AO985" s="104"/>
      <c r="AP985" s="103"/>
      <c r="AQ985" s="104"/>
      <c r="AR985" s="84"/>
      <c r="AS985" s="84"/>
      <c r="AT985" s="84"/>
      <c r="AU985" s="84"/>
      <c r="AV985" s="84"/>
      <c r="AW985" s="84"/>
      <c r="AX985" s="84"/>
      <c r="AY985" s="84"/>
      <c r="AZ985" s="84"/>
    </row>
    <row r="986" ht="15.75" customHeight="1">
      <c r="A986" s="9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5"/>
      <c r="AK986" s="85"/>
      <c r="AL986" s="103"/>
      <c r="AM986" s="104"/>
      <c r="AN986" s="103"/>
      <c r="AO986" s="104"/>
      <c r="AP986" s="103"/>
      <c r="AQ986" s="104"/>
      <c r="AR986" s="84"/>
      <c r="AS986" s="84"/>
      <c r="AT986" s="84"/>
      <c r="AU986" s="84"/>
      <c r="AV986" s="84"/>
      <c r="AW986" s="84"/>
      <c r="AX986" s="84"/>
      <c r="AY986" s="84"/>
      <c r="AZ986" s="84"/>
    </row>
    <row r="987" ht="15.75" customHeight="1">
      <c r="A987" s="9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5"/>
      <c r="AK987" s="85"/>
      <c r="AL987" s="103"/>
      <c r="AM987" s="104"/>
      <c r="AN987" s="103"/>
      <c r="AO987" s="104"/>
      <c r="AP987" s="103"/>
      <c r="AQ987" s="104"/>
      <c r="AR987" s="84"/>
      <c r="AS987" s="84"/>
      <c r="AT987" s="84"/>
      <c r="AU987" s="84"/>
      <c r="AV987" s="84"/>
      <c r="AW987" s="84"/>
      <c r="AX987" s="84"/>
      <c r="AY987" s="84"/>
      <c r="AZ987" s="84"/>
    </row>
    <row r="988" ht="15.75" customHeight="1">
      <c r="A988" s="9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5"/>
      <c r="AK988" s="85"/>
      <c r="AL988" s="103"/>
      <c r="AM988" s="104"/>
      <c r="AN988" s="103"/>
      <c r="AO988" s="104"/>
      <c r="AP988" s="103"/>
      <c r="AQ988" s="104"/>
      <c r="AR988" s="84"/>
      <c r="AS988" s="84"/>
      <c r="AT988" s="84"/>
      <c r="AU988" s="84"/>
      <c r="AV988" s="84"/>
      <c r="AW988" s="84"/>
      <c r="AX988" s="84"/>
      <c r="AY988" s="84"/>
      <c r="AZ988" s="84"/>
    </row>
    <row r="989" ht="15.75" customHeight="1">
      <c r="A989" s="9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5"/>
      <c r="AK989" s="85"/>
      <c r="AL989" s="103"/>
      <c r="AM989" s="104"/>
      <c r="AN989" s="103"/>
      <c r="AO989" s="104"/>
      <c r="AP989" s="103"/>
      <c r="AQ989" s="104"/>
      <c r="AR989" s="84"/>
      <c r="AS989" s="84"/>
      <c r="AT989" s="84"/>
      <c r="AU989" s="84"/>
      <c r="AV989" s="84"/>
      <c r="AW989" s="84"/>
      <c r="AX989" s="84"/>
      <c r="AY989" s="84"/>
      <c r="AZ989" s="84"/>
    </row>
    <row r="990" ht="15.75" customHeight="1">
      <c r="A990" s="9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5"/>
      <c r="AK990" s="85"/>
      <c r="AL990" s="103"/>
      <c r="AM990" s="104"/>
      <c r="AN990" s="103"/>
      <c r="AO990" s="104"/>
      <c r="AP990" s="103"/>
      <c r="AQ990" s="104"/>
      <c r="AR990" s="84"/>
      <c r="AS990" s="84"/>
      <c r="AT990" s="84"/>
      <c r="AU990" s="84"/>
      <c r="AV990" s="84"/>
      <c r="AW990" s="84"/>
      <c r="AX990" s="84"/>
      <c r="AY990" s="84"/>
      <c r="AZ990" s="84"/>
    </row>
    <row r="991" ht="15.75" customHeight="1">
      <c r="A991" s="9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5"/>
      <c r="AK991" s="85"/>
      <c r="AL991" s="103"/>
      <c r="AM991" s="104"/>
      <c r="AN991" s="103"/>
      <c r="AO991" s="104"/>
      <c r="AP991" s="103"/>
      <c r="AQ991" s="104"/>
      <c r="AR991" s="84"/>
      <c r="AS991" s="84"/>
      <c r="AT991" s="84"/>
      <c r="AU991" s="84"/>
      <c r="AV991" s="84"/>
      <c r="AW991" s="84"/>
      <c r="AX991" s="84"/>
      <c r="AY991" s="84"/>
      <c r="AZ991" s="84"/>
    </row>
    <row r="992" ht="15.75" customHeight="1">
      <c r="A992" s="9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5"/>
      <c r="AK992" s="85"/>
      <c r="AL992" s="103"/>
      <c r="AM992" s="104"/>
      <c r="AN992" s="103"/>
      <c r="AO992" s="104"/>
      <c r="AP992" s="103"/>
      <c r="AQ992" s="104"/>
      <c r="AR992" s="84"/>
      <c r="AS992" s="84"/>
      <c r="AT992" s="84"/>
      <c r="AU992" s="84"/>
      <c r="AV992" s="84"/>
      <c r="AW992" s="84"/>
      <c r="AX992" s="84"/>
      <c r="AY992" s="84"/>
      <c r="AZ992" s="84"/>
    </row>
    <row r="993" ht="15.75" customHeight="1">
      <c r="A993" s="9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5"/>
      <c r="AK993" s="85"/>
      <c r="AL993" s="103"/>
      <c r="AM993" s="104"/>
      <c r="AN993" s="103"/>
      <c r="AO993" s="104"/>
      <c r="AP993" s="103"/>
      <c r="AQ993" s="104"/>
      <c r="AR993" s="84"/>
      <c r="AS993" s="84"/>
      <c r="AT993" s="84"/>
      <c r="AU993" s="84"/>
      <c r="AV993" s="84"/>
      <c r="AW993" s="84"/>
      <c r="AX993" s="84"/>
      <c r="AY993" s="84"/>
      <c r="AZ993" s="84"/>
    </row>
    <row r="994" ht="15.75" customHeight="1">
      <c r="A994" s="9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5"/>
      <c r="AK994" s="85"/>
      <c r="AL994" s="103"/>
      <c r="AM994" s="104"/>
      <c r="AN994" s="103"/>
      <c r="AO994" s="104"/>
      <c r="AP994" s="103"/>
      <c r="AQ994" s="104"/>
      <c r="AR994" s="84"/>
      <c r="AS994" s="84"/>
      <c r="AT994" s="84"/>
      <c r="AU994" s="84"/>
      <c r="AV994" s="84"/>
      <c r="AW994" s="84"/>
      <c r="AX994" s="84"/>
      <c r="AY994" s="84"/>
      <c r="AZ994" s="84"/>
    </row>
    <row r="995" ht="15.75" customHeight="1">
      <c r="A995" s="9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5"/>
      <c r="AK995" s="85"/>
      <c r="AL995" s="103"/>
      <c r="AM995" s="104"/>
      <c r="AN995" s="103"/>
      <c r="AO995" s="104"/>
      <c r="AP995" s="103"/>
      <c r="AQ995" s="104"/>
      <c r="AR995" s="84"/>
      <c r="AS995" s="84"/>
      <c r="AT995" s="84"/>
      <c r="AU995" s="84"/>
      <c r="AV995" s="84"/>
      <c r="AW995" s="84"/>
      <c r="AX995" s="84"/>
      <c r="AY995" s="84"/>
      <c r="AZ995" s="84"/>
    </row>
    <row r="996" ht="15.75" customHeight="1">
      <c r="A996" s="9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5"/>
      <c r="AK996" s="85"/>
      <c r="AL996" s="103"/>
      <c r="AM996" s="104"/>
      <c r="AN996" s="103"/>
      <c r="AO996" s="104"/>
      <c r="AP996" s="103"/>
      <c r="AQ996" s="104"/>
      <c r="AR996" s="84"/>
      <c r="AS996" s="84"/>
      <c r="AT996" s="84"/>
      <c r="AU996" s="84"/>
      <c r="AV996" s="84"/>
      <c r="AW996" s="84"/>
      <c r="AX996" s="84"/>
      <c r="AY996" s="84"/>
      <c r="AZ996" s="84"/>
    </row>
    <row r="997" ht="15.75" customHeight="1">
      <c r="A997" s="9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5"/>
      <c r="AK997" s="85"/>
      <c r="AL997" s="103"/>
      <c r="AM997" s="104"/>
      <c r="AN997" s="103"/>
      <c r="AO997" s="104"/>
      <c r="AP997" s="103"/>
      <c r="AQ997" s="104"/>
      <c r="AR997" s="84"/>
      <c r="AS997" s="84"/>
      <c r="AT997" s="84"/>
      <c r="AU997" s="84"/>
      <c r="AV997" s="84"/>
      <c r="AW997" s="84"/>
      <c r="AX997" s="84"/>
      <c r="AY997" s="84"/>
      <c r="AZ997" s="84"/>
    </row>
    <row r="998" ht="15.75" customHeight="1">
      <c r="A998" s="9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5"/>
      <c r="AK998" s="85"/>
      <c r="AL998" s="103"/>
      <c r="AM998" s="104"/>
      <c r="AN998" s="103"/>
      <c r="AO998" s="104"/>
      <c r="AP998" s="103"/>
      <c r="AQ998" s="104"/>
      <c r="AR998" s="84"/>
      <c r="AS998" s="84"/>
      <c r="AT998" s="84"/>
      <c r="AU998" s="84"/>
      <c r="AV998" s="84"/>
      <c r="AW998" s="84"/>
      <c r="AX998" s="84"/>
      <c r="AY998" s="84"/>
      <c r="AZ998" s="84"/>
    </row>
    <row r="999" ht="15.75" customHeight="1">
      <c r="A999" s="9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5"/>
      <c r="AK999" s="85"/>
      <c r="AL999" s="103"/>
      <c r="AM999" s="104"/>
      <c r="AN999" s="103"/>
      <c r="AO999" s="104"/>
      <c r="AP999" s="103"/>
      <c r="AQ999" s="104"/>
      <c r="AR999" s="84"/>
      <c r="AS999" s="84"/>
      <c r="AT999" s="84"/>
      <c r="AU999" s="84"/>
      <c r="AV999" s="84"/>
      <c r="AW999" s="84"/>
      <c r="AX999" s="84"/>
      <c r="AY999" s="84"/>
      <c r="AZ999" s="84"/>
    </row>
    <row r="1000" ht="15.75" customHeight="1">
      <c r="A1000" s="9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5"/>
      <c r="AK1000" s="85"/>
      <c r="AL1000" s="103"/>
      <c r="AM1000" s="104"/>
      <c r="AN1000" s="103"/>
      <c r="AO1000" s="104"/>
      <c r="AP1000" s="103"/>
      <c r="AQ1000" s="104"/>
      <c r="AR1000" s="84"/>
      <c r="AS1000" s="84"/>
      <c r="AT1000" s="84"/>
      <c r="AU1000" s="84"/>
      <c r="AV1000" s="84"/>
      <c r="AW1000" s="84"/>
      <c r="AX1000" s="84"/>
      <c r="AY1000" s="84"/>
      <c r="AZ1000" s="84"/>
    </row>
    <row r="1001" ht="15.75" customHeight="1">
      <c r="A1001" s="9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5"/>
      <c r="AK1001" s="85"/>
      <c r="AL1001" s="118"/>
      <c r="AM1001" s="119"/>
      <c r="AN1001" s="118"/>
      <c r="AO1001" s="119"/>
      <c r="AP1001" s="118"/>
      <c r="AQ1001" s="119"/>
      <c r="AR1001" s="84"/>
      <c r="AS1001" s="84"/>
      <c r="AT1001" s="84"/>
      <c r="AU1001" s="84"/>
      <c r="AV1001" s="84"/>
      <c r="AW1001" s="84"/>
      <c r="AX1001" s="84"/>
      <c r="AY1001" s="84"/>
      <c r="AZ1001" s="84"/>
    </row>
  </sheetData>
  <mergeCells count="7503"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1:AI331"/>
    <mergeCell ref="AJ331:AK331"/>
    <mergeCell ref="AL331:AM331"/>
    <mergeCell ref="AN331:AO331"/>
    <mergeCell ref="AP331:AQ331"/>
    <mergeCell ref="AR331:AS331"/>
    <mergeCell ref="AT331:AU331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AJ332:AK332"/>
    <mergeCell ref="AL332:AM332"/>
    <mergeCell ref="AN332:AO332"/>
    <mergeCell ref="AP332:AQ332"/>
    <mergeCell ref="AR332:AS332"/>
    <mergeCell ref="AT332:AU332"/>
    <mergeCell ref="F334:G334"/>
    <mergeCell ref="H334:I334"/>
    <mergeCell ref="J334:K334"/>
    <mergeCell ref="L334:M334"/>
    <mergeCell ref="N334:O334"/>
    <mergeCell ref="P334:Q334"/>
    <mergeCell ref="R334:S334"/>
    <mergeCell ref="AP334:AQ334"/>
    <mergeCell ref="AR334:AS334"/>
    <mergeCell ref="AL333:AM333"/>
    <mergeCell ref="AN333:AO333"/>
    <mergeCell ref="AP333:AQ333"/>
    <mergeCell ref="AR333:AS333"/>
    <mergeCell ref="AT333:AU333"/>
    <mergeCell ref="AL334:AM334"/>
    <mergeCell ref="AN334:AO334"/>
    <mergeCell ref="AT334:AU334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F332:G332"/>
    <mergeCell ref="H332:I332"/>
    <mergeCell ref="J332:K332"/>
    <mergeCell ref="L332:M332"/>
    <mergeCell ref="N332:O332"/>
    <mergeCell ref="P332:Q332"/>
    <mergeCell ref="R332:S332"/>
    <mergeCell ref="F333:G333"/>
    <mergeCell ref="H333:I333"/>
    <mergeCell ref="J333:K333"/>
    <mergeCell ref="L333:M333"/>
    <mergeCell ref="N333:O333"/>
    <mergeCell ref="P333:Q333"/>
    <mergeCell ref="R333:S333"/>
    <mergeCell ref="AH335:AI335"/>
    <mergeCell ref="AJ335:AK335"/>
    <mergeCell ref="AL335:AM335"/>
    <mergeCell ref="AN335:AO335"/>
    <mergeCell ref="AP335:AQ335"/>
    <mergeCell ref="AR335:AS335"/>
    <mergeCell ref="AT335:AU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L337:AM337"/>
    <mergeCell ref="AN337:AO337"/>
    <mergeCell ref="AP337:AQ337"/>
    <mergeCell ref="AR337:AS337"/>
    <mergeCell ref="AT337:AU337"/>
    <mergeCell ref="AH336:AI336"/>
    <mergeCell ref="AJ336:AK336"/>
    <mergeCell ref="AL336:AM336"/>
    <mergeCell ref="AN336:AO336"/>
    <mergeCell ref="AP336:AQ336"/>
    <mergeCell ref="AR336:AS336"/>
    <mergeCell ref="AT336:AU336"/>
    <mergeCell ref="F337:G337"/>
    <mergeCell ref="H337:I337"/>
    <mergeCell ref="J337:K337"/>
    <mergeCell ref="L337:M337"/>
    <mergeCell ref="N337:O337"/>
    <mergeCell ref="P337:Q337"/>
    <mergeCell ref="R337:S337"/>
    <mergeCell ref="AH338:AI338"/>
    <mergeCell ref="AJ338:AK338"/>
    <mergeCell ref="AL338:AM338"/>
    <mergeCell ref="AN338:AO338"/>
    <mergeCell ref="AP338:AQ338"/>
    <mergeCell ref="AR338:AS338"/>
    <mergeCell ref="AT338:AU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AL339:AM339"/>
    <mergeCell ref="AN339:AO339"/>
    <mergeCell ref="AP339:AQ339"/>
    <mergeCell ref="AR339:AS339"/>
    <mergeCell ref="AT339:AU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49:AI349"/>
    <mergeCell ref="AJ349:AK349"/>
    <mergeCell ref="AL349:AM349"/>
    <mergeCell ref="AN349:AO349"/>
    <mergeCell ref="AP349:AQ349"/>
    <mergeCell ref="AR349:AS349"/>
    <mergeCell ref="AT349:AU349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L350:AM350"/>
    <mergeCell ref="AN350:AO350"/>
    <mergeCell ref="AP350:AQ350"/>
    <mergeCell ref="AR350:AS350"/>
    <mergeCell ref="AT350:AU350"/>
    <mergeCell ref="F352:G352"/>
    <mergeCell ref="H352:I352"/>
    <mergeCell ref="J352:K352"/>
    <mergeCell ref="L352:M352"/>
    <mergeCell ref="N352:O352"/>
    <mergeCell ref="P352:Q352"/>
    <mergeCell ref="R352:S352"/>
    <mergeCell ref="AP352:AQ352"/>
    <mergeCell ref="AR352:AS352"/>
    <mergeCell ref="AL351:AM351"/>
    <mergeCell ref="AN351:AO351"/>
    <mergeCell ref="AP351:AQ351"/>
    <mergeCell ref="AR351:AS351"/>
    <mergeCell ref="AT351:AU351"/>
    <mergeCell ref="AL352:AM352"/>
    <mergeCell ref="AN352:AO352"/>
    <mergeCell ref="AT352:AU352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F350:G350"/>
    <mergeCell ref="H350:I350"/>
    <mergeCell ref="J350:K350"/>
    <mergeCell ref="L350:M350"/>
    <mergeCell ref="N350:O350"/>
    <mergeCell ref="P350:Q350"/>
    <mergeCell ref="R350:S350"/>
    <mergeCell ref="F351:G351"/>
    <mergeCell ref="H351:I351"/>
    <mergeCell ref="J351:K351"/>
    <mergeCell ref="L351:M351"/>
    <mergeCell ref="N351:O351"/>
    <mergeCell ref="P351:Q351"/>
    <mergeCell ref="R351:S351"/>
    <mergeCell ref="AH353:AI353"/>
    <mergeCell ref="AJ353:AK353"/>
    <mergeCell ref="AL353:AM353"/>
    <mergeCell ref="AN353:AO353"/>
    <mergeCell ref="AP353:AQ353"/>
    <mergeCell ref="AR353:AS353"/>
    <mergeCell ref="AT353:AU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L355:AM355"/>
    <mergeCell ref="AN355:AO355"/>
    <mergeCell ref="AP355:AQ355"/>
    <mergeCell ref="AR355:AS355"/>
    <mergeCell ref="AT355:AU355"/>
    <mergeCell ref="AH354:AI354"/>
    <mergeCell ref="AJ354:AK354"/>
    <mergeCell ref="AL354:AM354"/>
    <mergeCell ref="AN354:AO354"/>
    <mergeCell ref="AP354:AQ354"/>
    <mergeCell ref="AR354:AS354"/>
    <mergeCell ref="AT354:AU354"/>
    <mergeCell ref="AH358:AI358"/>
    <mergeCell ref="AJ358:AK358"/>
    <mergeCell ref="AL358:AM358"/>
    <mergeCell ref="AN358:AO358"/>
    <mergeCell ref="AP358:AQ358"/>
    <mergeCell ref="AR358:AS358"/>
    <mergeCell ref="AT358:AU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AL359:AM359"/>
    <mergeCell ref="AN359:AO359"/>
    <mergeCell ref="AP359:AQ359"/>
    <mergeCell ref="AR359:AS359"/>
    <mergeCell ref="AT359:AU359"/>
    <mergeCell ref="T359:U359"/>
    <mergeCell ref="V359:W359"/>
    <mergeCell ref="X359:Y359"/>
    <mergeCell ref="Z359:AA359"/>
    <mergeCell ref="AB359:AC359"/>
    <mergeCell ref="AD359:AE359"/>
    <mergeCell ref="AF359:AG359"/>
    <mergeCell ref="F355:G355"/>
    <mergeCell ref="H355:I355"/>
    <mergeCell ref="J355:K355"/>
    <mergeCell ref="L355:M355"/>
    <mergeCell ref="N355:O355"/>
    <mergeCell ref="P355:Q355"/>
    <mergeCell ref="R355:S355"/>
    <mergeCell ref="AH356:AI356"/>
    <mergeCell ref="AJ356:AK356"/>
    <mergeCell ref="AL356:AM356"/>
    <mergeCell ref="AN356:AO356"/>
    <mergeCell ref="AP356:AQ356"/>
    <mergeCell ref="AR356:AS356"/>
    <mergeCell ref="AT356:AU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AL357:AM357"/>
    <mergeCell ref="AN357:AO357"/>
    <mergeCell ref="AP357:AQ357"/>
    <mergeCell ref="AR357:AS357"/>
    <mergeCell ref="AT357:AU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0:AI340"/>
    <mergeCell ref="AJ340:AK340"/>
    <mergeCell ref="AL340:AM340"/>
    <mergeCell ref="AN340:AO340"/>
    <mergeCell ref="AP340:AQ340"/>
    <mergeCell ref="AR340:AS340"/>
    <mergeCell ref="AT340:AU340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AJ341:AK341"/>
    <mergeCell ref="AL341:AM341"/>
    <mergeCell ref="AN341:AO341"/>
    <mergeCell ref="AP341:AQ341"/>
    <mergeCell ref="AR341:AS341"/>
    <mergeCell ref="AT341:AU341"/>
    <mergeCell ref="F343:G343"/>
    <mergeCell ref="H343:I343"/>
    <mergeCell ref="J343:K343"/>
    <mergeCell ref="L343:M343"/>
    <mergeCell ref="N343:O343"/>
    <mergeCell ref="P343:Q343"/>
    <mergeCell ref="R343:S343"/>
    <mergeCell ref="AP343:AQ343"/>
    <mergeCell ref="AR343:AS343"/>
    <mergeCell ref="AL342:AM342"/>
    <mergeCell ref="AN342:AO342"/>
    <mergeCell ref="AP342:AQ342"/>
    <mergeCell ref="AR342:AS342"/>
    <mergeCell ref="AT342:AU342"/>
    <mergeCell ref="AL343:AM343"/>
    <mergeCell ref="AN343:AO343"/>
    <mergeCell ref="AT343:AU343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H344:AI344"/>
    <mergeCell ref="AJ344:AK344"/>
    <mergeCell ref="AL344:AM344"/>
    <mergeCell ref="AN344:AO344"/>
    <mergeCell ref="AP344:AQ344"/>
    <mergeCell ref="AR344:AS344"/>
    <mergeCell ref="AT344:AU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L346:AM346"/>
    <mergeCell ref="AN346:AO346"/>
    <mergeCell ref="AP346:AQ346"/>
    <mergeCell ref="AR346:AS346"/>
    <mergeCell ref="AT346:AU346"/>
    <mergeCell ref="AH345:AI345"/>
    <mergeCell ref="AJ345:AK345"/>
    <mergeCell ref="AL345:AM345"/>
    <mergeCell ref="AN345:AO345"/>
    <mergeCell ref="AP345:AQ345"/>
    <mergeCell ref="AR345:AS345"/>
    <mergeCell ref="AT345:AU345"/>
    <mergeCell ref="F346:G346"/>
    <mergeCell ref="H346:I346"/>
    <mergeCell ref="J346:K346"/>
    <mergeCell ref="L346:M346"/>
    <mergeCell ref="N346:O346"/>
    <mergeCell ref="P346:Q346"/>
    <mergeCell ref="R346:S346"/>
    <mergeCell ref="AH347:AI347"/>
    <mergeCell ref="AJ347:AK347"/>
    <mergeCell ref="AL347:AM347"/>
    <mergeCell ref="AN347:AO347"/>
    <mergeCell ref="AP347:AQ347"/>
    <mergeCell ref="AR347:AS347"/>
    <mergeCell ref="AT347:AU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AL348:AM348"/>
    <mergeCell ref="AN348:AO348"/>
    <mergeCell ref="AP348:AQ348"/>
    <mergeCell ref="AR348:AS348"/>
    <mergeCell ref="AT348:AU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8:AI268"/>
    <mergeCell ref="AJ268:AK268"/>
    <mergeCell ref="AL268:AM268"/>
    <mergeCell ref="AN268:AO268"/>
    <mergeCell ref="AP268:AQ268"/>
    <mergeCell ref="AR268:AS268"/>
    <mergeCell ref="AT268:AU268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O269"/>
    <mergeCell ref="AP269:AQ269"/>
    <mergeCell ref="AR269:AS269"/>
    <mergeCell ref="AT269:AU269"/>
    <mergeCell ref="F271:G271"/>
    <mergeCell ref="H271:I271"/>
    <mergeCell ref="J271:K271"/>
    <mergeCell ref="L271:M271"/>
    <mergeCell ref="N271:O271"/>
    <mergeCell ref="P271:Q271"/>
    <mergeCell ref="R271:S271"/>
    <mergeCell ref="AP271:AQ271"/>
    <mergeCell ref="AR271:AS271"/>
    <mergeCell ref="AL270:AM270"/>
    <mergeCell ref="AN270:AO270"/>
    <mergeCell ref="AP270:AQ270"/>
    <mergeCell ref="AR270:AS270"/>
    <mergeCell ref="AT270:AU270"/>
    <mergeCell ref="AL271:AM271"/>
    <mergeCell ref="AN271:AO271"/>
    <mergeCell ref="AT271:AU271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H272:AI272"/>
    <mergeCell ref="AJ272:AK272"/>
    <mergeCell ref="AL272:AM272"/>
    <mergeCell ref="AN272:AO272"/>
    <mergeCell ref="AP272:AQ272"/>
    <mergeCell ref="AR272:AS272"/>
    <mergeCell ref="AT272:AU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L274:AM274"/>
    <mergeCell ref="AN274:AO274"/>
    <mergeCell ref="AP274:AQ274"/>
    <mergeCell ref="AR274:AS274"/>
    <mergeCell ref="AT274:AU274"/>
    <mergeCell ref="AH273:AI273"/>
    <mergeCell ref="AJ273:AK273"/>
    <mergeCell ref="AL273:AM273"/>
    <mergeCell ref="AN273:AO273"/>
    <mergeCell ref="AP273:AQ273"/>
    <mergeCell ref="AR273:AS273"/>
    <mergeCell ref="AT273:AU273"/>
    <mergeCell ref="F274:G274"/>
    <mergeCell ref="H274:I274"/>
    <mergeCell ref="J274:K274"/>
    <mergeCell ref="L274:M274"/>
    <mergeCell ref="N274:O274"/>
    <mergeCell ref="P274:Q274"/>
    <mergeCell ref="R274:S274"/>
    <mergeCell ref="AH275:AI275"/>
    <mergeCell ref="AJ275:AK275"/>
    <mergeCell ref="AL275:AM275"/>
    <mergeCell ref="AN275:AO275"/>
    <mergeCell ref="AP275:AQ275"/>
    <mergeCell ref="AR275:AS275"/>
    <mergeCell ref="AT275:AU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AL276:AM276"/>
    <mergeCell ref="AN276:AO276"/>
    <mergeCell ref="AP276:AQ276"/>
    <mergeCell ref="AR276:AS276"/>
    <mergeCell ref="AT276:AU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7:AI277"/>
    <mergeCell ref="AJ277:AK277"/>
    <mergeCell ref="AL277:AM277"/>
    <mergeCell ref="AN277:AO277"/>
    <mergeCell ref="AP277:AQ277"/>
    <mergeCell ref="AR277:AS277"/>
    <mergeCell ref="AT277:AU277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O278"/>
    <mergeCell ref="AP278:AQ278"/>
    <mergeCell ref="AR278:AS278"/>
    <mergeCell ref="AT278:AU278"/>
    <mergeCell ref="F280:G280"/>
    <mergeCell ref="H280:I280"/>
    <mergeCell ref="J280:K280"/>
    <mergeCell ref="L280:M280"/>
    <mergeCell ref="N280:O280"/>
    <mergeCell ref="P280:Q280"/>
    <mergeCell ref="R280:S280"/>
    <mergeCell ref="AP280:AQ280"/>
    <mergeCell ref="AR280:AS280"/>
    <mergeCell ref="AL279:AM279"/>
    <mergeCell ref="AN279:AO279"/>
    <mergeCell ref="AP279:AQ279"/>
    <mergeCell ref="AR279:AS279"/>
    <mergeCell ref="AT279:AU279"/>
    <mergeCell ref="AL280:AM280"/>
    <mergeCell ref="AN280:AO280"/>
    <mergeCell ref="AT280:AU280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F278:G278"/>
    <mergeCell ref="H278:I278"/>
    <mergeCell ref="J278:K278"/>
    <mergeCell ref="L278:M278"/>
    <mergeCell ref="N278:O278"/>
    <mergeCell ref="P278:Q278"/>
    <mergeCell ref="R278:S278"/>
    <mergeCell ref="F279:G279"/>
    <mergeCell ref="H279:I279"/>
    <mergeCell ref="J279:K279"/>
    <mergeCell ref="L279:M279"/>
    <mergeCell ref="N279:O279"/>
    <mergeCell ref="P279:Q279"/>
    <mergeCell ref="R279:S279"/>
    <mergeCell ref="AH281:AI281"/>
    <mergeCell ref="AJ281:AK281"/>
    <mergeCell ref="AL281:AM281"/>
    <mergeCell ref="AN281:AO281"/>
    <mergeCell ref="AP281:AQ281"/>
    <mergeCell ref="AR281:AS281"/>
    <mergeCell ref="AT281:AU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L283:AM283"/>
    <mergeCell ref="AN283:AO283"/>
    <mergeCell ref="AP283:AQ283"/>
    <mergeCell ref="AR283:AS283"/>
    <mergeCell ref="AT283:AU283"/>
    <mergeCell ref="AH282:AI282"/>
    <mergeCell ref="AJ282:AK282"/>
    <mergeCell ref="AL282:AM282"/>
    <mergeCell ref="AN282:AO282"/>
    <mergeCell ref="AP282:AQ282"/>
    <mergeCell ref="AR282:AS282"/>
    <mergeCell ref="AT282:AU282"/>
    <mergeCell ref="F283:G283"/>
    <mergeCell ref="H283:I283"/>
    <mergeCell ref="J283:K283"/>
    <mergeCell ref="L283:M283"/>
    <mergeCell ref="N283:O283"/>
    <mergeCell ref="P283:Q283"/>
    <mergeCell ref="R283:S283"/>
    <mergeCell ref="AH284:AI284"/>
    <mergeCell ref="AJ284:AK284"/>
    <mergeCell ref="AL284:AM284"/>
    <mergeCell ref="AN284:AO284"/>
    <mergeCell ref="AP284:AQ284"/>
    <mergeCell ref="AR284:AS284"/>
    <mergeCell ref="AT284:AU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AL285:AM285"/>
    <mergeCell ref="AN285:AO285"/>
    <mergeCell ref="AP285:AQ285"/>
    <mergeCell ref="AR285:AS285"/>
    <mergeCell ref="AT285:AU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6:AI286"/>
    <mergeCell ref="AJ286:AK286"/>
    <mergeCell ref="AL286:AM286"/>
    <mergeCell ref="AN286:AO286"/>
    <mergeCell ref="AP286:AQ286"/>
    <mergeCell ref="AR286:AS286"/>
    <mergeCell ref="AT286:AU286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F289:G289"/>
    <mergeCell ref="H289:I289"/>
    <mergeCell ref="J289:K289"/>
    <mergeCell ref="L289:M289"/>
    <mergeCell ref="N289:O289"/>
    <mergeCell ref="P289:Q289"/>
    <mergeCell ref="R289:S289"/>
    <mergeCell ref="AP289:AQ289"/>
    <mergeCell ref="AR289:AS289"/>
    <mergeCell ref="AL288:AM288"/>
    <mergeCell ref="AN288:AO288"/>
    <mergeCell ref="AP288:AQ288"/>
    <mergeCell ref="AR288:AS288"/>
    <mergeCell ref="AT288:AU288"/>
    <mergeCell ref="AL289:AM289"/>
    <mergeCell ref="AN289:AO289"/>
    <mergeCell ref="AT289:AU289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H290:AI290"/>
    <mergeCell ref="AJ290:AK290"/>
    <mergeCell ref="AL290:AM290"/>
    <mergeCell ref="AN290:AO290"/>
    <mergeCell ref="AP290:AQ290"/>
    <mergeCell ref="AR290:AS290"/>
    <mergeCell ref="AT290:AU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L292:AM292"/>
    <mergeCell ref="AN292:AO292"/>
    <mergeCell ref="AP292:AQ292"/>
    <mergeCell ref="AR292:AS292"/>
    <mergeCell ref="AT292:AU292"/>
    <mergeCell ref="AH291:AI291"/>
    <mergeCell ref="AJ291:AK291"/>
    <mergeCell ref="AL291:AM291"/>
    <mergeCell ref="AN291:AO291"/>
    <mergeCell ref="AP291:AQ291"/>
    <mergeCell ref="AR291:AS291"/>
    <mergeCell ref="AT291:AU291"/>
    <mergeCell ref="F292:G292"/>
    <mergeCell ref="H292:I292"/>
    <mergeCell ref="J292:K292"/>
    <mergeCell ref="L292:M292"/>
    <mergeCell ref="N292:O292"/>
    <mergeCell ref="P292:Q292"/>
    <mergeCell ref="R292:S292"/>
    <mergeCell ref="AH293:AI293"/>
    <mergeCell ref="AJ293:AK293"/>
    <mergeCell ref="AL293:AM293"/>
    <mergeCell ref="AN293:AO293"/>
    <mergeCell ref="AP293:AQ293"/>
    <mergeCell ref="AR293:AS293"/>
    <mergeCell ref="AT293:AU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AL294:AM294"/>
    <mergeCell ref="AN294:AO294"/>
    <mergeCell ref="AP294:AQ294"/>
    <mergeCell ref="AR294:AS294"/>
    <mergeCell ref="AT294:AU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5:AI295"/>
    <mergeCell ref="AJ295:AK295"/>
    <mergeCell ref="AL295:AM295"/>
    <mergeCell ref="AN295:AO295"/>
    <mergeCell ref="AP295:AQ295"/>
    <mergeCell ref="AR295:AS295"/>
    <mergeCell ref="AT295:AU295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F298:G298"/>
    <mergeCell ref="H298:I298"/>
    <mergeCell ref="J298:K298"/>
    <mergeCell ref="L298:M298"/>
    <mergeCell ref="N298:O298"/>
    <mergeCell ref="P298:Q298"/>
    <mergeCell ref="R298:S298"/>
    <mergeCell ref="AP298:AQ298"/>
    <mergeCell ref="AR298:AS298"/>
    <mergeCell ref="AL297:AM297"/>
    <mergeCell ref="AN297:AO297"/>
    <mergeCell ref="AP297:AQ297"/>
    <mergeCell ref="AR297:AS297"/>
    <mergeCell ref="AT297:AU297"/>
    <mergeCell ref="AL298:AM298"/>
    <mergeCell ref="AN298:AO298"/>
    <mergeCell ref="AT298:AU298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F296:G296"/>
    <mergeCell ref="H296:I296"/>
    <mergeCell ref="J296:K296"/>
    <mergeCell ref="L296:M296"/>
    <mergeCell ref="N296:O296"/>
    <mergeCell ref="P296:Q296"/>
    <mergeCell ref="R296:S296"/>
    <mergeCell ref="F297:G297"/>
    <mergeCell ref="H297:I297"/>
    <mergeCell ref="J297:K297"/>
    <mergeCell ref="L297:M297"/>
    <mergeCell ref="N297:O297"/>
    <mergeCell ref="P297:Q297"/>
    <mergeCell ref="R297:S297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L301:AM301"/>
    <mergeCell ref="AN301:AO301"/>
    <mergeCell ref="AP301:AQ301"/>
    <mergeCell ref="AR301:AS301"/>
    <mergeCell ref="AT301:AU301"/>
    <mergeCell ref="AH300:AI300"/>
    <mergeCell ref="AJ300:AK300"/>
    <mergeCell ref="AL300:AM300"/>
    <mergeCell ref="AN300:AO300"/>
    <mergeCell ref="AP300:AQ300"/>
    <mergeCell ref="AR300:AS300"/>
    <mergeCell ref="AT300:AU300"/>
    <mergeCell ref="F301:G301"/>
    <mergeCell ref="H301:I301"/>
    <mergeCell ref="J301:K301"/>
    <mergeCell ref="L301:M301"/>
    <mergeCell ref="N301:O301"/>
    <mergeCell ref="P301:Q301"/>
    <mergeCell ref="R301:S301"/>
    <mergeCell ref="AH302:AI302"/>
    <mergeCell ref="AJ302:AK302"/>
    <mergeCell ref="AL302:AM302"/>
    <mergeCell ref="AN302:AO302"/>
    <mergeCell ref="AP302:AQ302"/>
    <mergeCell ref="AR302:AS302"/>
    <mergeCell ref="AT302:AU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AL303:AM303"/>
    <mergeCell ref="AN303:AO303"/>
    <mergeCell ref="AP303:AQ303"/>
    <mergeCell ref="AR303:AS303"/>
    <mergeCell ref="AT303:AU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4:AI304"/>
    <mergeCell ref="AJ304:AK304"/>
    <mergeCell ref="AL304:AM304"/>
    <mergeCell ref="AN304:AO304"/>
    <mergeCell ref="AP304:AQ304"/>
    <mergeCell ref="AR304:AS304"/>
    <mergeCell ref="AT304:AU304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F307:G307"/>
    <mergeCell ref="H307:I307"/>
    <mergeCell ref="J307:K307"/>
    <mergeCell ref="L307:M307"/>
    <mergeCell ref="N307:O307"/>
    <mergeCell ref="P307:Q307"/>
    <mergeCell ref="R307:S307"/>
    <mergeCell ref="AP307:AQ307"/>
    <mergeCell ref="AR307:AS307"/>
    <mergeCell ref="AL306:AM306"/>
    <mergeCell ref="AN306:AO306"/>
    <mergeCell ref="AP306:AQ306"/>
    <mergeCell ref="AR306:AS306"/>
    <mergeCell ref="AT306:AU306"/>
    <mergeCell ref="AL307:AM307"/>
    <mergeCell ref="AN307:AO307"/>
    <mergeCell ref="AT307:AU307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L310:AM310"/>
    <mergeCell ref="AN310:AO310"/>
    <mergeCell ref="AP310:AQ310"/>
    <mergeCell ref="AR310:AS310"/>
    <mergeCell ref="AT310:AU310"/>
    <mergeCell ref="AH309:AI309"/>
    <mergeCell ref="AJ309:AK309"/>
    <mergeCell ref="AL309:AM309"/>
    <mergeCell ref="AN309:AO309"/>
    <mergeCell ref="AP309:AQ309"/>
    <mergeCell ref="AR309:AS309"/>
    <mergeCell ref="AT309:AU309"/>
    <mergeCell ref="F310:G310"/>
    <mergeCell ref="H310:I310"/>
    <mergeCell ref="J310:K310"/>
    <mergeCell ref="L310:M310"/>
    <mergeCell ref="N310:O310"/>
    <mergeCell ref="P310:Q310"/>
    <mergeCell ref="R310:S310"/>
    <mergeCell ref="AH311:AI311"/>
    <mergeCell ref="AJ311:AK311"/>
    <mergeCell ref="AL311:AM311"/>
    <mergeCell ref="AN311:AO311"/>
    <mergeCell ref="AP311:AQ311"/>
    <mergeCell ref="AR311:AS311"/>
    <mergeCell ref="AT311:AU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AL312:AM312"/>
    <mergeCell ref="AN312:AO312"/>
    <mergeCell ref="AP312:AQ312"/>
    <mergeCell ref="AR312:AS312"/>
    <mergeCell ref="AT312:AU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3:AI313"/>
    <mergeCell ref="AJ313:AK313"/>
    <mergeCell ref="AL313:AM313"/>
    <mergeCell ref="AN313:AO313"/>
    <mergeCell ref="AP313:AQ313"/>
    <mergeCell ref="AR313:AS313"/>
    <mergeCell ref="AT313:AU313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O314"/>
    <mergeCell ref="AP314:AQ314"/>
    <mergeCell ref="AR314:AS314"/>
    <mergeCell ref="AT314:AU314"/>
    <mergeCell ref="F316:G316"/>
    <mergeCell ref="H316:I316"/>
    <mergeCell ref="J316:K316"/>
    <mergeCell ref="L316:M316"/>
    <mergeCell ref="N316:O316"/>
    <mergeCell ref="P316:Q316"/>
    <mergeCell ref="R316:S316"/>
    <mergeCell ref="AP316:AQ316"/>
    <mergeCell ref="AR316:AS316"/>
    <mergeCell ref="AL315:AM315"/>
    <mergeCell ref="AN315:AO315"/>
    <mergeCell ref="AP315:AQ315"/>
    <mergeCell ref="AR315:AS315"/>
    <mergeCell ref="AT315:AU315"/>
    <mergeCell ref="AL316:AM316"/>
    <mergeCell ref="AN316:AO316"/>
    <mergeCell ref="AT316:AU316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F314:G314"/>
    <mergeCell ref="H314:I314"/>
    <mergeCell ref="J314:K314"/>
    <mergeCell ref="L314:M314"/>
    <mergeCell ref="N314:O314"/>
    <mergeCell ref="P314:Q314"/>
    <mergeCell ref="R314:S314"/>
    <mergeCell ref="F315:G315"/>
    <mergeCell ref="H315:I315"/>
    <mergeCell ref="J315:K315"/>
    <mergeCell ref="L315:M315"/>
    <mergeCell ref="N315:O315"/>
    <mergeCell ref="P315:Q315"/>
    <mergeCell ref="R315:S315"/>
    <mergeCell ref="AH317:AI317"/>
    <mergeCell ref="AJ317:AK317"/>
    <mergeCell ref="AL317:AM317"/>
    <mergeCell ref="AN317:AO317"/>
    <mergeCell ref="AP317:AQ317"/>
    <mergeCell ref="AR317:AS317"/>
    <mergeCell ref="AT317:AU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L319:AM319"/>
    <mergeCell ref="AN319:AO319"/>
    <mergeCell ref="AP319:AQ319"/>
    <mergeCell ref="AR319:AS319"/>
    <mergeCell ref="AT319:AU319"/>
    <mergeCell ref="AH318:AI318"/>
    <mergeCell ref="AJ318:AK318"/>
    <mergeCell ref="AL318:AM318"/>
    <mergeCell ref="AN318:AO318"/>
    <mergeCell ref="AP318:AQ318"/>
    <mergeCell ref="AR318:AS318"/>
    <mergeCell ref="AT318:AU318"/>
    <mergeCell ref="F319:G319"/>
    <mergeCell ref="H319:I319"/>
    <mergeCell ref="J319:K319"/>
    <mergeCell ref="L319:M319"/>
    <mergeCell ref="N319:O319"/>
    <mergeCell ref="P319:Q319"/>
    <mergeCell ref="R319:S319"/>
    <mergeCell ref="AH320:AI320"/>
    <mergeCell ref="AJ320:AK320"/>
    <mergeCell ref="AL320:AM320"/>
    <mergeCell ref="AN320:AO320"/>
    <mergeCell ref="AP320:AQ320"/>
    <mergeCell ref="AR320:AS320"/>
    <mergeCell ref="AT320:AU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AL321:AM321"/>
    <mergeCell ref="AN321:AO321"/>
    <mergeCell ref="AP321:AQ321"/>
    <mergeCell ref="AR321:AS321"/>
    <mergeCell ref="AT321:AU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2:AI322"/>
    <mergeCell ref="AJ322:AK322"/>
    <mergeCell ref="AL322:AM322"/>
    <mergeCell ref="AN322:AO322"/>
    <mergeCell ref="AP322:AQ322"/>
    <mergeCell ref="AR322:AS322"/>
    <mergeCell ref="AT322:AU322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O323"/>
    <mergeCell ref="AP323:AQ323"/>
    <mergeCell ref="AR323:AS323"/>
    <mergeCell ref="AT323:AU323"/>
    <mergeCell ref="F325:G325"/>
    <mergeCell ref="H325:I325"/>
    <mergeCell ref="J325:K325"/>
    <mergeCell ref="L325:M325"/>
    <mergeCell ref="N325:O325"/>
    <mergeCell ref="P325:Q325"/>
    <mergeCell ref="R325:S325"/>
    <mergeCell ref="AP325:AQ325"/>
    <mergeCell ref="AR325:AS325"/>
    <mergeCell ref="AL324:AM324"/>
    <mergeCell ref="AN324:AO324"/>
    <mergeCell ref="AP324:AQ324"/>
    <mergeCell ref="AR324:AS324"/>
    <mergeCell ref="AT324:AU324"/>
    <mergeCell ref="AL325:AM325"/>
    <mergeCell ref="AN325:AO325"/>
    <mergeCell ref="AT325:AU325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H326:AI326"/>
    <mergeCell ref="AJ326:AK326"/>
    <mergeCell ref="AL326:AM326"/>
    <mergeCell ref="AN326:AO326"/>
    <mergeCell ref="AP326:AQ326"/>
    <mergeCell ref="AR326:AS326"/>
    <mergeCell ref="AT326:AU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L328:AM328"/>
    <mergeCell ref="AN328:AO328"/>
    <mergeCell ref="AP328:AQ328"/>
    <mergeCell ref="AR328:AS328"/>
    <mergeCell ref="AT328:AU328"/>
    <mergeCell ref="AH327:AI327"/>
    <mergeCell ref="AJ327:AK327"/>
    <mergeCell ref="AL327:AM327"/>
    <mergeCell ref="AN327:AO327"/>
    <mergeCell ref="AP327:AQ327"/>
    <mergeCell ref="AR327:AS327"/>
    <mergeCell ref="AT327:AU327"/>
    <mergeCell ref="F328:G328"/>
    <mergeCell ref="H328:I328"/>
    <mergeCell ref="J328:K328"/>
    <mergeCell ref="L328:M328"/>
    <mergeCell ref="N328:O328"/>
    <mergeCell ref="P328:Q328"/>
    <mergeCell ref="R328:S328"/>
    <mergeCell ref="AH329:AI329"/>
    <mergeCell ref="AJ329:AK329"/>
    <mergeCell ref="AL329:AM329"/>
    <mergeCell ref="AN329:AO329"/>
    <mergeCell ref="AP329:AQ329"/>
    <mergeCell ref="AR329:AS329"/>
    <mergeCell ref="AT329:AU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AL330:AM330"/>
    <mergeCell ref="AN330:AO330"/>
    <mergeCell ref="AP330:AQ330"/>
    <mergeCell ref="AR330:AS330"/>
    <mergeCell ref="AT330:AU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J3:AK3"/>
    <mergeCell ref="AL3:AM3"/>
    <mergeCell ref="AN3:AO3"/>
    <mergeCell ref="AP3:AQ3"/>
    <mergeCell ref="AR3:AS3"/>
    <mergeCell ref="AT3:AU3"/>
    <mergeCell ref="A1:E1"/>
    <mergeCell ref="F1:Q1"/>
    <mergeCell ref="R1:AC1"/>
    <mergeCell ref="AD1:AI1"/>
    <mergeCell ref="AJ1:AU1"/>
    <mergeCell ref="AV1:AZ1"/>
    <mergeCell ref="F3:G3"/>
    <mergeCell ref="X3:Y3"/>
    <mergeCell ref="Z3:AA3"/>
    <mergeCell ref="X4:Y4"/>
    <mergeCell ref="Z4:AA4"/>
    <mergeCell ref="X5:Y5"/>
    <mergeCell ref="Z5:AA5"/>
    <mergeCell ref="AB3:AC3"/>
    <mergeCell ref="AD3:AE3"/>
    <mergeCell ref="AB4:AC4"/>
    <mergeCell ref="AD4:AE4"/>
    <mergeCell ref="AB5:AC5"/>
    <mergeCell ref="AD5:AE5"/>
    <mergeCell ref="AF5:AG5"/>
    <mergeCell ref="L3:M3"/>
    <mergeCell ref="N3:O3"/>
    <mergeCell ref="L4:M4"/>
    <mergeCell ref="N4:O4"/>
    <mergeCell ref="L5:M5"/>
    <mergeCell ref="N5:O5"/>
    <mergeCell ref="P3:Q3"/>
    <mergeCell ref="R3:S3"/>
    <mergeCell ref="P4:Q4"/>
    <mergeCell ref="R4:S4"/>
    <mergeCell ref="P5:Q5"/>
    <mergeCell ref="R5:S5"/>
    <mergeCell ref="T3:U3"/>
    <mergeCell ref="V3:W3"/>
    <mergeCell ref="T4:U4"/>
    <mergeCell ref="V4:W4"/>
    <mergeCell ref="T5:U5"/>
    <mergeCell ref="V5:W5"/>
    <mergeCell ref="AP4:AQ4"/>
    <mergeCell ref="AR4:AS4"/>
    <mergeCell ref="AT4:AU4"/>
    <mergeCell ref="AF3:AG3"/>
    <mergeCell ref="AH3:AI3"/>
    <mergeCell ref="AF4:AG4"/>
    <mergeCell ref="AH4:AI4"/>
    <mergeCell ref="AJ4:AK4"/>
    <mergeCell ref="AL4:AM4"/>
    <mergeCell ref="AN4:AO4"/>
    <mergeCell ref="AH5:AI5"/>
    <mergeCell ref="AJ5:AK5"/>
    <mergeCell ref="AL5:AM5"/>
    <mergeCell ref="AN5:AO5"/>
    <mergeCell ref="AP5:AQ5"/>
    <mergeCell ref="AR5:AS5"/>
    <mergeCell ref="AT5:AU5"/>
    <mergeCell ref="H3:I3"/>
    <mergeCell ref="J3:K3"/>
    <mergeCell ref="F4:G4"/>
    <mergeCell ref="H4:I4"/>
    <mergeCell ref="J4:K4"/>
    <mergeCell ref="H5:I5"/>
    <mergeCell ref="J5:K5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M22"/>
    <mergeCell ref="AN22:AO22"/>
    <mergeCell ref="AP22:AQ22"/>
    <mergeCell ref="AR22:AS22"/>
    <mergeCell ref="AT22:AU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H23:AI23"/>
    <mergeCell ref="AJ23:AK23"/>
    <mergeCell ref="AL23:AM23"/>
    <mergeCell ref="AN23:AO23"/>
    <mergeCell ref="AP23:AQ23"/>
    <mergeCell ref="AR23:AS23"/>
    <mergeCell ref="AT23:AU23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O25"/>
    <mergeCell ref="AP25:AQ25"/>
    <mergeCell ref="AR25:AS25"/>
    <mergeCell ref="AT25:AU25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7:G27"/>
    <mergeCell ref="H27:I27"/>
    <mergeCell ref="J27:K27"/>
    <mergeCell ref="L27:M27"/>
    <mergeCell ref="N27:O27"/>
    <mergeCell ref="P27:Q27"/>
    <mergeCell ref="R27:S27"/>
    <mergeCell ref="AL27:AM27"/>
    <mergeCell ref="AN27:AO27"/>
    <mergeCell ref="AP27:AQ27"/>
    <mergeCell ref="AR27:AS27"/>
    <mergeCell ref="AT27:AU27"/>
    <mergeCell ref="AH26:AI26"/>
    <mergeCell ref="AJ26:AK26"/>
    <mergeCell ref="AL26:AM26"/>
    <mergeCell ref="AN26:AO26"/>
    <mergeCell ref="AP26:AQ26"/>
    <mergeCell ref="AR26:AS26"/>
    <mergeCell ref="AT26:AU26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AH28:AI28"/>
    <mergeCell ref="AJ28:AK28"/>
    <mergeCell ref="AL28:AM28"/>
    <mergeCell ref="AN28:AO28"/>
    <mergeCell ref="AP28:AQ28"/>
    <mergeCell ref="AR28:AS28"/>
    <mergeCell ref="AT28:AU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H29:AI29"/>
    <mergeCell ref="AJ29:AK29"/>
    <mergeCell ref="AL29:AM29"/>
    <mergeCell ref="AN29:AO29"/>
    <mergeCell ref="AP29:AQ29"/>
    <mergeCell ref="AR29:AS29"/>
    <mergeCell ref="AT29:AU29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AL31:AM31"/>
    <mergeCell ref="AN31:AO31"/>
    <mergeCell ref="AP31:AQ31"/>
    <mergeCell ref="AR31:AS31"/>
    <mergeCell ref="AT31:AU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3:G33"/>
    <mergeCell ref="H33:I33"/>
    <mergeCell ref="J33:K33"/>
    <mergeCell ref="L33:M33"/>
    <mergeCell ref="N33:O33"/>
    <mergeCell ref="P33:Q33"/>
    <mergeCell ref="R33:S33"/>
    <mergeCell ref="AL33:AM33"/>
    <mergeCell ref="AN33:AO33"/>
    <mergeCell ref="AP33:AQ33"/>
    <mergeCell ref="AR33:AS33"/>
    <mergeCell ref="AT33:AU33"/>
    <mergeCell ref="AH32:AI32"/>
    <mergeCell ref="AJ32:AK32"/>
    <mergeCell ref="AL32:AM32"/>
    <mergeCell ref="AN32:AO32"/>
    <mergeCell ref="AP32:AQ32"/>
    <mergeCell ref="AR32:AS32"/>
    <mergeCell ref="AT32:AU32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AH34:AI34"/>
    <mergeCell ref="AJ34:AK34"/>
    <mergeCell ref="AL34:AM34"/>
    <mergeCell ref="AN34:AO34"/>
    <mergeCell ref="AP34:AQ34"/>
    <mergeCell ref="AR34:AS34"/>
    <mergeCell ref="AT34:AU34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H35:AI35"/>
    <mergeCell ref="AJ35:AK35"/>
    <mergeCell ref="AL35:AM35"/>
    <mergeCell ref="AN35:AO35"/>
    <mergeCell ref="AP35:AQ35"/>
    <mergeCell ref="AR35:AS35"/>
    <mergeCell ref="AT35:AU35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AH37:AI37"/>
    <mergeCell ref="AJ37:AK37"/>
    <mergeCell ref="AL37:AM37"/>
    <mergeCell ref="AN37:AO37"/>
    <mergeCell ref="AP37:AQ37"/>
    <mergeCell ref="AR37:AS37"/>
    <mergeCell ref="AT37:AU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AL38:AM38"/>
    <mergeCell ref="AN38:AO38"/>
    <mergeCell ref="AP38:AQ38"/>
    <mergeCell ref="AR38:AS38"/>
    <mergeCell ref="AT38:AU38"/>
    <mergeCell ref="F39:G39"/>
    <mergeCell ref="H39:I39"/>
    <mergeCell ref="J39:K39"/>
    <mergeCell ref="L39:M39"/>
    <mergeCell ref="N39:O39"/>
    <mergeCell ref="P39:Q39"/>
    <mergeCell ref="R39:S39"/>
    <mergeCell ref="AH15:AI15"/>
    <mergeCell ref="AJ15:AK15"/>
    <mergeCell ref="AL15:AM15"/>
    <mergeCell ref="AN15:AO15"/>
    <mergeCell ref="AP15:AQ15"/>
    <mergeCell ref="AR15:AS15"/>
    <mergeCell ref="AT15:AU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F18:G18"/>
    <mergeCell ref="H18:I18"/>
    <mergeCell ref="J18:K18"/>
    <mergeCell ref="L18:M18"/>
    <mergeCell ref="N18:O18"/>
    <mergeCell ref="P18:Q18"/>
    <mergeCell ref="R18:S18"/>
    <mergeCell ref="AP18:AQ18"/>
    <mergeCell ref="AR18:AS18"/>
    <mergeCell ref="AL17:AM17"/>
    <mergeCell ref="AN17:AO17"/>
    <mergeCell ref="AP17:AQ17"/>
    <mergeCell ref="AR17:AS17"/>
    <mergeCell ref="AT17:AU17"/>
    <mergeCell ref="AL18:AM18"/>
    <mergeCell ref="AN18:AO18"/>
    <mergeCell ref="AT18:AU18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19:AI19"/>
    <mergeCell ref="AJ19:AK19"/>
    <mergeCell ref="AL19:AM19"/>
    <mergeCell ref="AN19:AO19"/>
    <mergeCell ref="AP19:AQ19"/>
    <mergeCell ref="AR19:AS19"/>
    <mergeCell ref="AT19:AU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1:G21"/>
    <mergeCell ref="H21:I21"/>
    <mergeCell ref="J21:K21"/>
    <mergeCell ref="L21:M21"/>
    <mergeCell ref="N21:O21"/>
    <mergeCell ref="P21:Q21"/>
    <mergeCell ref="R21:S21"/>
    <mergeCell ref="AL21:AM21"/>
    <mergeCell ref="AN21:AO21"/>
    <mergeCell ref="AP21:AQ21"/>
    <mergeCell ref="AR21:AS21"/>
    <mergeCell ref="AT21:AU21"/>
    <mergeCell ref="AH20:AI20"/>
    <mergeCell ref="AJ20:AK20"/>
    <mergeCell ref="AL20:AM20"/>
    <mergeCell ref="AN20:AO20"/>
    <mergeCell ref="AP20:AQ20"/>
    <mergeCell ref="AR20:AS20"/>
    <mergeCell ref="AT20:AU20"/>
    <mergeCell ref="AF6:AG6"/>
    <mergeCell ref="AH6:AI6"/>
    <mergeCell ref="AJ6:AK6"/>
    <mergeCell ref="AL6:AM6"/>
    <mergeCell ref="AN6:AO6"/>
    <mergeCell ref="AP6:AQ6"/>
    <mergeCell ref="AR6:AS6"/>
    <mergeCell ref="AT6:AU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F9:G9"/>
    <mergeCell ref="H9:I9"/>
    <mergeCell ref="J9:K9"/>
    <mergeCell ref="L9:M9"/>
    <mergeCell ref="N9:O9"/>
    <mergeCell ref="P9:Q9"/>
    <mergeCell ref="R9:S9"/>
    <mergeCell ref="AP9:AQ9"/>
    <mergeCell ref="AR9:AS9"/>
    <mergeCell ref="AL8:AM8"/>
    <mergeCell ref="AN8:AO8"/>
    <mergeCell ref="AP8:AQ8"/>
    <mergeCell ref="AR8:AS8"/>
    <mergeCell ref="AT8:AU8"/>
    <mergeCell ref="AL9:AM9"/>
    <mergeCell ref="AN9:AO9"/>
    <mergeCell ref="AT9:AU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  <mergeCell ref="L8:M8"/>
    <mergeCell ref="N8:O8"/>
    <mergeCell ref="P8:Q8"/>
    <mergeCell ref="R8:S8"/>
    <mergeCell ref="AH10:AI10"/>
    <mergeCell ref="AJ10:AK10"/>
    <mergeCell ref="AL10:AM10"/>
    <mergeCell ref="AN10:AO10"/>
    <mergeCell ref="AP10:AQ10"/>
    <mergeCell ref="AR10:AS10"/>
    <mergeCell ref="AT10:AU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L12:AM12"/>
    <mergeCell ref="AN12:AO12"/>
    <mergeCell ref="AP12:AQ12"/>
    <mergeCell ref="AR12:AS12"/>
    <mergeCell ref="AT12:AU12"/>
    <mergeCell ref="AH11:AI11"/>
    <mergeCell ref="AJ11:AK11"/>
    <mergeCell ref="AL11:AM11"/>
    <mergeCell ref="AN11:AO11"/>
    <mergeCell ref="AP11:AQ11"/>
    <mergeCell ref="AR11:AS11"/>
    <mergeCell ref="AT11:AU11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H14:AI14"/>
    <mergeCell ref="AJ14:AK14"/>
    <mergeCell ref="AL14:AM14"/>
    <mergeCell ref="AN14:AO14"/>
    <mergeCell ref="AP14:AQ14"/>
    <mergeCell ref="AR14:AS14"/>
    <mergeCell ref="AT14:AU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60:AI60"/>
    <mergeCell ref="AJ60:AK60"/>
    <mergeCell ref="AL60:AM60"/>
    <mergeCell ref="AN60:AO60"/>
    <mergeCell ref="AP60:AQ60"/>
    <mergeCell ref="AR60:AS60"/>
    <mergeCell ref="AT60:AU60"/>
    <mergeCell ref="T60:U60"/>
    <mergeCell ref="V60:W60"/>
    <mergeCell ref="X60:Y60"/>
    <mergeCell ref="Z60:AA60"/>
    <mergeCell ref="AB60:AC60"/>
    <mergeCell ref="AD60:AE60"/>
    <mergeCell ref="AF60:AG60"/>
    <mergeCell ref="AH61:AI61"/>
    <mergeCell ref="AJ61:AK61"/>
    <mergeCell ref="AL61:AM61"/>
    <mergeCell ref="AN61:AO61"/>
    <mergeCell ref="AP61:AQ61"/>
    <mergeCell ref="AR61:AS61"/>
    <mergeCell ref="AT61:AU61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F64:G64"/>
    <mergeCell ref="H64:I64"/>
    <mergeCell ref="J64:K64"/>
    <mergeCell ref="L64:M64"/>
    <mergeCell ref="N64:O64"/>
    <mergeCell ref="P64:Q64"/>
    <mergeCell ref="R64:S64"/>
    <mergeCell ref="AP64:AQ64"/>
    <mergeCell ref="AR64:AS64"/>
    <mergeCell ref="AL63:AM63"/>
    <mergeCell ref="AN63:AO63"/>
    <mergeCell ref="AP63:AQ63"/>
    <mergeCell ref="AR63:AS63"/>
    <mergeCell ref="AT63:AU63"/>
    <mergeCell ref="AL64:AM64"/>
    <mergeCell ref="AN64:AO64"/>
    <mergeCell ref="AT64:AU64"/>
    <mergeCell ref="F62:G62"/>
    <mergeCell ref="H62:I62"/>
    <mergeCell ref="J62:K62"/>
    <mergeCell ref="L62:M62"/>
    <mergeCell ref="N62:O62"/>
    <mergeCell ref="P62:Q62"/>
    <mergeCell ref="R62:S62"/>
    <mergeCell ref="F63:G63"/>
    <mergeCell ref="H63:I63"/>
    <mergeCell ref="J63:K63"/>
    <mergeCell ref="L63:M63"/>
    <mergeCell ref="N63:O63"/>
    <mergeCell ref="P63:Q63"/>
    <mergeCell ref="R63:S63"/>
    <mergeCell ref="AH65:AI65"/>
    <mergeCell ref="AJ65:AK65"/>
    <mergeCell ref="AL65:AM65"/>
    <mergeCell ref="AN65:AO65"/>
    <mergeCell ref="AP65:AQ65"/>
    <mergeCell ref="AR65:AS65"/>
    <mergeCell ref="AT65:AU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L67:AM67"/>
    <mergeCell ref="AN67:AO67"/>
    <mergeCell ref="AP67:AQ67"/>
    <mergeCell ref="AR67:AS67"/>
    <mergeCell ref="AT67:AU67"/>
    <mergeCell ref="AH66:AI66"/>
    <mergeCell ref="AJ66:AK66"/>
    <mergeCell ref="AL66:AM66"/>
    <mergeCell ref="AN66:AO66"/>
    <mergeCell ref="AP66:AQ66"/>
    <mergeCell ref="AR66:AS66"/>
    <mergeCell ref="AT66:AU66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68:AI68"/>
    <mergeCell ref="AJ68:AK68"/>
    <mergeCell ref="AL68:AM68"/>
    <mergeCell ref="AN68:AO68"/>
    <mergeCell ref="AP68:AQ68"/>
    <mergeCell ref="AR68:AS68"/>
    <mergeCell ref="AT68:AU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AL69:AM69"/>
    <mergeCell ref="AN69:AO69"/>
    <mergeCell ref="AP69:AQ69"/>
    <mergeCell ref="AR69:AS69"/>
    <mergeCell ref="AT69:AU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39:AI39"/>
    <mergeCell ref="AJ39:AK39"/>
    <mergeCell ref="AL39:AM39"/>
    <mergeCell ref="AN39:AO39"/>
    <mergeCell ref="AP39:AQ39"/>
    <mergeCell ref="AR39:AS39"/>
    <mergeCell ref="AT39:AU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AL40:AM40"/>
    <mergeCell ref="AN40:AO40"/>
    <mergeCell ref="AP40:AQ40"/>
    <mergeCell ref="AR40:AS40"/>
    <mergeCell ref="AT40:AU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H41:AI41"/>
    <mergeCell ref="AJ41:AK41"/>
    <mergeCell ref="AL41:AM41"/>
    <mergeCell ref="AN41:AO41"/>
    <mergeCell ref="AP41:AQ41"/>
    <mergeCell ref="AR41:AS41"/>
    <mergeCell ref="AT41:AU41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5:G45"/>
    <mergeCell ref="H45:I45"/>
    <mergeCell ref="J45:K45"/>
    <mergeCell ref="L45:M45"/>
    <mergeCell ref="N45:O45"/>
    <mergeCell ref="P45:Q45"/>
    <mergeCell ref="R45:S45"/>
    <mergeCell ref="AL45:AM45"/>
    <mergeCell ref="AN45:AO45"/>
    <mergeCell ref="AP45:AQ45"/>
    <mergeCell ref="AR45:AS45"/>
    <mergeCell ref="AT45:AU45"/>
    <mergeCell ref="AH44:AI44"/>
    <mergeCell ref="AJ44:AK44"/>
    <mergeCell ref="AL44:AM44"/>
    <mergeCell ref="AN44:AO44"/>
    <mergeCell ref="AP44:AQ44"/>
    <mergeCell ref="AR44:AS44"/>
    <mergeCell ref="AT44:AU44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H47:AI47"/>
    <mergeCell ref="AJ47:AK47"/>
    <mergeCell ref="AL47:AM47"/>
    <mergeCell ref="AN47:AO47"/>
    <mergeCell ref="AP47:AQ47"/>
    <mergeCell ref="AR47:AS47"/>
    <mergeCell ref="AT47:AU47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AL49:AM49"/>
    <mergeCell ref="AN49:AO49"/>
    <mergeCell ref="AP49:AQ49"/>
    <mergeCell ref="AR49:AS49"/>
    <mergeCell ref="AT49:AU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1:G51"/>
    <mergeCell ref="H51:I51"/>
    <mergeCell ref="J51:K51"/>
    <mergeCell ref="L51:M51"/>
    <mergeCell ref="N51:O51"/>
    <mergeCell ref="P51:Q51"/>
    <mergeCell ref="R51:S51"/>
    <mergeCell ref="AL51:AM51"/>
    <mergeCell ref="AN51:AO51"/>
    <mergeCell ref="AP51:AQ51"/>
    <mergeCell ref="AR51:AS51"/>
    <mergeCell ref="AT51:AU51"/>
    <mergeCell ref="AH50:AI50"/>
    <mergeCell ref="AJ50:AK50"/>
    <mergeCell ref="AL50:AM50"/>
    <mergeCell ref="AN50:AO50"/>
    <mergeCell ref="AP50:AQ50"/>
    <mergeCell ref="AR50:AS50"/>
    <mergeCell ref="AT50:AU50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AH52:AI52"/>
    <mergeCell ref="AJ52:AK52"/>
    <mergeCell ref="AL52:AM52"/>
    <mergeCell ref="AN52:AO52"/>
    <mergeCell ref="AP52:AQ52"/>
    <mergeCell ref="AR52:AS52"/>
    <mergeCell ref="AT52:AU52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H53:AI53"/>
    <mergeCell ref="AJ53:AK53"/>
    <mergeCell ref="AL53:AM53"/>
    <mergeCell ref="AN53:AO53"/>
    <mergeCell ref="AP53:AQ53"/>
    <mergeCell ref="AR53:AS53"/>
    <mergeCell ref="AT53:AU53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AH55:AI55"/>
    <mergeCell ref="AJ55:AK55"/>
    <mergeCell ref="AL55:AM55"/>
    <mergeCell ref="AN55:AO55"/>
    <mergeCell ref="AP55:AQ55"/>
    <mergeCell ref="AR55:AS55"/>
    <mergeCell ref="AT55:AU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7:G57"/>
    <mergeCell ref="H57:I57"/>
    <mergeCell ref="J57:K57"/>
    <mergeCell ref="L57:M57"/>
    <mergeCell ref="N57:O57"/>
    <mergeCell ref="P57:Q57"/>
    <mergeCell ref="R57:S57"/>
    <mergeCell ref="AL57:AM57"/>
    <mergeCell ref="AN57:AO57"/>
    <mergeCell ref="AP57:AQ57"/>
    <mergeCell ref="AR57:AS57"/>
    <mergeCell ref="AT57:AU57"/>
    <mergeCell ref="AH56:AI56"/>
    <mergeCell ref="AJ56:AK56"/>
    <mergeCell ref="AL56:AM56"/>
    <mergeCell ref="AN56:AO56"/>
    <mergeCell ref="AP56:AQ56"/>
    <mergeCell ref="AR56:AS56"/>
    <mergeCell ref="AT56:AU56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0:AI70"/>
    <mergeCell ref="AJ70:AK70"/>
    <mergeCell ref="AL70:AM70"/>
    <mergeCell ref="AN70:AO70"/>
    <mergeCell ref="AP70:AQ70"/>
    <mergeCell ref="AR70:AS70"/>
    <mergeCell ref="AT70:AU70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F73:G73"/>
    <mergeCell ref="H73:I73"/>
    <mergeCell ref="J73:K73"/>
    <mergeCell ref="L73:M73"/>
    <mergeCell ref="N73:O73"/>
    <mergeCell ref="P73:Q73"/>
    <mergeCell ref="R73:S73"/>
    <mergeCell ref="AP73:AQ73"/>
    <mergeCell ref="AR73:AS73"/>
    <mergeCell ref="AL72:AM72"/>
    <mergeCell ref="AN72:AO72"/>
    <mergeCell ref="AP72:AQ72"/>
    <mergeCell ref="AR72:AS72"/>
    <mergeCell ref="AT72:AU72"/>
    <mergeCell ref="AL73:AM73"/>
    <mergeCell ref="AN73:AO73"/>
    <mergeCell ref="AT73:AU73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H74:AI74"/>
    <mergeCell ref="AJ74:AK74"/>
    <mergeCell ref="AL74:AM74"/>
    <mergeCell ref="AN74:AO74"/>
    <mergeCell ref="AP74:AQ74"/>
    <mergeCell ref="AR74:AS74"/>
    <mergeCell ref="AT74:AU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L76:AM76"/>
    <mergeCell ref="AN76:AO76"/>
    <mergeCell ref="AP76:AQ76"/>
    <mergeCell ref="AR76:AS76"/>
    <mergeCell ref="AT76:AU76"/>
    <mergeCell ref="AH75:AI75"/>
    <mergeCell ref="AJ75:AK75"/>
    <mergeCell ref="AL75:AM75"/>
    <mergeCell ref="AN75:AO75"/>
    <mergeCell ref="AP75:AQ75"/>
    <mergeCell ref="AR75:AS75"/>
    <mergeCell ref="AT75:AU75"/>
    <mergeCell ref="F76:G76"/>
    <mergeCell ref="H76:I76"/>
    <mergeCell ref="J76:K76"/>
    <mergeCell ref="L76:M76"/>
    <mergeCell ref="N76:O76"/>
    <mergeCell ref="P76:Q76"/>
    <mergeCell ref="R76:S76"/>
    <mergeCell ref="AH77:AI77"/>
    <mergeCell ref="AJ77:AK77"/>
    <mergeCell ref="AL77:AM77"/>
    <mergeCell ref="AN77:AO77"/>
    <mergeCell ref="AP77:AQ77"/>
    <mergeCell ref="AR77:AS77"/>
    <mergeCell ref="AT77:AU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AL78:AM78"/>
    <mergeCell ref="AN78:AO78"/>
    <mergeCell ref="AP78:AQ78"/>
    <mergeCell ref="AR78:AS78"/>
    <mergeCell ref="AT78:AU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79:AI79"/>
    <mergeCell ref="AJ79:AK79"/>
    <mergeCell ref="AL79:AM79"/>
    <mergeCell ref="AN79:AO79"/>
    <mergeCell ref="AP79:AQ79"/>
    <mergeCell ref="AR79:AS79"/>
    <mergeCell ref="AT79:AU79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F82:G82"/>
    <mergeCell ref="H82:I82"/>
    <mergeCell ref="J82:K82"/>
    <mergeCell ref="L82:M82"/>
    <mergeCell ref="N82:O82"/>
    <mergeCell ref="P82:Q82"/>
    <mergeCell ref="R82:S82"/>
    <mergeCell ref="AP82:AQ82"/>
    <mergeCell ref="AR82:AS82"/>
    <mergeCell ref="AL81:AM81"/>
    <mergeCell ref="AN81:AO81"/>
    <mergeCell ref="AP81:AQ81"/>
    <mergeCell ref="AR81:AS81"/>
    <mergeCell ref="AT81:AU81"/>
    <mergeCell ref="AL82:AM82"/>
    <mergeCell ref="AN82:AO82"/>
    <mergeCell ref="AT82:AU82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  <mergeCell ref="AH83:AI83"/>
    <mergeCell ref="AJ83:AK83"/>
    <mergeCell ref="AL83:AM83"/>
    <mergeCell ref="AN83:AO83"/>
    <mergeCell ref="AP83:AQ83"/>
    <mergeCell ref="AR83:AS83"/>
    <mergeCell ref="AT83:AU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L85:AM85"/>
    <mergeCell ref="AN85:AO85"/>
    <mergeCell ref="AP85:AQ85"/>
    <mergeCell ref="AR85:AS85"/>
    <mergeCell ref="AT85:AU85"/>
    <mergeCell ref="AH84:AI84"/>
    <mergeCell ref="AJ84:AK84"/>
    <mergeCell ref="AL84:AM84"/>
    <mergeCell ref="AN84:AO84"/>
    <mergeCell ref="AP84:AQ84"/>
    <mergeCell ref="AR84:AS84"/>
    <mergeCell ref="AT84:AU84"/>
    <mergeCell ref="F85:G85"/>
    <mergeCell ref="H85:I85"/>
    <mergeCell ref="J85:K85"/>
    <mergeCell ref="L85:M85"/>
    <mergeCell ref="N85:O85"/>
    <mergeCell ref="P85:Q85"/>
    <mergeCell ref="R85:S85"/>
    <mergeCell ref="AH86:AI86"/>
    <mergeCell ref="AJ86:AK86"/>
    <mergeCell ref="AL86:AM86"/>
    <mergeCell ref="AN86:AO86"/>
    <mergeCell ref="AP86:AQ86"/>
    <mergeCell ref="AR86:AS86"/>
    <mergeCell ref="AT86:AU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AL87:AM87"/>
    <mergeCell ref="AN87:AO87"/>
    <mergeCell ref="AP87:AQ87"/>
    <mergeCell ref="AR87:AS87"/>
    <mergeCell ref="AT87:AU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8:AI88"/>
    <mergeCell ref="AJ88:AK88"/>
    <mergeCell ref="AL88:AM88"/>
    <mergeCell ref="AN88:AO88"/>
    <mergeCell ref="AP88:AQ88"/>
    <mergeCell ref="AR88:AS88"/>
    <mergeCell ref="AT88:AU88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N89:AO89"/>
    <mergeCell ref="AP89:AQ89"/>
    <mergeCell ref="AR89:AS89"/>
    <mergeCell ref="AT89:AU89"/>
    <mergeCell ref="F91:G91"/>
    <mergeCell ref="H91:I91"/>
    <mergeCell ref="J91:K91"/>
    <mergeCell ref="L91:M91"/>
    <mergeCell ref="N91:O91"/>
    <mergeCell ref="P91:Q91"/>
    <mergeCell ref="R91:S91"/>
    <mergeCell ref="AP91:AQ91"/>
    <mergeCell ref="AR91:AS91"/>
    <mergeCell ref="AL90:AM90"/>
    <mergeCell ref="AN90:AO90"/>
    <mergeCell ref="AP90:AQ90"/>
    <mergeCell ref="AR90:AS90"/>
    <mergeCell ref="AT90:AU90"/>
    <mergeCell ref="AL91:AM91"/>
    <mergeCell ref="AN91:AO91"/>
    <mergeCell ref="AT91:AU91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H92:AI92"/>
    <mergeCell ref="AJ92:AK92"/>
    <mergeCell ref="AL92:AM92"/>
    <mergeCell ref="AN92:AO92"/>
    <mergeCell ref="AP92:AQ92"/>
    <mergeCell ref="AR92:AS92"/>
    <mergeCell ref="AT92:AU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L94:AM94"/>
    <mergeCell ref="AN94:AO94"/>
    <mergeCell ref="AP94:AQ94"/>
    <mergeCell ref="AR94:AS94"/>
    <mergeCell ref="AT94:AU94"/>
    <mergeCell ref="AH93:AI93"/>
    <mergeCell ref="AJ93:AK93"/>
    <mergeCell ref="AL93:AM93"/>
    <mergeCell ref="AN93:AO93"/>
    <mergeCell ref="AP93:AQ93"/>
    <mergeCell ref="AR93:AS93"/>
    <mergeCell ref="AT93:AU93"/>
    <mergeCell ref="F94:G94"/>
    <mergeCell ref="H94:I94"/>
    <mergeCell ref="J94:K94"/>
    <mergeCell ref="L94:M94"/>
    <mergeCell ref="N94:O94"/>
    <mergeCell ref="P94:Q94"/>
    <mergeCell ref="R94:S94"/>
    <mergeCell ref="AH95:AI95"/>
    <mergeCell ref="AJ95:AK95"/>
    <mergeCell ref="AL95:AM95"/>
    <mergeCell ref="AN95:AO95"/>
    <mergeCell ref="AP95:AQ95"/>
    <mergeCell ref="AR95:AS95"/>
    <mergeCell ref="AT95:AU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AL96:AM96"/>
    <mergeCell ref="AN96:AO96"/>
    <mergeCell ref="AP96:AQ96"/>
    <mergeCell ref="AR96:AS96"/>
    <mergeCell ref="AT96:AU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7:AI97"/>
    <mergeCell ref="AJ97:AK97"/>
    <mergeCell ref="AL97:AM97"/>
    <mergeCell ref="AN97:AO97"/>
    <mergeCell ref="AP97:AQ97"/>
    <mergeCell ref="AR97:AS97"/>
    <mergeCell ref="AT97:AU97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F100:G100"/>
    <mergeCell ref="H100:I100"/>
    <mergeCell ref="J100:K100"/>
    <mergeCell ref="L100:M100"/>
    <mergeCell ref="N100:O100"/>
    <mergeCell ref="P100:Q100"/>
    <mergeCell ref="R100:S100"/>
    <mergeCell ref="AP100:AQ100"/>
    <mergeCell ref="AR100:AS100"/>
    <mergeCell ref="AL99:AM99"/>
    <mergeCell ref="AN99:AO99"/>
    <mergeCell ref="AP99:AQ99"/>
    <mergeCell ref="AR99:AS99"/>
    <mergeCell ref="AT99:AU99"/>
    <mergeCell ref="AL100:AM100"/>
    <mergeCell ref="AN100:AO100"/>
    <mergeCell ref="AT100:AU100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F98:G98"/>
    <mergeCell ref="H98:I98"/>
    <mergeCell ref="J98:K98"/>
    <mergeCell ref="L98:M98"/>
    <mergeCell ref="N98:O98"/>
    <mergeCell ref="P98:Q98"/>
    <mergeCell ref="R98:S98"/>
    <mergeCell ref="F99:G99"/>
    <mergeCell ref="H99:I99"/>
    <mergeCell ref="J99:K99"/>
    <mergeCell ref="L99:M99"/>
    <mergeCell ref="N99:O99"/>
    <mergeCell ref="P99:Q99"/>
    <mergeCell ref="R99:S99"/>
    <mergeCell ref="AH101:AI101"/>
    <mergeCell ref="AJ101:AK101"/>
    <mergeCell ref="AL101:AM101"/>
    <mergeCell ref="AN101:AO101"/>
    <mergeCell ref="AP101:AQ101"/>
    <mergeCell ref="AR101:AS101"/>
    <mergeCell ref="AT101:AU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L103:AM103"/>
    <mergeCell ref="AN103:AO103"/>
    <mergeCell ref="AP103:AQ103"/>
    <mergeCell ref="AR103:AS103"/>
    <mergeCell ref="AT103:AU103"/>
    <mergeCell ref="AH102:AI102"/>
    <mergeCell ref="AJ102:AK102"/>
    <mergeCell ref="AL102:AM102"/>
    <mergeCell ref="AN102:AO102"/>
    <mergeCell ref="AP102:AQ102"/>
    <mergeCell ref="AR102:AS102"/>
    <mergeCell ref="AT102:AU102"/>
    <mergeCell ref="F103:G103"/>
    <mergeCell ref="H103:I103"/>
    <mergeCell ref="J103:K103"/>
    <mergeCell ref="L103:M103"/>
    <mergeCell ref="N103:O103"/>
    <mergeCell ref="P103:Q103"/>
    <mergeCell ref="R103:S103"/>
    <mergeCell ref="AH104:AI104"/>
    <mergeCell ref="AJ104:AK104"/>
    <mergeCell ref="AL104:AM104"/>
    <mergeCell ref="AN104:AO104"/>
    <mergeCell ref="AP104:AQ104"/>
    <mergeCell ref="AR104:AS104"/>
    <mergeCell ref="AT104:AU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AL105:AM105"/>
    <mergeCell ref="AN105:AO105"/>
    <mergeCell ref="AP105:AQ105"/>
    <mergeCell ref="AR105:AS105"/>
    <mergeCell ref="AT105:AU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6:AI106"/>
    <mergeCell ref="AJ106:AK106"/>
    <mergeCell ref="AL106:AM106"/>
    <mergeCell ref="AN106:AO106"/>
    <mergeCell ref="AP106:AQ106"/>
    <mergeCell ref="AR106:AS106"/>
    <mergeCell ref="AT106:AU106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F109:G109"/>
    <mergeCell ref="H109:I109"/>
    <mergeCell ref="J109:K109"/>
    <mergeCell ref="L109:M109"/>
    <mergeCell ref="N109:O109"/>
    <mergeCell ref="P109:Q109"/>
    <mergeCell ref="R109:S109"/>
    <mergeCell ref="AP109:AQ109"/>
    <mergeCell ref="AR109:AS109"/>
    <mergeCell ref="AL108:AM108"/>
    <mergeCell ref="AN108:AO108"/>
    <mergeCell ref="AP108:AQ108"/>
    <mergeCell ref="AR108:AS108"/>
    <mergeCell ref="AT108:AU108"/>
    <mergeCell ref="AL109:AM109"/>
    <mergeCell ref="AN109:AO109"/>
    <mergeCell ref="AT109:AU109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H110:AI110"/>
    <mergeCell ref="AJ110:AK110"/>
    <mergeCell ref="AL110:AM110"/>
    <mergeCell ref="AN110:AO110"/>
    <mergeCell ref="AP110:AQ110"/>
    <mergeCell ref="AR110:AS110"/>
    <mergeCell ref="AT110:AU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L112:AM112"/>
    <mergeCell ref="AN112:AO112"/>
    <mergeCell ref="AP112:AQ112"/>
    <mergeCell ref="AR112:AS112"/>
    <mergeCell ref="AT112:AU112"/>
    <mergeCell ref="AH111:AI111"/>
    <mergeCell ref="AJ111:AK111"/>
    <mergeCell ref="AL111:AM111"/>
    <mergeCell ref="AN111:AO111"/>
    <mergeCell ref="AP111:AQ111"/>
    <mergeCell ref="AR111:AS111"/>
    <mergeCell ref="AT111:AU111"/>
    <mergeCell ref="F112:G112"/>
    <mergeCell ref="H112:I112"/>
    <mergeCell ref="J112:K112"/>
    <mergeCell ref="L112:M112"/>
    <mergeCell ref="N112:O112"/>
    <mergeCell ref="P112:Q112"/>
    <mergeCell ref="R112:S112"/>
    <mergeCell ref="AH113:AI113"/>
    <mergeCell ref="AJ113:AK113"/>
    <mergeCell ref="AL113:AM113"/>
    <mergeCell ref="AN113:AO113"/>
    <mergeCell ref="AP113:AQ113"/>
    <mergeCell ref="AR113:AS113"/>
    <mergeCell ref="AT113:AU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AL114:AM114"/>
    <mergeCell ref="AN114:AO114"/>
    <mergeCell ref="AP114:AQ114"/>
    <mergeCell ref="AR114:AS114"/>
    <mergeCell ref="AT114:AU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5:AI115"/>
    <mergeCell ref="AJ115:AK115"/>
    <mergeCell ref="AL115:AM115"/>
    <mergeCell ref="AN115:AO115"/>
    <mergeCell ref="AP115:AQ115"/>
    <mergeCell ref="AR115:AS115"/>
    <mergeCell ref="AT115:AU115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O116"/>
    <mergeCell ref="AP116:AQ116"/>
    <mergeCell ref="AR116:AS116"/>
    <mergeCell ref="AT116:AU116"/>
    <mergeCell ref="F118:G118"/>
    <mergeCell ref="H118:I118"/>
    <mergeCell ref="J118:K118"/>
    <mergeCell ref="L118:M118"/>
    <mergeCell ref="N118:O118"/>
    <mergeCell ref="P118:Q118"/>
    <mergeCell ref="R118:S118"/>
    <mergeCell ref="AP118:AQ118"/>
    <mergeCell ref="AR118:AS118"/>
    <mergeCell ref="AL117:AM117"/>
    <mergeCell ref="AN117:AO117"/>
    <mergeCell ref="AP117:AQ117"/>
    <mergeCell ref="AR117:AS117"/>
    <mergeCell ref="AT117:AU117"/>
    <mergeCell ref="AL118:AM118"/>
    <mergeCell ref="AN118:AO118"/>
    <mergeCell ref="AT118:AU118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F116:G116"/>
    <mergeCell ref="H116:I116"/>
    <mergeCell ref="J116:K116"/>
    <mergeCell ref="L116:M116"/>
    <mergeCell ref="N116:O116"/>
    <mergeCell ref="P116:Q116"/>
    <mergeCell ref="R116:S116"/>
    <mergeCell ref="F117:G117"/>
    <mergeCell ref="H117:I117"/>
    <mergeCell ref="J117:K117"/>
    <mergeCell ref="L117:M117"/>
    <mergeCell ref="N117:O117"/>
    <mergeCell ref="P117:Q117"/>
    <mergeCell ref="R117:S117"/>
    <mergeCell ref="AH119:AI119"/>
    <mergeCell ref="AJ119:AK119"/>
    <mergeCell ref="AL119:AM119"/>
    <mergeCell ref="AN119:AO119"/>
    <mergeCell ref="AP119:AQ119"/>
    <mergeCell ref="AR119:AS119"/>
    <mergeCell ref="AT119:AU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L121:AM121"/>
    <mergeCell ref="AN121:AO121"/>
    <mergeCell ref="AP121:AQ121"/>
    <mergeCell ref="AR121:AS121"/>
    <mergeCell ref="AT121:AU121"/>
    <mergeCell ref="AH120:AI120"/>
    <mergeCell ref="AJ120:AK120"/>
    <mergeCell ref="AL120:AM120"/>
    <mergeCell ref="AN120:AO120"/>
    <mergeCell ref="AP120:AQ120"/>
    <mergeCell ref="AR120:AS120"/>
    <mergeCell ref="AT120:AU120"/>
    <mergeCell ref="F121:G121"/>
    <mergeCell ref="H121:I121"/>
    <mergeCell ref="J121:K121"/>
    <mergeCell ref="L121:M121"/>
    <mergeCell ref="N121:O121"/>
    <mergeCell ref="P121:Q121"/>
    <mergeCell ref="R121:S121"/>
    <mergeCell ref="AH122:AI122"/>
    <mergeCell ref="AJ122:AK122"/>
    <mergeCell ref="AL122:AM122"/>
    <mergeCell ref="AN122:AO122"/>
    <mergeCell ref="AP122:AQ122"/>
    <mergeCell ref="AR122:AS122"/>
    <mergeCell ref="AT122:AU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AL123:AM123"/>
    <mergeCell ref="AN123:AO123"/>
    <mergeCell ref="AP123:AQ123"/>
    <mergeCell ref="AR123:AS123"/>
    <mergeCell ref="AT123:AU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4:AI124"/>
    <mergeCell ref="AJ124:AK124"/>
    <mergeCell ref="AL124:AM124"/>
    <mergeCell ref="AN124:AO124"/>
    <mergeCell ref="AP124:AQ124"/>
    <mergeCell ref="AR124:AS124"/>
    <mergeCell ref="AT124:AU124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O125"/>
    <mergeCell ref="AP125:AQ125"/>
    <mergeCell ref="AR125:AS125"/>
    <mergeCell ref="AT125:AU125"/>
    <mergeCell ref="F127:G127"/>
    <mergeCell ref="H127:I127"/>
    <mergeCell ref="J127:K127"/>
    <mergeCell ref="L127:M127"/>
    <mergeCell ref="N127:O127"/>
    <mergeCell ref="P127:Q127"/>
    <mergeCell ref="R127:S127"/>
    <mergeCell ref="AP127:AQ127"/>
    <mergeCell ref="AR127:AS127"/>
    <mergeCell ref="AL126:AM126"/>
    <mergeCell ref="AN126:AO126"/>
    <mergeCell ref="AP126:AQ126"/>
    <mergeCell ref="AR126:AS126"/>
    <mergeCell ref="AT126:AU126"/>
    <mergeCell ref="AL127:AM127"/>
    <mergeCell ref="AN127:AO127"/>
    <mergeCell ref="AT127:AU127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H128:AI128"/>
    <mergeCell ref="AJ128:AK128"/>
    <mergeCell ref="AL128:AM128"/>
    <mergeCell ref="AN128:AO128"/>
    <mergeCell ref="AP128:AQ128"/>
    <mergeCell ref="AR128:AS128"/>
    <mergeCell ref="AT128:AU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L130:AM130"/>
    <mergeCell ref="AN130:AO130"/>
    <mergeCell ref="AP130:AQ130"/>
    <mergeCell ref="AR130:AS130"/>
    <mergeCell ref="AT130:AU130"/>
    <mergeCell ref="AH129:AI129"/>
    <mergeCell ref="AJ129:AK129"/>
    <mergeCell ref="AL129:AM129"/>
    <mergeCell ref="AN129:AO129"/>
    <mergeCell ref="AP129:AQ129"/>
    <mergeCell ref="AR129:AS129"/>
    <mergeCell ref="AT129:AU129"/>
    <mergeCell ref="F130:G130"/>
    <mergeCell ref="H130:I130"/>
    <mergeCell ref="J130:K130"/>
    <mergeCell ref="L130:M130"/>
    <mergeCell ref="N130:O130"/>
    <mergeCell ref="P130:Q130"/>
    <mergeCell ref="R130:S130"/>
    <mergeCell ref="AH131:AI131"/>
    <mergeCell ref="AJ131:AK131"/>
    <mergeCell ref="AL131:AM131"/>
    <mergeCell ref="AN131:AO131"/>
    <mergeCell ref="AP131:AQ131"/>
    <mergeCell ref="AR131:AS131"/>
    <mergeCell ref="AT131:AU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AL132:AM132"/>
    <mergeCell ref="AN132:AO132"/>
    <mergeCell ref="AP132:AQ132"/>
    <mergeCell ref="AR132:AS132"/>
    <mergeCell ref="AT132:AU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3:AI133"/>
    <mergeCell ref="AJ133:AK133"/>
    <mergeCell ref="AL133:AM133"/>
    <mergeCell ref="AN133:AO133"/>
    <mergeCell ref="AP133:AQ133"/>
    <mergeCell ref="AR133:AS133"/>
    <mergeCell ref="AT133:AU133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  <mergeCell ref="AP134:AQ134"/>
    <mergeCell ref="AR134:AS134"/>
    <mergeCell ref="AT134:AU134"/>
    <mergeCell ref="F136:G136"/>
    <mergeCell ref="H136:I136"/>
    <mergeCell ref="J136:K136"/>
    <mergeCell ref="L136:M136"/>
    <mergeCell ref="N136:O136"/>
    <mergeCell ref="P136:Q136"/>
    <mergeCell ref="R136:S136"/>
    <mergeCell ref="AP136:AQ136"/>
    <mergeCell ref="AR136:AS136"/>
    <mergeCell ref="AL135:AM135"/>
    <mergeCell ref="AN135:AO135"/>
    <mergeCell ref="AP135:AQ135"/>
    <mergeCell ref="AR135:AS135"/>
    <mergeCell ref="AT135:AU135"/>
    <mergeCell ref="AL136:AM136"/>
    <mergeCell ref="AN136:AO136"/>
    <mergeCell ref="AT136:AU136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F134:G134"/>
    <mergeCell ref="H134:I134"/>
    <mergeCell ref="J134:K134"/>
    <mergeCell ref="L134:M134"/>
    <mergeCell ref="N134:O134"/>
    <mergeCell ref="P134:Q134"/>
    <mergeCell ref="R134:S134"/>
    <mergeCell ref="F135:G135"/>
    <mergeCell ref="H135:I135"/>
    <mergeCell ref="J135:K135"/>
    <mergeCell ref="L135:M135"/>
    <mergeCell ref="N135:O135"/>
    <mergeCell ref="P135:Q135"/>
    <mergeCell ref="R135:S135"/>
    <mergeCell ref="AH137:AI137"/>
    <mergeCell ref="AJ137:AK137"/>
    <mergeCell ref="AL137:AM137"/>
    <mergeCell ref="AN137:AO137"/>
    <mergeCell ref="AP137:AQ137"/>
    <mergeCell ref="AR137:AS137"/>
    <mergeCell ref="AT137:AU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L139:AM139"/>
    <mergeCell ref="AN139:AO139"/>
    <mergeCell ref="AP139:AQ139"/>
    <mergeCell ref="AR139:AS139"/>
    <mergeCell ref="AT139:AU139"/>
    <mergeCell ref="AH138:AI138"/>
    <mergeCell ref="AJ138:AK138"/>
    <mergeCell ref="AL138:AM138"/>
    <mergeCell ref="AN138:AO138"/>
    <mergeCell ref="AP138:AQ138"/>
    <mergeCell ref="AR138:AS138"/>
    <mergeCell ref="AT138:AU138"/>
    <mergeCell ref="F139:G139"/>
    <mergeCell ref="H139:I139"/>
    <mergeCell ref="J139:K139"/>
    <mergeCell ref="L139:M139"/>
    <mergeCell ref="N139:O139"/>
    <mergeCell ref="P139:Q139"/>
    <mergeCell ref="R139:S139"/>
    <mergeCell ref="AH140:AI140"/>
    <mergeCell ref="AJ140:AK140"/>
    <mergeCell ref="AL140:AM140"/>
    <mergeCell ref="AN140:AO140"/>
    <mergeCell ref="AP140:AQ140"/>
    <mergeCell ref="AR140:AS140"/>
    <mergeCell ref="AT140:AU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AL141:AM141"/>
    <mergeCell ref="AN141:AO141"/>
    <mergeCell ref="AP141:AQ141"/>
    <mergeCell ref="AR141:AS141"/>
    <mergeCell ref="AT141:AU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2:AI142"/>
    <mergeCell ref="AJ142:AK142"/>
    <mergeCell ref="AL142:AM142"/>
    <mergeCell ref="AN142:AO142"/>
    <mergeCell ref="AP142:AQ142"/>
    <mergeCell ref="AR142:AS142"/>
    <mergeCell ref="AT142:AU142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O143"/>
    <mergeCell ref="AP143:AQ143"/>
    <mergeCell ref="AR143:AS143"/>
    <mergeCell ref="AT143:AU143"/>
    <mergeCell ref="F145:G145"/>
    <mergeCell ref="H145:I145"/>
    <mergeCell ref="J145:K145"/>
    <mergeCell ref="L145:M145"/>
    <mergeCell ref="N145:O145"/>
    <mergeCell ref="P145:Q145"/>
    <mergeCell ref="R145:S145"/>
    <mergeCell ref="AP145:AQ145"/>
    <mergeCell ref="AR145:AS145"/>
    <mergeCell ref="AL144:AM144"/>
    <mergeCell ref="AN144:AO144"/>
    <mergeCell ref="AP144:AQ144"/>
    <mergeCell ref="AR144:AS144"/>
    <mergeCell ref="AT144:AU144"/>
    <mergeCell ref="AL145:AM145"/>
    <mergeCell ref="AN145:AO145"/>
    <mergeCell ref="AT145:AU145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H146:AI146"/>
    <mergeCell ref="AJ146:AK146"/>
    <mergeCell ref="AL146:AM146"/>
    <mergeCell ref="AN146:AO146"/>
    <mergeCell ref="AP146:AQ146"/>
    <mergeCell ref="AR146:AS146"/>
    <mergeCell ref="AT146:AU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L148:AM148"/>
    <mergeCell ref="AN148:AO148"/>
    <mergeCell ref="AP148:AQ148"/>
    <mergeCell ref="AR148:AS148"/>
    <mergeCell ref="AT148:AU148"/>
    <mergeCell ref="AH147:AI147"/>
    <mergeCell ref="AJ147:AK147"/>
    <mergeCell ref="AL147:AM147"/>
    <mergeCell ref="AN147:AO147"/>
    <mergeCell ref="AP147:AQ147"/>
    <mergeCell ref="AR147:AS147"/>
    <mergeCell ref="AT147:AU147"/>
    <mergeCell ref="F148:G148"/>
    <mergeCell ref="H148:I148"/>
    <mergeCell ref="J148:K148"/>
    <mergeCell ref="L148:M148"/>
    <mergeCell ref="N148:O148"/>
    <mergeCell ref="P148:Q148"/>
    <mergeCell ref="R148:S148"/>
    <mergeCell ref="AH149:AI149"/>
    <mergeCell ref="AJ149:AK149"/>
    <mergeCell ref="AL149:AM149"/>
    <mergeCell ref="AN149:AO149"/>
    <mergeCell ref="AP149:AQ149"/>
    <mergeCell ref="AR149:AS149"/>
    <mergeCell ref="AT149:AU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AL150:AM150"/>
    <mergeCell ref="AN150:AO150"/>
    <mergeCell ref="AP150:AQ150"/>
    <mergeCell ref="AR150:AS150"/>
    <mergeCell ref="AT150:AU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1:AI151"/>
    <mergeCell ref="AJ151:AK151"/>
    <mergeCell ref="AL151:AM151"/>
    <mergeCell ref="AN151:AO151"/>
    <mergeCell ref="AP151:AQ151"/>
    <mergeCell ref="AR151:AS151"/>
    <mergeCell ref="AT151:AU151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AT152:AU152"/>
    <mergeCell ref="F154:G154"/>
    <mergeCell ref="H154:I154"/>
    <mergeCell ref="J154:K154"/>
    <mergeCell ref="L154:M154"/>
    <mergeCell ref="N154:O154"/>
    <mergeCell ref="P154:Q154"/>
    <mergeCell ref="R154:S154"/>
    <mergeCell ref="AP154:AQ154"/>
    <mergeCell ref="AR154:AS154"/>
    <mergeCell ref="AL153:AM153"/>
    <mergeCell ref="AN153:AO153"/>
    <mergeCell ref="AP153:AQ153"/>
    <mergeCell ref="AR153:AS153"/>
    <mergeCell ref="AT153:AU153"/>
    <mergeCell ref="AL154:AM154"/>
    <mergeCell ref="AN154:AO154"/>
    <mergeCell ref="AT154:AU154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F152:G152"/>
    <mergeCell ref="H152:I152"/>
    <mergeCell ref="J152:K152"/>
    <mergeCell ref="L152:M152"/>
    <mergeCell ref="N152:O152"/>
    <mergeCell ref="P152:Q152"/>
    <mergeCell ref="R152:S152"/>
    <mergeCell ref="F153:G153"/>
    <mergeCell ref="H153:I153"/>
    <mergeCell ref="J153:K153"/>
    <mergeCell ref="L153:M153"/>
    <mergeCell ref="N153:O153"/>
    <mergeCell ref="P153:Q153"/>
    <mergeCell ref="R153:S153"/>
    <mergeCell ref="AH155:AI155"/>
    <mergeCell ref="AJ155:AK155"/>
    <mergeCell ref="AL155:AM155"/>
    <mergeCell ref="AN155:AO155"/>
    <mergeCell ref="AP155:AQ155"/>
    <mergeCell ref="AR155:AS155"/>
    <mergeCell ref="AT155:AU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L157:AM157"/>
    <mergeCell ref="AN157:AO157"/>
    <mergeCell ref="AP157:AQ157"/>
    <mergeCell ref="AR157:AS157"/>
    <mergeCell ref="AT157:AU157"/>
    <mergeCell ref="AH156:AI156"/>
    <mergeCell ref="AJ156:AK156"/>
    <mergeCell ref="AL156:AM156"/>
    <mergeCell ref="AN156:AO156"/>
    <mergeCell ref="AP156:AQ156"/>
    <mergeCell ref="AR156:AS156"/>
    <mergeCell ref="AT156:AU156"/>
    <mergeCell ref="F157:G157"/>
    <mergeCell ref="H157:I157"/>
    <mergeCell ref="J157:K157"/>
    <mergeCell ref="L157:M157"/>
    <mergeCell ref="N157:O157"/>
    <mergeCell ref="P157:Q157"/>
    <mergeCell ref="R157:S157"/>
    <mergeCell ref="AH158:AI158"/>
    <mergeCell ref="AJ158:AK158"/>
    <mergeCell ref="AL158:AM158"/>
    <mergeCell ref="AN158:AO158"/>
    <mergeCell ref="AP158:AQ158"/>
    <mergeCell ref="AR158:AS158"/>
    <mergeCell ref="AT158:AU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AL159:AM159"/>
    <mergeCell ref="AN159:AO159"/>
    <mergeCell ref="AP159:AQ159"/>
    <mergeCell ref="AR159:AS159"/>
    <mergeCell ref="AT159:AU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0:AI160"/>
    <mergeCell ref="AJ160:AK160"/>
    <mergeCell ref="AL160:AM160"/>
    <mergeCell ref="AN160:AO160"/>
    <mergeCell ref="AP160:AQ160"/>
    <mergeCell ref="AR160:AS160"/>
    <mergeCell ref="AT160:AU160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F163:G163"/>
    <mergeCell ref="H163:I163"/>
    <mergeCell ref="J163:K163"/>
    <mergeCell ref="L163:M163"/>
    <mergeCell ref="N163:O163"/>
    <mergeCell ref="P163:Q163"/>
    <mergeCell ref="R163:S163"/>
    <mergeCell ref="AP163:AQ163"/>
    <mergeCell ref="AR163:AS163"/>
    <mergeCell ref="AL162:AM162"/>
    <mergeCell ref="AN162:AO162"/>
    <mergeCell ref="AP162:AQ162"/>
    <mergeCell ref="AR162:AS162"/>
    <mergeCell ref="AT162:AU162"/>
    <mergeCell ref="AL163:AM163"/>
    <mergeCell ref="AN163:AO163"/>
    <mergeCell ref="AT163:AU163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H164:AI164"/>
    <mergeCell ref="AJ164:AK164"/>
    <mergeCell ref="AL164:AM164"/>
    <mergeCell ref="AN164:AO164"/>
    <mergeCell ref="AP164:AQ164"/>
    <mergeCell ref="AR164:AS164"/>
    <mergeCell ref="AT164:AU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L166:AM166"/>
    <mergeCell ref="AN166:AO166"/>
    <mergeCell ref="AP166:AQ166"/>
    <mergeCell ref="AR166:AS166"/>
    <mergeCell ref="AT166:AU166"/>
    <mergeCell ref="AH165:AI165"/>
    <mergeCell ref="AJ165:AK165"/>
    <mergeCell ref="AL165:AM165"/>
    <mergeCell ref="AN165:AO165"/>
    <mergeCell ref="AP165:AQ165"/>
    <mergeCell ref="AR165:AS165"/>
    <mergeCell ref="AT165:AU165"/>
    <mergeCell ref="F166:G166"/>
    <mergeCell ref="H166:I166"/>
    <mergeCell ref="J166:K166"/>
    <mergeCell ref="L166:M166"/>
    <mergeCell ref="N166:O166"/>
    <mergeCell ref="P166:Q166"/>
    <mergeCell ref="R166:S166"/>
    <mergeCell ref="AH167:AI167"/>
    <mergeCell ref="AJ167:AK167"/>
    <mergeCell ref="AL167:AM167"/>
    <mergeCell ref="AN167:AO167"/>
    <mergeCell ref="AP167:AQ167"/>
    <mergeCell ref="AR167:AS167"/>
    <mergeCell ref="AT167:AU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F172:G172"/>
    <mergeCell ref="H172:I172"/>
    <mergeCell ref="J172:K172"/>
    <mergeCell ref="L172:M172"/>
    <mergeCell ref="N172:O172"/>
    <mergeCell ref="P172:Q172"/>
    <mergeCell ref="R172:S172"/>
    <mergeCell ref="AP172:AQ172"/>
    <mergeCell ref="AR172:AS172"/>
    <mergeCell ref="AL171:AM171"/>
    <mergeCell ref="AN171:AO171"/>
    <mergeCell ref="AP171:AQ171"/>
    <mergeCell ref="AR171:AS171"/>
    <mergeCell ref="AT171:AU171"/>
    <mergeCell ref="AL172:AM172"/>
    <mergeCell ref="AN172:AO172"/>
    <mergeCell ref="AT172:AU172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F170:G170"/>
    <mergeCell ref="H170:I170"/>
    <mergeCell ref="J170:K170"/>
    <mergeCell ref="L170:M170"/>
    <mergeCell ref="N170:O170"/>
    <mergeCell ref="P170:Q170"/>
    <mergeCell ref="R170:S170"/>
    <mergeCell ref="F171:G171"/>
    <mergeCell ref="H171:I171"/>
    <mergeCell ref="J171:K171"/>
    <mergeCell ref="L171:M171"/>
    <mergeCell ref="N171:O171"/>
    <mergeCell ref="P171:Q171"/>
    <mergeCell ref="R171:S171"/>
    <mergeCell ref="AH173:AI173"/>
    <mergeCell ref="AJ173:AK173"/>
    <mergeCell ref="AL173:AM173"/>
    <mergeCell ref="AN173:AO173"/>
    <mergeCell ref="AP173:AQ173"/>
    <mergeCell ref="AR173:AS173"/>
    <mergeCell ref="AT173:AU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L175:AM175"/>
    <mergeCell ref="AN175:AO175"/>
    <mergeCell ref="AP175:AQ175"/>
    <mergeCell ref="AR175:AS175"/>
    <mergeCell ref="AT175:AU175"/>
    <mergeCell ref="AH174:AI174"/>
    <mergeCell ref="AJ174:AK174"/>
    <mergeCell ref="AL174:AM174"/>
    <mergeCell ref="AN174:AO174"/>
    <mergeCell ref="AP174:AQ174"/>
    <mergeCell ref="AR174:AS174"/>
    <mergeCell ref="AT174:AU174"/>
    <mergeCell ref="F175:G175"/>
    <mergeCell ref="H175:I175"/>
    <mergeCell ref="J175:K175"/>
    <mergeCell ref="L175:M175"/>
    <mergeCell ref="N175:O175"/>
    <mergeCell ref="P175:Q175"/>
    <mergeCell ref="R175:S175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8:AI178"/>
    <mergeCell ref="AJ178:AK178"/>
    <mergeCell ref="AL178:AM178"/>
    <mergeCell ref="AN178:AO178"/>
    <mergeCell ref="AP178:AQ178"/>
    <mergeCell ref="AR178:AS178"/>
    <mergeCell ref="AT178:AU178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F181:G181"/>
    <mergeCell ref="H181:I181"/>
    <mergeCell ref="J181:K181"/>
    <mergeCell ref="L181:M181"/>
    <mergeCell ref="N181:O181"/>
    <mergeCell ref="P181:Q181"/>
    <mergeCell ref="R181:S181"/>
    <mergeCell ref="AP181:AQ181"/>
    <mergeCell ref="AR181:AS181"/>
    <mergeCell ref="AL180:AM180"/>
    <mergeCell ref="AN180:AO180"/>
    <mergeCell ref="AP180:AQ180"/>
    <mergeCell ref="AR180:AS180"/>
    <mergeCell ref="AT180:AU180"/>
    <mergeCell ref="AL181:AM181"/>
    <mergeCell ref="AN181:AO181"/>
    <mergeCell ref="AT181:AU181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H182:AI182"/>
    <mergeCell ref="AJ182:AK182"/>
    <mergeCell ref="AL182:AM182"/>
    <mergeCell ref="AN182:AO182"/>
    <mergeCell ref="AP182:AQ182"/>
    <mergeCell ref="AR182:AS182"/>
    <mergeCell ref="AT182:AU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L184:AM184"/>
    <mergeCell ref="AN184:AO184"/>
    <mergeCell ref="AP184:AQ184"/>
    <mergeCell ref="AR184:AS184"/>
    <mergeCell ref="AT184:AU184"/>
    <mergeCell ref="AH183:AI183"/>
    <mergeCell ref="AJ183:AK183"/>
    <mergeCell ref="AL183:AM183"/>
    <mergeCell ref="AN183:AO183"/>
    <mergeCell ref="AP183:AQ183"/>
    <mergeCell ref="AR183:AS183"/>
    <mergeCell ref="AT183:AU183"/>
    <mergeCell ref="F184:G184"/>
    <mergeCell ref="H184:I184"/>
    <mergeCell ref="J184:K184"/>
    <mergeCell ref="L184:M184"/>
    <mergeCell ref="N184:O184"/>
    <mergeCell ref="P184:Q184"/>
    <mergeCell ref="R184:S184"/>
    <mergeCell ref="AH185:AI185"/>
    <mergeCell ref="AJ185:AK185"/>
    <mergeCell ref="AL185:AM185"/>
    <mergeCell ref="AN185:AO185"/>
    <mergeCell ref="AP185:AQ185"/>
    <mergeCell ref="AR185:AS185"/>
    <mergeCell ref="AT185:AU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AL186:AM186"/>
    <mergeCell ref="AN186:AO186"/>
    <mergeCell ref="AP186:AQ186"/>
    <mergeCell ref="AR186:AS186"/>
    <mergeCell ref="AT186:AU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7:AI187"/>
    <mergeCell ref="AJ187:AK187"/>
    <mergeCell ref="AL187:AM187"/>
    <mergeCell ref="AN187:AO187"/>
    <mergeCell ref="AP187:AQ187"/>
    <mergeCell ref="AR187:AS187"/>
    <mergeCell ref="AT187:AU187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O188"/>
    <mergeCell ref="AP188:AQ188"/>
    <mergeCell ref="AR188:AS188"/>
    <mergeCell ref="AT188:AU188"/>
    <mergeCell ref="F190:G190"/>
    <mergeCell ref="H190:I190"/>
    <mergeCell ref="J190:K190"/>
    <mergeCell ref="L190:M190"/>
    <mergeCell ref="N190:O190"/>
    <mergeCell ref="P190:Q190"/>
    <mergeCell ref="R190:S190"/>
    <mergeCell ref="AP190:AQ190"/>
    <mergeCell ref="AR190:AS190"/>
    <mergeCell ref="AL189:AM189"/>
    <mergeCell ref="AN189:AO189"/>
    <mergeCell ref="AP189:AQ189"/>
    <mergeCell ref="AR189:AS189"/>
    <mergeCell ref="AT189:AU189"/>
    <mergeCell ref="AL190:AM190"/>
    <mergeCell ref="AN190:AO190"/>
    <mergeCell ref="AT190:AU190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F188:G188"/>
    <mergeCell ref="H188:I188"/>
    <mergeCell ref="J188:K188"/>
    <mergeCell ref="L188:M188"/>
    <mergeCell ref="N188:O188"/>
    <mergeCell ref="P188:Q188"/>
    <mergeCell ref="R188:S188"/>
    <mergeCell ref="F189:G189"/>
    <mergeCell ref="H189:I189"/>
    <mergeCell ref="J189:K189"/>
    <mergeCell ref="L189:M189"/>
    <mergeCell ref="N189:O189"/>
    <mergeCell ref="P189:Q189"/>
    <mergeCell ref="R189:S189"/>
    <mergeCell ref="AH191:AI191"/>
    <mergeCell ref="AJ191:AK191"/>
    <mergeCell ref="AL191:AM191"/>
    <mergeCell ref="AN191:AO191"/>
    <mergeCell ref="AP191:AQ191"/>
    <mergeCell ref="AR191:AS191"/>
    <mergeCell ref="AT191:AU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L193:AM193"/>
    <mergeCell ref="AN193:AO193"/>
    <mergeCell ref="AP193:AQ193"/>
    <mergeCell ref="AR193:AS193"/>
    <mergeCell ref="AT193:AU193"/>
    <mergeCell ref="AH192:AI192"/>
    <mergeCell ref="AJ192:AK192"/>
    <mergeCell ref="AL192:AM192"/>
    <mergeCell ref="AN192:AO192"/>
    <mergeCell ref="AP192:AQ192"/>
    <mergeCell ref="AR192:AS192"/>
    <mergeCell ref="AT192:AU192"/>
    <mergeCell ref="F193:G193"/>
    <mergeCell ref="H193:I193"/>
    <mergeCell ref="J193:K193"/>
    <mergeCell ref="L193:M193"/>
    <mergeCell ref="N193:O193"/>
    <mergeCell ref="P193:Q193"/>
    <mergeCell ref="R193:S193"/>
    <mergeCell ref="AH194:AI194"/>
    <mergeCell ref="AJ194:AK194"/>
    <mergeCell ref="AL194:AM194"/>
    <mergeCell ref="AN194:AO194"/>
    <mergeCell ref="AP194:AQ194"/>
    <mergeCell ref="AR194:AS194"/>
    <mergeCell ref="AT194:AU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AL195:AM195"/>
    <mergeCell ref="AN195:AO195"/>
    <mergeCell ref="AP195:AQ195"/>
    <mergeCell ref="AR195:AS195"/>
    <mergeCell ref="AT195:AU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6:AI196"/>
    <mergeCell ref="AJ196:AK196"/>
    <mergeCell ref="AL196:AM196"/>
    <mergeCell ref="AN196:AO196"/>
    <mergeCell ref="AP196:AQ196"/>
    <mergeCell ref="AR196:AS196"/>
    <mergeCell ref="AT196:AU196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O197"/>
    <mergeCell ref="AP197:AQ197"/>
    <mergeCell ref="AR197:AS197"/>
    <mergeCell ref="AT197:AU197"/>
    <mergeCell ref="F199:G199"/>
    <mergeCell ref="H199:I199"/>
    <mergeCell ref="J199:K199"/>
    <mergeCell ref="L199:M199"/>
    <mergeCell ref="N199:O199"/>
    <mergeCell ref="P199:Q199"/>
    <mergeCell ref="R199:S199"/>
    <mergeCell ref="AP199:AQ199"/>
    <mergeCell ref="AR199:AS199"/>
    <mergeCell ref="AL198:AM198"/>
    <mergeCell ref="AN198:AO198"/>
    <mergeCell ref="AP198:AQ198"/>
    <mergeCell ref="AR198:AS198"/>
    <mergeCell ref="AT198:AU198"/>
    <mergeCell ref="AL199:AM199"/>
    <mergeCell ref="AN199:AO199"/>
    <mergeCell ref="AT199:AU199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H200:AI200"/>
    <mergeCell ref="AJ200:AK200"/>
    <mergeCell ref="AL200:AM200"/>
    <mergeCell ref="AN200:AO200"/>
    <mergeCell ref="AP200:AQ200"/>
    <mergeCell ref="AR200:AS200"/>
    <mergeCell ref="AT200:AU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L202:AM202"/>
    <mergeCell ref="AN202:AO202"/>
    <mergeCell ref="AP202:AQ202"/>
    <mergeCell ref="AR202:AS202"/>
    <mergeCell ref="AT202:AU202"/>
    <mergeCell ref="AH201:AI201"/>
    <mergeCell ref="AJ201:AK201"/>
    <mergeCell ref="AL201:AM201"/>
    <mergeCell ref="AN201:AO201"/>
    <mergeCell ref="AP201:AQ201"/>
    <mergeCell ref="AR201:AS201"/>
    <mergeCell ref="AT201:AU201"/>
    <mergeCell ref="F202:G202"/>
    <mergeCell ref="H202:I202"/>
    <mergeCell ref="J202:K202"/>
    <mergeCell ref="L202:M202"/>
    <mergeCell ref="N202:O202"/>
    <mergeCell ref="P202:Q202"/>
    <mergeCell ref="R202:S202"/>
    <mergeCell ref="AH203:AI203"/>
    <mergeCell ref="AJ203:AK203"/>
    <mergeCell ref="AL203:AM203"/>
    <mergeCell ref="AN203:AO203"/>
    <mergeCell ref="AP203:AQ203"/>
    <mergeCell ref="AR203:AS203"/>
    <mergeCell ref="AT203:AU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AL204:AM204"/>
    <mergeCell ref="AN204:AO204"/>
    <mergeCell ref="AP204:AQ204"/>
    <mergeCell ref="AR204:AS204"/>
    <mergeCell ref="AT204:AU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5:AI205"/>
    <mergeCell ref="AJ205:AK205"/>
    <mergeCell ref="AL205:AM205"/>
    <mergeCell ref="AN205:AO205"/>
    <mergeCell ref="AP205:AQ205"/>
    <mergeCell ref="AR205:AS205"/>
    <mergeCell ref="AT205:AU205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6:AO206"/>
    <mergeCell ref="AP206:AQ206"/>
    <mergeCell ref="AR206:AS206"/>
    <mergeCell ref="AT206:AU206"/>
    <mergeCell ref="F208:G208"/>
    <mergeCell ref="H208:I208"/>
    <mergeCell ref="J208:K208"/>
    <mergeCell ref="L208:M208"/>
    <mergeCell ref="N208:O208"/>
    <mergeCell ref="P208:Q208"/>
    <mergeCell ref="R208:S208"/>
    <mergeCell ref="AP208:AQ208"/>
    <mergeCell ref="AR208:AS208"/>
    <mergeCell ref="AL207:AM207"/>
    <mergeCell ref="AN207:AO207"/>
    <mergeCell ref="AP207:AQ207"/>
    <mergeCell ref="AR207:AS207"/>
    <mergeCell ref="AT207:AU207"/>
    <mergeCell ref="AL208:AM208"/>
    <mergeCell ref="AN208:AO208"/>
    <mergeCell ref="AT208:AU208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F206:G206"/>
    <mergeCell ref="H206:I206"/>
    <mergeCell ref="J206:K206"/>
    <mergeCell ref="L206:M206"/>
    <mergeCell ref="N206:O206"/>
    <mergeCell ref="P206:Q206"/>
    <mergeCell ref="R206:S206"/>
    <mergeCell ref="F207:G207"/>
    <mergeCell ref="H207:I207"/>
    <mergeCell ref="J207:K207"/>
    <mergeCell ref="L207:M207"/>
    <mergeCell ref="N207:O207"/>
    <mergeCell ref="P207:Q207"/>
    <mergeCell ref="R207:S207"/>
    <mergeCell ref="AH209:AI209"/>
    <mergeCell ref="AJ209:AK209"/>
    <mergeCell ref="AL209:AM209"/>
    <mergeCell ref="AN209:AO209"/>
    <mergeCell ref="AP209:AQ209"/>
    <mergeCell ref="AR209:AS209"/>
    <mergeCell ref="AT209:AU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L211:AM211"/>
    <mergeCell ref="AN211:AO211"/>
    <mergeCell ref="AP211:AQ211"/>
    <mergeCell ref="AR211:AS211"/>
    <mergeCell ref="AT211:AU211"/>
    <mergeCell ref="AH210:AI210"/>
    <mergeCell ref="AJ210:AK210"/>
    <mergeCell ref="AL210:AM210"/>
    <mergeCell ref="AN210:AO210"/>
    <mergeCell ref="AP210:AQ210"/>
    <mergeCell ref="AR210:AS210"/>
    <mergeCell ref="AT210:AU210"/>
    <mergeCell ref="F211:G211"/>
    <mergeCell ref="H211:I211"/>
    <mergeCell ref="J211:K211"/>
    <mergeCell ref="L211:M211"/>
    <mergeCell ref="N211:O211"/>
    <mergeCell ref="P211:Q211"/>
    <mergeCell ref="R211:S211"/>
    <mergeCell ref="AH212:AI212"/>
    <mergeCell ref="AJ212:AK212"/>
    <mergeCell ref="AL212:AM212"/>
    <mergeCell ref="AN212:AO212"/>
    <mergeCell ref="AP212:AQ212"/>
    <mergeCell ref="AR212:AS212"/>
    <mergeCell ref="AT212:AU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AL213:AM213"/>
    <mergeCell ref="AN213:AO213"/>
    <mergeCell ref="AP213:AQ213"/>
    <mergeCell ref="AR213:AS213"/>
    <mergeCell ref="AT213:AU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4:AI214"/>
    <mergeCell ref="AJ214:AK214"/>
    <mergeCell ref="AL214:AM214"/>
    <mergeCell ref="AN214:AO214"/>
    <mergeCell ref="AP214:AQ214"/>
    <mergeCell ref="AR214:AS214"/>
    <mergeCell ref="AT214:AU214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O215"/>
    <mergeCell ref="AP215:AQ215"/>
    <mergeCell ref="AR215:AS215"/>
    <mergeCell ref="AT215:AU215"/>
    <mergeCell ref="F217:G217"/>
    <mergeCell ref="H217:I217"/>
    <mergeCell ref="J217:K217"/>
    <mergeCell ref="L217:M217"/>
    <mergeCell ref="N217:O217"/>
    <mergeCell ref="P217:Q217"/>
    <mergeCell ref="R217:S217"/>
    <mergeCell ref="AP217:AQ217"/>
    <mergeCell ref="AR217:AS217"/>
    <mergeCell ref="AL216:AM216"/>
    <mergeCell ref="AN216:AO216"/>
    <mergeCell ref="AP216:AQ216"/>
    <mergeCell ref="AR216:AS216"/>
    <mergeCell ref="AT216:AU216"/>
    <mergeCell ref="AL217:AM217"/>
    <mergeCell ref="AN217:AO217"/>
    <mergeCell ref="AT217:AU217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H218:AI218"/>
    <mergeCell ref="AJ218:AK218"/>
    <mergeCell ref="AL218:AM218"/>
    <mergeCell ref="AN218:AO218"/>
    <mergeCell ref="AP218:AQ218"/>
    <mergeCell ref="AR218:AS218"/>
    <mergeCell ref="AT218:AU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L220:AM220"/>
    <mergeCell ref="AN220:AO220"/>
    <mergeCell ref="AP220:AQ220"/>
    <mergeCell ref="AR220:AS220"/>
    <mergeCell ref="AT220:AU220"/>
    <mergeCell ref="AH219:AI219"/>
    <mergeCell ref="AJ219:AK219"/>
    <mergeCell ref="AL219:AM219"/>
    <mergeCell ref="AN219:AO219"/>
    <mergeCell ref="AP219:AQ219"/>
    <mergeCell ref="AR219:AS219"/>
    <mergeCell ref="AT219:AU219"/>
    <mergeCell ref="F220:G220"/>
    <mergeCell ref="H220:I220"/>
    <mergeCell ref="J220:K220"/>
    <mergeCell ref="L220:M220"/>
    <mergeCell ref="N220:O220"/>
    <mergeCell ref="P220:Q220"/>
    <mergeCell ref="R220:S220"/>
    <mergeCell ref="AH221:AI221"/>
    <mergeCell ref="AJ221:AK221"/>
    <mergeCell ref="AL221:AM221"/>
    <mergeCell ref="AN221:AO221"/>
    <mergeCell ref="AP221:AQ221"/>
    <mergeCell ref="AR221:AS221"/>
    <mergeCell ref="AT221:AU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AL222:AM222"/>
    <mergeCell ref="AN222:AO222"/>
    <mergeCell ref="AP222:AQ222"/>
    <mergeCell ref="AR222:AS222"/>
    <mergeCell ref="AT222:AU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F226:G226"/>
    <mergeCell ref="H226:I226"/>
    <mergeCell ref="J226:K226"/>
    <mergeCell ref="L226:M226"/>
    <mergeCell ref="N226:O226"/>
    <mergeCell ref="P226:Q226"/>
    <mergeCell ref="R226:S226"/>
    <mergeCell ref="AP226:AQ226"/>
    <mergeCell ref="AR226:AS226"/>
    <mergeCell ref="AL225:AM225"/>
    <mergeCell ref="AN225:AO225"/>
    <mergeCell ref="AP225:AQ225"/>
    <mergeCell ref="AR225:AS225"/>
    <mergeCell ref="AT225:AU225"/>
    <mergeCell ref="AL226:AM226"/>
    <mergeCell ref="AN226:AO226"/>
    <mergeCell ref="AT226:AU226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F224:G224"/>
    <mergeCell ref="H224:I224"/>
    <mergeCell ref="J224:K224"/>
    <mergeCell ref="L224:M224"/>
    <mergeCell ref="N224:O224"/>
    <mergeCell ref="P224:Q224"/>
    <mergeCell ref="R224:S224"/>
    <mergeCell ref="F225:G225"/>
    <mergeCell ref="H225:I225"/>
    <mergeCell ref="J225:K225"/>
    <mergeCell ref="L225:M225"/>
    <mergeCell ref="N225:O225"/>
    <mergeCell ref="P225:Q225"/>
    <mergeCell ref="R225:S225"/>
    <mergeCell ref="AH227:AI227"/>
    <mergeCell ref="AJ227:AK227"/>
    <mergeCell ref="AL227:AM227"/>
    <mergeCell ref="AN227:AO227"/>
    <mergeCell ref="AP227:AQ227"/>
    <mergeCell ref="AR227:AS227"/>
    <mergeCell ref="AT227:AU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L229:AM229"/>
    <mergeCell ref="AN229:AO229"/>
    <mergeCell ref="AP229:AQ229"/>
    <mergeCell ref="AR229:AS229"/>
    <mergeCell ref="AT229:AU229"/>
    <mergeCell ref="AH228:AI228"/>
    <mergeCell ref="AJ228:AK228"/>
    <mergeCell ref="AL228:AM228"/>
    <mergeCell ref="AN228:AO228"/>
    <mergeCell ref="AP228:AQ228"/>
    <mergeCell ref="AR228:AS228"/>
    <mergeCell ref="AT228:AU228"/>
    <mergeCell ref="F229:G229"/>
    <mergeCell ref="H229:I229"/>
    <mergeCell ref="J229:K229"/>
    <mergeCell ref="L229:M229"/>
    <mergeCell ref="N229:O229"/>
    <mergeCell ref="P229:Q229"/>
    <mergeCell ref="R229:S229"/>
    <mergeCell ref="AH230:AI230"/>
    <mergeCell ref="AJ230:AK230"/>
    <mergeCell ref="AL230:AM230"/>
    <mergeCell ref="AN230:AO230"/>
    <mergeCell ref="AP230:AQ230"/>
    <mergeCell ref="AR230:AS230"/>
    <mergeCell ref="AT230:AU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AL231:AM231"/>
    <mergeCell ref="AN231:AO231"/>
    <mergeCell ref="AP231:AQ231"/>
    <mergeCell ref="AR231:AS231"/>
    <mergeCell ref="AT231:AU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2:AI232"/>
    <mergeCell ref="AJ232:AK232"/>
    <mergeCell ref="AL232:AM232"/>
    <mergeCell ref="AN232:AO232"/>
    <mergeCell ref="AP232:AQ232"/>
    <mergeCell ref="AR232:AS232"/>
    <mergeCell ref="AT232:AU232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F235:G235"/>
    <mergeCell ref="H235:I235"/>
    <mergeCell ref="J235:K235"/>
    <mergeCell ref="L235:M235"/>
    <mergeCell ref="N235:O235"/>
    <mergeCell ref="P235:Q235"/>
    <mergeCell ref="R235:S235"/>
    <mergeCell ref="AP235:AQ235"/>
    <mergeCell ref="AR235:AS235"/>
    <mergeCell ref="AL234:AM234"/>
    <mergeCell ref="AN234:AO234"/>
    <mergeCell ref="AP234:AQ234"/>
    <mergeCell ref="AR234:AS234"/>
    <mergeCell ref="AT234:AU234"/>
    <mergeCell ref="AL235:AM235"/>
    <mergeCell ref="AN235:AO235"/>
    <mergeCell ref="AT235:AU235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H236:AI236"/>
    <mergeCell ref="AJ236:AK236"/>
    <mergeCell ref="AL236:AM236"/>
    <mergeCell ref="AN236:AO236"/>
    <mergeCell ref="AP236:AQ236"/>
    <mergeCell ref="AR236:AS236"/>
    <mergeCell ref="AT236:AU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L238:AM238"/>
    <mergeCell ref="AN238:AO238"/>
    <mergeCell ref="AP238:AQ238"/>
    <mergeCell ref="AR238:AS238"/>
    <mergeCell ref="AT238:AU238"/>
    <mergeCell ref="AH237:AI237"/>
    <mergeCell ref="AJ237:AK237"/>
    <mergeCell ref="AL237:AM237"/>
    <mergeCell ref="AN237:AO237"/>
    <mergeCell ref="AP237:AQ237"/>
    <mergeCell ref="AR237:AS237"/>
    <mergeCell ref="AT237:AU237"/>
    <mergeCell ref="F238:G238"/>
    <mergeCell ref="H238:I238"/>
    <mergeCell ref="J238:K238"/>
    <mergeCell ref="L238:M238"/>
    <mergeCell ref="N238:O238"/>
    <mergeCell ref="P238:Q238"/>
    <mergeCell ref="R238:S238"/>
    <mergeCell ref="AH239:AI239"/>
    <mergeCell ref="AJ239:AK239"/>
    <mergeCell ref="AL239:AM239"/>
    <mergeCell ref="AN239:AO239"/>
    <mergeCell ref="AP239:AQ239"/>
    <mergeCell ref="AR239:AS239"/>
    <mergeCell ref="AT239:AU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AL240:AM240"/>
    <mergeCell ref="AN240:AO240"/>
    <mergeCell ref="AP240:AQ240"/>
    <mergeCell ref="AR240:AS240"/>
    <mergeCell ref="AT240:AU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L242:AM242"/>
    <mergeCell ref="AN242:AO242"/>
    <mergeCell ref="AP242:AQ242"/>
    <mergeCell ref="AR242:AS242"/>
    <mergeCell ref="AT242:AU242"/>
    <mergeCell ref="F244:G244"/>
    <mergeCell ref="H244:I244"/>
    <mergeCell ref="J244:K244"/>
    <mergeCell ref="L244:M244"/>
    <mergeCell ref="N244:O244"/>
    <mergeCell ref="P244:Q244"/>
    <mergeCell ref="R244:S244"/>
    <mergeCell ref="AP244:AQ244"/>
    <mergeCell ref="AR244:AS244"/>
    <mergeCell ref="AL243:AM243"/>
    <mergeCell ref="AN243:AO243"/>
    <mergeCell ref="AP243:AQ243"/>
    <mergeCell ref="AR243:AS243"/>
    <mergeCell ref="AT243:AU243"/>
    <mergeCell ref="AL244:AM244"/>
    <mergeCell ref="AN244:AO244"/>
    <mergeCell ref="AT244:AU244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F242:G242"/>
    <mergeCell ref="H242:I242"/>
    <mergeCell ref="J242:K242"/>
    <mergeCell ref="L242:M242"/>
    <mergeCell ref="N242:O242"/>
    <mergeCell ref="P242:Q242"/>
    <mergeCell ref="R242:S242"/>
    <mergeCell ref="F243:G243"/>
    <mergeCell ref="H243:I243"/>
    <mergeCell ref="J243:K243"/>
    <mergeCell ref="L243:M243"/>
    <mergeCell ref="N243:O243"/>
    <mergeCell ref="P243:Q243"/>
    <mergeCell ref="R243:S243"/>
    <mergeCell ref="AH245:AI245"/>
    <mergeCell ref="AJ245:AK245"/>
    <mergeCell ref="AL245:AM245"/>
    <mergeCell ref="AN245:AO245"/>
    <mergeCell ref="AP245:AQ245"/>
    <mergeCell ref="AR245:AS245"/>
    <mergeCell ref="AT245:AU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L247:AM247"/>
    <mergeCell ref="AN247:AO247"/>
    <mergeCell ref="AP247:AQ247"/>
    <mergeCell ref="AR247:AS247"/>
    <mergeCell ref="AT247:AU247"/>
    <mergeCell ref="AH246:AI246"/>
    <mergeCell ref="AJ246:AK246"/>
    <mergeCell ref="AL246:AM246"/>
    <mergeCell ref="AN246:AO246"/>
    <mergeCell ref="AP246:AQ246"/>
    <mergeCell ref="AR246:AS246"/>
    <mergeCell ref="AT246:AU246"/>
    <mergeCell ref="F247:G247"/>
    <mergeCell ref="H247:I247"/>
    <mergeCell ref="J247:K247"/>
    <mergeCell ref="L247:M247"/>
    <mergeCell ref="N247:O247"/>
    <mergeCell ref="P247:Q247"/>
    <mergeCell ref="R247:S247"/>
    <mergeCell ref="AH248:AI248"/>
    <mergeCell ref="AJ248:AK248"/>
    <mergeCell ref="AL248:AM248"/>
    <mergeCell ref="AN248:AO248"/>
    <mergeCell ref="AP248:AQ248"/>
    <mergeCell ref="AR248:AS248"/>
    <mergeCell ref="AT248:AU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AL249:AM249"/>
    <mergeCell ref="AN249:AO249"/>
    <mergeCell ref="AP249:AQ249"/>
    <mergeCell ref="AR249:AS249"/>
    <mergeCell ref="AT249:AU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0:AI250"/>
    <mergeCell ref="AJ250:AK250"/>
    <mergeCell ref="AL250:AM250"/>
    <mergeCell ref="AN250:AO250"/>
    <mergeCell ref="AP250:AQ250"/>
    <mergeCell ref="AR250:AS250"/>
    <mergeCell ref="AT250:AU250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F253:G253"/>
    <mergeCell ref="H253:I253"/>
    <mergeCell ref="J253:K253"/>
    <mergeCell ref="L253:M253"/>
    <mergeCell ref="N253:O253"/>
    <mergeCell ref="P253:Q253"/>
    <mergeCell ref="R253:S253"/>
    <mergeCell ref="AP253:AQ253"/>
    <mergeCell ref="AR253:AS253"/>
    <mergeCell ref="AL252:AM252"/>
    <mergeCell ref="AN252:AO252"/>
    <mergeCell ref="AP252:AQ252"/>
    <mergeCell ref="AR252:AS252"/>
    <mergeCell ref="AT252:AU252"/>
    <mergeCell ref="AL253:AM253"/>
    <mergeCell ref="AN253:AO253"/>
    <mergeCell ref="AT253:AU253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H254:AI254"/>
    <mergeCell ref="AJ254:AK254"/>
    <mergeCell ref="AL254:AM254"/>
    <mergeCell ref="AN254:AO254"/>
    <mergeCell ref="AP254:AQ254"/>
    <mergeCell ref="AR254:AS254"/>
    <mergeCell ref="AT254:AU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L256:AM256"/>
    <mergeCell ref="AN256:AO256"/>
    <mergeCell ref="AP256:AQ256"/>
    <mergeCell ref="AR256:AS256"/>
    <mergeCell ref="AT256:AU256"/>
    <mergeCell ref="AH255:AI255"/>
    <mergeCell ref="AJ255:AK255"/>
    <mergeCell ref="AL255:AM255"/>
    <mergeCell ref="AN255:AO255"/>
    <mergeCell ref="AP255:AQ255"/>
    <mergeCell ref="AR255:AS255"/>
    <mergeCell ref="AT255:AU255"/>
    <mergeCell ref="F256:G256"/>
    <mergeCell ref="H256:I256"/>
    <mergeCell ref="J256:K256"/>
    <mergeCell ref="L256:M256"/>
    <mergeCell ref="N256:O256"/>
    <mergeCell ref="P256:Q256"/>
    <mergeCell ref="R256:S256"/>
    <mergeCell ref="AH257:AI257"/>
    <mergeCell ref="AJ257:AK257"/>
    <mergeCell ref="AL257:AM257"/>
    <mergeCell ref="AN257:AO257"/>
    <mergeCell ref="AP257:AQ257"/>
    <mergeCell ref="AR257:AS257"/>
    <mergeCell ref="AT257:AU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AL258:AM258"/>
    <mergeCell ref="AN258:AO258"/>
    <mergeCell ref="AP258:AQ258"/>
    <mergeCell ref="AR258:AS258"/>
    <mergeCell ref="AT258:AU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59:AI259"/>
    <mergeCell ref="AJ259:AK259"/>
    <mergeCell ref="AL259:AM259"/>
    <mergeCell ref="AN259:AO259"/>
    <mergeCell ref="AP259:AQ259"/>
    <mergeCell ref="AR259:AS259"/>
    <mergeCell ref="AT259:AU259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O260"/>
    <mergeCell ref="AP260:AQ260"/>
    <mergeCell ref="AR260:AS260"/>
    <mergeCell ref="AT260:AU260"/>
    <mergeCell ref="F262:G262"/>
    <mergeCell ref="H262:I262"/>
    <mergeCell ref="J262:K262"/>
    <mergeCell ref="L262:M262"/>
    <mergeCell ref="N262:O262"/>
    <mergeCell ref="P262:Q262"/>
    <mergeCell ref="R262:S262"/>
    <mergeCell ref="AP262:AQ262"/>
    <mergeCell ref="AR262:AS262"/>
    <mergeCell ref="AL261:AM261"/>
    <mergeCell ref="AN261:AO261"/>
    <mergeCell ref="AP261:AQ261"/>
    <mergeCell ref="AR261:AS261"/>
    <mergeCell ref="AT261:AU261"/>
    <mergeCell ref="AL262:AM262"/>
    <mergeCell ref="AN262:AO262"/>
    <mergeCell ref="AT262:AU262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F260:G260"/>
    <mergeCell ref="H260:I260"/>
    <mergeCell ref="J260:K260"/>
    <mergeCell ref="L260:M260"/>
    <mergeCell ref="N260:O260"/>
    <mergeCell ref="P260:Q260"/>
    <mergeCell ref="R260:S260"/>
    <mergeCell ref="F261:G261"/>
    <mergeCell ref="H261:I261"/>
    <mergeCell ref="J261:K261"/>
    <mergeCell ref="L261:M261"/>
    <mergeCell ref="N261:O261"/>
    <mergeCell ref="P261:Q261"/>
    <mergeCell ref="R261:S261"/>
    <mergeCell ref="AH263:AI263"/>
    <mergeCell ref="AJ263:AK263"/>
    <mergeCell ref="AL263:AM263"/>
    <mergeCell ref="AN263:AO263"/>
    <mergeCell ref="AP263:AQ263"/>
    <mergeCell ref="AR263:AS263"/>
    <mergeCell ref="AT263:AU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L265:AM265"/>
    <mergeCell ref="AN265:AO265"/>
    <mergeCell ref="AP265:AQ265"/>
    <mergeCell ref="AR265:AS265"/>
    <mergeCell ref="AT265:AU265"/>
    <mergeCell ref="AH264:AI264"/>
    <mergeCell ref="AJ264:AK264"/>
    <mergeCell ref="AL264:AM264"/>
    <mergeCell ref="AN264:AO264"/>
    <mergeCell ref="AP264:AQ264"/>
    <mergeCell ref="AR264:AS264"/>
    <mergeCell ref="AT264:AU264"/>
    <mergeCell ref="F265:G265"/>
    <mergeCell ref="H265:I265"/>
    <mergeCell ref="J265:K265"/>
    <mergeCell ref="L265:M265"/>
    <mergeCell ref="N265:O265"/>
    <mergeCell ref="P265:Q265"/>
    <mergeCell ref="R265:S265"/>
    <mergeCell ref="AH266:AI266"/>
    <mergeCell ref="AJ266:AK266"/>
    <mergeCell ref="AL266:AM266"/>
    <mergeCell ref="AN266:AO266"/>
    <mergeCell ref="AP266:AQ266"/>
    <mergeCell ref="AR266:AS266"/>
    <mergeCell ref="AT266:AU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AL267:AM267"/>
    <mergeCell ref="AN267:AO267"/>
    <mergeCell ref="AP267:AQ267"/>
    <mergeCell ref="AR267:AS267"/>
    <mergeCell ref="AT267:AU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47" width="3.67"/>
    <col customWidth="1" min="48" max="48" width="10.78"/>
    <col customWidth="1" min="49" max="50" width="8.0"/>
    <col customWidth="1" min="51" max="51" width="11.44"/>
    <col customWidth="1" min="52" max="5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6" t="s">
        <v>4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  <c r="AV1" s="7" t="s">
        <v>5</v>
      </c>
      <c r="AW1" s="8"/>
      <c r="AX1" s="8"/>
      <c r="AY1" s="8"/>
      <c r="AZ1" s="9"/>
    </row>
    <row r="2" ht="87.75" customHeight="1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 t="s">
        <v>11</v>
      </c>
      <c r="G2" s="13">
        <v>20.29</v>
      </c>
      <c r="H2" s="12" t="s">
        <v>12</v>
      </c>
      <c r="I2" s="13">
        <v>20.29</v>
      </c>
      <c r="J2" s="12" t="s">
        <v>13</v>
      </c>
      <c r="K2" s="13">
        <v>20.29</v>
      </c>
      <c r="L2" s="14" t="s">
        <v>14</v>
      </c>
      <c r="M2" s="13">
        <v>20.29</v>
      </c>
      <c r="N2" s="14" t="s">
        <v>36</v>
      </c>
      <c r="O2" s="13">
        <v>1.5</v>
      </c>
      <c r="P2" s="14" t="s">
        <v>37</v>
      </c>
      <c r="Q2" s="13">
        <v>1.5</v>
      </c>
      <c r="R2" s="12" t="s">
        <v>11</v>
      </c>
      <c r="S2" s="13">
        <v>10.14</v>
      </c>
      <c r="T2" s="12" t="s">
        <v>12</v>
      </c>
      <c r="U2" s="13">
        <v>10.14</v>
      </c>
      <c r="V2" s="12" t="s">
        <v>13</v>
      </c>
      <c r="W2" s="13">
        <v>10.14</v>
      </c>
      <c r="X2" s="14" t="s">
        <v>36</v>
      </c>
      <c r="Y2" s="13">
        <v>1.5</v>
      </c>
      <c r="Z2" s="14" t="s">
        <v>37</v>
      </c>
      <c r="AA2" s="13">
        <v>1.5</v>
      </c>
      <c r="AB2" s="15" t="s">
        <v>16</v>
      </c>
      <c r="AC2" s="15">
        <v>0.0</v>
      </c>
      <c r="AD2" s="12" t="s">
        <v>11</v>
      </c>
      <c r="AE2" s="13">
        <v>14.5</v>
      </c>
      <c r="AF2" s="12" t="s">
        <v>12</v>
      </c>
      <c r="AG2" s="13">
        <v>14.5</v>
      </c>
      <c r="AH2" s="12" t="s">
        <v>13</v>
      </c>
      <c r="AI2" s="13">
        <v>14.5</v>
      </c>
      <c r="AJ2" s="16" t="s">
        <v>19</v>
      </c>
      <c r="AK2" s="17">
        <v>0.0</v>
      </c>
      <c r="AL2" s="14" t="s">
        <v>40</v>
      </c>
      <c r="AM2" s="13">
        <v>14.5</v>
      </c>
      <c r="AN2" s="14" t="s">
        <v>41</v>
      </c>
      <c r="AO2" s="13">
        <v>14.5</v>
      </c>
      <c r="AP2" s="14" t="s">
        <v>42</v>
      </c>
      <c r="AQ2" s="13">
        <v>14.5</v>
      </c>
      <c r="AR2" s="14" t="s">
        <v>43</v>
      </c>
      <c r="AS2" s="13">
        <v>14.5</v>
      </c>
      <c r="AT2" s="14" t="s">
        <v>44</v>
      </c>
      <c r="AU2" s="13">
        <v>14.5</v>
      </c>
      <c r="AV2" s="18" t="s">
        <v>25</v>
      </c>
      <c r="AW2" s="18" t="s">
        <v>26</v>
      </c>
      <c r="AX2" s="18" t="s">
        <v>27</v>
      </c>
      <c r="AY2" s="18" t="s">
        <v>28</v>
      </c>
      <c r="AZ2" s="18" t="s">
        <v>29</v>
      </c>
    </row>
    <row r="3" ht="15.75" customHeight="1">
      <c r="A3" s="19" t="s">
        <v>30</v>
      </c>
      <c r="B3" s="20">
        <v>44928.0</v>
      </c>
      <c r="C3" s="21">
        <v>1.0</v>
      </c>
      <c r="D3" s="22" t="s">
        <v>31</v>
      </c>
      <c r="E3" s="23"/>
      <c r="F3" s="40"/>
      <c r="H3" s="41"/>
      <c r="J3" s="41"/>
      <c r="L3" s="41"/>
      <c r="N3" s="41"/>
      <c r="P3" s="41"/>
      <c r="Q3" s="26"/>
      <c r="R3" s="42"/>
      <c r="T3" s="43"/>
      <c r="V3" s="41"/>
      <c r="X3" s="41"/>
      <c r="Z3" s="41"/>
      <c r="AB3" s="41"/>
      <c r="AC3" s="26"/>
      <c r="AD3" s="41"/>
      <c r="AF3" s="41"/>
      <c r="AH3" s="41"/>
      <c r="AJ3" s="48"/>
      <c r="AK3" s="50"/>
      <c r="AL3" s="41"/>
      <c r="AN3" s="41"/>
      <c r="AP3" s="41"/>
      <c r="AR3" s="41"/>
      <c r="AT3" s="41"/>
      <c r="AU3" s="26"/>
      <c r="AV3" s="29">
        <f t="shared" ref="AV3:AV359" si="1">(F3*G$2)+(H3*I$2)+(J3*K$2)+(L3*M$2)+(N3*O$2)+(P3*Q$2)+(R3*S$2)+(T3*U$2)+(V3*W$2)+(X3*Y$2)+(Z3*AA$2)+(AB3*AC$2)+(AJ3*AK$2)+(AL3*AM$2)+(AN3*AO$2)+(AP3*AQ$2)+(AR3*AS$2)+(AT3*AU$2)+(AD3*AE$2)+(AF3*AG$2)+(AH3*AI$2)</f>
        <v>0</v>
      </c>
      <c r="AW3" s="21">
        <f t="shared" ref="AW3:AW359" si="2">sum(F3,H3,J3,L3,R3,T3,V3,AD3,AF3,AH3,AJ3,AL3,AN3,AP3,AR3,AT3)</f>
        <v>0</v>
      </c>
      <c r="AX3" s="21">
        <f t="shared" ref="AX3:AX359" si="3">sum(N3,P3,X3,Z3)</f>
        <v>0</v>
      </c>
      <c r="AY3" s="21">
        <f t="shared" ref="AY3:AY359" si="4">sum(F3:AU3)</f>
        <v>0</v>
      </c>
      <c r="AZ3" s="30" t="str">
        <f t="shared" ref="AZ3:AZ359" si="5">iferror(AV3/AY3,"")</f>
        <v/>
      </c>
    </row>
    <row r="4" ht="15.75" customHeight="1">
      <c r="A4" s="31" t="s">
        <v>33</v>
      </c>
      <c r="B4" s="32">
        <f t="shared" ref="B4:B359" si="6">B3+1</f>
        <v>44929</v>
      </c>
      <c r="C4" s="33">
        <v>1.0</v>
      </c>
      <c r="D4" s="33" t="s">
        <v>31</v>
      </c>
      <c r="E4" s="34"/>
      <c r="F4" s="40"/>
      <c r="H4" s="41"/>
      <c r="J4" s="41"/>
      <c r="L4" s="41"/>
      <c r="N4" s="41"/>
      <c r="P4" s="41"/>
      <c r="Q4" s="26"/>
      <c r="R4" s="42"/>
      <c r="T4" s="43"/>
      <c r="V4" s="41"/>
      <c r="X4" s="41"/>
      <c r="Z4" s="41"/>
      <c r="AB4" s="41"/>
      <c r="AC4" s="26"/>
      <c r="AD4" s="41"/>
      <c r="AF4" s="41"/>
      <c r="AH4" s="41"/>
      <c r="AJ4" s="59"/>
      <c r="AK4" s="26"/>
      <c r="AL4" s="41"/>
      <c r="AN4" s="41"/>
      <c r="AP4" s="41"/>
      <c r="AR4" s="41"/>
      <c r="AT4" s="41"/>
      <c r="AU4" s="26"/>
      <c r="AV4" s="35">
        <f t="shared" si="1"/>
        <v>0</v>
      </c>
      <c r="AW4" s="33">
        <f t="shared" si="2"/>
        <v>0</v>
      </c>
      <c r="AX4" s="33">
        <f t="shared" si="3"/>
        <v>0</v>
      </c>
      <c r="AY4" s="33">
        <f t="shared" si="4"/>
        <v>0</v>
      </c>
      <c r="AZ4" s="30" t="str">
        <f t="shared" si="5"/>
        <v/>
      </c>
    </row>
    <row r="5" ht="15.75" customHeight="1">
      <c r="A5" s="31" t="s">
        <v>34</v>
      </c>
      <c r="B5" s="32">
        <f t="shared" si="6"/>
        <v>44930</v>
      </c>
      <c r="C5" s="33">
        <v>1.0</v>
      </c>
      <c r="D5" s="33" t="s">
        <v>31</v>
      </c>
      <c r="E5" s="34"/>
      <c r="F5" s="40"/>
      <c r="H5" s="41"/>
      <c r="J5" s="41"/>
      <c r="L5" s="41"/>
      <c r="N5" s="41"/>
      <c r="P5" s="41"/>
      <c r="Q5" s="26"/>
      <c r="R5" s="42"/>
      <c r="T5" s="43"/>
      <c r="V5" s="41"/>
      <c r="X5" s="41"/>
      <c r="Z5" s="41"/>
      <c r="AB5" s="41"/>
      <c r="AC5" s="26"/>
      <c r="AD5" s="41"/>
      <c r="AF5" s="41"/>
      <c r="AH5" s="41"/>
      <c r="AJ5" s="59"/>
      <c r="AK5" s="26"/>
      <c r="AL5" s="41"/>
      <c r="AN5" s="41"/>
      <c r="AP5" s="41"/>
      <c r="AR5" s="41"/>
      <c r="AT5" s="41"/>
      <c r="AU5" s="26"/>
      <c r="AV5" s="35">
        <f t="shared" si="1"/>
        <v>0</v>
      </c>
      <c r="AW5" s="33">
        <f t="shared" si="2"/>
        <v>0</v>
      </c>
      <c r="AX5" s="33">
        <f t="shared" si="3"/>
        <v>0</v>
      </c>
      <c r="AY5" s="33">
        <f t="shared" si="4"/>
        <v>0</v>
      </c>
      <c r="AZ5" s="30" t="str">
        <f t="shared" si="5"/>
        <v/>
      </c>
    </row>
    <row r="6" ht="15.75" customHeight="1">
      <c r="A6" s="31" t="s">
        <v>35</v>
      </c>
      <c r="B6" s="32">
        <f t="shared" si="6"/>
        <v>44931</v>
      </c>
      <c r="C6" s="33">
        <v>1.0</v>
      </c>
      <c r="D6" s="33" t="s">
        <v>31</v>
      </c>
      <c r="E6" s="34"/>
      <c r="F6" s="40"/>
      <c r="H6" s="41"/>
      <c r="J6" s="41"/>
      <c r="L6" s="41"/>
      <c r="N6" s="41"/>
      <c r="P6" s="41"/>
      <c r="Q6" s="26"/>
      <c r="R6" s="42"/>
      <c r="T6" s="43"/>
      <c r="V6" s="41"/>
      <c r="X6" s="41"/>
      <c r="Z6" s="41"/>
      <c r="AB6" s="41"/>
      <c r="AC6" s="26"/>
      <c r="AD6" s="41"/>
      <c r="AF6" s="41"/>
      <c r="AH6" s="41"/>
      <c r="AJ6" s="59"/>
      <c r="AK6" s="26"/>
      <c r="AL6" s="41"/>
      <c r="AN6" s="41"/>
      <c r="AP6" s="41"/>
      <c r="AR6" s="41"/>
      <c r="AT6" s="41"/>
      <c r="AU6" s="26"/>
      <c r="AV6" s="35">
        <f t="shared" si="1"/>
        <v>0</v>
      </c>
      <c r="AW6" s="33">
        <f t="shared" si="2"/>
        <v>0</v>
      </c>
      <c r="AX6" s="33">
        <f t="shared" si="3"/>
        <v>0</v>
      </c>
      <c r="AY6" s="33">
        <f t="shared" si="4"/>
        <v>0</v>
      </c>
      <c r="AZ6" s="30" t="str">
        <f t="shared" si="5"/>
        <v/>
      </c>
    </row>
    <row r="7" ht="15.75" customHeight="1">
      <c r="A7" s="31" t="s">
        <v>38</v>
      </c>
      <c r="B7" s="32">
        <f t="shared" si="6"/>
        <v>44932</v>
      </c>
      <c r="C7" s="33">
        <v>1.0</v>
      </c>
      <c r="D7" s="33" t="s">
        <v>31</v>
      </c>
      <c r="E7" s="34"/>
      <c r="F7" s="40"/>
      <c r="H7" s="41"/>
      <c r="J7" s="41"/>
      <c r="L7" s="41"/>
      <c r="N7" s="41"/>
      <c r="P7" s="41"/>
      <c r="Q7" s="26"/>
      <c r="R7" s="42"/>
      <c r="T7" s="43"/>
      <c r="V7" s="41"/>
      <c r="X7" s="41"/>
      <c r="Z7" s="41"/>
      <c r="AB7" s="41"/>
      <c r="AC7" s="26"/>
      <c r="AD7" s="41"/>
      <c r="AF7" s="41"/>
      <c r="AH7" s="41"/>
      <c r="AJ7" s="59"/>
      <c r="AK7" s="26"/>
      <c r="AL7" s="41"/>
      <c r="AN7" s="41"/>
      <c r="AP7" s="41"/>
      <c r="AR7" s="41"/>
      <c r="AT7" s="41"/>
      <c r="AU7" s="26"/>
      <c r="AV7" s="35">
        <f t="shared" si="1"/>
        <v>0</v>
      </c>
      <c r="AW7" s="33">
        <f t="shared" si="2"/>
        <v>0</v>
      </c>
      <c r="AX7" s="33">
        <f t="shared" si="3"/>
        <v>0</v>
      </c>
      <c r="AY7" s="33">
        <f t="shared" si="4"/>
        <v>0</v>
      </c>
      <c r="AZ7" s="30" t="str">
        <f t="shared" si="5"/>
        <v/>
      </c>
    </row>
    <row r="8" ht="15.75" customHeight="1">
      <c r="A8" s="31" t="s">
        <v>45</v>
      </c>
      <c r="B8" s="32">
        <f t="shared" si="6"/>
        <v>44933</v>
      </c>
      <c r="C8" s="33">
        <v>1.0</v>
      </c>
      <c r="D8" s="33" t="s">
        <v>31</v>
      </c>
      <c r="E8" s="34"/>
      <c r="F8" s="40"/>
      <c r="H8" s="41"/>
      <c r="J8" s="41"/>
      <c r="L8" s="41"/>
      <c r="N8" s="41"/>
      <c r="P8" s="41"/>
      <c r="Q8" s="26"/>
      <c r="R8" s="42"/>
      <c r="T8" s="43"/>
      <c r="V8" s="41"/>
      <c r="X8" s="41"/>
      <c r="Z8" s="41"/>
      <c r="AB8" s="41"/>
      <c r="AC8" s="26"/>
      <c r="AD8" s="41"/>
      <c r="AF8" s="41"/>
      <c r="AH8" s="41"/>
      <c r="AJ8" s="59"/>
      <c r="AK8" s="26"/>
      <c r="AL8" s="41"/>
      <c r="AN8" s="41"/>
      <c r="AP8" s="41"/>
      <c r="AR8" s="41"/>
      <c r="AT8" s="41"/>
      <c r="AU8" s="26"/>
      <c r="AV8" s="35">
        <f t="shared" si="1"/>
        <v>0</v>
      </c>
      <c r="AW8" s="33">
        <f t="shared" si="2"/>
        <v>0</v>
      </c>
      <c r="AX8" s="33">
        <f t="shared" si="3"/>
        <v>0</v>
      </c>
      <c r="AY8" s="33">
        <f t="shared" si="4"/>
        <v>0</v>
      </c>
      <c r="AZ8" s="30" t="str">
        <f t="shared" si="5"/>
        <v/>
      </c>
    </row>
    <row r="9" ht="15.75" customHeight="1">
      <c r="A9" s="44" t="s">
        <v>46</v>
      </c>
      <c r="B9" s="45">
        <f t="shared" si="6"/>
        <v>44934</v>
      </c>
      <c r="C9" s="46">
        <v>1.0</v>
      </c>
      <c r="D9" s="46" t="s">
        <v>31</v>
      </c>
      <c r="E9" s="47"/>
      <c r="F9" s="64"/>
      <c r="G9" s="51"/>
      <c r="H9" s="65"/>
      <c r="I9" s="51"/>
      <c r="J9" s="65"/>
      <c r="K9" s="51"/>
      <c r="L9" s="65"/>
      <c r="M9" s="51"/>
      <c r="N9" s="65"/>
      <c r="O9" s="51"/>
      <c r="P9" s="65"/>
      <c r="Q9" s="53"/>
      <c r="R9" s="66"/>
      <c r="S9" s="51"/>
      <c r="T9" s="67"/>
      <c r="U9" s="51"/>
      <c r="V9" s="65"/>
      <c r="W9" s="51"/>
      <c r="X9" s="65"/>
      <c r="Y9" s="51"/>
      <c r="Z9" s="65"/>
      <c r="AA9" s="51"/>
      <c r="AB9" s="65"/>
      <c r="AC9" s="53"/>
      <c r="AD9" s="65"/>
      <c r="AE9" s="51"/>
      <c r="AF9" s="65"/>
      <c r="AG9" s="51"/>
      <c r="AH9" s="65"/>
      <c r="AI9" s="51"/>
      <c r="AJ9" s="68"/>
      <c r="AK9" s="53"/>
      <c r="AL9" s="65"/>
      <c r="AM9" s="51"/>
      <c r="AN9" s="65"/>
      <c r="AO9" s="51"/>
      <c r="AP9" s="65"/>
      <c r="AQ9" s="51"/>
      <c r="AR9" s="65"/>
      <c r="AS9" s="51"/>
      <c r="AT9" s="65"/>
      <c r="AU9" s="53"/>
      <c r="AV9" s="55">
        <f t="shared" si="1"/>
        <v>0</v>
      </c>
      <c r="AW9" s="46">
        <f t="shared" si="2"/>
        <v>0</v>
      </c>
      <c r="AX9" s="46">
        <f t="shared" si="3"/>
        <v>0</v>
      </c>
      <c r="AY9" s="46">
        <f t="shared" si="4"/>
        <v>0</v>
      </c>
      <c r="AZ9" s="56" t="str">
        <f t="shared" si="5"/>
        <v/>
      </c>
    </row>
    <row r="10" ht="15.75" customHeight="1">
      <c r="A10" s="19" t="s">
        <v>30</v>
      </c>
      <c r="B10" s="57">
        <f t="shared" si="6"/>
        <v>44935</v>
      </c>
      <c r="C10" s="21">
        <v>1.0</v>
      </c>
      <c r="D10" s="21" t="s">
        <v>47</v>
      </c>
      <c r="E10" s="23"/>
      <c r="F10" s="40"/>
      <c r="H10" s="41"/>
      <c r="J10" s="41"/>
      <c r="L10" s="41"/>
      <c r="N10" s="41"/>
      <c r="P10" s="41"/>
      <c r="Q10" s="26"/>
      <c r="R10" s="42">
        <v>38.0</v>
      </c>
      <c r="T10" s="43">
        <v>54.0</v>
      </c>
      <c r="V10" s="41"/>
      <c r="X10" s="41"/>
      <c r="Z10" s="41"/>
      <c r="AB10" s="41"/>
      <c r="AC10" s="26"/>
      <c r="AD10" s="41"/>
      <c r="AF10" s="41"/>
      <c r="AH10" s="41"/>
      <c r="AJ10" s="59"/>
      <c r="AK10" s="26"/>
      <c r="AL10" s="41"/>
      <c r="AN10" s="41"/>
      <c r="AP10" s="41"/>
      <c r="AR10" s="41"/>
      <c r="AT10" s="41"/>
      <c r="AU10" s="26"/>
      <c r="AV10" s="29">
        <f t="shared" si="1"/>
        <v>932.88</v>
      </c>
      <c r="AW10" s="21">
        <f t="shared" si="2"/>
        <v>92</v>
      </c>
      <c r="AX10" s="21">
        <f t="shared" si="3"/>
        <v>0</v>
      </c>
      <c r="AY10" s="21">
        <f t="shared" si="4"/>
        <v>92</v>
      </c>
      <c r="AZ10" s="58">
        <f t="shared" si="5"/>
        <v>10.14</v>
      </c>
    </row>
    <row r="11" ht="15.75" customHeight="1">
      <c r="A11" s="31" t="s">
        <v>33</v>
      </c>
      <c r="B11" s="32">
        <f t="shared" si="6"/>
        <v>44936</v>
      </c>
      <c r="C11" s="33">
        <v>1.0</v>
      </c>
      <c r="D11" s="33" t="s">
        <v>47</v>
      </c>
      <c r="E11" s="34"/>
      <c r="F11" s="40"/>
      <c r="H11" s="41"/>
      <c r="J11" s="41"/>
      <c r="L11" s="41"/>
      <c r="N11" s="41"/>
      <c r="P11" s="41"/>
      <c r="Q11" s="26"/>
      <c r="R11" s="42">
        <v>42.0</v>
      </c>
      <c r="T11" s="43">
        <v>59.0</v>
      </c>
      <c r="V11" s="41"/>
      <c r="X11" s="41"/>
      <c r="Z11" s="41"/>
      <c r="AB11" s="41"/>
      <c r="AC11" s="26"/>
      <c r="AD11" s="41"/>
      <c r="AF11" s="41"/>
      <c r="AH11" s="41"/>
      <c r="AJ11" s="59"/>
      <c r="AK11" s="26"/>
      <c r="AL11" s="41"/>
      <c r="AN11" s="41"/>
      <c r="AP11" s="41"/>
      <c r="AR11" s="41"/>
      <c r="AT11" s="41"/>
      <c r="AU11" s="26"/>
      <c r="AV11" s="35">
        <f t="shared" si="1"/>
        <v>1024.14</v>
      </c>
      <c r="AW11" s="33">
        <f t="shared" si="2"/>
        <v>101</v>
      </c>
      <c r="AX11" s="33">
        <f t="shared" si="3"/>
        <v>0</v>
      </c>
      <c r="AY11" s="33">
        <f t="shared" si="4"/>
        <v>101</v>
      </c>
      <c r="AZ11" s="30">
        <f t="shared" si="5"/>
        <v>10.14</v>
      </c>
    </row>
    <row r="12" ht="15.75" customHeight="1">
      <c r="A12" s="31" t="s">
        <v>34</v>
      </c>
      <c r="B12" s="32">
        <f t="shared" si="6"/>
        <v>44937</v>
      </c>
      <c r="C12" s="33">
        <v>1.0</v>
      </c>
      <c r="D12" s="33" t="s">
        <v>47</v>
      </c>
      <c r="E12" s="34"/>
      <c r="F12" s="40"/>
      <c r="H12" s="41"/>
      <c r="J12" s="41"/>
      <c r="L12" s="41"/>
      <c r="N12" s="41"/>
      <c r="P12" s="41"/>
      <c r="Q12" s="26"/>
      <c r="R12" s="42">
        <v>50.0</v>
      </c>
      <c r="T12" s="43">
        <v>75.0</v>
      </c>
      <c r="V12" s="41"/>
      <c r="X12" s="41"/>
      <c r="Z12" s="41"/>
      <c r="AB12" s="41"/>
      <c r="AC12" s="26"/>
      <c r="AD12" s="41"/>
      <c r="AF12" s="41"/>
      <c r="AH12" s="41"/>
      <c r="AJ12" s="59"/>
      <c r="AK12" s="26"/>
      <c r="AL12" s="41"/>
      <c r="AN12" s="41"/>
      <c r="AP12" s="41"/>
      <c r="AR12" s="41"/>
      <c r="AT12" s="41"/>
      <c r="AU12" s="26"/>
      <c r="AV12" s="35">
        <f t="shared" si="1"/>
        <v>1267.5</v>
      </c>
      <c r="AW12" s="33">
        <f t="shared" si="2"/>
        <v>125</v>
      </c>
      <c r="AX12" s="33">
        <f t="shared" si="3"/>
        <v>0</v>
      </c>
      <c r="AY12" s="33">
        <f t="shared" si="4"/>
        <v>125</v>
      </c>
      <c r="AZ12" s="30">
        <f t="shared" si="5"/>
        <v>10.14</v>
      </c>
    </row>
    <row r="13" ht="15.75" customHeight="1">
      <c r="A13" s="31" t="s">
        <v>35</v>
      </c>
      <c r="B13" s="32">
        <f t="shared" si="6"/>
        <v>44938</v>
      </c>
      <c r="C13" s="33">
        <v>1.0</v>
      </c>
      <c r="D13" s="33" t="s">
        <v>47</v>
      </c>
      <c r="E13" s="34"/>
      <c r="F13" s="40"/>
      <c r="H13" s="41"/>
      <c r="J13" s="41"/>
      <c r="L13" s="41"/>
      <c r="N13" s="41"/>
      <c r="P13" s="41"/>
      <c r="Q13" s="26"/>
      <c r="R13" s="42">
        <v>60.0</v>
      </c>
      <c r="T13" s="43">
        <v>80.0</v>
      </c>
      <c r="V13" s="41"/>
      <c r="X13" s="41"/>
      <c r="Z13" s="41"/>
      <c r="AB13" s="41"/>
      <c r="AC13" s="26"/>
      <c r="AD13" s="41"/>
      <c r="AF13" s="41"/>
      <c r="AH13" s="41"/>
      <c r="AJ13" s="59"/>
      <c r="AK13" s="26"/>
      <c r="AL13" s="41"/>
      <c r="AN13" s="41"/>
      <c r="AP13" s="41"/>
      <c r="AR13" s="41"/>
      <c r="AT13" s="41"/>
      <c r="AU13" s="26"/>
      <c r="AV13" s="35">
        <f t="shared" si="1"/>
        <v>1419.6</v>
      </c>
      <c r="AW13" s="33">
        <f t="shared" si="2"/>
        <v>140</v>
      </c>
      <c r="AX13" s="33">
        <f t="shared" si="3"/>
        <v>0</v>
      </c>
      <c r="AY13" s="33">
        <f t="shared" si="4"/>
        <v>140</v>
      </c>
      <c r="AZ13" s="30">
        <f t="shared" si="5"/>
        <v>10.14</v>
      </c>
    </row>
    <row r="14" ht="15.75" customHeight="1">
      <c r="A14" s="31" t="s">
        <v>38</v>
      </c>
      <c r="B14" s="32">
        <f t="shared" si="6"/>
        <v>44939</v>
      </c>
      <c r="C14" s="33">
        <v>1.0</v>
      </c>
      <c r="D14" s="33" t="s">
        <v>47</v>
      </c>
      <c r="E14" s="34"/>
      <c r="F14" s="40"/>
      <c r="H14" s="41"/>
      <c r="J14" s="41"/>
      <c r="L14" s="41"/>
      <c r="N14" s="41"/>
      <c r="P14" s="41"/>
      <c r="Q14" s="26"/>
      <c r="R14" s="42">
        <v>54.0</v>
      </c>
      <c r="T14" s="43">
        <v>81.0</v>
      </c>
      <c r="V14" s="41"/>
      <c r="X14" s="41"/>
      <c r="Z14" s="41"/>
      <c r="AB14" s="41"/>
      <c r="AC14" s="26"/>
      <c r="AD14" s="41"/>
      <c r="AF14" s="41"/>
      <c r="AH14" s="41"/>
      <c r="AJ14" s="59"/>
      <c r="AK14" s="26"/>
      <c r="AL14" s="41"/>
      <c r="AN14" s="41"/>
      <c r="AP14" s="41"/>
      <c r="AR14" s="41"/>
      <c r="AT14" s="41"/>
      <c r="AU14" s="26"/>
      <c r="AV14" s="35">
        <f t="shared" si="1"/>
        <v>1368.9</v>
      </c>
      <c r="AW14" s="33">
        <f t="shared" si="2"/>
        <v>135</v>
      </c>
      <c r="AX14" s="33">
        <f t="shared" si="3"/>
        <v>0</v>
      </c>
      <c r="AY14" s="33">
        <f t="shared" si="4"/>
        <v>135</v>
      </c>
      <c r="AZ14" s="30">
        <f t="shared" si="5"/>
        <v>10.14</v>
      </c>
    </row>
    <row r="15" ht="15.75" customHeight="1">
      <c r="A15" s="31" t="s">
        <v>45</v>
      </c>
      <c r="B15" s="32">
        <f t="shared" si="6"/>
        <v>44940</v>
      </c>
      <c r="C15" s="33">
        <v>1.0</v>
      </c>
      <c r="D15" s="33" t="s">
        <v>47</v>
      </c>
      <c r="E15" s="34"/>
      <c r="F15" s="40"/>
      <c r="H15" s="41"/>
      <c r="J15" s="41"/>
      <c r="L15" s="41"/>
      <c r="N15" s="41"/>
      <c r="P15" s="41"/>
      <c r="Q15" s="26"/>
      <c r="R15" s="42"/>
      <c r="T15" s="43"/>
      <c r="V15" s="41"/>
      <c r="X15" s="41"/>
      <c r="Z15" s="41"/>
      <c r="AB15" s="41"/>
      <c r="AC15" s="26"/>
      <c r="AD15" s="41"/>
      <c r="AF15" s="41"/>
      <c r="AH15" s="41"/>
      <c r="AJ15" s="59"/>
      <c r="AK15" s="26"/>
      <c r="AL15" s="41"/>
      <c r="AN15" s="41"/>
      <c r="AP15" s="41"/>
      <c r="AR15" s="41"/>
      <c r="AT15" s="41"/>
      <c r="AU15" s="26"/>
      <c r="AV15" s="35">
        <f t="shared" si="1"/>
        <v>0</v>
      </c>
      <c r="AW15" s="33">
        <f t="shared" si="2"/>
        <v>0</v>
      </c>
      <c r="AX15" s="33">
        <f t="shared" si="3"/>
        <v>0</v>
      </c>
      <c r="AY15" s="33">
        <f t="shared" si="4"/>
        <v>0</v>
      </c>
      <c r="AZ15" s="30" t="str">
        <f t="shared" si="5"/>
        <v/>
      </c>
    </row>
    <row r="16" ht="15.75" customHeight="1">
      <c r="A16" s="44" t="s">
        <v>46</v>
      </c>
      <c r="B16" s="45">
        <f t="shared" si="6"/>
        <v>44941</v>
      </c>
      <c r="C16" s="46">
        <v>1.0</v>
      </c>
      <c r="D16" s="46" t="s">
        <v>47</v>
      </c>
      <c r="E16" s="47"/>
      <c r="F16" s="64"/>
      <c r="G16" s="51"/>
      <c r="H16" s="65"/>
      <c r="I16" s="51"/>
      <c r="J16" s="65"/>
      <c r="K16" s="51"/>
      <c r="L16" s="65"/>
      <c r="M16" s="51"/>
      <c r="N16" s="65"/>
      <c r="O16" s="51"/>
      <c r="P16" s="65"/>
      <c r="Q16" s="53"/>
      <c r="R16" s="66"/>
      <c r="S16" s="51"/>
      <c r="T16" s="67"/>
      <c r="U16" s="51"/>
      <c r="V16" s="65"/>
      <c r="W16" s="51"/>
      <c r="X16" s="65"/>
      <c r="Y16" s="51"/>
      <c r="Z16" s="65"/>
      <c r="AA16" s="51"/>
      <c r="AB16" s="65"/>
      <c r="AC16" s="53"/>
      <c r="AD16" s="65"/>
      <c r="AE16" s="51"/>
      <c r="AF16" s="65"/>
      <c r="AG16" s="51"/>
      <c r="AH16" s="65"/>
      <c r="AI16" s="51"/>
      <c r="AJ16" s="68"/>
      <c r="AK16" s="53"/>
      <c r="AL16" s="65"/>
      <c r="AM16" s="51"/>
      <c r="AN16" s="65"/>
      <c r="AO16" s="51"/>
      <c r="AP16" s="65"/>
      <c r="AQ16" s="51"/>
      <c r="AR16" s="65"/>
      <c r="AS16" s="51"/>
      <c r="AT16" s="65"/>
      <c r="AU16" s="53"/>
      <c r="AV16" s="55">
        <f t="shared" si="1"/>
        <v>0</v>
      </c>
      <c r="AW16" s="46">
        <f t="shared" si="2"/>
        <v>0</v>
      </c>
      <c r="AX16" s="46">
        <f t="shared" si="3"/>
        <v>0</v>
      </c>
      <c r="AY16" s="46">
        <f t="shared" si="4"/>
        <v>0</v>
      </c>
      <c r="AZ16" s="56" t="str">
        <f t="shared" si="5"/>
        <v/>
      </c>
    </row>
    <row r="17" ht="15.75" customHeight="1">
      <c r="A17" s="19" t="s">
        <v>30</v>
      </c>
      <c r="B17" s="57">
        <f t="shared" si="6"/>
        <v>44942</v>
      </c>
      <c r="C17" s="21">
        <v>1.0</v>
      </c>
      <c r="D17" s="21" t="s">
        <v>48</v>
      </c>
      <c r="E17" s="23"/>
      <c r="F17" s="36"/>
      <c r="H17" s="37"/>
      <c r="J17" s="37"/>
      <c r="L17" s="37"/>
      <c r="N17" s="37"/>
      <c r="P17" s="37"/>
      <c r="Q17" s="26"/>
      <c r="R17" s="38">
        <v>122.0</v>
      </c>
      <c r="T17" s="39">
        <v>170.0</v>
      </c>
      <c r="V17" s="37"/>
      <c r="X17" s="37"/>
      <c r="Z17" s="37"/>
      <c r="AB17" s="37"/>
      <c r="AC17" s="26"/>
      <c r="AD17" s="37"/>
      <c r="AF17" s="37"/>
      <c r="AH17" s="37"/>
      <c r="AJ17" s="59"/>
      <c r="AK17" s="26"/>
      <c r="AL17" s="37"/>
      <c r="AN17" s="37"/>
      <c r="AP17" s="37"/>
      <c r="AR17" s="37"/>
      <c r="AT17" s="37"/>
      <c r="AU17" s="26"/>
      <c r="AV17" s="29">
        <f t="shared" si="1"/>
        <v>2960.88</v>
      </c>
      <c r="AW17" s="21">
        <f t="shared" si="2"/>
        <v>292</v>
      </c>
      <c r="AX17" s="21">
        <f t="shared" si="3"/>
        <v>0</v>
      </c>
      <c r="AY17" s="21">
        <f t="shared" si="4"/>
        <v>292</v>
      </c>
      <c r="AZ17" s="58">
        <f t="shared" si="5"/>
        <v>10.14</v>
      </c>
    </row>
    <row r="18" ht="15.75" customHeight="1">
      <c r="A18" s="31" t="s">
        <v>33</v>
      </c>
      <c r="B18" s="32">
        <f t="shared" si="6"/>
        <v>44943</v>
      </c>
      <c r="C18" s="33">
        <v>1.0</v>
      </c>
      <c r="D18" s="33" t="s">
        <v>48</v>
      </c>
      <c r="E18" s="34"/>
      <c r="F18" s="36"/>
      <c r="H18" s="37"/>
      <c r="J18" s="37"/>
      <c r="L18" s="37"/>
      <c r="N18" s="37"/>
      <c r="P18" s="37"/>
      <c r="Q18" s="26"/>
      <c r="R18" s="38">
        <v>152.0</v>
      </c>
      <c r="T18" s="39">
        <v>177.0</v>
      </c>
      <c r="V18" s="37"/>
      <c r="X18" s="37"/>
      <c r="Z18" s="37"/>
      <c r="AB18" s="37"/>
      <c r="AC18" s="26"/>
      <c r="AD18" s="37"/>
      <c r="AF18" s="37"/>
      <c r="AH18" s="37"/>
      <c r="AJ18" s="59"/>
      <c r="AK18" s="26"/>
      <c r="AL18" s="37"/>
      <c r="AN18" s="37"/>
      <c r="AP18" s="37"/>
      <c r="AR18" s="37"/>
      <c r="AT18" s="37"/>
      <c r="AU18" s="26"/>
      <c r="AV18" s="35">
        <f t="shared" si="1"/>
        <v>3336.06</v>
      </c>
      <c r="AW18" s="33">
        <f t="shared" si="2"/>
        <v>329</v>
      </c>
      <c r="AX18" s="33">
        <f t="shared" si="3"/>
        <v>0</v>
      </c>
      <c r="AY18" s="33">
        <f t="shared" si="4"/>
        <v>329</v>
      </c>
      <c r="AZ18" s="30">
        <f t="shared" si="5"/>
        <v>10.14</v>
      </c>
    </row>
    <row r="19" ht="15.75" customHeight="1">
      <c r="A19" s="31" t="s">
        <v>34</v>
      </c>
      <c r="B19" s="32">
        <f t="shared" si="6"/>
        <v>44944</v>
      </c>
      <c r="C19" s="33">
        <v>1.0</v>
      </c>
      <c r="D19" s="33" t="s">
        <v>48</v>
      </c>
      <c r="E19" s="34"/>
      <c r="F19" s="36"/>
      <c r="H19" s="37"/>
      <c r="J19" s="37"/>
      <c r="L19" s="37"/>
      <c r="N19" s="37"/>
      <c r="P19" s="37"/>
      <c r="Q19" s="26"/>
      <c r="R19" s="38">
        <v>149.0</v>
      </c>
      <c r="T19" s="39">
        <v>186.0</v>
      </c>
      <c r="V19" s="37"/>
      <c r="X19" s="37"/>
      <c r="Z19" s="37"/>
      <c r="AB19" s="37"/>
      <c r="AC19" s="26"/>
      <c r="AD19" s="37"/>
      <c r="AF19" s="37"/>
      <c r="AH19" s="37"/>
      <c r="AJ19" s="59"/>
      <c r="AK19" s="26"/>
      <c r="AL19" s="37"/>
      <c r="AN19" s="37"/>
      <c r="AP19" s="37"/>
      <c r="AR19" s="37"/>
      <c r="AT19" s="37"/>
      <c r="AU19" s="26"/>
      <c r="AV19" s="35">
        <f t="shared" si="1"/>
        <v>3396.9</v>
      </c>
      <c r="AW19" s="33">
        <f t="shared" si="2"/>
        <v>335</v>
      </c>
      <c r="AX19" s="33">
        <f t="shared" si="3"/>
        <v>0</v>
      </c>
      <c r="AY19" s="33">
        <f t="shared" si="4"/>
        <v>335</v>
      </c>
      <c r="AZ19" s="30">
        <f t="shared" si="5"/>
        <v>10.14</v>
      </c>
    </row>
    <row r="20" ht="15.75" customHeight="1">
      <c r="A20" s="31" t="s">
        <v>35</v>
      </c>
      <c r="B20" s="32">
        <f t="shared" si="6"/>
        <v>44945</v>
      </c>
      <c r="C20" s="33">
        <v>1.0</v>
      </c>
      <c r="D20" s="33" t="s">
        <v>48</v>
      </c>
      <c r="E20" s="34"/>
      <c r="F20" s="36"/>
      <c r="H20" s="37"/>
      <c r="J20" s="37"/>
      <c r="L20" s="37"/>
      <c r="N20" s="37"/>
      <c r="P20" s="37"/>
      <c r="Q20" s="26"/>
      <c r="R20" s="38">
        <v>167.0</v>
      </c>
      <c r="T20" s="39">
        <v>161.0</v>
      </c>
      <c r="V20" s="37"/>
      <c r="X20" s="37"/>
      <c r="Z20" s="37"/>
      <c r="AB20" s="37"/>
      <c r="AC20" s="26"/>
      <c r="AD20" s="37"/>
      <c r="AF20" s="37"/>
      <c r="AH20" s="37"/>
      <c r="AJ20" s="59"/>
      <c r="AK20" s="26"/>
      <c r="AL20" s="37"/>
      <c r="AN20" s="37"/>
      <c r="AP20" s="37"/>
      <c r="AR20" s="37"/>
      <c r="AT20" s="37"/>
      <c r="AU20" s="26"/>
      <c r="AV20" s="35">
        <f t="shared" si="1"/>
        <v>3325.92</v>
      </c>
      <c r="AW20" s="33">
        <f t="shared" si="2"/>
        <v>328</v>
      </c>
      <c r="AX20" s="33">
        <f t="shared" si="3"/>
        <v>0</v>
      </c>
      <c r="AY20" s="33">
        <f t="shared" si="4"/>
        <v>328</v>
      </c>
      <c r="AZ20" s="30">
        <f t="shared" si="5"/>
        <v>10.14</v>
      </c>
    </row>
    <row r="21" ht="15.75" customHeight="1">
      <c r="A21" s="31" t="s">
        <v>38</v>
      </c>
      <c r="B21" s="32">
        <f t="shared" si="6"/>
        <v>44946</v>
      </c>
      <c r="C21" s="33">
        <v>1.0</v>
      </c>
      <c r="D21" s="33" t="s">
        <v>48</v>
      </c>
      <c r="E21" s="34"/>
      <c r="F21" s="36"/>
      <c r="H21" s="37"/>
      <c r="J21" s="37"/>
      <c r="L21" s="37"/>
      <c r="N21" s="37"/>
      <c r="P21" s="37"/>
      <c r="Q21" s="26"/>
      <c r="R21" s="38">
        <v>137.0</v>
      </c>
      <c r="T21" s="39">
        <v>151.0</v>
      </c>
      <c r="V21" s="37"/>
      <c r="X21" s="37"/>
      <c r="Z21" s="37"/>
      <c r="AB21" s="37"/>
      <c r="AC21" s="26"/>
      <c r="AD21" s="37"/>
      <c r="AF21" s="37"/>
      <c r="AH21" s="37"/>
      <c r="AJ21" s="59"/>
      <c r="AK21" s="26"/>
      <c r="AL21" s="37"/>
      <c r="AN21" s="37"/>
      <c r="AP21" s="37"/>
      <c r="AR21" s="37"/>
      <c r="AT21" s="37"/>
      <c r="AU21" s="26"/>
      <c r="AV21" s="35">
        <f t="shared" si="1"/>
        <v>2920.32</v>
      </c>
      <c r="AW21" s="33">
        <f t="shared" si="2"/>
        <v>288</v>
      </c>
      <c r="AX21" s="33">
        <f t="shared" si="3"/>
        <v>0</v>
      </c>
      <c r="AY21" s="33">
        <f t="shared" si="4"/>
        <v>288</v>
      </c>
      <c r="AZ21" s="30">
        <f t="shared" si="5"/>
        <v>10.14</v>
      </c>
    </row>
    <row r="22" ht="15.75" customHeight="1">
      <c r="A22" s="31" t="s">
        <v>45</v>
      </c>
      <c r="B22" s="32">
        <f t="shared" si="6"/>
        <v>44947</v>
      </c>
      <c r="C22" s="33">
        <v>1.0</v>
      </c>
      <c r="D22" s="33" t="s">
        <v>48</v>
      </c>
      <c r="E22" s="34"/>
      <c r="F22" s="36"/>
      <c r="H22" s="37"/>
      <c r="J22" s="37"/>
      <c r="L22" s="37"/>
      <c r="N22" s="37"/>
      <c r="P22" s="37"/>
      <c r="Q22" s="26"/>
      <c r="R22" s="38"/>
      <c r="T22" s="39"/>
      <c r="V22" s="37"/>
      <c r="X22" s="37"/>
      <c r="Z22" s="37"/>
      <c r="AB22" s="37"/>
      <c r="AC22" s="26"/>
      <c r="AD22" s="37"/>
      <c r="AF22" s="37"/>
      <c r="AH22" s="37"/>
      <c r="AJ22" s="59"/>
      <c r="AK22" s="26"/>
      <c r="AL22" s="37"/>
      <c r="AN22" s="37"/>
      <c r="AP22" s="37"/>
      <c r="AR22" s="37"/>
      <c r="AT22" s="37"/>
      <c r="AU22" s="26"/>
      <c r="AV22" s="35">
        <f t="shared" si="1"/>
        <v>0</v>
      </c>
      <c r="AW22" s="33">
        <f t="shared" si="2"/>
        <v>0</v>
      </c>
      <c r="AX22" s="33">
        <f t="shared" si="3"/>
        <v>0</v>
      </c>
      <c r="AY22" s="33">
        <f t="shared" si="4"/>
        <v>0</v>
      </c>
      <c r="AZ22" s="30" t="str">
        <f t="shared" si="5"/>
        <v/>
      </c>
    </row>
    <row r="23" ht="15.75" customHeight="1">
      <c r="A23" s="44" t="s">
        <v>46</v>
      </c>
      <c r="B23" s="45">
        <f t="shared" si="6"/>
        <v>44948</v>
      </c>
      <c r="C23" s="46">
        <v>1.0</v>
      </c>
      <c r="D23" s="46" t="s">
        <v>48</v>
      </c>
      <c r="E23" s="47"/>
      <c r="F23" s="60"/>
      <c r="G23" s="51"/>
      <c r="H23" s="61"/>
      <c r="I23" s="51"/>
      <c r="J23" s="61"/>
      <c r="K23" s="51"/>
      <c r="L23" s="61"/>
      <c r="M23" s="51"/>
      <c r="N23" s="61"/>
      <c r="O23" s="51"/>
      <c r="P23" s="61"/>
      <c r="Q23" s="53"/>
      <c r="R23" s="62"/>
      <c r="S23" s="51"/>
      <c r="T23" s="63"/>
      <c r="U23" s="51"/>
      <c r="V23" s="61"/>
      <c r="W23" s="51"/>
      <c r="X23" s="61"/>
      <c r="Y23" s="51"/>
      <c r="Z23" s="61"/>
      <c r="AA23" s="51"/>
      <c r="AB23" s="61"/>
      <c r="AC23" s="53"/>
      <c r="AD23" s="61"/>
      <c r="AE23" s="51"/>
      <c r="AF23" s="61"/>
      <c r="AG23" s="51"/>
      <c r="AH23" s="61"/>
      <c r="AI23" s="51"/>
      <c r="AJ23" s="68"/>
      <c r="AK23" s="53"/>
      <c r="AL23" s="61"/>
      <c r="AM23" s="51"/>
      <c r="AN23" s="61"/>
      <c r="AO23" s="51"/>
      <c r="AP23" s="61"/>
      <c r="AQ23" s="51"/>
      <c r="AR23" s="61"/>
      <c r="AS23" s="51"/>
      <c r="AT23" s="61"/>
      <c r="AU23" s="53"/>
      <c r="AV23" s="55">
        <f t="shared" si="1"/>
        <v>0</v>
      </c>
      <c r="AW23" s="46">
        <f t="shared" si="2"/>
        <v>0</v>
      </c>
      <c r="AX23" s="46">
        <f t="shared" si="3"/>
        <v>0</v>
      </c>
      <c r="AY23" s="46">
        <f t="shared" si="4"/>
        <v>0</v>
      </c>
      <c r="AZ23" s="56" t="str">
        <f t="shared" si="5"/>
        <v/>
      </c>
    </row>
    <row r="24" ht="15.75" customHeight="1">
      <c r="A24" s="19" t="s">
        <v>30</v>
      </c>
      <c r="B24" s="57">
        <f t="shared" si="6"/>
        <v>44949</v>
      </c>
      <c r="C24" s="21">
        <v>1.0</v>
      </c>
      <c r="D24" s="21" t="s">
        <v>49</v>
      </c>
      <c r="E24" s="23"/>
      <c r="F24" s="36"/>
      <c r="H24" s="37"/>
      <c r="J24" s="37"/>
      <c r="L24" s="37"/>
      <c r="N24" s="37"/>
      <c r="P24" s="37"/>
      <c r="Q24" s="26"/>
      <c r="R24" s="38">
        <v>144.0</v>
      </c>
      <c r="T24" s="39">
        <v>148.0</v>
      </c>
      <c r="V24" s="37"/>
      <c r="X24" s="37"/>
      <c r="Z24" s="37"/>
      <c r="AB24" s="37"/>
      <c r="AC24" s="26"/>
      <c r="AD24" s="37"/>
      <c r="AF24" s="37"/>
      <c r="AH24" s="37"/>
      <c r="AJ24" s="59"/>
      <c r="AK24" s="26"/>
      <c r="AL24" s="37"/>
      <c r="AN24" s="37"/>
      <c r="AP24" s="37"/>
      <c r="AR24" s="37"/>
      <c r="AT24" s="37"/>
      <c r="AU24" s="26"/>
      <c r="AV24" s="29">
        <f t="shared" si="1"/>
        <v>2960.88</v>
      </c>
      <c r="AW24" s="21">
        <f t="shared" si="2"/>
        <v>292</v>
      </c>
      <c r="AX24" s="21">
        <f t="shared" si="3"/>
        <v>0</v>
      </c>
      <c r="AY24" s="21">
        <f t="shared" si="4"/>
        <v>292</v>
      </c>
      <c r="AZ24" s="58">
        <f t="shared" si="5"/>
        <v>10.14</v>
      </c>
    </row>
    <row r="25" ht="15.75" customHeight="1">
      <c r="A25" s="31" t="s">
        <v>33</v>
      </c>
      <c r="B25" s="32">
        <f t="shared" si="6"/>
        <v>44950</v>
      </c>
      <c r="C25" s="33">
        <v>1.0</v>
      </c>
      <c r="D25" s="33" t="s">
        <v>49</v>
      </c>
      <c r="E25" s="34"/>
      <c r="F25" s="36"/>
      <c r="H25" s="37"/>
      <c r="J25" s="37"/>
      <c r="L25" s="37"/>
      <c r="N25" s="37"/>
      <c r="P25" s="37"/>
      <c r="Q25" s="26"/>
      <c r="R25" s="38">
        <v>146.0</v>
      </c>
      <c r="T25" s="39">
        <v>140.0</v>
      </c>
      <c r="V25" s="37"/>
      <c r="X25" s="37"/>
      <c r="Z25" s="37"/>
      <c r="AB25" s="37"/>
      <c r="AC25" s="26"/>
      <c r="AD25" s="37"/>
      <c r="AF25" s="37"/>
      <c r="AH25" s="37"/>
      <c r="AJ25" s="59"/>
      <c r="AK25" s="26"/>
      <c r="AL25" s="37"/>
      <c r="AN25" s="37"/>
      <c r="AP25" s="37"/>
      <c r="AR25" s="37"/>
      <c r="AT25" s="37"/>
      <c r="AU25" s="26"/>
      <c r="AV25" s="35">
        <f t="shared" si="1"/>
        <v>2900.04</v>
      </c>
      <c r="AW25" s="33">
        <f t="shared" si="2"/>
        <v>286</v>
      </c>
      <c r="AX25" s="33">
        <f t="shared" si="3"/>
        <v>0</v>
      </c>
      <c r="AY25" s="33">
        <f t="shared" si="4"/>
        <v>286</v>
      </c>
      <c r="AZ25" s="30">
        <f t="shared" si="5"/>
        <v>10.14</v>
      </c>
    </row>
    <row r="26" ht="15.75" customHeight="1">
      <c r="A26" s="31" t="s">
        <v>34</v>
      </c>
      <c r="B26" s="32">
        <f t="shared" si="6"/>
        <v>44951</v>
      </c>
      <c r="C26" s="33">
        <v>1.0</v>
      </c>
      <c r="D26" s="33" t="s">
        <v>49</v>
      </c>
      <c r="E26" s="34"/>
      <c r="F26" s="36"/>
      <c r="H26" s="37"/>
      <c r="J26" s="37"/>
      <c r="L26" s="37"/>
      <c r="N26" s="37"/>
      <c r="P26" s="37"/>
      <c r="Q26" s="26"/>
      <c r="R26" s="38">
        <v>152.0</v>
      </c>
      <c r="T26" s="39">
        <v>184.0</v>
      </c>
      <c r="V26" s="37"/>
      <c r="X26" s="37"/>
      <c r="Z26" s="37"/>
      <c r="AB26" s="37"/>
      <c r="AC26" s="26"/>
      <c r="AD26" s="37"/>
      <c r="AF26" s="37"/>
      <c r="AH26" s="37"/>
      <c r="AJ26" s="59"/>
      <c r="AK26" s="26"/>
      <c r="AL26" s="37"/>
      <c r="AN26" s="37"/>
      <c r="AP26" s="37"/>
      <c r="AR26" s="37"/>
      <c r="AT26" s="37"/>
      <c r="AU26" s="26"/>
      <c r="AV26" s="35">
        <f t="shared" si="1"/>
        <v>3407.04</v>
      </c>
      <c r="AW26" s="33">
        <f t="shared" si="2"/>
        <v>336</v>
      </c>
      <c r="AX26" s="33">
        <f t="shared" si="3"/>
        <v>0</v>
      </c>
      <c r="AY26" s="33">
        <f t="shared" si="4"/>
        <v>336</v>
      </c>
      <c r="AZ26" s="30">
        <f t="shared" si="5"/>
        <v>10.14</v>
      </c>
    </row>
    <row r="27" ht="15.75" customHeight="1">
      <c r="A27" s="31" t="s">
        <v>35</v>
      </c>
      <c r="B27" s="32">
        <f t="shared" si="6"/>
        <v>44952</v>
      </c>
      <c r="C27" s="33">
        <v>1.0</v>
      </c>
      <c r="D27" s="33" t="s">
        <v>49</v>
      </c>
      <c r="E27" s="34"/>
      <c r="F27" s="36"/>
      <c r="H27" s="37"/>
      <c r="J27" s="37"/>
      <c r="L27" s="37"/>
      <c r="N27" s="37"/>
      <c r="P27" s="37"/>
      <c r="Q27" s="26"/>
      <c r="R27" s="38">
        <v>153.0</v>
      </c>
      <c r="T27" s="39">
        <v>148.0</v>
      </c>
      <c r="V27" s="37"/>
      <c r="X27" s="37"/>
      <c r="Z27" s="37"/>
      <c r="AB27" s="37"/>
      <c r="AC27" s="26"/>
      <c r="AD27" s="37"/>
      <c r="AF27" s="37"/>
      <c r="AH27" s="37"/>
      <c r="AJ27" s="59"/>
      <c r="AK27" s="26"/>
      <c r="AL27" s="37"/>
      <c r="AN27" s="37"/>
      <c r="AP27" s="37"/>
      <c r="AR27" s="37"/>
      <c r="AT27" s="37"/>
      <c r="AU27" s="26"/>
      <c r="AV27" s="35">
        <f t="shared" si="1"/>
        <v>3052.14</v>
      </c>
      <c r="AW27" s="33">
        <f t="shared" si="2"/>
        <v>301</v>
      </c>
      <c r="AX27" s="33">
        <f t="shared" si="3"/>
        <v>0</v>
      </c>
      <c r="AY27" s="33">
        <f t="shared" si="4"/>
        <v>301</v>
      </c>
      <c r="AZ27" s="30">
        <f t="shared" si="5"/>
        <v>10.14</v>
      </c>
    </row>
    <row r="28" ht="15.75" customHeight="1">
      <c r="A28" s="31" t="s">
        <v>38</v>
      </c>
      <c r="B28" s="32">
        <f t="shared" si="6"/>
        <v>44953</v>
      </c>
      <c r="C28" s="33">
        <v>1.0</v>
      </c>
      <c r="D28" s="33" t="s">
        <v>49</v>
      </c>
      <c r="E28" s="34"/>
      <c r="F28" s="36"/>
      <c r="H28" s="37"/>
      <c r="J28" s="37"/>
      <c r="L28" s="37"/>
      <c r="N28" s="37"/>
      <c r="P28" s="37"/>
      <c r="Q28" s="26"/>
      <c r="R28" s="38">
        <v>133.0</v>
      </c>
      <c r="T28" s="39">
        <v>165.0</v>
      </c>
      <c r="V28" s="37"/>
      <c r="X28" s="37"/>
      <c r="Z28" s="37"/>
      <c r="AB28" s="37"/>
      <c r="AC28" s="26"/>
      <c r="AD28" s="37"/>
      <c r="AF28" s="37"/>
      <c r="AH28" s="37"/>
      <c r="AJ28" s="59"/>
      <c r="AK28" s="26"/>
      <c r="AL28" s="37"/>
      <c r="AN28" s="37"/>
      <c r="AP28" s="37"/>
      <c r="AR28" s="37"/>
      <c r="AT28" s="37"/>
      <c r="AU28" s="26"/>
      <c r="AV28" s="35">
        <f t="shared" si="1"/>
        <v>3021.72</v>
      </c>
      <c r="AW28" s="33">
        <f t="shared" si="2"/>
        <v>298</v>
      </c>
      <c r="AX28" s="33">
        <f t="shared" si="3"/>
        <v>0</v>
      </c>
      <c r="AY28" s="33">
        <f t="shared" si="4"/>
        <v>298</v>
      </c>
      <c r="AZ28" s="30">
        <f t="shared" si="5"/>
        <v>10.14</v>
      </c>
    </row>
    <row r="29" ht="15.75" customHeight="1">
      <c r="A29" s="31" t="s">
        <v>45</v>
      </c>
      <c r="B29" s="32">
        <f t="shared" si="6"/>
        <v>44954</v>
      </c>
      <c r="C29" s="33">
        <v>1.0</v>
      </c>
      <c r="D29" s="33" t="s">
        <v>49</v>
      </c>
      <c r="E29" s="34"/>
      <c r="F29" s="36"/>
      <c r="H29" s="37"/>
      <c r="J29" s="37"/>
      <c r="L29" s="37"/>
      <c r="N29" s="37"/>
      <c r="P29" s="37"/>
      <c r="Q29" s="26"/>
      <c r="R29" s="38"/>
      <c r="T29" s="39"/>
      <c r="V29" s="37"/>
      <c r="X29" s="37"/>
      <c r="Z29" s="37"/>
      <c r="AB29" s="37"/>
      <c r="AC29" s="26"/>
      <c r="AD29" s="37"/>
      <c r="AF29" s="37"/>
      <c r="AH29" s="37"/>
      <c r="AJ29" s="59"/>
      <c r="AK29" s="26"/>
      <c r="AL29" s="37"/>
      <c r="AN29" s="37"/>
      <c r="AP29" s="37"/>
      <c r="AR29" s="37"/>
      <c r="AT29" s="37"/>
      <c r="AU29" s="26"/>
      <c r="AV29" s="35">
        <f t="shared" si="1"/>
        <v>0</v>
      </c>
      <c r="AW29" s="33">
        <f t="shared" si="2"/>
        <v>0</v>
      </c>
      <c r="AX29" s="33">
        <f t="shared" si="3"/>
        <v>0</v>
      </c>
      <c r="AY29" s="33">
        <f t="shared" si="4"/>
        <v>0</v>
      </c>
      <c r="AZ29" s="30" t="str">
        <f t="shared" si="5"/>
        <v/>
      </c>
    </row>
    <row r="30" ht="15.75" customHeight="1">
      <c r="A30" s="44" t="s">
        <v>46</v>
      </c>
      <c r="B30" s="45">
        <f t="shared" si="6"/>
        <v>44955</v>
      </c>
      <c r="C30" s="46">
        <v>1.0</v>
      </c>
      <c r="D30" s="46" t="s">
        <v>49</v>
      </c>
      <c r="E30" s="47"/>
      <c r="F30" s="60"/>
      <c r="G30" s="51"/>
      <c r="H30" s="61"/>
      <c r="I30" s="51"/>
      <c r="J30" s="61"/>
      <c r="K30" s="51"/>
      <c r="L30" s="61"/>
      <c r="M30" s="51"/>
      <c r="N30" s="61"/>
      <c r="O30" s="51"/>
      <c r="P30" s="61"/>
      <c r="Q30" s="53"/>
      <c r="R30" s="62"/>
      <c r="S30" s="51"/>
      <c r="T30" s="63"/>
      <c r="U30" s="51"/>
      <c r="V30" s="61"/>
      <c r="W30" s="51"/>
      <c r="X30" s="61"/>
      <c r="Y30" s="51"/>
      <c r="Z30" s="61"/>
      <c r="AA30" s="51"/>
      <c r="AB30" s="61"/>
      <c r="AC30" s="53"/>
      <c r="AD30" s="61"/>
      <c r="AE30" s="51"/>
      <c r="AF30" s="61"/>
      <c r="AG30" s="51"/>
      <c r="AH30" s="61"/>
      <c r="AI30" s="51"/>
      <c r="AJ30" s="68"/>
      <c r="AK30" s="53"/>
      <c r="AL30" s="61"/>
      <c r="AM30" s="51"/>
      <c r="AN30" s="61"/>
      <c r="AO30" s="51"/>
      <c r="AP30" s="61"/>
      <c r="AQ30" s="51"/>
      <c r="AR30" s="61"/>
      <c r="AS30" s="51"/>
      <c r="AT30" s="61"/>
      <c r="AU30" s="53"/>
      <c r="AV30" s="55">
        <f t="shared" si="1"/>
        <v>0</v>
      </c>
      <c r="AW30" s="46">
        <f t="shared" si="2"/>
        <v>0</v>
      </c>
      <c r="AX30" s="46">
        <f t="shared" si="3"/>
        <v>0</v>
      </c>
      <c r="AY30" s="46">
        <f t="shared" si="4"/>
        <v>0</v>
      </c>
      <c r="AZ30" s="56" t="str">
        <f t="shared" si="5"/>
        <v/>
      </c>
    </row>
    <row r="31" ht="15.75" customHeight="1">
      <c r="A31" s="19" t="s">
        <v>30</v>
      </c>
      <c r="B31" s="57">
        <f t="shared" si="6"/>
        <v>44956</v>
      </c>
      <c r="C31" s="69">
        <v>2.0</v>
      </c>
      <c r="D31" s="21" t="s">
        <v>31</v>
      </c>
      <c r="E31" s="23"/>
      <c r="F31" s="38">
        <v>12.0</v>
      </c>
      <c r="H31" s="39">
        <v>14.0</v>
      </c>
      <c r="J31" s="37"/>
      <c r="L31" s="37"/>
      <c r="N31" s="37"/>
      <c r="P31" s="37"/>
      <c r="Q31" s="26"/>
      <c r="R31" s="38">
        <v>91.0</v>
      </c>
      <c r="T31" s="39">
        <v>116.0</v>
      </c>
      <c r="V31" s="37"/>
      <c r="X31" s="37"/>
      <c r="Z31" s="37"/>
      <c r="AB31" s="37"/>
      <c r="AC31" s="26"/>
      <c r="AD31" s="37"/>
      <c r="AF31" s="37"/>
      <c r="AH31" s="37"/>
      <c r="AJ31" s="59"/>
      <c r="AK31" s="26"/>
      <c r="AL31" s="37"/>
      <c r="AN31" s="37"/>
      <c r="AP31" s="37"/>
      <c r="AR31" s="37"/>
      <c r="AT31" s="37"/>
      <c r="AU31" s="26"/>
      <c r="AV31" s="29">
        <f t="shared" si="1"/>
        <v>2626.52</v>
      </c>
      <c r="AW31" s="21">
        <f t="shared" si="2"/>
        <v>233</v>
      </c>
      <c r="AX31" s="21">
        <f t="shared" si="3"/>
        <v>0</v>
      </c>
      <c r="AY31" s="21">
        <f t="shared" si="4"/>
        <v>233</v>
      </c>
      <c r="AZ31" s="58">
        <f t="shared" si="5"/>
        <v>11.27261803</v>
      </c>
    </row>
    <row r="32" ht="15.75" customHeight="1">
      <c r="A32" s="31" t="s">
        <v>33</v>
      </c>
      <c r="B32" s="32">
        <f t="shared" si="6"/>
        <v>44957</v>
      </c>
      <c r="C32" s="70">
        <v>2.0</v>
      </c>
      <c r="D32" s="33" t="s">
        <v>31</v>
      </c>
      <c r="E32" s="34"/>
      <c r="F32" s="38">
        <v>21.0</v>
      </c>
      <c r="H32" s="39">
        <v>18.0</v>
      </c>
      <c r="J32" s="37"/>
      <c r="L32" s="37"/>
      <c r="N32" s="37"/>
      <c r="P32" s="37"/>
      <c r="Q32" s="26"/>
      <c r="R32" s="38">
        <v>117.0</v>
      </c>
      <c r="T32" s="39">
        <v>96.0</v>
      </c>
      <c r="V32" s="37"/>
      <c r="X32" s="37"/>
      <c r="Z32" s="37"/>
      <c r="AB32" s="37"/>
      <c r="AC32" s="26"/>
      <c r="AD32" s="37"/>
      <c r="AF32" s="37"/>
      <c r="AH32" s="37"/>
      <c r="AJ32" s="59"/>
      <c r="AK32" s="26"/>
      <c r="AL32" s="37"/>
      <c r="AN32" s="37"/>
      <c r="AP32" s="37"/>
      <c r="AR32" s="37"/>
      <c r="AT32" s="37"/>
      <c r="AU32" s="26"/>
      <c r="AV32" s="35">
        <f t="shared" si="1"/>
        <v>2951.13</v>
      </c>
      <c r="AW32" s="33">
        <f t="shared" si="2"/>
        <v>252</v>
      </c>
      <c r="AX32" s="33">
        <f t="shared" si="3"/>
        <v>0</v>
      </c>
      <c r="AY32" s="33">
        <f t="shared" si="4"/>
        <v>252</v>
      </c>
      <c r="AZ32" s="30">
        <f t="shared" si="5"/>
        <v>11.71083333</v>
      </c>
    </row>
    <row r="33" ht="15.75" customHeight="1">
      <c r="A33" s="31" t="s">
        <v>34</v>
      </c>
      <c r="B33" s="32">
        <f t="shared" si="6"/>
        <v>44958</v>
      </c>
      <c r="C33" s="70">
        <v>2.0</v>
      </c>
      <c r="D33" s="33" t="s">
        <v>31</v>
      </c>
      <c r="E33" s="34"/>
      <c r="F33" s="38">
        <v>23.0</v>
      </c>
      <c r="H33" s="39">
        <v>21.0</v>
      </c>
      <c r="J33" s="37"/>
      <c r="L33" s="37"/>
      <c r="N33" s="37"/>
      <c r="P33" s="37"/>
      <c r="Q33" s="26"/>
      <c r="R33" s="38">
        <v>94.0</v>
      </c>
      <c r="T33" s="39">
        <v>97.0</v>
      </c>
      <c r="V33" s="37"/>
      <c r="X33" s="37"/>
      <c r="Z33" s="37"/>
      <c r="AB33" s="37"/>
      <c r="AC33" s="26"/>
      <c r="AD33" s="37"/>
      <c r="AF33" s="37"/>
      <c r="AH33" s="37"/>
      <c r="AJ33" s="59"/>
      <c r="AK33" s="26"/>
      <c r="AL33" s="37"/>
      <c r="AN33" s="37"/>
      <c r="AP33" s="37"/>
      <c r="AR33" s="37"/>
      <c r="AT33" s="37"/>
      <c r="AU33" s="26"/>
      <c r="AV33" s="35">
        <f t="shared" si="1"/>
        <v>2829.5</v>
      </c>
      <c r="AW33" s="33">
        <f t="shared" si="2"/>
        <v>235</v>
      </c>
      <c r="AX33" s="33">
        <f t="shared" si="3"/>
        <v>0</v>
      </c>
      <c r="AY33" s="33">
        <f t="shared" si="4"/>
        <v>235</v>
      </c>
      <c r="AZ33" s="30">
        <f t="shared" si="5"/>
        <v>12.04042553</v>
      </c>
    </row>
    <row r="34" ht="15.75" customHeight="1">
      <c r="A34" s="31" t="s">
        <v>35</v>
      </c>
      <c r="B34" s="32">
        <f t="shared" si="6"/>
        <v>44959</v>
      </c>
      <c r="C34" s="70">
        <v>2.0</v>
      </c>
      <c r="D34" s="33" t="s">
        <v>31</v>
      </c>
      <c r="E34" s="34"/>
      <c r="F34" s="38">
        <v>24.0</v>
      </c>
      <c r="H34" s="39">
        <v>26.0</v>
      </c>
      <c r="J34" s="37"/>
      <c r="L34" s="37"/>
      <c r="N34" s="37"/>
      <c r="P34" s="37"/>
      <c r="Q34" s="26"/>
      <c r="R34" s="38">
        <v>104.0</v>
      </c>
      <c r="T34" s="39">
        <v>105.0</v>
      </c>
      <c r="V34" s="37"/>
      <c r="X34" s="37"/>
      <c r="Z34" s="37"/>
      <c r="AB34" s="37"/>
      <c r="AC34" s="26"/>
      <c r="AD34" s="37"/>
      <c r="AF34" s="37"/>
      <c r="AH34" s="37"/>
      <c r="AJ34" s="59"/>
      <c r="AK34" s="26"/>
      <c r="AL34" s="37"/>
      <c r="AN34" s="37"/>
      <c r="AP34" s="37"/>
      <c r="AR34" s="37"/>
      <c r="AT34" s="37"/>
      <c r="AU34" s="26"/>
      <c r="AV34" s="35">
        <f t="shared" si="1"/>
        <v>3133.76</v>
      </c>
      <c r="AW34" s="33">
        <f t="shared" si="2"/>
        <v>259</v>
      </c>
      <c r="AX34" s="33">
        <f t="shared" si="3"/>
        <v>0</v>
      </c>
      <c r="AY34" s="33">
        <f t="shared" si="4"/>
        <v>259</v>
      </c>
      <c r="AZ34" s="30">
        <f t="shared" si="5"/>
        <v>12.09945946</v>
      </c>
    </row>
    <row r="35" ht="15.75" customHeight="1">
      <c r="A35" s="31" t="s">
        <v>38</v>
      </c>
      <c r="B35" s="32">
        <f t="shared" si="6"/>
        <v>44960</v>
      </c>
      <c r="C35" s="70">
        <v>2.0</v>
      </c>
      <c r="D35" s="33" t="s">
        <v>31</v>
      </c>
      <c r="E35" s="34"/>
      <c r="F35" s="38">
        <v>24.0</v>
      </c>
      <c r="H35" s="39">
        <v>28.0</v>
      </c>
      <c r="J35" s="37"/>
      <c r="L35" s="37"/>
      <c r="N35" s="37"/>
      <c r="P35" s="37"/>
      <c r="Q35" s="26"/>
      <c r="R35" s="38">
        <v>91.0</v>
      </c>
      <c r="T35" s="39">
        <v>95.0</v>
      </c>
      <c r="V35" s="37"/>
      <c r="X35" s="37"/>
      <c r="Z35" s="37"/>
      <c r="AB35" s="37"/>
      <c r="AC35" s="26"/>
      <c r="AD35" s="37"/>
      <c r="AF35" s="37"/>
      <c r="AH35" s="37"/>
      <c r="AJ35" s="59"/>
      <c r="AK35" s="26"/>
      <c r="AL35" s="37"/>
      <c r="AN35" s="37"/>
      <c r="AP35" s="37"/>
      <c r="AR35" s="37"/>
      <c r="AT35" s="37"/>
      <c r="AU35" s="26"/>
      <c r="AV35" s="35">
        <f t="shared" si="1"/>
        <v>2941.12</v>
      </c>
      <c r="AW35" s="33">
        <f t="shared" si="2"/>
        <v>238</v>
      </c>
      <c r="AX35" s="33">
        <f t="shared" si="3"/>
        <v>0</v>
      </c>
      <c r="AY35" s="33">
        <f t="shared" si="4"/>
        <v>238</v>
      </c>
      <c r="AZ35" s="30">
        <f t="shared" si="5"/>
        <v>12.35764706</v>
      </c>
    </row>
    <row r="36" ht="15.75" customHeight="1">
      <c r="A36" s="31" t="s">
        <v>45</v>
      </c>
      <c r="B36" s="32">
        <f t="shared" si="6"/>
        <v>44961</v>
      </c>
      <c r="C36" s="70">
        <v>2.0</v>
      </c>
      <c r="D36" s="33" t="s">
        <v>31</v>
      </c>
      <c r="E36" s="34"/>
      <c r="F36" s="36"/>
      <c r="H36" s="37"/>
      <c r="J36" s="37"/>
      <c r="L36" s="37"/>
      <c r="N36" s="37"/>
      <c r="P36" s="37"/>
      <c r="Q36" s="26"/>
      <c r="R36" s="38"/>
      <c r="T36" s="39"/>
      <c r="V36" s="37"/>
      <c r="X36" s="37"/>
      <c r="Z36" s="37"/>
      <c r="AB36" s="37"/>
      <c r="AC36" s="26"/>
      <c r="AD36" s="37"/>
      <c r="AF36" s="37"/>
      <c r="AH36" s="37"/>
      <c r="AJ36" s="59"/>
      <c r="AK36" s="26"/>
      <c r="AL36" s="37"/>
      <c r="AN36" s="37"/>
      <c r="AP36" s="37"/>
      <c r="AR36" s="37"/>
      <c r="AT36" s="37"/>
      <c r="AU36" s="26"/>
      <c r="AV36" s="35">
        <f t="shared" si="1"/>
        <v>0</v>
      </c>
      <c r="AW36" s="33">
        <f t="shared" si="2"/>
        <v>0</v>
      </c>
      <c r="AX36" s="33">
        <f t="shared" si="3"/>
        <v>0</v>
      </c>
      <c r="AY36" s="33">
        <f t="shared" si="4"/>
        <v>0</v>
      </c>
      <c r="AZ36" s="30" t="str">
        <f t="shared" si="5"/>
        <v/>
      </c>
    </row>
    <row r="37" ht="15.75" customHeight="1">
      <c r="A37" s="44" t="s">
        <v>46</v>
      </c>
      <c r="B37" s="45">
        <f t="shared" si="6"/>
        <v>44962</v>
      </c>
      <c r="C37" s="71">
        <v>2.0</v>
      </c>
      <c r="D37" s="46" t="s">
        <v>31</v>
      </c>
      <c r="E37" s="47"/>
      <c r="F37" s="60"/>
      <c r="G37" s="51"/>
      <c r="H37" s="61"/>
      <c r="I37" s="51"/>
      <c r="J37" s="61"/>
      <c r="K37" s="51"/>
      <c r="L37" s="61"/>
      <c r="M37" s="51"/>
      <c r="N37" s="61"/>
      <c r="O37" s="51"/>
      <c r="P37" s="61"/>
      <c r="Q37" s="53"/>
      <c r="R37" s="62"/>
      <c r="S37" s="51"/>
      <c r="T37" s="63"/>
      <c r="U37" s="51"/>
      <c r="V37" s="61"/>
      <c r="W37" s="51"/>
      <c r="X37" s="61"/>
      <c r="Y37" s="51"/>
      <c r="Z37" s="61"/>
      <c r="AA37" s="51"/>
      <c r="AB37" s="61"/>
      <c r="AC37" s="53"/>
      <c r="AD37" s="61"/>
      <c r="AE37" s="51"/>
      <c r="AF37" s="61"/>
      <c r="AG37" s="51"/>
      <c r="AH37" s="61"/>
      <c r="AI37" s="51"/>
      <c r="AJ37" s="68"/>
      <c r="AK37" s="53"/>
      <c r="AL37" s="61"/>
      <c r="AM37" s="51"/>
      <c r="AN37" s="61"/>
      <c r="AO37" s="51"/>
      <c r="AP37" s="61"/>
      <c r="AQ37" s="51"/>
      <c r="AR37" s="61"/>
      <c r="AS37" s="51"/>
      <c r="AT37" s="61"/>
      <c r="AU37" s="53"/>
      <c r="AV37" s="55">
        <f t="shared" si="1"/>
        <v>0</v>
      </c>
      <c r="AW37" s="46">
        <f t="shared" si="2"/>
        <v>0</v>
      </c>
      <c r="AX37" s="46">
        <f t="shared" si="3"/>
        <v>0</v>
      </c>
      <c r="AY37" s="46">
        <f t="shared" si="4"/>
        <v>0</v>
      </c>
      <c r="AZ37" s="56" t="str">
        <f t="shared" si="5"/>
        <v/>
      </c>
    </row>
    <row r="38" ht="15.75" customHeight="1">
      <c r="A38" s="19" t="s">
        <v>30</v>
      </c>
      <c r="B38" s="57">
        <f t="shared" si="6"/>
        <v>44963</v>
      </c>
      <c r="C38" s="21">
        <v>2.0</v>
      </c>
      <c r="D38" s="21" t="s">
        <v>47</v>
      </c>
      <c r="E38" s="72" t="s">
        <v>50</v>
      </c>
      <c r="F38" s="38">
        <v>28.0</v>
      </c>
      <c r="H38" s="39">
        <v>26.0</v>
      </c>
      <c r="J38" s="37"/>
      <c r="L38" s="37"/>
      <c r="N38" s="37"/>
      <c r="P38" s="37"/>
      <c r="Q38" s="26"/>
      <c r="R38" s="38">
        <v>207.0</v>
      </c>
      <c r="T38" s="39">
        <v>239.0</v>
      </c>
      <c r="V38" s="39">
        <v>154.0</v>
      </c>
      <c r="X38" s="37"/>
      <c r="Z38" s="37"/>
      <c r="AB38" s="37"/>
      <c r="AC38" s="26"/>
      <c r="AD38" s="37"/>
      <c r="AF38" s="37"/>
      <c r="AH38" s="37"/>
      <c r="AJ38" s="59"/>
      <c r="AK38" s="26"/>
      <c r="AL38" s="37"/>
      <c r="AN38" s="37"/>
      <c r="AP38" s="37"/>
      <c r="AR38" s="37"/>
      <c r="AT38" s="37"/>
      <c r="AU38" s="26"/>
      <c r="AV38" s="29">
        <f t="shared" si="1"/>
        <v>7179.66</v>
      </c>
      <c r="AW38" s="21">
        <f t="shared" si="2"/>
        <v>654</v>
      </c>
      <c r="AX38" s="21">
        <f t="shared" si="3"/>
        <v>0</v>
      </c>
      <c r="AY38" s="21">
        <f t="shared" si="4"/>
        <v>654</v>
      </c>
      <c r="AZ38" s="58">
        <f t="shared" si="5"/>
        <v>10.97807339</v>
      </c>
    </row>
    <row r="39" ht="15.75" customHeight="1">
      <c r="A39" s="31" t="s">
        <v>33</v>
      </c>
      <c r="B39" s="32">
        <f t="shared" si="6"/>
        <v>44964</v>
      </c>
      <c r="C39" s="33">
        <v>2.0</v>
      </c>
      <c r="D39" s="33" t="s">
        <v>47</v>
      </c>
      <c r="E39" s="34"/>
      <c r="F39" s="38">
        <v>27.0</v>
      </c>
      <c r="H39" s="39">
        <v>28.0</v>
      </c>
      <c r="J39" s="37"/>
      <c r="L39" s="37"/>
      <c r="N39" s="37"/>
      <c r="P39" s="37"/>
      <c r="Q39" s="26"/>
      <c r="R39" s="38">
        <v>249.0</v>
      </c>
      <c r="T39" s="39">
        <v>268.0</v>
      </c>
      <c r="V39" s="37"/>
      <c r="X39" s="37"/>
      <c r="Z39" s="37"/>
      <c r="AB39" s="37"/>
      <c r="AC39" s="26"/>
      <c r="AD39" s="37"/>
      <c r="AF39" s="37"/>
      <c r="AH39" s="37"/>
      <c r="AJ39" s="59"/>
      <c r="AK39" s="26"/>
      <c r="AL39" s="37"/>
      <c r="AN39" s="37"/>
      <c r="AP39" s="37"/>
      <c r="AR39" s="37"/>
      <c r="AT39" s="37"/>
      <c r="AU39" s="26"/>
      <c r="AV39" s="35">
        <f t="shared" si="1"/>
        <v>6358.33</v>
      </c>
      <c r="AW39" s="33">
        <f t="shared" si="2"/>
        <v>572</v>
      </c>
      <c r="AX39" s="33">
        <f t="shared" si="3"/>
        <v>0</v>
      </c>
      <c r="AY39" s="33">
        <f t="shared" si="4"/>
        <v>572</v>
      </c>
      <c r="AZ39" s="30">
        <f t="shared" si="5"/>
        <v>11.11596154</v>
      </c>
    </row>
    <row r="40" ht="15.75" customHeight="1">
      <c r="A40" s="31" t="s">
        <v>34</v>
      </c>
      <c r="B40" s="32">
        <f t="shared" si="6"/>
        <v>44965</v>
      </c>
      <c r="C40" s="33">
        <v>2.0</v>
      </c>
      <c r="D40" s="33" t="s">
        <v>47</v>
      </c>
      <c r="E40" s="34"/>
      <c r="F40" s="38">
        <v>28.0</v>
      </c>
      <c r="H40" s="39">
        <v>27.0</v>
      </c>
      <c r="J40" s="37"/>
      <c r="L40" s="37"/>
      <c r="N40" s="37"/>
      <c r="P40" s="37"/>
      <c r="Q40" s="26"/>
      <c r="R40" s="38">
        <v>242.0</v>
      </c>
      <c r="T40" s="39">
        <v>237.0</v>
      </c>
      <c r="V40" s="37"/>
      <c r="X40" s="37"/>
      <c r="Z40" s="37"/>
      <c r="AB40" s="37"/>
      <c r="AC40" s="26"/>
      <c r="AD40" s="37"/>
      <c r="AF40" s="37"/>
      <c r="AH40" s="37"/>
      <c r="AJ40" s="59"/>
      <c r="AK40" s="26"/>
      <c r="AL40" s="37"/>
      <c r="AN40" s="37"/>
      <c r="AP40" s="37"/>
      <c r="AR40" s="37"/>
      <c r="AT40" s="37"/>
      <c r="AU40" s="26"/>
      <c r="AV40" s="35">
        <f t="shared" si="1"/>
        <v>5973.01</v>
      </c>
      <c r="AW40" s="33">
        <f t="shared" si="2"/>
        <v>534</v>
      </c>
      <c r="AX40" s="33">
        <f t="shared" si="3"/>
        <v>0</v>
      </c>
      <c r="AY40" s="33">
        <f t="shared" si="4"/>
        <v>534</v>
      </c>
      <c r="AZ40" s="30">
        <f t="shared" si="5"/>
        <v>11.18541199</v>
      </c>
    </row>
    <row r="41" ht="15.75" customHeight="1">
      <c r="A41" s="31" t="s">
        <v>35</v>
      </c>
      <c r="B41" s="32">
        <f t="shared" si="6"/>
        <v>44966</v>
      </c>
      <c r="C41" s="33">
        <v>2.0</v>
      </c>
      <c r="D41" s="33" t="s">
        <v>47</v>
      </c>
      <c r="E41" s="34"/>
      <c r="F41" s="38">
        <v>31.0</v>
      </c>
      <c r="H41" s="39">
        <v>29.0</v>
      </c>
      <c r="J41" s="37"/>
      <c r="L41" s="37"/>
      <c r="N41" s="37"/>
      <c r="P41" s="37"/>
      <c r="Q41" s="26"/>
      <c r="R41" s="38">
        <v>257.0</v>
      </c>
      <c r="T41" s="39">
        <v>244.0</v>
      </c>
      <c r="V41" s="37"/>
      <c r="X41" s="37"/>
      <c r="Z41" s="37"/>
      <c r="AB41" s="37"/>
      <c r="AC41" s="26"/>
      <c r="AD41" s="37"/>
      <c r="AF41" s="37"/>
      <c r="AH41" s="37"/>
      <c r="AJ41" s="59"/>
      <c r="AK41" s="26"/>
      <c r="AL41" s="37"/>
      <c r="AN41" s="37"/>
      <c r="AP41" s="37"/>
      <c r="AR41" s="37"/>
      <c r="AT41" s="37"/>
      <c r="AU41" s="26"/>
      <c r="AV41" s="35">
        <f t="shared" si="1"/>
        <v>6297.54</v>
      </c>
      <c r="AW41" s="33">
        <f t="shared" si="2"/>
        <v>561</v>
      </c>
      <c r="AX41" s="33">
        <f t="shared" si="3"/>
        <v>0</v>
      </c>
      <c r="AY41" s="33">
        <f t="shared" si="4"/>
        <v>561</v>
      </c>
      <c r="AZ41" s="30">
        <f t="shared" si="5"/>
        <v>11.2255615</v>
      </c>
    </row>
    <row r="42" ht="15.75" customHeight="1">
      <c r="A42" s="31" t="s">
        <v>38</v>
      </c>
      <c r="B42" s="32">
        <f t="shared" si="6"/>
        <v>44967</v>
      </c>
      <c r="C42" s="33">
        <v>2.0</v>
      </c>
      <c r="D42" s="33" t="s">
        <v>47</v>
      </c>
      <c r="E42" s="34"/>
      <c r="F42" s="38">
        <v>32.0</v>
      </c>
      <c r="H42" s="39">
        <v>31.0</v>
      </c>
      <c r="J42" s="37"/>
      <c r="L42" s="37"/>
      <c r="N42" s="37"/>
      <c r="P42" s="37"/>
      <c r="Q42" s="26"/>
      <c r="R42" s="38">
        <v>219.0</v>
      </c>
      <c r="T42" s="39">
        <v>286.0</v>
      </c>
      <c r="V42" s="37"/>
      <c r="X42" s="37"/>
      <c r="Z42" s="37"/>
      <c r="AB42" s="37"/>
      <c r="AC42" s="26"/>
      <c r="AD42" s="37"/>
      <c r="AF42" s="37"/>
      <c r="AH42" s="37"/>
      <c r="AJ42" s="59"/>
      <c r="AK42" s="26"/>
      <c r="AL42" s="37"/>
      <c r="AN42" s="37"/>
      <c r="AP42" s="37"/>
      <c r="AR42" s="37"/>
      <c r="AT42" s="37"/>
      <c r="AU42" s="26"/>
      <c r="AV42" s="35">
        <f t="shared" si="1"/>
        <v>6398.97</v>
      </c>
      <c r="AW42" s="33">
        <f t="shared" si="2"/>
        <v>568</v>
      </c>
      <c r="AX42" s="33">
        <f t="shared" si="3"/>
        <v>0</v>
      </c>
      <c r="AY42" s="33">
        <f t="shared" si="4"/>
        <v>568</v>
      </c>
      <c r="AZ42" s="30">
        <f t="shared" si="5"/>
        <v>11.26579225</v>
      </c>
    </row>
    <row r="43" ht="15.75" customHeight="1">
      <c r="A43" s="31" t="s">
        <v>45</v>
      </c>
      <c r="B43" s="32">
        <f t="shared" si="6"/>
        <v>44968</v>
      </c>
      <c r="C43" s="33">
        <v>2.0</v>
      </c>
      <c r="D43" s="33" t="s">
        <v>47</v>
      </c>
      <c r="E43" s="34"/>
      <c r="F43" s="38">
        <v>44.0</v>
      </c>
      <c r="H43" s="39">
        <v>41.0</v>
      </c>
      <c r="J43" s="37"/>
      <c r="L43" s="37"/>
      <c r="N43" s="37"/>
      <c r="P43" s="37"/>
      <c r="Q43" s="26"/>
      <c r="R43" s="38">
        <v>232.0</v>
      </c>
      <c r="T43" s="39">
        <v>253.0</v>
      </c>
      <c r="V43" s="37"/>
      <c r="X43" s="37"/>
      <c r="Z43" s="37"/>
      <c r="AB43" s="37"/>
      <c r="AC43" s="26"/>
      <c r="AD43" s="37"/>
      <c r="AF43" s="37"/>
      <c r="AH43" s="37"/>
      <c r="AJ43" s="59"/>
      <c r="AK43" s="26"/>
      <c r="AL43" s="37"/>
      <c r="AN43" s="37"/>
      <c r="AP43" s="37"/>
      <c r="AR43" s="37"/>
      <c r="AT43" s="37"/>
      <c r="AU43" s="26"/>
      <c r="AV43" s="35">
        <f t="shared" si="1"/>
        <v>6642.55</v>
      </c>
      <c r="AW43" s="33">
        <f t="shared" si="2"/>
        <v>570</v>
      </c>
      <c r="AX43" s="33">
        <f t="shared" si="3"/>
        <v>0</v>
      </c>
      <c r="AY43" s="33">
        <f t="shared" si="4"/>
        <v>570</v>
      </c>
      <c r="AZ43" s="30">
        <f t="shared" si="5"/>
        <v>11.65359649</v>
      </c>
    </row>
    <row r="44" ht="15.75" customHeight="1">
      <c r="A44" s="44" t="s">
        <v>46</v>
      </c>
      <c r="B44" s="45">
        <f t="shared" si="6"/>
        <v>44969</v>
      </c>
      <c r="C44" s="46">
        <v>2.0</v>
      </c>
      <c r="D44" s="46" t="s">
        <v>47</v>
      </c>
      <c r="E44" s="47"/>
      <c r="F44" s="60"/>
      <c r="G44" s="51"/>
      <c r="H44" s="61"/>
      <c r="I44" s="51"/>
      <c r="J44" s="61"/>
      <c r="K44" s="51"/>
      <c r="L44" s="61"/>
      <c r="M44" s="51"/>
      <c r="N44" s="61"/>
      <c r="O44" s="51"/>
      <c r="P44" s="61"/>
      <c r="Q44" s="53"/>
      <c r="R44" s="62"/>
      <c r="S44" s="51"/>
      <c r="T44" s="63"/>
      <c r="U44" s="51"/>
      <c r="V44" s="61"/>
      <c r="W44" s="51"/>
      <c r="X44" s="61"/>
      <c r="Y44" s="51"/>
      <c r="Z44" s="61"/>
      <c r="AA44" s="51"/>
      <c r="AB44" s="61"/>
      <c r="AC44" s="53"/>
      <c r="AD44" s="61"/>
      <c r="AE44" s="51"/>
      <c r="AF44" s="61"/>
      <c r="AG44" s="51"/>
      <c r="AH44" s="61"/>
      <c r="AI44" s="51"/>
      <c r="AJ44" s="68"/>
      <c r="AK44" s="53"/>
      <c r="AL44" s="61"/>
      <c r="AM44" s="51"/>
      <c r="AN44" s="61"/>
      <c r="AO44" s="51"/>
      <c r="AP44" s="61"/>
      <c r="AQ44" s="51"/>
      <c r="AR44" s="61"/>
      <c r="AS44" s="51"/>
      <c r="AT44" s="61"/>
      <c r="AU44" s="53"/>
      <c r="AV44" s="55">
        <f t="shared" si="1"/>
        <v>0</v>
      </c>
      <c r="AW44" s="46">
        <f t="shared" si="2"/>
        <v>0</v>
      </c>
      <c r="AX44" s="46">
        <f t="shared" si="3"/>
        <v>0</v>
      </c>
      <c r="AY44" s="46">
        <f t="shared" si="4"/>
        <v>0</v>
      </c>
      <c r="AZ44" s="56" t="str">
        <f t="shared" si="5"/>
        <v/>
      </c>
    </row>
    <row r="45" ht="15.75" customHeight="1">
      <c r="A45" s="19" t="s">
        <v>30</v>
      </c>
      <c r="B45" s="57">
        <f t="shared" si="6"/>
        <v>44970</v>
      </c>
      <c r="C45" s="21">
        <v>2.0</v>
      </c>
      <c r="D45" s="21" t="s">
        <v>48</v>
      </c>
      <c r="E45" s="23"/>
      <c r="F45" s="38">
        <v>76.0</v>
      </c>
      <c r="H45" s="39">
        <v>81.0</v>
      </c>
      <c r="J45" s="37"/>
      <c r="L45" s="37"/>
      <c r="N45" s="37"/>
      <c r="P45" s="37"/>
      <c r="Q45" s="26"/>
      <c r="R45" s="38">
        <v>237.0</v>
      </c>
      <c r="T45" s="39">
        <v>233.0</v>
      </c>
      <c r="V45" s="37"/>
      <c r="X45" s="37"/>
      <c r="Z45" s="37"/>
      <c r="AB45" s="37"/>
      <c r="AC45" s="26"/>
      <c r="AD45" s="37"/>
      <c r="AF45" s="37"/>
      <c r="AH45" s="37"/>
      <c r="AJ45" s="59"/>
      <c r="AK45" s="26"/>
      <c r="AL45" s="37"/>
      <c r="AN45" s="37"/>
      <c r="AP45" s="37"/>
      <c r="AR45" s="37"/>
      <c r="AT45" s="37"/>
      <c r="AU45" s="26"/>
      <c r="AV45" s="29">
        <f t="shared" si="1"/>
        <v>7951.33</v>
      </c>
      <c r="AW45" s="21">
        <f t="shared" si="2"/>
        <v>627</v>
      </c>
      <c r="AX45" s="21">
        <f t="shared" si="3"/>
        <v>0</v>
      </c>
      <c r="AY45" s="21">
        <f t="shared" si="4"/>
        <v>627</v>
      </c>
      <c r="AZ45" s="58">
        <f t="shared" si="5"/>
        <v>12.68154705</v>
      </c>
    </row>
    <row r="46" ht="15.75" customHeight="1">
      <c r="A46" s="31" t="s">
        <v>33</v>
      </c>
      <c r="B46" s="32">
        <f t="shared" si="6"/>
        <v>44971</v>
      </c>
      <c r="C46" s="33">
        <v>2.0</v>
      </c>
      <c r="D46" s="33" t="s">
        <v>48</v>
      </c>
      <c r="E46" s="34"/>
      <c r="F46" s="38">
        <v>78.0</v>
      </c>
      <c r="H46" s="39">
        <v>86.0</v>
      </c>
      <c r="J46" s="37"/>
      <c r="L46" s="37"/>
      <c r="N46" s="37"/>
      <c r="P46" s="37"/>
      <c r="Q46" s="26"/>
      <c r="R46" s="38">
        <v>239.0</v>
      </c>
      <c r="T46" s="39">
        <v>222.0</v>
      </c>
      <c r="V46" s="37"/>
      <c r="X46" s="37"/>
      <c r="Z46" s="37"/>
      <c r="AB46" s="37"/>
      <c r="AC46" s="26"/>
      <c r="AD46" s="37"/>
      <c r="AF46" s="37"/>
      <c r="AH46" s="37"/>
      <c r="AJ46" s="59"/>
      <c r="AK46" s="26"/>
      <c r="AL46" s="37"/>
      <c r="AN46" s="37"/>
      <c r="AP46" s="37"/>
      <c r="AR46" s="37"/>
      <c r="AT46" s="37"/>
      <c r="AU46" s="26"/>
      <c r="AV46" s="35">
        <f t="shared" si="1"/>
        <v>8002.1</v>
      </c>
      <c r="AW46" s="33">
        <f t="shared" si="2"/>
        <v>625</v>
      </c>
      <c r="AX46" s="33">
        <f t="shared" si="3"/>
        <v>0</v>
      </c>
      <c r="AY46" s="33">
        <f t="shared" si="4"/>
        <v>625</v>
      </c>
      <c r="AZ46" s="30">
        <f t="shared" si="5"/>
        <v>12.80336</v>
      </c>
    </row>
    <row r="47" ht="15.75" customHeight="1">
      <c r="A47" s="31" t="s">
        <v>34</v>
      </c>
      <c r="B47" s="32">
        <f t="shared" si="6"/>
        <v>44972</v>
      </c>
      <c r="C47" s="33">
        <v>2.0</v>
      </c>
      <c r="D47" s="33" t="s">
        <v>48</v>
      </c>
      <c r="E47" s="34"/>
      <c r="F47" s="38">
        <v>87.0</v>
      </c>
      <c r="H47" s="39">
        <v>84.0</v>
      </c>
      <c r="J47" s="37"/>
      <c r="L47" s="37"/>
      <c r="N47" s="37"/>
      <c r="P47" s="37"/>
      <c r="Q47" s="26"/>
      <c r="R47" s="38">
        <v>219.0</v>
      </c>
      <c r="T47" s="39">
        <v>202.0</v>
      </c>
      <c r="V47" s="37"/>
      <c r="X47" s="37"/>
      <c r="Z47" s="37"/>
      <c r="AB47" s="37"/>
      <c r="AC47" s="26"/>
      <c r="AD47" s="37"/>
      <c r="AF47" s="37"/>
      <c r="AH47" s="37"/>
      <c r="AJ47" s="59"/>
      <c r="AK47" s="26"/>
      <c r="AL47" s="37"/>
      <c r="AN47" s="37"/>
      <c r="AP47" s="37"/>
      <c r="AR47" s="37"/>
      <c r="AT47" s="37"/>
      <c r="AU47" s="26"/>
      <c r="AV47" s="35">
        <f t="shared" si="1"/>
        <v>7738.53</v>
      </c>
      <c r="AW47" s="33">
        <f t="shared" si="2"/>
        <v>592</v>
      </c>
      <c r="AX47" s="33">
        <f t="shared" si="3"/>
        <v>0</v>
      </c>
      <c r="AY47" s="33">
        <f t="shared" si="4"/>
        <v>592</v>
      </c>
      <c r="AZ47" s="30">
        <f t="shared" si="5"/>
        <v>13.07184122</v>
      </c>
    </row>
    <row r="48" ht="15.75" customHeight="1">
      <c r="A48" s="31" t="s">
        <v>35</v>
      </c>
      <c r="B48" s="32">
        <f t="shared" si="6"/>
        <v>44973</v>
      </c>
      <c r="C48" s="33">
        <v>2.0</v>
      </c>
      <c r="D48" s="33" t="s">
        <v>48</v>
      </c>
      <c r="E48" s="34"/>
      <c r="F48" s="38">
        <v>98.0</v>
      </c>
      <c r="H48" s="39">
        <v>101.0</v>
      </c>
      <c r="J48" s="37"/>
      <c r="L48" s="37"/>
      <c r="N48" s="37"/>
      <c r="P48" s="37"/>
      <c r="Q48" s="26"/>
      <c r="R48" s="38">
        <v>226.0</v>
      </c>
      <c r="T48" s="39">
        <v>212.0</v>
      </c>
      <c r="V48" s="37"/>
      <c r="X48" s="37"/>
      <c r="Z48" s="37"/>
      <c r="AB48" s="37"/>
      <c r="AC48" s="26"/>
      <c r="AD48" s="37"/>
      <c r="AF48" s="37"/>
      <c r="AH48" s="37"/>
      <c r="AJ48" s="59"/>
      <c r="AK48" s="26"/>
      <c r="AL48" s="37"/>
      <c r="AN48" s="37"/>
      <c r="AP48" s="37"/>
      <c r="AR48" s="37"/>
      <c r="AT48" s="37"/>
      <c r="AU48" s="26"/>
      <c r="AV48" s="35">
        <f t="shared" si="1"/>
        <v>8479.03</v>
      </c>
      <c r="AW48" s="33">
        <f t="shared" si="2"/>
        <v>637</v>
      </c>
      <c r="AX48" s="33">
        <f t="shared" si="3"/>
        <v>0</v>
      </c>
      <c r="AY48" s="33">
        <f t="shared" si="4"/>
        <v>637</v>
      </c>
      <c r="AZ48" s="30">
        <f t="shared" si="5"/>
        <v>13.31087912</v>
      </c>
    </row>
    <row r="49" ht="15.75" customHeight="1">
      <c r="A49" s="31" t="s">
        <v>38</v>
      </c>
      <c r="B49" s="32">
        <f t="shared" si="6"/>
        <v>44974</v>
      </c>
      <c r="C49" s="33">
        <v>2.0</v>
      </c>
      <c r="D49" s="33" t="s">
        <v>48</v>
      </c>
      <c r="E49" s="34"/>
      <c r="F49" s="38">
        <v>96.0</v>
      </c>
      <c r="H49" s="39">
        <v>106.0</v>
      </c>
      <c r="J49" s="37"/>
      <c r="L49" s="37"/>
      <c r="N49" s="37"/>
      <c r="P49" s="37"/>
      <c r="Q49" s="26"/>
      <c r="R49" s="38">
        <v>208.0</v>
      </c>
      <c r="T49" s="39">
        <v>215.0</v>
      </c>
      <c r="V49" s="37"/>
      <c r="X49" s="37"/>
      <c r="Z49" s="37"/>
      <c r="AB49" s="37"/>
      <c r="AC49" s="26"/>
      <c r="AD49" s="37"/>
      <c r="AF49" s="37"/>
      <c r="AH49" s="37"/>
      <c r="AJ49" s="59"/>
      <c r="AK49" s="26"/>
      <c r="AL49" s="37"/>
      <c r="AN49" s="37"/>
      <c r="AP49" s="37"/>
      <c r="AR49" s="37"/>
      <c r="AT49" s="37"/>
      <c r="AU49" s="26"/>
      <c r="AV49" s="35">
        <f t="shared" si="1"/>
        <v>8387.8</v>
      </c>
      <c r="AW49" s="33">
        <f t="shared" si="2"/>
        <v>625</v>
      </c>
      <c r="AX49" s="33">
        <f t="shared" si="3"/>
        <v>0</v>
      </c>
      <c r="AY49" s="33">
        <f t="shared" si="4"/>
        <v>625</v>
      </c>
      <c r="AZ49" s="30">
        <f t="shared" si="5"/>
        <v>13.42048</v>
      </c>
    </row>
    <row r="50" ht="15.75" customHeight="1">
      <c r="A50" s="31" t="s">
        <v>45</v>
      </c>
      <c r="B50" s="32">
        <f t="shared" si="6"/>
        <v>44975</v>
      </c>
      <c r="C50" s="33">
        <v>2.0</v>
      </c>
      <c r="D50" s="33" t="s">
        <v>48</v>
      </c>
      <c r="E50" s="34"/>
      <c r="F50" s="38">
        <v>91.0</v>
      </c>
      <c r="H50" s="39">
        <v>103.0</v>
      </c>
      <c r="J50" s="37"/>
      <c r="L50" s="37"/>
      <c r="N50" s="37"/>
      <c r="P50" s="37"/>
      <c r="Q50" s="26"/>
      <c r="R50" s="38">
        <v>201.0</v>
      </c>
      <c r="T50" s="39">
        <v>213.0</v>
      </c>
      <c r="V50" s="37"/>
      <c r="X50" s="37"/>
      <c r="Z50" s="37"/>
      <c r="AB50" s="37"/>
      <c r="AC50" s="26"/>
      <c r="AD50" s="37"/>
      <c r="AF50" s="37"/>
      <c r="AH50" s="37"/>
      <c r="AJ50" s="59"/>
      <c r="AK50" s="26"/>
      <c r="AL50" s="37"/>
      <c r="AN50" s="37"/>
      <c r="AP50" s="37"/>
      <c r="AR50" s="37"/>
      <c r="AT50" s="37"/>
      <c r="AU50" s="26"/>
      <c r="AV50" s="35">
        <f t="shared" si="1"/>
        <v>8134.22</v>
      </c>
      <c r="AW50" s="33">
        <f t="shared" si="2"/>
        <v>608</v>
      </c>
      <c r="AX50" s="33">
        <f t="shared" si="3"/>
        <v>0</v>
      </c>
      <c r="AY50" s="33">
        <f t="shared" si="4"/>
        <v>608</v>
      </c>
      <c r="AZ50" s="30">
        <f t="shared" si="5"/>
        <v>13.37865132</v>
      </c>
    </row>
    <row r="51" ht="15.75" customHeight="1">
      <c r="A51" s="44" t="s">
        <v>46</v>
      </c>
      <c r="B51" s="45">
        <f t="shared" si="6"/>
        <v>44976</v>
      </c>
      <c r="C51" s="46">
        <v>2.0</v>
      </c>
      <c r="D51" s="46" t="s">
        <v>48</v>
      </c>
      <c r="E51" s="47"/>
      <c r="F51" s="62">
        <v>93.0</v>
      </c>
      <c r="G51" s="51"/>
      <c r="H51" s="63">
        <v>101.0</v>
      </c>
      <c r="I51" s="51"/>
      <c r="J51" s="61"/>
      <c r="K51" s="51"/>
      <c r="L51" s="61"/>
      <c r="M51" s="51"/>
      <c r="N51" s="61"/>
      <c r="O51" s="51"/>
      <c r="P51" s="61"/>
      <c r="Q51" s="53"/>
      <c r="R51" s="62"/>
      <c r="S51" s="51"/>
      <c r="T51" s="63"/>
      <c r="U51" s="51"/>
      <c r="V51" s="61"/>
      <c r="W51" s="51"/>
      <c r="X51" s="61"/>
      <c r="Y51" s="51"/>
      <c r="Z51" s="61"/>
      <c r="AA51" s="51"/>
      <c r="AB51" s="61"/>
      <c r="AC51" s="53"/>
      <c r="AD51" s="61"/>
      <c r="AE51" s="51"/>
      <c r="AF51" s="61"/>
      <c r="AG51" s="51"/>
      <c r="AH51" s="61"/>
      <c r="AI51" s="51"/>
      <c r="AJ51" s="68"/>
      <c r="AK51" s="53"/>
      <c r="AL51" s="61"/>
      <c r="AM51" s="51"/>
      <c r="AN51" s="61"/>
      <c r="AO51" s="51"/>
      <c r="AP51" s="61"/>
      <c r="AQ51" s="51"/>
      <c r="AR51" s="61"/>
      <c r="AS51" s="51"/>
      <c r="AT51" s="61"/>
      <c r="AU51" s="53"/>
      <c r="AV51" s="55">
        <f t="shared" si="1"/>
        <v>3936.26</v>
      </c>
      <c r="AW51" s="46">
        <f t="shared" si="2"/>
        <v>194</v>
      </c>
      <c r="AX51" s="46">
        <f t="shared" si="3"/>
        <v>0</v>
      </c>
      <c r="AY51" s="46">
        <f t="shared" si="4"/>
        <v>194</v>
      </c>
      <c r="AZ51" s="56">
        <f t="shared" si="5"/>
        <v>20.29</v>
      </c>
    </row>
    <row r="52" ht="15.75" customHeight="1">
      <c r="A52" s="19" t="s">
        <v>30</v>
      </c>
      <c r="B52" s="57">
        <f t="shared" si="6"/>
        <v>44977</v>
      </c>
      <c r="C52" s="21">
        <v>2.0</v>
      </c>
      <c r="D52" s="21" t="s">
        <v>49</v>
      </c>
      <c r="E52" s="23"/>
      <c r="F52" s="38">
        <v>96.0</v>
      </c>
      <c r="H52" s="39">
        <v>138.0</v>
      </c>
      <c r="J52" s="37"/>
      <c r="L52" s="37"/>
      <c r="N52" s="37"/>
      <c r="P52" s="37"/>
      <c r="Q52" s="26"/>
      <c r="R52" s="38">
        <v>210.0</v>
      </c>
      <c r="T52" s="39">
        <v>190.0</v>
      </c>
      <c r="V52" s="37"/>
      <c r="X52" s="37"/>
      <c r="Z52" s="37"/>
      <c r="AB52" s="37"/>
      <c r="AC52" s="26"/>
      <c r="AD52" s="37"/>
      <c r="AF52" s="37"/>
      <c r="AH52" s="37"/>
      <c r="AJ52" s="59"/>
      <c r="AK52" s="26"/>
      <c r="AL52" s="37"/>
      <c r="AN52" s="37"/>
      <c r="AP52" s="37"/>
      <c r="AR52" s="37"/>
      <c r="AT52" s="37"/>
      <c r="AU52" s="26"/>
      <c r="AV52" s="29">
        <f t="shared" si="1"/>
        <v>8803.86</v>
      </c>
      <c r="AW52" s="21">
        <f t="shared" si="2"/>
        <v>634</v>
      </c>
      <c r="AX52" s="21">
        <f t="shared" si="3"/>
        <v>0</v>
      </c>
      <c r="AY52" s="21">
        <f t="shared" si="4"/>
        <v>634</v>
      </c>
      <c r="AZ52" s="58">
        <f t="shared" si="5"/>
        <v>13.88621451</v>
      </c>
    </row>
    <row r="53" ht="15.75" customHeight="1">
      <c r="A53" s="31" t="s">
        <v>33</v>
      </c>
      <c r="B53" s="32">
        <f t="shared" si="6"/>
        <v>44978</v>
      </c>
      <c r="C53" s="33">
        <v>2.0</v>
      </c>
      <c r="D53" s="33" t="s">
        <v>49</v>
      </c>
      <c r="E53" s="34"/>
      <c r="F53" s="38">
        <v>94.0</v>
      </c>
      <c r="H53" s="39">
        <v>131.0</v>
      </c>
      <c r="J53" s="37"/>
      <c r="L53" s="37"/>
      <c r="N53" s="37"/>
      <c r="P53" s="37"/>
      <c r="Q53" s="26"/>
      <c r="R53" s="38">
        <v>209.0</v>
      </c>
      <c r="T53" s="39">
        <v>206.0</v>
      </c>
      <c r="V53" s="37"/>
      <c r="X53" s="37"/>
      <c r="Z53" s="37"/>
      <c r="AB53" s="37"/>
      <c r="AC53" s="26"/>
      <c r="AD53" s="37"/>
      <c r="AF53" s="37"/>
      <c r="AH53" s="37"/>
      <c r="AJ53" s="59"/>
      <c r="AK53" s="26"/>
      <c r="AL53" s="37"/>
      <c r="AN53" s="37"/>
      <c r="AP53" s="37"/>
      <c r="AR53" s="37"/>
      <c r="AT53" s="37"/>
      <c r="AU53" s="26"/>
      <c r="AV53" s="35">
        <f t="shared" si="1"/>
        <v>8773.35</v>
      </c>
      <c r="AW53" s="33">
        <f t="shared" si="2"/>
        <v>640</v>
      </c>
      <c r="AX53" s="33">
        <f t="shared" si="3"/>
        <v>0</v>
      </c>
      <c r="AY53" s="33">
        <f t="shared" si="4"/>
        <v>640</v>
      </c>
      <c r="AZ53" s="30">
        <f t="shared" si="5"/>
        <v>13.70835938</v>
      </c>
    </row>
    <row r="54" ht="15.75" customHeight="1">
      <c r="A54" s="31" t="s">
        <v>34</v>
      </c>
      <c r="B54" s="32">
        <f t="shared" si="6"/>
        <v>44979</v>
      </c>
      <c r="C54" s="33">
        <v>2.0</v>
      </c>
      <c r="D54" s="33" t="s">
        <v>49</v>
      </c>
      <c r="E54" s="34"/>
      <c r="F54" s="38">
        <v>88.0</v>
      </c>
      <c r="H54" s="39">
        <v>141.0</v>
      </c>
      <c r="J54" s="37"/>
      <c r="L54" s="37"/>
      <c r="N54" s="37"/>
      <c r="P54" s="37"/>
      <c r="Q54" s="26"/>
      <c r="R54" s="38">
        <v>210.0</v>
      </c>
      <c r="T54" s="39">
        <v>223.0</v>
      </c>
      <c r="V54" s="37"/>
      <c r="X54" s="37"/>
      <c r="Z54" s="37"/>
      <c r="AB54" s="37"/>
      <c r="AC54" s="26"/>
      <c r="AD54" s="37"/>
      <c r="AF54" s="37"/>
      <c r="AH54" s="37"/>
      <c r="AJ54" s="59"/>
      <c r="AK54" s="26"/>
      <c r="AL54" s="37"/>
      <c r="AN54" s="37"/>
      <c r="AP54" s="37"/>
      <c r="AR54" s="37"/>
      <c r="AT54" s="37"/>
      <c r="AU54" s="26"/>
      <c r="AV54" s="35">
        <f t="shared" si="1"/>
        <v>9037.03</v>
      </c>
      <c r="AW54" s="33">
        <f t="shared" si="2"/>
        <v>662</v>
      </c>
      <c r="AX54" s="33">
        <f t="shared" si="3"/>
        <v>0</v>
      </c>
      <c r="AY54" s="33">
        <f t="shared" si="4"/>
        <v>662</v>
      </c>
      <c r="AZ54" s="30">
        <f t="shared" si="5"/>
        <v>13.65110272</v>
      </c>
    </row>
    <row r="55" ht="15.75" customHeight="1">
      <c r="A55" s="31" t="s">
        <v>35</v>
      </c>
      <c r="B55" s="32">
        <f t="shared" si="6"/>
        <v>44980</v>
      </c>
      <c r="C55" s="33">
        <v>2.0</v>
      </c>
      <c r="D55" s="33" t="s">
        <v>49</v>
      </c>
      <c r="E55" s="34"/>
      <c r="F55" s="38">
        <v>87.0</v>
      </c>
      <c r="H55" s="39">
        <v>133.0</v>
      </c>
      <c r="J55" s="37"/>
      <c r="L55" s="37"/>
      <c r="N55" s="37"/>
      <c r="P55" s="37"/>
      <c r="Q55" s="26"/>
      <c r="R55" s="38">
        <v>205.0</v>
      </c>
      <c r="T55" s="39">
        <v>204.0</v>
      </c>
      <c r="V55" s="37"/>
      <c r="X55" s="37"/>
      <c r="Z55" s="37"/>
      <c r="AB55" s="37"/>
      <c r="AC55" s="26"/>
      <c r="AD55" s="37"/>
      <c r="AF55" s="37"/>
      <c r="AH55" s="37"/>
      <c r="AJ55" s="59"/>
      <c r="AK55" s="26"/>
      <c r="AL55" s="37"/>
      <c r="AN55" s="37"/>
      <c r="AP55" s="37"/>
      <c r="AR55" s="37"/>
      <c r="AT55" s="37"/>
      <c r="AU55" s="26"/>
      <c r="AV55" s="35">
        <f t="shared" si="1"/>
        <v>8611.06</v>
      </c>
      <c r="AW55" s="33">
        <f t="shared" si="2"/>
        <v>629</v>
      </c>
      <c r="AX55" s="33">
        <f t="shared" si="3"/>
        <v>0</v>
      </c>
      <c r="AY55" s="33">
        <f t="shared" si="4"/>
        <v>629</v>
      </c>
      <c r="AZ55" s="30">
        <f t="shared" si="5"/>
        <v>13.69007949</v>
      </c>
    </row>
    <row r="56" ht="15.75" customHeight="1">
      <c r="A56" s="31" t="s">
        <v>38</v>
      </c>
      <c r="B56" s="32">
        <f t="shared" si="6"/>
        <v>44981</v>
      </c>
      <c r="C56" s="33">
        <v>2.0</v>
      </c>
      <c r="D56" s="33" t="s">
        <v>49</v>
      </c>
      <c r="E56" s="34"/>
      <c r="F56" s="38">
        <v>92.0</v>
      </c>
      <c r="H56" s="39">
        <v>115.0</v>
      </c>
      <c r="J56" s="37"/>
      <c r="L56" s="37"/>
      <c r="N56" s="37"/>
      <c r="P56" s="37"/>
      <c r="Q56" s="26"/>
      <c r="R56" s="38">
        <v>222.0</v>
      </c>
      <c r="T56" s="39">
        <v>226.0</v>
      </c>
      <c r="V56" s="37"/>
      <c r="X56" s="37"/>
      <c r="Z56" s="37"/>
      <c r="AB56" s="37"/>
      <c r="AC56" s="26"/>
      <c r="AD56" s="37"/>
      <c r="AF56" s="37"/>
      <c r="AH56" s="37"/>
      <c r="AJ56" s="59"/>
      <c r="AK56" s="26"/>
      <c r="AL56" s="37"/>
      <c r="AN56" s="37"/>
      <c r="AP56" s="37"/>
      <c r="AR56" s="37"/>
      <c r="AT56" s="37"/>
      <c r="AU56" s="26"/>
      <c r="AV56" s="35">
        <f t="shared" si="1"/>
        <v>8742.75</v>
      </c>
      <c r="AW56" s="33">
        <f t="shared" si="2"/>
        <v>655</v>
      </c>
      <c r="AX56" s="33">
        <f t="shared" si="3"/>
        <v>0</v>
      </c>
      <c r="AY56" s="33">
        <f t="shared" si="4"/>
        <v>655</v>
      </c>
      <c r="AZ56" s="30">
        <f t="shared" si="5"/>
        <v>13.34770992</v>
      </c>
    </row>
    <row r="57" ht="15.75" customHeight="1">
      <c r="A57" s="31" t="s">
        <v>45</v>
      </c>
      <c r="B57" s="32">
        <f t="shared" si="6"/>
        <v>44982</v>
      </c>
      <c r="C57" s="33">
        <v>2.0</v>
      </c>
      <c r="D57" s="33" t="s">
        <v>49</v>
      </c>
      <c r="E57" s="34"/>
      <c r="F57" s="38">
        <v>94.0</v>
      </c>
      <c r="H57" s="39">
        <v>78.0</v>
      </c>
      <c r="J57" s="37"/>
      <c r="L57" s="37"/>
      <c r="N57" s="37"/>
      <c r="P57" s="37"/>
      <c r="Q57" s="26"/>
      <c r="R57" s="38">
        <v>195.0</v>
      </c>
      <c r="T57" s="39">
        <v>201.0</v>
      </c>
      <c r="V57" s="37"/>
      <c r="X57" s="37"/>
      <c r="Z57" s="37"/>
      <c r="AB57" s="37"/>
      <c r="AC57" s="26"/>
      <c r="AD57" s="37"/>
      <c r="AF57" s="37"/>
      <c r="AH57" s="37"/>
      <c r="AJ57" s="59"/>
      <c r="AK57" s="26"/>
      <c r="AL57" s="37"/>
      <c r="AN57" s="37"/>
      <c r="AP57" s="37"/>
      <c r="AR57" s="37"/>
      <c r="AT57" s="37"/>
      <c r="AU57" s="26"/>
      <c r="AV57" s="35">
        <f t="shared" si="1"/>
        <v>7505.32</v>
      </c>
      <c r="AW57" s="33">
        <f t="shared" si="2"/>
        <v>568</v>
      </c>
      <c r="AX57" s="33">
        <f t="shared" si="3"/>
        <v>0</v>
      </c>
      <c r="AY57" s="33">
        <f t="shared" si="4"/>
        <v>568</v>
      </c>
      <c r="AZ57" s="30">
        <f t="shared" si="5"/>
        <v>13.21359155</v>
      </c>
    </row>
    <row r="58" ht="15.75" customHeight="1">
      <c r="A58" s="44" t="s">
        <v>46</v>
      </c>
      <c r="B58" s="45">
        <f t="shared" si="6"/>
        <v>44983</v>
      </c>
      <c r="C58" s="46">
        <v>2.0</v>
      </c>
      <c r="D58" s="46" t="s">
        <v>49</v>
      </c>
      <c r="E58" s="47"/>
      <c r="F58" s="62">
        <v>96.0</v>
      </c>
      <c r="G58" s="51"/>
      <c r="H58" s="63">
        <v>81.0</v>
      </c>
      <c r="I58" s="51"/>
      <c r="J58" s="61"/>
      <c r="K58" s="51"/>
      <c r="L58" s="61"/>
      <c r="M58" s="51"/>
      <c r="N58" s="61"/>
      <c r="O58" s="51"/>
      <c r="P58" s="61"/>
      <c r="Q58" s="53"/>
      <c r="R58" s="62"/>
      <c r="S58" s="51"/>
      <c r="T58" s="63"/>
      <c r="U58" s="51"/>
      <c r="V58" s="61"/>
      <c r="W58" s="51"/>
      <c r="X58" s="61"/>
      <c r="Y58" s="51"/>
      <c r="Z58" s="61"/>
      <c r="AA58" s="51"/>
      <c r="AB58" s="61"/>
      <c r="AC58" s="53"/>
      <c r="AD58" s="61"/>
      <c r="AE58" s="51"/>
      <c r="AF58" s="61"/>
      <c r="AG58" s="51"/>
      <c r="AH58" s="61"/>
      <c r="AI58" s="51"/>
      <c r="AJ58" s="68"/>
      <c r="AK58" s="53"/>
      <c r="AL58" s="61"/>
      <c r="AM58" s="51"/>
      <c r="AN58" s="61"/>
      <c r="AO58" s="51"/>
      <c r="AP58" s="61"/>
      <c r="AQ58" s="51"/>
      <c r="AR58" s="61"/>
      <c r="AS58" s="51"/>
      <c r="AT58" s="61"/>
      <c r="AU58" s="53"/>
      <c r="AV58" s="55">
        <f t="shared" si="1"/>
        <v>3591.33</v>
      </c>
      <c r="AW58" s="46">
        <f t="shared" si="2"/>
        <v>177</v>
      </c>
      <c r="AX58" s="46">
        <f t="shared" si="3"/>
        <v>0</v>
      </c>
      <c r="AY58" s="46">
        <f t="shared" si="4"/>
        <v>177</v>
      </c>
      <c r="AZ58" s="56">
        <f t="shared" si="5"/>
        <v>20.29</v>
      </c>
    </row>
    <row r="59" ht="15.75" customHeight="1">
      <c r="A59" s="19" t="s">
        <v>30</v>
      </c>
      <c r="B59" s="57">
        <f t="shared" si="6"/>
        <v>44984</v>
      </c>
      <c r="C59" s="21">
        <v>3.0</v>
      </c>
      <c r="D59" s="21" t="s">
        <v>31</v>
      </c>
      <c r="E59" s="23"/>
      <c r="F59" s="38">
        <v>98.0</v>
      </c>
      <c r="H59" s="39">
        <v>98.0</v>
      </c>
      <c r="J59" s="37"/>
      <c r="L59" s="37"/>
      <c r="N59" s="37"/>
      <c r="P59" s="37"/>
      <c r="Q59" s="26"/>
      <c r="R59" s="38">
        <v>100.0</v>
      </c>
      <c r="T59" s="39">
        <v>194.0</v>
      </c>
      <c r="V59" s="37"/>
      <c r="X59" s="37"/>
      <c r="Z59" s="37"/>
      <c r="AB59" s="37"/>
      <c r="AC59" s="26"/>
      <c r="AD59" s="37"/>
      <c r="AF59" s="37"/>
      <c r="AH59" s="37"/>
      <c r="AJ59" s="59"/>
      <c r="AK59" s="26"/>
      <c r="AL59" s="37"/>
      <c r="AN59" s="37"/>
      <c r="AP59" s="37"/>
      <c r="AR59" s="37"/>
      <c r="AT59" s="37"/>
      <c r="AU59" s="26"/>
      <c r="AV59" s="29">
        <f t="shared" si="1"/>
        <v>6958</v>
      </c>
      <c r="AW59" s="21">
        <f t="shared" si="2"/>
        <v>490</v>
      </c>
      <c r="AX59" s="21">
        <f t="shared" si="3"/>
        <v>0</v>
      </c>
      <c r="AY59" s="21">
        <f t="shared" si="4"/>
        <v>490</v>
      </c>
      <c r="AZ59" s="58">
        <f t="shared" si="5"/>
        <v>14.2</v>
      </c>
    </row>
    <row r="60" ht="15.75" customHeight="1">
      <c r="A60" s="31" t="s">
        <v>33</v>
      </c>
      <c r="B60" s="32">
        <f t="shared" si="6"/>
        <v>44985</v>
      </c>
      <c r="C60" s="33">
        <v>3.0</v>
      </c>
      <c r="D60" s="33" t="s">
        <v>31</v>
      </c>
      <c r="E60" s="34"/>
      <c r="F60" s="38">
        <v>95.0</v>
      </c>
      <c r="H60" s="39">
        <v>94.0</v>
      </c>
      <c r="J60" s="37"/>
      <c r="L60" s="37"/>
      <c r="N60" s="37"/>
      <c r="P60" s="37"/>
      <c r="Q60" s="26"/>
      <c r="R60" s="38">
        <v>222.0</v>
      </c>
      <c r="T60" s="39">
        <v>199.0</v>
      </c>
      <c r="V60" s="37"/>
      <c r="X60" s="37"/>
      <c r="Z60" s="37"/>
      <c r="AB60" s="37"/>
      <c r="AC60" s="26"/>
      <c r="AD60" s="37"/>
      <c r="AF60" s="37"/>
      <c r="AH60" s="37"/>
      <c r="AJ60" s="59"/>
      <c r="AK60" s="26"/>
      <c r="AL60" s="37"/>
      <c r="AN60" s="37"/>
      <c r="AP60" s="37"/>
      <c r="AR60" s="37"/>
      <c r="AT60" s="37"/>
      <c r="AU60" s="26"/>
      <c r="AV60" s="35">
        <f t="shared" si="1"/>
        <v>8103.75</v>
      </c>
      <c r="AW60" s="33">
        <f t="shared" si="2"/>
        <v>610</v>
      </c>
      <c r="AX60" s="33">
        <f t="shared" si="3"/>
        <v>0</v>
      </c>
      <c r="AY60" s="33">
        <f t="shared" si="4"/>
        <v>610</v>
      </c>
      <c r="AZ60" s="30">
        <f t="shared" si="5"/>
        <v>13.28483607</v>
      </c>
    </row>
    <row r="61" ht="15.75" customHeight="1">
      <c r="A61" s="31" t="s">
        <v>34</v>
      </c>
      <c r="B61" s="32">
        <f t="shared" si="6"/>
        <v>44986</v>
      </c>
      <c r="C61" s="33">
        <v>3.0</v>
      </c>
      <c r="D61" s="33" t="s">
        <v>31</v>
      </c>
      <c r="E61" s="34"/>
      <c r="F61" s="38">
        <v>91.0</v>
      </c>
      <c r="H61" s="39">
        <v>96.0</v>
      </c>
      <c r="J61" s="37"/>
      <c r="L61" s="37"/>
      <c r="N61" s="37"/>
      <c r="P61" s="37"/>
      <c r="Q61" s="26"/>
      <c r="R61" s="38">
        <v>246.0</v>
      </c>
      <c r="T61" s="39">
        <v>254.0</v>
      </c>
      <c r="V61" s="37"/>
      <c r="X61" s="37"/>
      <c r="Z61" s="37"/>
      <c r="AB61" s="37"/>
      <c r="AC61" s="26"/>
      <c r="AD61" s="37"/>
      <c r="AF61" s="37"/>
      <c r="AH61" s="37"/>
      <c r="AJ61" s="59"/>
      <c r="AK61" s="26"/>
      <c r="AL61" s="37"/>
      <c r="AN61" s="37"/>
      <c r="AP61" s="37"/>
      <c r="AR61" s="37"/>
      <c r="AT61" s="37"/>
      <c r="AU61" s="26"/>
      <c r="AV61" s="35">
        <f t="shared" si="1"/>
        <v>8864.23</v>
      </c>
      <c r="AW61" s="33">
        <f t="shared" si="2"/>
        <v>687</v>
      </c>
      <c r="AX61" s="33">
        <f t="shared" si="3"/>
        <v>0</v>
      </c>
      <c r="AY61" s="33">
        <f t="shared" si="4"/>
        <v>687</v>
      </c>
      <c r="AZ61" s="30">
        <f t="shared" si="5"/>
        <v>12.90280932</v>
      </c>
    </row>
    <row r="62" ht="15.75" customHeight="1">
      <c r="A62" s="31" t="s">
        <v>35</v>
      </c>
      <c r="B62" s="32">
        <f t="shared" si="6"/>
        <v>44987</v>
      </c>
      <c r="C62" s="33">
        <v>3.0</v>
      </c>
      <c r="D62" s="33" t="s">
        <v>31</v>
      </c>
      <c r="E62" s="34"/>
      <c r="F62" s="38">
        <v>92.0</v>
      </c>
      <c r="H62" s="39">
        <v>99.0</v>
      </c>
      <c r="J62" s="37"/>
      <c r="L62" s="37"/>
      <c r="N62" s="37"/>
      <c r="P62" s="37"/>
      <c r="Q62" s="26"/>
      <c r="R62" s="38">
        <v>232.0</v>
      </c>
      <c r="T62" s="39">
        <v>248.0</v>
      </c>
      <c r="V62" s="37"/>
      <c r="X62" s="37"/>
      <c r="Z62" s="37"/>
      <c r="AB62" s="37"/>
      <c r="AC62" s="26"/>
      <c r="AD62" s="37"/>
      <c r="AF62" s="37"/>
      <c r="AH62" s="37"/>
      <c r="AJ62" s="59"/>
      <c r="AK62" s="26"/>
      <c r="AL62" s="37"/>
      <c r="AN62" s="37"/>
      <c r="AP62" s="37"/>
      <c r="AR62" s="37"/>
      <c r="AT62" s="37"/>
      <c r="AU62" s="26"/>
      <c r="AV62" s="35">
        <f t="shared" si="1"/>
        <v>8742.59</v>
      </c>
      <c r="AW62" s="33">
        <f t="shared" si="2"/>
        <v>671</v>
      </c>
      <c r="AX62" s="33">
        <f t="shared" si="3"/>
        <v>0</v>
      </c>
      <c r="AY62" s="33">
        <f t="shared" si="4"/>
        <v>671</v>
      </c>
      <c r="AZ62" s="30">
        <f t="shared" si="5"/>
        <v>13.02919523</v>
      </c>
    </row>
    <row r="63" ht="15.75" customHeight="1">
      <c r="A63" s="31" t="s">
        <v>38</v>
      </c>
      <c r="B63" s="32">
        <f t="shared" si="6"/>
        <v>44988</v>
      </c>
      <c r="C63" s="33">
        <v>3.0</v>
      </c>
      <c r="D63" s="33" t="s">
        <v>31</v>
      </c>
      <c r="E63" s="34"/>
      <c r="F63" s="38">
        <v>94.0</v>
      </c>
      <c r="H63" s="39">
        <v>93.0</v>
      </c>
      <c r="J63" s="37"/>
      <c r="L63" s="37"/>
      <c r="N63" s="37"/>
      <c r="P63" s="37"/>
      <c r="Q63" s="26"/>
      <c r="R63" s="38">
        <v>223.0</v>
      </c>
      <c r="T63" s="39">
        <v>235.0</v>
      </c>
      <c r="V63" s="37"/>
      <c r="X63" s="37"/>
      <c r="Z63" s="37"/>
      <c r="AB63" s="37"/>
      <c r="AC63" s="26"/>
      <c r="AD63" s="37"/>
      <c r="AF63" s="37"/>
      <c r="AH63" s="37"/>
      <c r="AJ63" s="59"/>
      <c r="AK63" s="26"/>
      <c r="AL63" s="37"/>
      <c r="AN63" s="37"/>
      <c r="AP63" s="37"/>
      <c r="AR63" s="37"/>
      <c r="AT63" s="37"/>
      <c r="AU63" s="26"/>
      <c r="AV63" s="35">
        <f t="shared" si="1"/>
        <v>8438.35</v>
      </c>
      <c r="AW63" s="33">
        <f t="shared" si="2"/>
        <v>645</v>
      </c>
      <c r="AX63" s="33">
        <f t="shared" si="3"/>
        <v>0</v>
      </c>
      <c r="AY63" s="33">
        <f t="shared" si="4"/>
        <v>645</v>
      </c>
      <c r="AZ63" s="30">
        <f t="shared" si="5"/>
        <v>13.08271318</v>
      </c>
    </row>
    <row r="64" ht="15.75" customHeight="1">
      <c r="A64" s="31" t="s">
        <v>45</v>
      </c>
      <c r="B64" s="32">
        <f t="shared" si="6"/>
        <v>44989</v>
      </c>
      <c r="C64" s="33">
        <v>3.0</v>
      </c>
      <c r="D64" s="33" t="s">
        <v>31</v>
      </c>
      <c r="E64" s="34"/>
      <c r="F64" s="38">
        <v>99.0</v>
      </c>
      <c r="H64" s="39">
        <v>71.0</v>
      </c>
      <c r="J64" s="37"/>
      <c r="L64" s="37"/>
      <c r="N64" s="37"/>
      <c r="P64" s="37"/>
      <c r="Q64" s="26"/>
      <c r="R64" s="38">
        <v>217.0</v>
      </c>
      <c r="T64" s="39">
        <v>221.0</v>
      </c>
      <c r="V64" s="37"/>
      <c r="X64" s="37"/>
      <c r="Z64" s="37"/>
      <c r="AB64" s="37"/>
      <c r="AC64" s="26"/>
      <c r="AD64" s="37"/>
      <c r="AF64" s="37"/>
      <c r="AH64" s="37"/>
      <c r="AJ64" s="59"/>
      <c r="AK64" s="26"/>
      <c r="AL64" s="37"/>
      <c r="AN64" s="37"/>
      <c r="AP64" s="37"/>
      <c r="AR64" s="37"/>
      <c r="AT64" s="37"/>
      <c r="AU64" s="26"/>
      <c r="AV64" s="35">
        <f t="shared" si="1"/>
        <v>7890.62</v>
      </c>
      <c r="AW64" s="33">
        <f t="shared" si="2"/>
        <v>608</v>
      </c>
      <c r="AX64" s="33">
        <f t="shared" si="3"/>
        <v>0</v>
      </c>
      <c r="AY64" s="33">
        <f t="shared" si="4"/>
        <v>608</v>
      </c>
      <c r="AZ64" s="30">
        <f t="shared" si="5"/>
        <v>12.97799342</v>
      </c>
    </row>
    <row r="65" ht="15.75" customHeight="1">
      <c r="A65" s="44" t="s">
        <v>46</v>
      </c>
      <c r="B65" s="45">
        <f t="shared" si="6"/>
        <v>44990</v>
      </c>
      <c r="C65" s="46">
        <v>3.0</v>
      </c>
      <c r="D65" s="46" t="s">
        <v>31</v>
      </c>
      <c r="E65" s="47"/>
      <c r="F65" s="62">
        <v>98.0</v>
      </c>
      <c r="G65" s="51"/>
      <c r="H65" s="63">
        <v>94.0</v>
      </c>
      <c r="I65" s="51"/>
      <c r="J65" s="61"/>
      <c r="K65" s="51"/>
      <c r="L65" s="61"/>
      <c r="M65" s="51"/>
      <c r="N65" s="61"/>
      <c r="O65" s="51"/>
      <c r="P65" s="61"/>
      <c r="Q65" s="53"/>
      <c r="R65" s="62"/>
      <c r="S65" s="51"/>
      <c r="T65" s="63"/>
      <c r="U65" s="51"/>
      <c r="V65" s="61"/>
      <c r="W65" s="51"/>
      <c r="X65" s="61"/>
      <c r="Y65" s="51"/>
      <c r="Z65" s="61"/>
      <c r="AA65" s="51"/>
      <c r="AB65" s="61"/>
      <c r="AC65" s="53"/>
      <c r="AD65" s="61"/>
      <c r="AE65" s="51"/>
      <c r="AF65" s="61"/>
      <c r="AG65" s="51"/>
      <c r="AH65" s="61"/>
      <c r="AI65" s="51"/>
      <c r="AJ65" s="68"/>
      <c r="AK65" s="53"/>
      <c r="AL65" s="61"/>
      <c r="AM65" s="51"/>
      <c r="AN65" s="61"/>
      <c r="AO65" s="51"/>
      <c r="AP65" s="61"/>
      <c r="AQ65" s="51"/>
      <c r="AR65" s="61"/>
      <c r="AS65" s="51"/>
      <c r="AT65" s="61"/>
      <c r="AU65" s="53"/>
      <c r="AV65" s="55">
        <f t="shared" si="1"/>
        <v>3895.68</v>
      </c>
      <c r="AW65" s="46">
        <f t="shared" si="2"/>
        <v>192</v>
      </c>
      <c r="AX65" s="46">
        <f t="shared" si="3"/>
        <v>0</v>
      </c>
      <c r="AY65" s="46">
        <f t="shared" si="4"/>
        <v>192</v>
      </c>
      <c r="AZ65" s="56">
        <f t="shared" si="5"/>
        <v>20.29</v>
      </c>
    </row>
    <row r="66" ht="15.75" customHeight="1">
      <c r="A66" s="19" t="s">
        <v>30</v>
      </c>
      <c r="B66" s="57">
        <f t="shared" si="6"/>
        <v>44991</v>
      </c>
      <c r="C66" s="21">
        <v>3.0</v>
      </c>
      <c r="D66" s="21" t="s">
        <v>47</v>
      </c>
      <c r="E66" s="23"/>
      <c r="F66" s="38">
        <v>98.0</v>
      </c>
      <c r="H66" s="39">
        <v>91.0</v>
      </c>
      <c r="J66" s="37"/>
      <c r="L66" s="37"/>
      <c r="N66" s="37"/>
      <c r="P66" s="37"/>
      <c r="Q66" s="26"/>
      <c r="R66" s="38">
        <v>294.0</v>
      </c>
      <c r="T66" s="39">
        <v>332.0</v>
      </c>
      <c r="V66" s="37"/>
      <c r="X66" s="37"/>
      <c r="Z66" s="37"/>
      <c r="AB66" s="37"/>
      <c r="AC66" s="26"/>
      <c r="AD66" s="37"/>
      <c r="AF66" s="37"/>
      <c r="AH66" s="37"/>
      <c r="AJ66" s="59"/>
      <c r="AK66" s="26"/>
      <c r="AL66" s="37"/>
      <c r="AN66" s="37"/>
      <c r="AP66" s="37"/>
      <c r="AR66" s="37"/>
      <c r="AT66" s="37"/>
      <c r="AU66" s="26"/>
      <c r="AV66" s="29">
        <f t="shared" si="1"/>
        <v>10182.45</v>
      </c>
      <c r="AW66" s="21">
        <f t="shared" si="2"/>
        <v>815</v>
      </c>
      <c r="AX66" s="21">
        <f t="shared" si="3"/>
        <v>0</v>
      </c>
      <c r="AY66" s="21">
        <f t="shared" si="4"/>
        <v>815</v>
      </c>
      <c r="AZ66" s="58">
        <f t="shared" si="5"/>
        <v>12.49380368</v>
      </c>
    </row>
    <row r="67" ht="15.75" customHeight="1">
      <c r="A67" s="31" t="s">
        <v>33</v>
      </c>
      <c r="B67" s="32">
        <f t="shared" si="6"/>
        <v>44992</v>
      </c>
      <c r="C67" s="33">
        <v>3.0</v>
      </c>
      <c r="D67" s="33" t="s">
        <v>47</v>
      </c>
      <c r="E67" s="34"/>
      <c r="F67" s="38">
        <v>95.0</v>
      </c>
      <c r="H67" s="39">
        <v>64.0</v>
      </c>
      <c r="J67" s="37"/>
      <c r="L67" s="37"/>
      <c r="N67" s="37"/>
      <c r="P67" s="37"/>
      <c r="Q67" s="26"/>
      <c r="R67" s="38">
        <v>296.0</v>
      </c>
      <c r="T67" s="39">
        <v>294.0</v>
      </c>
      <c r="V67" s="37"/>
      <c r="X67" s="37"/>
      <c r="Z67" s="37"/>
      <c r="AB67" s="37"/>
      <c r="AC67" s="26"/>
      <c r="AD67" s="37"/>
      <c r="AF67" s="37"/>
      <c r="AH67" s="37"/>
      <c r="AJ67" s="59"/>
      <c r="AK67" s="26"/>
      <c r="AL67" s="37"/>
      <c r="AN67" s="37"/>
      <c r="AP67" s="37"/>
      <c r="AR67" s="37"/>
      <c r="AT67" s="37"/>
      <c r="AU67" s="26"/>
      <c r="AV67" s="35">
        <f t="shared" si="1"/>
        <v>9208.71</v>
      </c>
      <c r="AW67" s="33">
        <f t="shared" si="2"/>
        <v>749</v>
      </c>
      <c r="AX67" s="33">
        <f t="shared" si="3"/>
        <v>0</v>
      </c>
      <c r="AY67" s="33">
        <f t="shared" si="4"/>
        <v>749</v>
      </c>
      <c r="AZ67" s="30">
        <f t="shared" si="5"/>
        <v>12.2946729</v>
      </c>
    </row>
    <row r="68" ht="15.75" customHeight="1">
      <c r="A68" s="31" t="s">
        <v>34</v>
      </c>
      <c r="B68" s="32">
        <f t="shared" si="6"/>
        <v>44993</v>
      </c>
      <c r="C68" s="33">
        <v>3.0</v>
      </c>
      <c r="D68" s="33" t="s">
        <v>47</v>
      </c>
      <c r="E68" s="34"/>
      <c r="F68" s="38">
        <v>81.0</v>
      </c>
      <c r="H68" s="39">
        <v>89.0</v>
      </c>
      <c r="J68" s="37"/>
      <c r="L68" s="37"/>
      <c r="N68" s="37"/>
      <c r="P68" s="37"/>
      <c r="Q68" s="26"/>
      <c r="R68" s="38">
        <v>291.0</v>
      </c>
      <c r="T68" s="39">
        <v>314.0</v>
      </c>
      <c r="V68" s="37"/>
      <c r="X68" s="37"/>
      <c r="Z68" s="37"/>
      <c r="AB68" s="37"/>
      <c r="AC68" s="26"/>
      <c r="AD68" s="37"/>
      <c r="AF68" s="37"/>
      <c r="AH68" s="37"/>
      <c r="AJ68" s="59"/>
      <c r="AK68" s="26"/>
      <c r="AL68" s="37"/>
      <c r="AN68" s="37"/>
      <c r="AP68" s="37"/>
      <c r="AR68" s="37"/>
      <c r="AT68" s="37"/>
      <c r="AU68" s="26"/>
      <c r="AV68" s="35">
        <f t="shared" si="1"/>
        <v>9584</v>
      </c>
      <c r="AW68" s="33">
        <f t="shared" si="2"/>
        <v>775</v>
      </c>
      <c r="AX68" s="33">
        <f t="shared" si="3"/>
        <v>0</v>
      </c>
      <c r="AY68" s="33">
        <f t="shared" si="4"/>
        <v>775</v>
      </c>
      <c r="AZ68" s="30">
        <f t="shared" si="5"/>
        <v>12.36645161</v>
      </c>
    </row>
    <row r="69" ht="15.75" customHeight="1">
      <c r="A69" s="31" t="s">
        <v>35</v>
      </c>
      <c r="B69" s="32">
        <f t="shared" si="6"/>
        <v>44994</v>
      </c>
      <c r="C69" s="33">
        <v>3.0</v>
      </c>
      <c r="D69" s="33" t="s">
        <v>47</v>
      </c>
      <c r="E69" s="34"/>
      <c r="F69" s="38">
        <v>82.0</v>
      </c>
      <c r="H69" s="39">
        <v>68.0</v>
      </c>
      <c r="J69" s="37"/>
      <c r="L69" s="37"/>
      <c r="N69" s="37"/>
      <c r="P69" s="37"/>
      <c r="Q69" s="26"/>
      <c r="R69" s="38">
        <v>292.0</v>
      </c>
      <c r="T69" s="39">
        <v>312.0</v>
      </c>
      <c r="V69" s="37"/>
      <c r="X69" s="37"/>
      <c r="Z69" s="37"/>
      <c r="AB69" s="37"/>
      <c r="AC69" s="26"/>
      <c r="AD69" s="37"/>
      <c r="AF69" s="37"/>
      <c r="AH69" s="37"/>
      <c r="AJ69" s="59"/>
      <c r="AK69" s="26"/>
      <c r="AL69" s="37"/>
      <c r="AN69" s="37"/>
      <c r="AP69" s="37"/>
      <c r="AR69" s="37"/>
      <c r="AT69" s="37"/>
      <c r="AU69" s="26"/>
      <c r="AV69" s="35">
        <f t="shared" si="1"/>
        <v>9168.06</v>
      </c>
      <c r="AW69" s="33">
        <f t="shared" si="2"/>
        <v>754</v>
      </c>
      <c r="AX69" s="33">
        <f t="shared" si="3"/>
        <v>0</v>
      </c>
      <c r="AY69" s="33">
        <f t="shared" si="4"/>
        <v>754</v>
      </c>
      <c r="AZ69" s="30">
        <f t="shared" si="5"/>
        <v>12.15923077</v>
      </c>
    </row>
    <row r="70" ht="15.75" customHeight="1">
      <c r="A70" s="31" t="s">
        <v>38</v>
      </c>
      <c r="B70" s="32">
        <f t="shared" si="6"/>
        <v>44995</v>
      </c>
      <c r="C70" s="33">
        <v>3.0</v>
      </c>
      <c r="D70" s="33" t="s">
        <v>47</v>
      </c>
      <c r="E70" s="34"/>
      <c r="F70" s="38">
        <v>76.0</v>
      </c>
      <c r="H70" s="39">
        <v>69.0</v>
      </c>
      <c r="J70" s="37"/>
      <c r="L70" s="37"/>
      <c r="N70" s="37"/>
      <c r="P70" s="37"/>
      <c r="Q70" s="26"/>
      <c r="R70" s="38">
        <v>269.0</v>
      </c>
      <c r="T70" s="39">
        <v>295.0</v>
      </c>
      <c r="V70" s="37"/>
      <c r="X70" s="37"/>
      <c r="Z70" s="37"/>
      <c r="AB70" s="37"/>
      <c r="AC70" s="26"/>
      <c r="AD70" s="37"/>
      <c r="AF70" s="37"/>
      <c r="AH70" s="37"/>
      <c r="AJ70" s="59"/>
      <c r="AK70" s="26"/>
      <c r="AL70" s="37"/>
      <c r="AN70" s="37"/>
      <c r="AP70" s="37"/>
      <c r="AR70" s="37"/>
      <c r="AT70" s="37"/>
      <c r="AU70" s="26"/>
      <c r="AV70" s="35">
        <f t="shared" si="1"/>
        <v>8661.01</v>
      </c>
      <c r="AW70" s="33">
        <f t="shared" si="2"/>
        <v>709</v>
      </c>
      <c r="AX70" s="33">
        <f t="shared" si="3"/>
        <v>0</v>
      </c>
      <c r="AY70" s="33">
        <f t="shared" si="4"/>
        <v>709</v>
      </c>
      <c r="AZ70" s="30">
        <f t="shared" si="5"/>
        <v>12.215811</v>
      </c>
    </row>
    <row r="71" ht="15.75" customHeight="1">
      <c r="A71" s="31" t="s">
        <v>45</v>
      </c>
      <c r="B71" s="32">
        <f t="shared" si="6"/>
        <v>44996</v>
      </c>
      <c r="C71" s="33">
        <v>3.0</v>
      </c>
      <c r="D71" s="33" t="s">
        <v>47</v>
      </c>
      <c r="E71" s="34"/>
      <c r="F71" s="38">
        <v>89.0</v>
      </c>
      <c r="H71" s="39">
        <v>93.0</v>
      </c>
      <c r="J71" s="37"/>
      <c r="L71" s="37"/>
      <c r="N71" s="37"/>
      <c r="P71" s="37"/>
      <c r="Q71" s="26"/>
      <c r="R71" s="38">
        <v>282.0</v>
      </c>
      <c r="T71" s="39">
        <v>289.0</v>
      </c>
      <c r="V71" s="37"/>
      <c r="X71" s="37"/>
      <c r="Z71" s="37"/>
      <c r="AB71" s="37"/>
      <c r="AC71" s="26"/>
      <c r="AD71" s="37"/>
      <c r="AF71" s="37"/>
      <c r="AH71" s="37"/>
      <c r="AJ71" s="59"/>
      <c r="AK71" s="26"/>
      <c r="AL71" s="37"/>
      <c r="AN71" s="37"/>
      <c r="AP71" s="37"/>
      <c r="AR71" s="37"/>
      <c r="AT71" s="37"/>
      <c r="AU71" s="26"/>
      <c r="AV71" s="35">
        <f t="shared" si="1"/>
        <v>9482.72</v>
      </c>
      <c r="AW71" s="33">
        <f t="shared" si="2"/>
        <v>753</v>
      </c>
      <c r="AX71" s="33">
        <f t="shared" si="3"/>
        <v>0</v>
      </c>
      <c r="AY71" s="33">
        <f t="shared" si="4"/>
        <v>753</v>
      </c>
      <c r="AZ71" s="30">
        <f t="shared" si="5"/>
        <v>12.59325365</v>
      </c>
    </row>
    <row r="72" ht="15.75" customHeight="1">
      <c r="A72" s="44" t="s">
        <v>46</v>
      </c>
      <c r="B72" s="45">
        <f t="shared" si="6"/>
        <v>44997</v>
      </c>
      <c r="C72" s="46">
        <v>3.0</v>
      </c>
      <c r="D72" s="46" t="s">
        <v>47</v>
      </c>
      <c r="E72" s="47"/>
      <c r="F72" s="62">
        <v>88.0</v>
      </c>
      <c r="G72" s="51"/>
      <c r="H72" s="63">
        <v>91.0</v>
      </c>
      <c r="I72" s="51"/>
      <c r="J72" s="61"/>
      <c r="K72" s="51"/>
      <c r="L72" s="61"/>
      <c r="M72" s="51"/>
      <c r="N72" s="61"/>
      <c r="O72" s="51"/>
      <c r="P72" s="61"/>
      <c r="Q72" s="53"/>
      <c r="R72" s="62">
        <v>283.0</v>
      </c>
      <c r="S72" s="51"/>
      <c r="T72" s="63">
        <v>293.0</v>
      </c>
      <c r="U72" s="51"/>
      <c r="V72" s="61"/>
      <c r="W72" s="51"/>
      <c r="X72" s="61"/>
      <c r="Y72" s="51"/>
      <c r="Z72" s="61"/>
      <c r="AA72" s="51"/>
      <c r="AB72" s="61"/>
      <c r="AC72" s="53"/>
      <c r="AD72" s="61"/>
      <c r="AE72" s="51"/>
      <c r="AF72" s="61"/>
      <c r="AG72" s="51"/>
      <c r="AH72" s="61"/>
      <c r="AI72" s="51"/>
      <c r="AJ72" s="68"/>
      <c r="AK72" s="53"/>
      <c r="AL72" s="61"/>
      <c r="AM72" s="51"/>
      <c r="AN72" s="61"/>
      <c r="AO72" s="51"/>
      <c r="AP72" s="61"/>
      <c r="AQ72" s="51"/>
      <c r="AR72" s="61"/>
      <c r="AS72" s="51"/>
      <c r="AT72" s="61"/>
      <c r="AU72" s="53"/>
      <c r="AV72" s="55">
        <f t="shared" si="1"/>
        <v>9472.55</v>
      </c>
      <c r="AW72" s="46">
        <f t="shared" si="2"/>
        <v>755</v>
      </c>
      <c r="AX72" s="46">
        <f t="shared" si="3"/>
        <v>0</v>
      </c>
      <c r="AY72" s="46">
        <f t="shared" si="4"/>
        <v>755</v>
      </c>
      <c r="AZ72" s="56">
        <f t="shared" si="5"/>
        <v>12.54642384</v>
      </c>
    </row>
    <row r="73" ht="15.75" customHeight="1">
      <c r="A73" s="19" t="s">
        <v>30</v>
      </c>
      <c r="B73" s="57">
        <f t="shared" si="6"/>
        <v>44998</v>
      </c>
      <c r="C73" s="21">
        <v>3.0</v>
      </c>
      <c r="D73" s="21" t="s">
        <v>48</v>
      </c>
      <c r="E73" s="23"/>
      <c r="F73" s="38">
        <v>69.0</v>
      </c>
      <c r="H73" s="39">
        <v>78.0</v>
      </c>
      <c r="J73" s="37"/>
      <c r="L73" s="37"/>
      <c r="N73" s="37"/>
      <c r="P73" s="37"/>
      <c r="Q73" s="26"/>
      <c r="R73" s="38">
        <v>45.0</v>
      </c>
      <c r="T73" s="39">
        <v>46.0</v>
      </c>
      <c r="V73" s="37"/>
      <c r="X73" s="37"/>
      <c r="Z73" s="37"/>
      <c r="AB73" s="37"/>
      <c r="AC73" s="26"/>
      <c r="AD73" s="37"/>
      <c r="AF73" s="37"/>
      <c r="AH73" s="37"/>
      <c r="AJ73" s="59"/>
      <c r="AK73" s="26"/>
      <c r="AL73" s="37"/>
      <c r="AN73" s="37"/>
      <c r="AP73" s="37"/>
      <c r="AR73" s="37"/>
      <c r="AT73" s="37"/>
      <c r="AU73" s="26"/>
      <c r="AV73" s="29">
        <f t="shared" si="1"/>
        <v>3905.37</v>
      </c>
      <c r="AW73" s="21">
        <f t="shared" si="2"/>
        <v>238</v>
      </c>
      <c r="AX73" s="21">
        <f t="shared" si="3"/>
        <v>0</v>
      </c>
      <c r="AY73" s="21">
        <f t="shared" si="4"/>
        <v>238</v>
      </c>
      <c r="AZ73" s="58">
        <f t="shared" si="5"/>
        <v>16.40911765</v>
      </c>
    </row>
    <row r="74" ht="15.75" customHeight="1">
      <c r="A74" s="31" t="s">
        <v>33</v>
      </c>
      <c r="B74" s="32">
        <f t="shared" si="6"/>
        <v>44999</v>
      </c>
      <c r="C74" s="33">
        <v>3.0</v>
      </c>
      <c r="D74" s="33" t="s">
        <v>48</v>
      </c>
      <c r="E74" s="34"/>
      <c r="F74" s="38"/>
      <c r="H74" s="39">
        <v>96.0</v>
      </c>
      <c r="J74" s="39">
        <v>107.0</v>
      </c>
      <c r="L74" s="37"/>
      <c r="N74" s="37"/>
      <c r="P74" s="37"/>
      <c r="Q74" s="26"/>
      <c r="R74" s="38">
        <v>278.0</v>
      </c>
      <c r="T74" s="39">
        <v>286.0</v>
      </c>
      <c r="V74" s="37"/>
      <c r="X74" s="37"/>
      <c r="Z74" s="37"/>
      <c r="AB74" s="37"/>
      <c r="AC74" s="26"/>
      <c r="AD74" s="37"/>
      <c r="AF74" s="37"/>
      <c r="AH74" s="37"/>
      <c r="AJ74" s="59"/>
      <c r="AK74" s="26"/>
      <c r="AL74" s="37"/>
      <c r="AN74" s="37"/>
      <c r="AP74" s="37"/>
      <c r="AR74" s="37"/>
      <c r="AT74" s="37"/>
      <c r="AU74" s="26"/>
      <c r="AV74" s="35">
        <f t="shared" si="1"/>
        <v>9837.83</v>
      </c>
      <c r="AW74" s="33">
        <f t="shared" si="2"/>
        <v>767</v>
      </c>
      <c r="AX74" s="33">
        <f t="shared" si="3"/>
        <v>0</v>
      </c>
      <c r="AY74" s="33">
        <f t="shared" si="4"/>
        <v>767</v>
      </c>
      <c r="AZ74" s="30">
        <f t="shared" si="5"/>
        <v>12.82637549</v>
      </c>
    </row>
    <row r="75" ht="15.75" customHeight="1">
      <c r="A75" s="31" t="s">
        <v>34</v>
      </c>
      <c r="B75" s="32">
        <f t="shared" si="6"/>
        <v>45000</v>
      </c>
      <c r="C75" s="33">
        <v>3.0</v>
      </c>
      <c r="D75" s="33" t="s">
        <v>48</v>
      </c>
      <c r="E75" s="34"/>
      <c r="F75" s="38">
        <v>82.0</v>
      </c>
      <c r="H75" s="39">
        <v>79.0</v>
      </c>
      <c r="J75" s="37"/>
      <c r="L75" s="37"/>
      <c r="N75" s="37"/>
      <c r="P75" s="37"/>
      <c r="Q75" s="26"/>
      <c r="R75" s="38">
        <v>292.0</v>
      </c>
      <c r="T75" s="39">
        <v>331.0</v>
      </c>
      <c r="V75" s="37"/>
      <c r="X75" s="37"/>
      <c r="Z75" s="37"/>
      <c r="AB75" s="37"/>
      <c r="AC75" s="26"/>
      <c r="AD75" s="37"/>
      <c r="AF75" s="37"/>
      <c r="AH75" s="37"/>
      <c r="AJ75" s="59"/>
      <c r="AK75" s="26"/>
      <c r="AL75" s="37"/>
      <c r="AN75" s="37"/>
      <c r="AP75" s="37"/>
      <c r="AR75" s="37"/>
      <c r="AT75" s="37"/>
      <c r="AU75" s="26"/>
      <c r="AV75" s="35">
        <f t="shared" si="1"/>
        <v>9583.91</v>
      </c>
      <c r="AW75" s="33">
        <f t="shared" si="2"/>
        <v>784</v>
      </c>
      <c r="AX75" s="33">
        <f t="shared" si="3"/>
        <v>0</v>
      </c>
      <c r="AY75" s="33">
        <f t="shared" si="4"/>
        <v>784</v>
      </c>
      <c r="AZ75" s="30">
        <f t="shared" si="5"/>
        <v>12.224375</v>
      </c>
    </row>
    <row r="76" ht="15.75" customHeight="1">
      <c r="A76" s="31" t="s">
        <v>35</v>
      </c>
      <c r="B76" s="32">
        <f t="shared" si="6"/>
        <v>45001</v>
      </c>
      <c r="C76" s="33">
        <v>3.0</v>
      </c>
      <c r="D76" s="33" t="s">
        <v>48</v>
      </c>
      <c r="E76" s="34"/>
      <c r="F76" s="38"/>
      <c r="H76" s="39">
        <v>98.0</v>
      </c>
      <c r="J76" s="39">
        <v>76.0</v>
      </c>
      <c r="L76" s="37"/>
      <c r="N76" s="37"/>
      <c r="P76" s="37"/>
      <c r="Q76" s="26"/>
      <c r="R76" s="38">
        <v>295.0</v>
      </c>
      <c r="T76" s="39">
        <v>343.0</v>
      </c>
      <c r="V76" s="37"/>
      <c r="X76" s="37"/>
      <c r="Z76" s="37"/>
      <c r="AB76" s="37"/>
      <c r="AC76" s="26"/>
      <c r="AD76" s="37"/>
      <c r="AF76" s="37"/>
      <c r="AH76" s="37"/>
      <c r="AJ76" s="59"/>
      <c r="AK76" s="26"/>
      <c r="AL76" s="37"/>
      <c r="AN76" s="37"/>
      <c r="AP76" s="37"/>
      <c r="AR76" s="37"/>
      <c r="AT76" s="37"/>
      <c r="AU76" s="26"/>
      <c r="AV76" s="35">
        <f t="shared" si="1"/>
        <v>9999.78</v>
      </c>
      <c r="AW76" s="33">
        <f t="shared" si="2"/>
        <v>812</v>
      </c>
      <c r="AX76" s="33">
        <f t="shared" si="3"/>
        <v>0</v>
      </c>
      <c r="AY76" s="33">
        <f t="shared" si="4"/>
        <v>812</v>
      </c>
      <c r="AZ76" s="30">
        <f t="shared" si="5"/>
        <v>12.315</v>
      </c>
    </row>
    <row r="77" ht="15.75" customHeight="1">
      <c r="A77" s="31" t="s">
        <v>38</v>
      </c>
      <c r="B77" s="32">
        <f t="shared" si="6"/>
        <v>45002</v>
      </c>
      <c r="C77" s="33">
        <v>3.0</v>
      </c>
      <c r="D77" s="33" t="s">
        <v>48</v>
      </c>
      <c r="E77" s="34"/>
      <c r="F77" s="38">
        <v>93.0</v>
      </c>
      <c r="H77" s="39">
        <v>93.0</v>
      </c>
      <c r="J77" s="39">
        <v>38.0</v>
      </c>
      <c r="L77" s="37"/>
      <c r="N77" s="37"/>
      <c r="P77" s="37"/>
      <c r="Q77" s="26"/>
      <c r="R77" s="38">
        <v>286.0</v>
      </c>
      <c r="T77" s="39">
        <v>292.0</v>
      </c>
      <c r="V77" s="37"/>
      <c r="X77" s="37"/>
      <c r="Z77" s="37"/>
      <c r="AB77" s="37"/>
      <c r="AC77" s="26"/>
      <c r="AD77" s="37"/>
      <c r="AF77" s="37"/>
      <c r="AH77" s="37"/>
      <c r="AJ77" s="59"/>
      <c r="AK77" s="26"/>
      <c r="AL77" s="37"/>
      <c r="AN77" s="37"/>
      <c r="AP77" s="37"/>
      <c r="AR77" s="37"/>
      <c r="AT77" s="37"/>
      <c r="AU77" s="26"/>
      <c r="AV77" s="35">
        <f t="shared" si="1"/>
        <v>10405.88</v>
      </c>
      <c r="AW77" s="33">
        <f t="shared" si="2"/>
        <v>802</v>
      </c>
      <c r="AX77" s="33">
        <f t="shared" si="3"/>
        <v>0</v>
      </c>
      <c r="AY77" s="33">
        <f t="shared" si="4"/>
        <v>802</v>
      </c>
      <c r="AZ77" s="30">
        <f t="shared" si="5"/>
        <v>12.97491272</v>
      </c>
    </row>
    <row r="78" ht="15.75" customHeight="1">
      <c r="A78" s="31" t="s">
        <v>45</v>
      </c>
      <c r="B78" s="32">
        <f t="shared" si="6"/>
        <v>45003</v>
      </c>
      <c r="C78" s="33">
        <v>3.0</v>
      </c>
      <c r="D78" s="33" t="s">
        <v>48</v>
      </c>
      <c r="E78" s="34"/>
      <c r="F78" s="38">
        <v>91.0</v>
      </c>
      <c r="H78" s="39">
        <v>92.0</v>
      </c>
      <c r="J78" s="37"/>
      <c r="L78" s="37"/>
      <c r="N78" s="37"/>
      <c r="P78" s="37"/>
      <c r="Q78" s="26"/>
      <c r="R78" s="38">
        <v>281.0</v>
      </c>
      <c r="T78" s="39">
        <v>298.0</v>
      </c>
      <c r="V78" s="37"/>
      <c r="X78" s="37"/>
      <c r="Z78" s="37"/>
      <c r="AB78" s="37"/>
      <c r="AC78" s="26"/>
      <c r="AD78" s="37"/>
      <c r="AF78" s="37"/>
      <c r="AH78" s="37"/>
      <c r="AJ78" s="59"/>
      <c r="AK78" s="26"/>
      <c r="AL78" s="37"/>
      <c r="AN78" s="37"/>
      <c r="AP78" s="37"/>
      <c r="AR78" s="37"/>
      <c r="AT78" s="37"/>
      <c r="AU78" s="26"/>
      <c r="AV78" s="35">
        <f t="shared" si="1"/>
        <v>9584.13</v>
      </c>
      <c r="AW78" s="33">
        <f t="shared" si="2"/>
        <v>762</v>
      </c>
      <c r="AX78" s="33">
        <f t="shared" si="3"/>
        <v>0</v>
      </c>
      <c r="AY78" s="33">
        <f t="shared" si="4"/>
        <v>762</v>
      </c>
      <c r="AZ78" s="30">
        <f t="shared" si="5"/>
        <v>12.57759843</v>
      </c>
    </row>
    <row r="79" ht="15.75" customHeight="1">
      <c r="A79" s="44" t="s">
        <v>46</v>
      </c>
      <c r="B79" s="45">
        <f t="shared" si="6"/>
        <v>45004</v>
      </c>
      <c r="C79" s="46">
        <v>3.0</v>
      </c>
      <c r="D79" s="46" t="s">
        <v>48</v>
      </c>
      <c r="E79" s="47"/>
      <c r="F79" s="62">
        <v>84.0</v>
      </c>
      <c r="G79" s="51"/>
      <c r="H79" s="63"/>
      <c r="I79" s="51"/>
      <c r="J79" s="61"/>
      <c r="K79" s="51"/>
      <c r="L79" s="61"/>
      <c r="M79" s="51"/>
      <c r="N79" s="61"/>
      <c r="O79" s="51"/>
      <c r="P79" s="61"/>
      <c r="Q79" s="53"/>
      <c r="R79" s="62">
        <v>258.0</v>
      </c>
      <c r="S79" s="51"/>
      <c r="T79" s="63"/>
      <c r="U79" s="51"/>
      <c r="V79" s="61"/>
      <c r="W79" s="51"/>
      <c r="X79" s="61"/>
      <c r="Y79" s="51"/>
      <c r="Z79" s="61"/>
      <c r="AA79" s="51"/>
      <c r="AB79" s="61"/>
      <c r="AC79" s="53"/>
      <c r="AD79" s="61"/>
      <c r="AE79" s="51"/>
      <c r="AF79" s="61"/>
      <c r="AG79" s="51"/>
      <c r="AH79" s="61"/>
      <c r="AI79" s="51"/>
      <c r="AJ79" s="68"/>
      <c r="AK79" s="53"/>
      <c r="AL79" s="61"/>
      <c r="AM79" s="51"/>
      <c r="AN79" s="61"/>
      <c r="AO79" s="51"/>
      <c r="AP79" s="61"/>
      <c r="AQ79" s="51"/>
      <c r="AR79" s="61"/>
      <c r="AS79" s="51"/>
      <c r="AT79" s="61"/>
      <c r="AU79" s="53"/>
      <c r="AV79" s="55">
        <f t="shared" si="1"/>
        <v>4320.48</v>
      </c>
      <c r="AW79" s="46">
        <f t="shared" si="2"/>
        <v>342</v>
      </c>
      <c r="AX79" s="46">
        <f t="shared" si="3"/>
        <v>0</v>
      </c>
      <c r="AY79" s="46">
        <f t="shared" si="4"/>
        <v>342</v>
      </c>
      <c r="AZ79" s="56">
        <f t="shared" si="5"/>
        <v>12.63298246</v>
      </c>
    </row>
    <row r="80" ht="15.75" customHeight="1">
      <c r="A80" s="19" t="s">
        <v>30</v>
      </c>
      <c r="B80" s="57">
        <f t="shared" si="6"/>
        <v>45005</v>
      </c>
      <c r="C80" s="21">
        <v>3.0</v>
      </c>
      <c r="D80" s="21" t="s">
        <v>49</v>
      </c>
      <c r="E80" s="23"/>
      <c r="F80" s="38">
        <v>103.0</v>
      </c>
      <c r="H80" s="39">
        <v>96.0</v>
      </c>
      <c r="J80" s="37"/>
      <c r="L80" s="37"/>
      <c r="N80" s="37"/>
      <c r="P80" s="37"/>
      <c r="Q80" s="26"/>
      <c r="R80" s="38">
        <v>256.0</v>
      </c>
      <c r="T80" s="39">
        <v>271.0</v>
      </c>
      <c r="V80" s="37"/>
      <c r="X80" s="37"/>
      <c r="Z80" s="37"/>
      <c r="AB80" s="37"/>
      <c r="AC80" s="26"/>
      <c r="AD80" s="37"/>
      <c r="AF80" s="37"/>
      <c r="AH80" s="37"/>
      <c r="AJ80" s="59"/>
      <c r="AK80" s="26"/>
      <c r="AL80" s="37"/>
      <c r="AN80" s="37"/>
      <c r="AP80" s="37"/>
      <c r="AR80" s="37"/>
      <c r="AT80" s="37"/>
      <c r="AU80" s="26"/>
      <c r="AV80" s="29">
        <f t="shared" si="1"/>
        <v>9381.49</v>
      </c>
      <c r="AW80" s="21">
        <f t="shared" si="2"/>
        <v>726</v>
      </c>
      <c r="AX80" s="21">
        <f t="shared" si="3"/>
        <v>0</v>
      </c>
      <c r="AY80" s="21">
        <f t="shared" si="4"/>
        <v>726</v>
      </c>
      <c r="AZ80" s="58">
        <f t="shared" si="5"/>
        <v>12.92216253</v>
      </c>
    </row>
    <row r="81" ht="15.75" customHeight="1">
      <c r="A81" s="31" t="s">
        <v>33</v>
      </c>
      <c r="B81" s="32">
        <f t="shared" si="6"/>
        <v>45006</v>
      </c>
      <c r="C81" s="33">
        <v>3.0</v>
      </c>
      <c r="D81" s="33" t="s">
        <v>49</v>
      </c>
      <c r="E81" s="34"/>
      <c r="F81" s="38"/>
      <c r="H81" s="39"/>
      <c r="J81" s="37"/>
      <c r="L81" s="37"/>
      <c r="N81" s="37"/>
      <c r="P81" s="37"/>
      <c r="Q81" s="26"/>
      <c r="R81" s="38"/>
      <c r="T81" s="39"/>
      <c r="V81" s="37"/>
      <c r="X81" s="37"/>
      <c r="Z81" s="37"/>
      <c r="AB81" s="37"/>
      <c r="AC81" s="26"/>
      <c r="AD81" s="37"/>
      <c r="AF81" s="37"/>
      <c r="AH81" s="37"/>
      <c r="AJ81" s="59"/>
      <c r="AK81" s="26"/>
      <c r="AL81" s="37"/>
      <c r="AN81" s="37"/>
      <c r="AP81" s="37"/>
      <c r="AR81" s="37"/>
      <c r="AT81" s="37"/>
      <c r="AU81" s="26"/>
      <c r="AV81" s="35">
        <f t="shared" si="1"/>
        <v>0</v>
      </c>
      <c r="AW81" s="33">
        <f t="shared" si="2"/>
        <v>0</v>
      </c>
      <c r="AX81" s="33">
        <f t="shared" si="3"/>
        <v>0</v>
      </c>
      <c r="AY81" s="33">
        <f t="shared" si="4"/>
        <v>0</v>
      </c>
      <c r="AZ81" s="30" t="str">
        <f t="shared" si="5"/>
        <v/>
      </c>
    </row>
    <row r="82" ht="15.75" customHeight="1">
      <c r="A82" s="31" t="s">
        <v>34</v>
      </c>
      <c r="B82" s="32">
        <f t="shared" si="6"/>
        <v>45007</v>
      </c>
      <c r="C82" s="33">
        <v>3.0</v>
      </c>
      <c r="D82" s="33" t="s">
        <v>49</v>
      </c>
      <c r="E82" s="34"/>
      <c r="F82" s="38">
        <v>94.0</v>
      </c>
      <c r="H82" s="39">
        <v>86.0</v>
      </c>
      <c r="J82" s="37"/>
      <c r="L82" s="37"/>
      <c r="N82" s="37"/>
      <c r="P82" s="37"/>
      <c r="Q82" s="26"/>
      <c r="R82" s="38">
        <v>263.0</v>
      </c>
      <c r="T82" s="39">
        <v>289.0</v>
      </c>
      <c r="V82" s="37"/>
      <c r="X82" s="37"/>
      <c r="Z82" s="37"/>
      <c r="AB82" s="37"/>
      <c r="AC82" s="26"/>
      <c r="AD82" s="37"/>
      <c r="AF82" s="37"/>
      <c r="AH82" s="37"/>
      <c r="AJ82" s="59"/>
      <c r="AK82" s="26"/>
      <c r="AL82" s="37"/>
      <c r="AN82" s="37"/>
      <c r="AP82" s="37"/>
      <c r="AR82" s="37"/>
      <c r="AT82" s="37"/>
      <c r="AU82" s="26"/>
      <c r="AV82" s="35">
        <f t="shared" si="1"/>
        <v>9249.48</v>
      </c>
      <c r="AW82" s="33">
        <f t="shared" si="2"/>
        <v>732</v>
      </c>
      <c r="AX82" s="33">
        <f t="shared" si="3"/>
        <v>0</v>
      </c>
      <c r="AY82" s="33">
        <f t="shared" si="4"/>
        <v>732</v>
      </c>
      <c r="AZ82" s="30">
        <f t="shared" si="5"/>
        <v>12.63590164</v>
      </c>
    </row>
    <row r="83" ht="15.75" customHeight="1">
      <c r="A83" s="31" t="s">
        <v>35</v>
      </c>
      <c r="B83" s="32">
        <f t="shared" si="6"/>
        <v>45008</v>
      </c>
      <c r="C83" s="33">
        <v>3.0</v>
      </c>
      <c r="D83" s="33" t="s">
        <v>49</v>
      </c>
      <c r="E83" s="34"/>
      <c r="F83" s="38">
        <v>91.0</v>
      </c>
      <c r="H83" s="39">
        <v>94.0</v>
      </c>
      <c r="J83" s="37"/>
      <c r="L83" s="37"/>
      <c r="N83" s="37"/>
      <c r="P83" s="37"/>
      <c r="Q83" s="26"/>
      <c r="R83" s="38">
        <v>267.0</v>
      </c>
      <c r="T83" s="39">
        <v>293.0</v>
      </c>
      <c r="V83" s="37"/>
      <c r="X83" s="37"/>
      <c r="Z83" s="37"/>
      <c r="AB83" s="37"/>
      <c r="AC83" s="26"/>
      <c r="AD83" s="37"/>
      <c r="AF83" s="37"/>
      <c r="AH83" s="37"/>
      <c r="AJ83" s="59"/>
      <c r="AK83" s="26"/>
      <c r="AL83" s="37"/>
      <c r="AN83" s="37"/>
      <c r="AP83" s="37"/>
      <c r="AR83" s="37"/>
      <c r="AT83" s="37"/>
      <c r="AU83" s="26"/>
      <c r="AV83" s="35">
        <f t="shared" si="1"/>
        <v>9432.05</v>
      </c>
      <c r="AW83" s="33">
        <f t="shared" si="2"/>
        <v>745</v>
      </c>
      <c r="AX83" s="33">
        <f t="shared" si="3"/>
        <v>0</v>
      </c>
      <c r="AY83" s="33">
        <f t="shared" si="4"/>
        <v>745</v>
      </c>
      <c r="AZ83" s="30">
        <f t="shared" si="5"/>
        <v>12.6604698</v>
      </c>
    </row>
    <row r="84" ht="15.75" customHeight="1">
      <c r="A84" s="31" t="s">
        <v>38</v>
      </c>
      <c r="B84" s="32">
        <f t="shared" si="6"/>
        <v>45009</v>
      </c>
      <c r="C84" s="33">
        <v>3.0</v>
      </c>
      <c r="D84" s="33" t="s">
        <v>49</v>
      </c>
      <c r="E84" s="34"/>
      <c r="F84" s="38"/>
      <c r="H84" s="39">
        <v>125.0</v>
      </c>
      <c r="J84" s="39">
        <v>46.0</v>
      </c>
      <c r="L84" s="37"/>
      <c r="N84" s="37"/>
      <c r="P84" s="37"/>
      <c r="Q84" s="26"/>
      <c r="R84" s="38">
        <v>262.0</v>
      </c>
      <c r="T84" s="39">
        <v>299.0</v>
      </c>
      <c r="V84" s="37"/>
      <c r="X84" s="37"/>
      <c r="Z84" s="37"/>
      <c r="AB84" s="37"/>
      <c r="AC84" s="26"/>
      <c r="AD84" s="37"/>
      <c r="AF84" s="37"/>
      <c r="AH84" s="37"/>
      <c r="AJ84" s="59"/>
      <c r="AK84" s="26"/>
      <c r="AL84" s="37"/>
      <c r="AN84" s="37"/>
      <c r="AP84" s="37"/>
      <c r="AR84" s="37"/>
      <c r="AT84" s="37"/>
      <c r="AU84" s="26"/>
      <c r="AV84" s="35">
        <f t="shared" si="1"/>
        <v>9158.13</v>
      </c>
      <c r="AW84" s="33">
        <f t="shared" si="2"/>
        <v>732</v>
      </c>
      <c r="AX84" s="33">
        <f t="shared" si="3"/>
        <v>0</v>
      </c>
      <c r="AY84" s="33">
        <f t="shared" si="4"/>
        <v>732</v>
      </c>
      <c r="AZ84" s="30">
        <f t="shared" si="5"/>
        <v>12.51110656</v>
      </c>
    </row>
    <row r="85" ht="15.75" customHeight="1">
      <c r="A85" s="31" t="s">
        <v>45</v>
      </c>
      <c r="B85" s="32">
        <f t="shared" si="6"/>
        <v>45010</v>
      </c>
      <c r="C85" s="33">
        <v>3.0</v>
      </c>
      <c r="D85" s="33" t="s">
        <v>49</v>
      </c>
      <c r="E85" s="34"/>
      <c r="F85" s="38">
        <v>77.0</v>
      </c>
      <c r="H85" s="39">
        <v>79.0</v>
      </c>
      <c r="J85" s="37"/>
      <c r="L85" s="37"/>
      <c r="N85" s="37"/>
      <c r="P85" s="37"/>
      <c r="Q85" s="26"/>
      <c r="R85" s="38">
        <v>253.0</v>
      </c>
      <c r="T85" s="39">
        <v>289.0</v>
      </c>
      <c r="V85" s="37"/>
      <c r="X85" s="37"/>
      <c r="Z85" s="37"/>
      <c r="AB85" s="37"/>
      <c r="AC85" s="26"/>
      <c r="AD85" s="37"/>
      <c r="AF85" s="37"/>
      <c r="AH85" s="37"/>
      <c r="AJ85" s="59"/>
      <c r="AK85" s="26"/>
      <c r="AL85" s="37"/>
      <c r="AN85" s="37"/>
      <c r="AP85" s="37"/>
      <c r="AR85" s="37"/>
      <c r="AT85" s="37"/>
      <c r="AU85" s="26"/>
      <c r="AV85" s="35">
        <f t="shared" si="1"/>
        <v>8661.12</v>
      </c>
      <c r="AW85" s="33">
        <f t="shared" si="2"/>
        <v>698</v>
      </c>
      <c r="AX85" s="33">
        <f t="shared" si="3"/>
        <v>0</v>
      </c>
      <c r="AY85" s="33">
        <f t="shared" si="4"/>
        <v>698</v>
      </c>
      <c r="AZ85" s="30">
        <f t="shared" si="5"/>
        <v>12.40848138</v>
      </c>
    </row>
    <row r="86" ht="15.75" customHeight="1">
      <c r="A86" s="44" t="s">
        <v>46</v>
      </c>
      <c r="B86" s="45">
        <f t="shared" si="6"/>
        <v>45011</v>
      </c>
      <c r="C86" s="46">
        <v>3.0</v>
      </c>
      <c r="D86" s="46" t="s">
        <v>49</v>
      </c>
      <c r="E86" s="47"/>
      <c r="F86" s="62">
        <v>96.0</v>
      </c>
      <c r="G86" s="51"/>
      <c r="H86" s="63">
        <v>84.0</v>
      </c>
      <c r="I86" s="51"/>
      <c r="J86" s="61"/>
      <c r="K86" s="51"/>
      <c r="L86" s="61"/>
      <c r="M86" s="51"/>
      <c r="N86" s="61"/>
      <c r="O86" s="51"/>
      <c r="P86" s="61"/>
      <c r="Q86" s="53"/>
      <c r="R86" s="62">
        <v>245.0</v>
      </c>
      <c r="S86" s="51"/>
      <c r="T86" s="63">
        <v>263.0</v>
      </c>
      <c r="U86" s="51"/>
      <c r="V86" s="61"/>
      <c r="W86" s="51"/>
      <c r="X86" s="61"/>
      <c r="Y86" s="51"/>
      <c r="Z86" s="61"/>
      <c r="AA86" s="51"/>
      <c r="AB86" s="61"/>
      <c r="AC86" s="53"/>
      <c r="AD86" s="61"/>
      <c r="AE86" s="51"/>
      <c r="AF86" s="61"/>
      <c r="AG86" s="51"/>
      <c r="AH86" s="61"/>
      <c r="AI86" s="51"/>
      <c r="AJ86" s="68"/>
      <c r="AK86" s="53"/>
      <c r="AL86" s="61"/>
      <c r="AM86" s="51"/>
      <c r="AN86" s="61"/>
      <c r="AO86" s="51"/>
      <c r="AP86" s="61"/>
      <c r="AQ86" s="51"/>
      <c r="AR86" s="61"/>
      <c r="AS86" s="51"/>
      <c r="AT86" s="61"/>
      <c r="AU86" s="53"/>
      <c r="AV86" s="55">
        <f t="shared" si="1"/>
        <v>8803.32</v>
      </c>
      <c r="AW86" s="46">
        <f t="shared" si="2"/>
        <v>688</v>
      </c>
      <c r="AX86" s="46">
        <f t="shared" si="3"/>
        <v>0</v>
      </c>
      <c r="AY86" s="46">
        <f t="shared" si="4"/>
        <v>688</v>
      </c>
      <c r="AZ86" s="56">
        <f t="shared" si="5"/>
        <v>12.79552326</v>
      </c>
    </row>
    <row r="87" ht="15.75" customHeight="1">
      <c r="A87" s="19" t="s">
        <v>30</v>
      </c>
      <c r="B87" s="57">
        <f t="shared" si="6"/>
        <v>45012</v>
      </c>
      <c r="C87" s="21">
        <v>4.0</v>
      </c>
      <c r="D87" s="21" t="s">
        <v>31</v>
      </c>
      <c r="E87" s="23"/>
      <c r="F87" s="38">
        <v>59.0</v>
      </c>
      <c r="H87" s="39">
        <v>67.0</v>
      </c>
      <c r="J87" s="39">
        <v>0.0</v>
      </c>
      <c r="L87" s="37"/>
      <c r="N87" s="37"/>
      <c r="P87" s="37"/>
      <c r="Q87" s="26"/>
      <c r="R87" s="38">
        <v>46.0</v>
      </c>
      <c r="T87" s="39">
        <v>52.0</v>
      </c>
      <c r="V87" s="37"/>
      <c r="X87" s="37"/>
      <c r="Z87" s="37"/>
      <c r="AB87" s="37"/>
      <c r="AC87" s="26"/>
      <c r="AD87" s="37"/>
      <c r="AF87" s="37"/>
      <c r="AH87" s="37"/>
      <c r="AJ87" s="59"/>
      <c r="AK87" s="26"/>
      <c r="AL87" s="37"/>
      <c r="AN87" s="37"/>
      <c r="AP87" s="37"/>
      <c r="AR87" s="37"/>
      <c r="AT87" s="37"/>
      <c r="AU87" s="26"/>
      <c r="AV87" s="29">
        <f t="shared" si="1"/>
        <v>3550.26</v>
      </c>
      <c r="AW87" s="21">
        <f t="shared" si="2"/>
        <v>224</v>
      </c>
      <c r="AX87" s="21">
        <f t="shared" si="3"/>
        <v>0</v>
      </c>
      <c r="AY87" s="21">
        <f t="shared" si="4"/>
        <v>224</v>
      </c>
      <c r="AZ87" s="58">
        <f t="shared" si="5"/>
        <v>15.849375</v>
      </c>
    </row>
    <row r="88" ht="15.75" customHeight="1">
      <c r="A88" s="31" t="s">
        <v>33</v>
      </c>
      <c r="B88" s="32">
        <f t="shared" si="6"/>
        <v>45013</v>
      </c>
      <c r="C88" s="33">
        <v>4.0</v>
      </c>
      <c r="D88" s="33" t="s">
        <v>31</v>
      </c>
      <c r="E88" s="34"/>
      <c r="F88" s="38">
        <v>51.0</v>
      </c>
      <c r="H88" s="39">
        <v>62.0</v>
      </c>
      <c r="J88" s="39">
        <v>46.0</v>
      </c>
      <c r="L88" s="37"/>
      <c r="N88" s="37"/>
      <c r="P88" s="37"/>
      <c r="Q88" s="26"/>
      <c r="R88" s="38">
        <v>225.0</v>
      </c>
      <c r="T88" s="39">
        <v>236.0</v>
      </c>
      <c r="V88" s="37"/>
      <c r="X88" s="37"/>
      <c r="Z88" s="37"/>
      <c r="AB88" s="37"/>
      <c r="AC88" s="26"/>
      <c r="AD88" s="37"/>
      <c r="AF88" s="37"/>
      <c r="AH88" s="37"/>
      <c r="AJ88" s="59"/>
      <c r="AK88" s="26"/>
      <c r="AL88" s="37"/>
      <c r="AN88" s="37"/>
      <c r="AP88" s="37"/>
      <c r="AR88" s="37"/>
      <c r="AT88" s="37"/>
      <c r="AU88" s="26"/>
      <c r="AV88" s="35">
        <f t="shared" si="1"/>
        <v>7900.65</v>
      </c>
      <c r="AW88" s="33">
        <f t="shared" si="2"/>
        <v>620</v>
      </c>
      <c r="AX88" s="33">
        <f t="shared" si="3"/>
        <v>0</v>
      </c>
      <c r="AY88" s="33">
        <f t="shared" si="4"/>
        <v>620</v>
      </c>
      <c r="AZ88" s="30">
        <f t="shared" si="5"/>
        <v>12.74298387</v>
      </c>
    </row>
    <row r="89" ht="15.75" customHeight="1">
      <c r="A89" s="31" t="s">
        <v>34</v>
      </c>
      <c r="B89" s="32">
        <f t="shared" si="6"/>
        <v>45014</v>
      </c>
      <c r="C89" s="33">
        <v>4.0</v>
      </c>
      <c r="D89" s="33" t="s">
        <v>31</v>
      </c>
      <c r="E89" s="34"/>
      <c r="F89" s="38">
        <v>0.0</v>
      </c>
      <c r="H89" s="39">
        <v>0.0</v>
      </c>
      <c r="J89" s="39">
        <v>0.0</v>
      </c>
      <c r="L89" s="37"/>
      <c r="N89" s="37"/>
      <c r="P89" s="37"/>
      <c r="Q89" s="26"/>
      <c r="R89" s="38">
        <v>229.0</v>
      </c>
      <c r="T89" s="39">
        <v>235.0</v>
      </c>
      <c r="V89" s="37"/>
      <c r="X89" s="37"/>
      <c r="Z89" s="37"/>
      <c r="AB89" s="37"/>
      <c r="AC89" s="26"/>
      <c r="AD89" s="37"/>
      <c r="AF89" s="37"/>
      <c r="AH89" s="37"/>
      <c r="AJ89" s="59"/>
      <c r="AK89" s="26"/>
      <c r="AL89" s="37"/>
      <c r="AN89" s="37"/>
      <c r="AP89" s="37"/>
      <c r="AR89" s="37"/>
      <c r="AT89" s="37"/>
      <c r="AU89" s="26"/>
      <c r="AV89" s="35">
        <f t="shared" si="1"/>
        <v>4704.96</v>
      </c>
      <c r="AW89" s="33">
        <f t="shared" si="2"/>
        <v>464</v>
      </c>
      <c r="AX89" s="33">
        <f t="shared" si="3"/>
        <v>0</v>
      </c>
      <c r="AY89" s="33">
        <f t="shared" si="4"/>
        <v>464</v>
      </c>
      <c r="AZ89" s="30">
        <f t="shared" si="5"/>
        <v>10.14</v>
      </c>
    </row>
    <row r="90" ht="15.75" customHeight="1">
      <c r="A90" s="31" t="s">
        <v>35</v>
      </c>
      <c r="B90" s="32">
        <f t="shared" si="6"/>
        <v>45015</v>
      </c>
      <c r="C90" s="33">
        <v>4.0</v>
      </c>
      <c r="D90" s="33" t="s">
        <v>31</v>
      </c>
      <c r="E90" s="34"/>
      <c r="F90" s="38">
        <v>0.0</v>
      </c>
      <c r="H90" s="39">
        <v>0.0</v>
      </c>
      <c r="J90" s="39">
        <v>0.0</v>
      </c>
      <c r="L90" s="37"/>
      <c r="N90" s="37"/>
      <c r="P90" s="37"/>
      <c r="Q90" s="26"/>
      <c r="R90" s="38">
        <v>123.0</v>
      </c>
      <c r="T90" s="39">
        <v>208.0</v>
      </c>
      <c r="V90" s="37"/>
      <c r="X90" s="37"/>
      <c r="Z90" s="37"/>
      <c r="AB90" s="37"/>
      <c r="AC90" s="26"/>
      <c r="AD90" s="37"/>
      <c r="AF90" s="37"/>
      <c r="AH90" s="37"/>
      <c r="AJ90" s="59"/>
      <c r="AK90" s="26"/>
      <c r="AL90" s="37"/>
      <c r="AN90" s="37"/>
      <c r="AP90" s="37"/>
      <c r="AR90" s="37"/>
      <c r="AT90" s="37"/>
      <c r="AU90" s="26"/>
      <c r="AV90" s="35">
        <f t="shared" si="1"/>
        <v>3356.34</v>
      </c>
      <c r="AW90" s="33">
        <f t="shared" si="2"/>
        <v>331</v>
      </c>
      <c r="AX90" s="33">
        <f t="shared" si="3"/>
        <v>0</v>
      </c>
      <c r="AY90" s="33">
        <f t="shared" si="4"/>
        <v>331</v>
      </c>
      <c r="AZ90" s="30">
        <f t="shared" si="5"/>
        <v>10.14</v>
      </c>
    </row>
    <row r="91" ht="15.75" customHeight="1">
      <c r="A91" s="31" t="s">
        <v>38</v>
      </c>
      <c r="B91" s="32">
        <f t="shared" si="6"/>
        <v>45016</v>
      </c>
      <c r="C91" s="33">
        <v>4.0</v>
      </c>
      <c r="D91" s="33" t="s">
        <v>31</v>
      </c>
      <c r="E91" s="34"/>
      <c r="F91" s="38">
        <v>0.0</v>
      </c>
      <c r="H91" s="39">
        <v>0.0</v>
      </c>
      <c r="J91" s="39">
        <v>0.0</v>
      </c>
      <c r="L91" s="37"/>
      <c r="N91" s="37"/>
      <c r="P91" s="37"/>
      <c r="Q91" s="26"/>
      <c r="R91" s="38">
        <v>227.0</v>
      </c>
      <c r="T91" s="39">
        <v>214.0</v>
      </c>
      <c r="V91" s="37"/>
      <c r="X91" s="37"/>
      <c r="Z91" s="37"/>
      <c r="AB91" s="37"/>
      <c r="AC91" s="26"/>
      <c r="AD91" s="37"/>
      <c r="AF91" s="37"/>
      <c r="AH91" s="37"/>
      <c r="AJ91" s="59"/>
      <c r="AK91" s="26"/>
      <c r="AL91" s="37"/>
      <c r="AN91" s="37"/>
      <c r="AP91" s="37"/>
      <c r="AR91" s="37"/>
      <c r="AT91" s="37"/>
      <c r="AU91" s="26"/>
      <c r="AV91" s="35">
        <f t="shared" si="1"/>
        <v>4471.74</v>
      </c>
      <c r="AW91" s="33">
        <f t="shared" si="2"/>
        <v>441</v>
      </c>
      <c r="AX91" s="33">
        <f t="shared" si="3"/>
        <v>0</v>
      </c>
      <c r="AY91" s="33">
        <f t="shared" si="4"/>
        <v>441</v>
      </c>
      <c r="AZ91" s="30">
        <f t="shared" si="5"/>
        <v>10.14</v>
      </c>
    </row>
    <row r="92" ht="15.75" customHeight="1">
      <c r="A92" s="31" t="s">
        <v>45</v>
      </c>
      <c r="B92" s="32">
        <f t="shared" si="6"/>
        <v>45017</v>
      </c>
      <c r="C92" s="33">
        <v>4.0</v>
      </c>
      <c r="D92" s="33" t="s">
        <v>31</v>
      </c>
      <c r="E92" s="34"/>
      <c r="F92" s="38">
        <v>0.0</v>
      </c>
      <c r="H92" s="39">
        <v>0.0</v>
      </c>
      <c r="J92" s="39">
        <v>0.0</v>
      </c>
      <c r="L92" s="37"/>
      <c r="N92" s="37"/>
      <c r="P92" s="37"/>
      <c r="Q92" s="26"/>
      <c r="R92" s="38">
        <v>201.0</v>
      </c>
      <c r="T92" s="39">
        <v>185.0</v>
      </c>
      <c r="V92" s="37"/>
      <c r="X92" s="37"/>
      <c r="Z92" s="37"/>
      <c r="AB92" s="37"/>
      <c r="AC92" s="26"/>
      <c r="AD92" s="37"/>
      <c r="AF92" s="37"/>
      <c r="AH92" s="37"/>
      <c r="AJ92" s="59"/>
      <c r="AK92" s="26"/>
      <c r="AL92" s="37"/>
      <c r="AN92" s="37"/>
      <c r="AP92" s="37"/>
      <c r="AR92" s="37"/>
      <c r="AT92" s="37"/>
      <c r="AU92" s="26"/>
      <c r="AV92" s="35">
        <f t="shared" si="1"/>
        <v>3914.04</v>
      </c>
      <c r="AW92" s="33">
        <f t="shared" si="2"/>
        <v>386</v>
      </c>
      <c r="AX92" s="33">
        <f t="shared" si="3"/>
        <v>0</v>
      </c>
      <c r="AY92" s="33">
        <f t="shared" si="4"/>
        <v>386</v>
      </c>
      <c r="AZ92" s="30">
        <f t="shared" si="5"/>
        <v>10.14</v>
      </c>
    </row>
    <row r="93" ht="15.75" customHeight="1">
      <c r="A93" s="44" t="s">
        <v>46</v>
      </c>
      <c r="B93" s="45">
        <f t="shared" si="6"/>
        <v>45018</v>
      </c>
      <c r="C93" s="46">
        <v>4.0</v>
      </c>
      <c r="D93" s="46" t="s">
        <v>31</v>
      </c>
      <c r="E93" s="47"/>
      <c r="F93" s="62">
        <v>0.0</v>
      </c>
      <c r="G93" s="51"/>
      <c r="H93" s="63">
        <v>0.0</v>
      </c>
      <c r="I93" s="51"/>
      <c r="J93" s="63">
        <v>0.0</v>
      </c>
      <c r="K93" s="51"/>
      <c r="L93" s="61"/>
      <c r="M93" s="51"/>
      <c r="N93" s="61"/>
      <c r="O93" s="51"/>
      <c r="P93" s="61"/>
      <c r="Q93" s="53"/>
      <c r="R93" s="62">
        <v>109.0</v>
      </c>
      <c r="S93" s="51"/>
      <c r="T93" s="63">
        <v>105.0</v>
      </c>
      <c r="U93" s="51"/>
      <c r="V93" s="61"/>
      <c r="W93" s="51"/>
      <c r="X93" s="61"/>
      <c r="Y93" s="51"/>
      <c r="Z93" s="61"/>
      <c r="AA93" s="51"/>
      <c r="AB93" s="61"/>
      <c r="AC93" s="53"/>
      <c r="AD93" s="61"/>
      <c r="AE93" s="51"/>
      <c r="AF93" s="61"/>
      <c r="AG93" s="51"/>
      <c r="AH93" s="61"/>
      <c r="AI93" s="51"/>
      <c r="AJ93" s="68"/>
      <c r="AK93" s="53"/>
      <c r="AL93" s="61"/>
      <c r="AM93" s="51"/>
      <c r="AN93" s="61"/>
      <c r="AO93" s="51"/>
      <c r="AP93" s="61"/>
      <c r="AQ93" s="51"/>
      <c r="AR93" s="61"/>
      <c r="AS93" s="51"/>
      <c r="AT93" s="61"/>
      <c r="AU93" s="53"/>
      <c r="AV93" s="55">
        <f t="shared" si="1"/>
        <v>2169.96</v>
      </c>
      <c r="AW93" s="46">
        <f t="shared" si="2"/>
        <v>214</v>
      </c>
      <c r="AX93" s="46">
        <f t="shared" si="3"/>
        <v>0</v>
      </c>
      <c r="AY93" s="46">
        <f t="shared" si="4"/>
        <v>214</v>
      </c>
      <c r="AZ93" s="56">
        <f t="shared" si="5"/>
        <v>10.14</v>
      </c>
    </row>
    <row r="94" ht="15.75" customHeight="1">
      <c r="A94" s="19" t="s">
        <v>30</v>
      </c>
      <c r="B94" s="57">
        <f t="shared" si="6"/>
        <v>45019</v>
      </c>
      <c r="C94" s="21">
        <v>4.0</v>
      </c>
      <c r="D94" s="21" t="s">
        <v>47</v>
      </c>
      <c r="E94" s="23"/>
      <c r="F94" s="36"/>
      <c r="H94" s="37"/>
      <c r="J94" s="37"/>
      <c r="L94" s="37"/>
      <c r="N94" s="37"/>
      <c r="P94" s="37"/>
      <c r="Q94" s="26"/>
      <c r="R94" s="38">
        <v>61.0</v>
      </c>
      <c r="T94" s="39">
        <v>65.0</v>
      </c>
      <c r="V94" s="37"/>
      <c r="X94" s="37"/>
      <c r="Z94" s="37"/>
      <c r="AB94" s="37"/>
      <c r="AC94" s="26"/>
      <c r="AD94" s="37"/>
      <c r="AF94" s="39"/>
      <c r="AH94" s="39"/>
      <c r="AJ94" s="59"/>
      <c r="AK94" s="26"/>
      <c r="AL94" s="37"/>
      <c r="AN94" s="37"/>
      <c r="AP94" s="37"/>
      <c r="AR94" s="37"/>
      <c r="AT94" s="37"/>
      <c r="AU94" s="26"/>
      <c r="AV94" s="29">
        <f t="shared" si="1"/>
        <v>1277.64</v>
      </c>
      <c r="AW94" s="21">
        <f t="shared" si="2"/>
        <v>126</v>
      </c>
      <c r="AX94" s="21">
        <f t="shared" si="3"/>
        <v>0</v>
      </c>
      <c r="AY94" s="21">
        <f t="shared" si="4"/>
        <v>126</v>
      </c>
      <c r="AZ94" s="58">
        <f t="shared" si="5"/>
        <v>10.14</v>
      </c>
    </row>
    <row r="95" ht="15.75" customHeight="1">
      <c r="A95" s="31" t="s">
        <v>33</v>
      </c>
      <c r="B95" s="32">
        <f t="shared" si="6"/>
        <v>45020</v>
      </c>
      <c r="C95" s="33">
        <v>4.0</v>
      </c>
      <c r="D95" s="33" t="s">
        <v>47</v>
      </c>
      <c r="E95" s="34"/>
      <c r="F95" s="36"/>
      <c r="H95" s="37"/>
      <c r="J95" s="37"/>
      <c r="L95" s="37"/>
      <c r="N95" s="37"/>
      <c r="P95" s="37"/>
      <c r="Q95" s="26"/>
      <c r="R95" s="38">
        <v>99.0</v>
      </c>
      <c r="T95" s="39">
        <v>100.0</v>
      </c>
      <c r="V95" s="37"/>
      <c r="X95" s="37"/>
      <c r="Z95" s="37"/>
      <c r="AB95" s="37"/>
      <c r="AC95" s="26"/>
      <c r="AD95" s="37"/>
      <c r="AF95" s="39"/>
      <c r="AH95" s="39"/>
      <c r="AJ95" s="59"/>
      <c r="AK95" s="26"/>
      <c r="AL95" s="37"/>
      <c r="AN95" s="37"/>
      <c r="AP95" s="37"/>
      <c r="AR95" s="37"/>
      <c r="AT95" s="37"/>
      <c r="AU95" s="26"/>
      <c r="AV95" s="35">
        <f t="shared" si="1"/>
        <v>2017.86</v>
      </c>
      <c r="AW95" s="33">
        <f t="shared" si="2"/>
        <v>199</v>
      </c>
      <c r="AX95" s="33">
        <f t="shared" si="3"/>
        <v>0</v>
      </c>
      <c r="AY95" s="33">
        <f t="shared" si="4"/>
        <v>199</v>
      </c>
      <c r="AZ95" s="30">
        <f t="shared" si="5"/>
        <v>10.14</v>
      </c>
    </row>
    <row r="96" ht="15.75" customHeight="1">
      <c r="A96" s="31" t="s">
        <v>34</v>
      </c>
      <c r="B96" s="32">
        <f t="shared" si="6"/>
        <v>45021</v>
      </c>
      <c r="C96" s="33">
        <v>4.0</v>
      </c>
      <c r="D96" s="33" t="s">
        <v>47</v>
      </c>
      <c r="E96" s="34"/>
      <c r="F96" s="36"/>
      <c r="H96" s="37"/>
      <c r="J96" s="37"/>
      <c r="L96" s="37"/>
      <c r="N96" s="37"/>
      <c r="P96" s="37"/>
      <c r="Q96" s="26"/>
      <c r="R96" s="38">
        <v>123.0</v>
      </c>
      <c r="T96" s="39">
        <v>115.0</v>
      </c>
      <c r="V96" s="37"/>
      <c r="X96" s="37"/>
      <c r="Z96" s="37"/>
      <c r="AB96" s="37"/>
      <c r="AC96" s="26"/>
      <c r="AD96" s="37"/>
      <c r="AF96" s="39"/>
      <c r="AH96" s="39"/>
      <c r="AJ96" s="59"/>
      <c r="AK96" s="26"/>
      <c r="AL96" s="37"/>
      <c r="AN96" s="37"/>
      <c r="AP96" s="37"/>
      <c r="AR96" s="37"/>
      <c r="AT96" s="37"/>
      <c r="AU96" s="26"/>
      <c r="AV96" s="35">
        <f t="shared" si="1"/>
        <v>2413.32</v>
      </c>
      <c r="AW96" s="33">
        <f t="shared" si="2"/>
        <v>238</v>
      </c>
      <c r="AX96" s="33">
        <f t="shared" si="3"/>
        <v>0</v>
      </c>
      <c r="AY96" s="33">
        <f t="shared" si="4"/>
        <v>238</v>
      </c>
      <c r="AZ96" s="30">
        <f t="shared" si="5"/>
        <v>10.14</v>
      </c>
    </row>
    <row r="97" ht="15.75" customHeight="1">
      <c r="A97" s="31" t="s">
        <v>35</v>
      </c>
      <c r="B97" s="32">
        <f t="shared" si="6"/>
        <v>45022</v>
      </c>
      <c r="C97" s="33">
        <v>4.0</v>
      </c>
      <c r="D97" s="33" t="s">
        <v>47</v>
      </c>
      <c r="E97" s="34"/>
      <c r="F97" s="36"/>
      <c r="H97" s="37"/>
      <c r="J97" s="37"/>
      <c r="L97" s="37"/>
      <c r="N97" s="37"/>
      <c r="P97" s="37"/>
      <c r="Q97" s="26"/>
      <c r="R97" s="38">
        <v>88.0</v>
      </c>
      <c r="T97" s="39">
        <v>110.0</v>
      </c>
      <c r="V97" s="37"/>
      <c r="X97" s="37"/>
      <c r="Z97" s="37"/>
      <c r="AB97" s="37"/>
      <c r="AC97" s="26"/>
      <c r="AD97" s="37"/>
      <c r="AF97" s="39"/>
      <c r="AH97" s="39"/>
      <c r="AJ97" s="59"/>
      <c r="AK97" s="26"/>
      <c r="AL97" s="37"/>
      <c r="AN97" s="37"/>
      <c r="AP97" s="37"/>
      <c r="AR97" s="37"/>
      <c r="AT97" s="37"/>
      <c r="AU97" s="26"/>
      <c r="AV97" s="35">
        <f t="shared" si="1"/>
        <v>2007.72</v>
      </c>
      <c r="AW97" s="33">
        <f t="shared" si="2"/>
        <v>198</v>
      </c>
      <c r="AX97" s="33">
        <f t="shared" si="3"/>
        <v>0</v>
      </c>
      <c r="AY97" s="33">
        <f t="shared" si="4"/>
        <v>198</v>
      </c>
      <c r="AZ97" s="30">
        <f t="shared" si="5"/>
        <v>10.14</v>
      </c>
    </row>
    <row r="98" ht="15.75" customHeight="1">
      <c r="A98" s="31" t="s">
        <v>38</v>
      </c>
      <c r="B98" s="32">
        <f t="shared" si="6"/>
        <v>45023</v>
      </c>
      <c r="C98" s="33">
        <v>4.0</v>
      </c>
      <c r="D98" s="33" t="s">
        <v>47</v>
      </c>
      <c r="E98" s="34"/>
      <c r="F98" s="36"/>
      <c r="H98" s="37"/>
      <c r="J98" s="37"/>
      <c r="L98" s="37"/>
      <c r="N98" s="37"/>
      <c r="P98" s="37"/>
      <c r="Q98" s="26"/>
      <c r="R98" s="38">
        <v>126.0</v>
      </c>
      <c r="T98" s="39">
        <v>132.0</v>
      </c>
      <c r="V98" s="37"/>
      <c r="X98" s="37"/>
      <c r="Z98" s="37"/>
      <c r="AB98" s="37"/>
      <c r="AC98" s="26"/>
      <c r="AD98" s="37"/>
      <c r="AF98" s="39"/>
      <c r="AH98" s="39"/>
      <c r="AJ98" s="59"/>
      <c r="AK98" s="26"/>
      <c r="AL98" s="37"/>
      <c r="AN98" s="37"/>
      <c r="AP98" s="37"/>
      <c r="AR98" s="37"/>
      <c r="AT98" s="37"/>
      <c r="AU98" s="26"/>
      <c r="AV98" s="35">
        <f t="shared" si="1"/>
        <v>2616.12</v>
      </c>
      <c r="AW98" s="33">
        <f t="shared" si="2"/>
        <v>258</v>
      </c>
      <c r="AX98" s="33">
        <f t="shared" si="3"/>
        <v>0</v>
      </c>
      <c r="AY98" s="33">
        <f t="shared" si="4"/>
        <v>258</v>
      </c>
      <c r="AZ98" s="30">
        <f t="shared" si="5"/>
        <v>10.14</v>
      </c>
    </row>
    <row r="99" ht="15.75" customHeight="1">
      <c r="A99" s="31" t="s">
        <v>45</v>
      </c>
      <c r="B99" s="32">
        <f t="shared" si="6"/>
        <v>45024</v>
      </c>
      <c r="C99" s="33">
        <v>4.0</v>
      </c>
      <c r="D99" s="33" t="s">
        <v>47</v>
      </c>
      <c r="E99" s="34"/>
      <c r="F99" s="36"/>
      <c r="H99" s="37"/>
      <c r="J99" s="37"/>
      <c r="L99" s="37"/>
      <c r="N99" s="37"/>
      <c r="P99" s="37"/>
      <c r="Q99" s="26"/>
      <c r="R99" s="38">
        <v>109.0</v>
      </c>
      <c r="T99" s="39">
        <v>126.0</v>
      </c>
      <c r="V99" s="37"/>
      <c r="X99" s="37"/>
      <c r="Z99" s="37"/>
      <c r="AB99" s="37"/>
      <c r="AC99" s="26"/>
      <c r="AD99" s="37"/>
      <c r="AF99" s="39"/>
      <c r="AH99" s="39"/>
      <c r="AJ99" s="59"/>
      <c r="AK99" s="26"/>
      <c r="AL99" s="37"/>
      <c r="AN99" s="37"/>
      <c r="AP99" s="37"/>
      <c r="AR99" s="37"/>
      <c r="AT99" s="37"/>
      <c r="AU99" s="26"/>
      <c r="AV99" s="35">
        <f t="shared" si="1"/>
        <v>2382.9</v>
      </c>
      <c r="AW99" s="33">
        <f t="shared" si="2"/>
        <v>235</v>
      </c>
      <c r="AX99" s="33">
        <f t="shared" si="3"/>
        <v>0</v>
      </c>
      <c r="AY99" s="33">
        <f t="shared" si="4"/>
        <v>235</v>
      </c>
      <c r="AZ99" s="30">
        <f t="shared" si="5"/>
        <v>10.14</v>
      </c>
    </row>
    <row r="100" ht="15.75" customHeight="1">
      <c r="A100" s="44" t="s">
        <v>46</v>
      </c>
      <c r="B100" s="45">
        <f t="shared" si="6"/>
        <v>45025</v>
      </c>
      <c r="C100" s="46">
        <v>4.0</v>
      </c>
      <c r="D100" s="46" t="s">
        <v>47</v>
      </c>
      <c r="E100" s="47"/>
      <c r="F100" s="60"/>
      <c r="G100" s="51"/>
      <c r="H100" s="61"/>
      <c r="I100" s="51"/>
      <c r="J100" s="61"/>
      <c r="K100" s="51"/>
      <c r="L100" s="61"/>
      <c r="M100" s="51"/>
      <c r="N100" s="61"/>
      <c r="O100" s="51"/>
      <c r="P100" s="61"/>
      <c r="Q100" s="53"/>
      <c r="R100" s="62"/>
      <c r="S100" s="51"/>
      <c r="T100" s="63"/>
      <c r="U100" s="51"/>
      <c r="V100" s="61"/>
      <c r="W100" s="51"/>
      <c r="X100" s="61"/>
      <c r="Y100" s="51"/>
      <c r="Z100" s="61"/>
      <c r="AA100" s="51"/>
      <c r="AB100" s="61"/>
      <c r="AC100" s="53"/>
      <c r="AD100" s="61"/>
      <c r="AE100" s="51"/>
      <c r="AF100" s="63"/>
      <c r="AG100" s="51"/>
      <c r="AH100" s="63"/>
      <c r="AI100" s="51"/>
      <c r="AJ100" s="68"/>
      <c r="AK100" s="53"/>
      <c r="AL100" s="61"/>
      <c r="AM100" s="51"/>
      <c r="AN100" s="61"/>
      <c r="AO100" s="51"/>
      <c r="AP100" s="61"/>
      <c r="AQ100" s="51"/>
      <c r="AR100" s="61"/>
      <c r="AS100" s="51"/>
      <c r="AT100" s="61"/>
      <c r="AU100" s="53"/>
      <c r="AV100" s="55">
        <f t="shared" si="1"/>
        <v>0</v>
      </c>
      <c r="AW100" s="46">
        <f t="shared" si="2"/>
        <v>0</v>
      </c>
      <c r="AX100" s="46">
        <f t="shared" si="3"/>
        <v>0</v>
      </c>
      <c r="AY100" s="46">
        <f t="shared" si="4"/>
        <v>0</v>
      </c>
      <c r="AZ100" s="56" t="str">
        <f t="shared" si="5"/>
        <v/>
      </c>
    </row>
    <row r="101" ht="15.75" customHeight="1">
      <c r="A101" s="19" t="s">
        <v>30</v>
      </c>
      <c r="B101" s="57">
        <f t="shared" si="6"/>
        <v>45026</v>
      </c>
      <c r="C101" s="21">
        <v>4.0</v>
      </c>
      <c r="D101" s="21" t="s">
        <v>48</v>
      </c>
      <c r="E101" s="23"/>
      <c r="F101" s="36"/>
      <c r="H101" s="37"/>
      <c r="J101" s="37"/>
      <c r="L101" s="37"/>
      <c r="N101" s="37"/>
      <c r="P101" s="37"/>
      <c r="Q101" s="26"/>
      <c r="R101" s="38">
        <v>137.0</v>
      </c>
      <c r="T101" s="39">
        <v>145.0</v>
      </c>
      <c r="V101" s="37"/>
      <c r="X101" s="37"/>
      <c r="Z101" s="37"/>
      <c r="AB101" s="37"/>
      <c r="AC101" s="26"/>
      <c r="AD101" s="37"/>
      <c r="AF101" s="37"/>
      <c r="AH101" s="37"/>
      <c r="AJ101" s="59"/>
      <c r="AK101" s="26"/>
      <c r="AL101" s="37"/>
      <c r="AN101" s="37"/>
      <c r="AP101" s="37"/>
      <c r="AR101" s="37"/>
      <c r="AT101" s="37"/>
      <c r="AU101" s="26"/>
      <c r="AV101" s="29">
        <f t="shared" si="1"/>
        <v>2859.48</v>
      </c>
      <c r="AW101" s="21">
        <f t="shared" si="2"/>
        <v>282</v>
      </c>
      <c r="AX101" s="21">
        <f t="shared" si="3"/>
        <v>0</v>
      </c>
      <c r="AY101" s="21">
        <f t="shared" si="4"/>
        <v>282</v>
      </c>
      <c r="AZ101" s="58">
        <f t="shared" si="5"/>
        <v>10.14</v>
      </c>
    </row>
    <row r="102" ht="15.75" customHeight="1">
      <c r="A102" s="31" t="s">
        <v>33</v>
      </c>
      <c r="B102" s="32">
        <f t="shared" si="6"/>
        <v>45027</v>
      </c>
      <c r="C102" s="33">
        <v>4.0</v>
      </c>
      <c r="D102" s="33" t="s">
        <v>48</v>
      </c>
      <c r="E102" s="34"/>
      <c r="F102" s="36"/>
      <c r="H102" s="37"/>
      <c r="J102" s="37"/>
      <c r="L102" s="37"/>
      <c r="N102" s="37"/>
      <c r="P102" s="37"/>
      <c r="Q102" s="26"/>
      <c r="R102" s="38">
        <v>146.0</v>
      </c>
      <c r="T102" s="39">
        <v>148.0</v>
      </c>
      <c r="V102" s="37"/>
      <c r="X102" s="37"/>
      <c r="Z102" s="37"/>
      <c r="AB102" s="37"/>
      <c r="AC102" s="26"/>
      <c r="AD102" s="37"/>
      <c r="AF102" s="39">
        <v>50.0</v>
      </c>
      <c r="AH102" s="39">
        <v>50.0</v>
      </c>
      <c r="AJ102" s="59"/>
      <c r="AK102" s="26"/>
      <c r="AL102" s="37"/>
      <c r="AN102" s="37"/>
      <c r="AP102" s="37"/>
      <c r="AR102" s="37"/>
      <c r="AT102" s="37"/>
      <c r="AU102" s="26"/>
      <c r="AV102" s="35">
        <f t="shared" si="1"/>
        <v>4431.16</v>
      </c>
      <c r="AW102" s="33">
        <f t="shared" si="2"/>
        <v>394</v>
      </c>
      <c r="AX102" s="33">
        <f t="shared" si="3"/>
        <v>0</v>
      </c>
      <c r="AY102" s="33">
        <f t="shared" si="4"/>
        <v>394</v>
      </c>
      <c r="AZ102" s="30">
        <f t="shared" si="5"/>
        <v>11.24659898</v>
      </c>
    </row>
    <row r="103" ht="15.75" customHeight="1">
      <c r="A103" s="31" t="s">
        <v>34</v>
      </c>
      <c r="B103" s="32">
        <f t="shared" si="6"/>
        <v>45028</v>
      </c>
      <c r="C103" s="33">
        <v>4.0</v>
      </c>
      <c r="D103" s="33" t="s">
        <v>48</v>
      </c>
      <c r="E103" s="34"/>
      <c r="F103" s="36"/>
      <c r="H103" s="37"/>
      <c r="J103" s="37"/>
      <c r="L103" s="37"/>
      <c r="N103" s="37"/>
      <c r="P103" s="37"/>
      <c r="Q103" s="26"/>
      <c r="R103" s="38">
        <v>148.0</v>
      </c>
      <c r="T103" s="39">
        <v>136.0</v>
      </c>
      <c r="V103" s="37"/>
      <c r="X103" s="37"/>
      <c r="Z103" s="37"/>
      <c r="AB103" s="37"/>
      <c r="AC103" s="26"/>
      <c r="AD103" s="37"/>
      <c r="AF103" s="39">
        <v>50.0</v>
      </c>
      <c r="AH103" s="39">
        <v>50.0</v>
      </c>
      <c r="AJ103" s="59"/>
      <c r="AK103" s="26"/>
      <c r="AL103" s="37"/>
      <c r="AN103" s="37"/>
      <c r="AP103" s="37"/>
      <c r="AR103" s="37"/>
      <c r="AT103" s="37"/>
      <c r="AU103" s="26"/>
      <c r="AV103" s="35">
        <f t="shared" si="1"/>
        <v>4329.76</v>
      </c>
      <c r="AW103" s="33">
        <f t="shared" si="2"/>
        <v>384</v>
      </c>
      <c r="AX103" s="33">
        <f t="shared" si="3"/>
        <v>0</v>
      </c>
      <c r="AY103" s="33">
        <f t="shared" si="4"/>
        <v>384</v>
      </c>
      <c r="AZ103" s="30">
        <f t="shared" si="5"/>
        <v>11.27541667</v>
      </c>
    </row>
    <row r="104" ht="15.75" customHeight="1">
      <c r="A104" s="31" t="s">
        <v>35</v>
      </c>
      <c r="B104" s="32">
        <f t="shared" si="6"/>
        <v>45029</v>
      </c>
      <c r="C104" s="33">
        <v>4.0</v>
      </c>
      <c r="D104" s="33" t="s">
        <v>48</v>
      </c>
      <c r="E104" s="34"/>
      <c r="F104" s="36"/>
      <c r="H104" s="37"/>
      <c r="J104" s="37"/>
      <c r="L104" s="37"/>
      <c r="N104" s="37"/>
      <c r="P104" s="37"/>
      <c r="Q104" s="26"/>
      <c r="R104" s="38">
        <v>148.0</v>
      </c>
      <c r="T104" s="39">
        <v>141.0</v>
      </c>
      <c r="V104" s="37"/>
      <c r="X104" s="37"/>
      <c r="Z104" s="37"/>
      <c r="AB104" s="37"/>
      <c r="AC104" s="26"/>
      <c r="AD104" s="37"/>
      <c r="AF104" s="37"/>
      <c r="AH104" s="39">
        <v>50.0</v>
      </c>
      <c r="AJ104" s="59"/>
      <c r="AK104" s="26"/>
      <c r="AL104" s="37"/>
      <c r="AN104" s="37"/>
      <c r="AP104" s="37"/>
      <c r="AR104" s="37"/>
      <c r="AT104" s="37"/>
      <c r="AU104" s="26"/>
      <c r="AV104" s="35">
        <f t="shared" si="1"/>
        <v>3655.46</v>
      </c>
      <c r="AW104" s="33">
        <f t="shared" si="2"/>
        <v>339</v>
      </c>
      <c r="AX104" s="33">
        <f t="shared" si="3"/>
        <v>0</v>
      </c>
      <c r="AY104" s="33">
        <f t="shared" si="4"/>
        <v>339</v>
      </c>
      <c r="AZ104" s="30">
        <f t="shared" si="5"/>
        <v>10.78306785</v>
      </c>
    </row>
    <row r="105" ht="15.75" customHeight="1">
      <c r="A105" s="31" t="s">
        <v>38</v>
      </c>
      <c r="B105" s="32">
        <f t="shared" si="6"/>
        <v>45030</v>
      </c>
      <c r="C105" s="33">
        <v>4.0</v>
      </c>
      <c r="D105" s="33" t="s">
        <v>48</v>
      </c>
      <c r="E105" s="34"/>
      <c r="F105" s="36"/>
      <c r="H105" s="37"/>
      <c r="J105" s="37"/>
      <c r="L105" s="37"/>
      <c r="N105" s="37"/>
      <c r="P105" s="37"/>
      <c r="Q105" s="26"/>
      <c r="R105" s="38">
        <v>138.0</v>
      </c>
      <c r="T105" s="39">
        <v>129.0</v>
      </c>
      <c r="V105" s="37"/>
      <c r="X105" s="37"/>
      <c r="Z105" s="37"/>
      <c r="AB105" s="37"/>
      <c r="AC105" s="26"/>
      <c r="AD105" s="37"/>
      <c r="AF105" s="39">
        <v>50.0</v>
      </c>
      <c r="AH105" s="39">
        <v>50.0</v>
      </c>
      <c r="AJ105" s="59"/>
      <c r="AK105" s="26"/>
      <c r="AL105" s="37"/>
      <c r="AN105" s="37"/>
      <c r="AP105" s="37"/>
      <c r="AR105" s="37"/>
      <c r="AT105" s="37"/>
      <c r="AU105" s="26"/>
      <c r="AV105" s="35">
        <f t="shared" si="1"/>
        <v>4157.38</v>
      </c>
      <c r="AW105" s="33">
        <f t="shared" si="2"/>
        <v>367</v>
      </c>
      <c r="AX105" s="33">
        <f t="shared" si="3"/>
        <v>0</v>
      </c>
      <c r="AY105" s="33">
        <f t="shared" si="4"/>
        <v>367</v>
      </c>
      <c r="AZ105" s="30">
        <f t="shared" si="5"/>
        <v>11.3280109</v>
      </c>
    </row>
    <row r="106" ht="15.75" customHeight="1">
      <c r="A106" s="31" t="s">
        <v>45</v>
      </c>
      <c r="B106" s="32">
        <f t="shared" si="6"/>
        <v>45031</v>
      </c>
      <c r="C106" s="33">
        <v>4.0</v>
      </c>
      <c r="D106" s="33" t="s">
        <v>48</v>
      </c>
      <c r="E106" s="34"/>
      <c r="F106" s="36"/>
      <c r="H106" s="37"/>
      <c r="J106" s="37"/>
      <c r="L106" s="37"/>
      <c r="N106" s="37"/>
      <c r="P106" s="37"/>
      <c r="Q106" s="26"/>
      <c r="R106" s="38">
        <v>107.0</v>
      </c>
      <c r="T106" s="39">
        <v>114.0</v>
      </c>
      <c r="V106" s="37"/>
      <c r="X106" s="37"/>
      <c r="Z106" s="37"/>
      <c r="AB106" s="37"/>
      <c r="AC106" s="26"/>
      <c r="AD106" s="37"/>
      <c r="AF106" s="39">
        <v>50.0</v>
      </c>
      <c r="AH106" s="37"/>
      <c r="AJ106" s="59"/>
      <c r="AK106" s="26"/>
      <c r="AL106" s="37"/>
      <c r="AN106" s="37"/>
      <c r="AP106" s="37"/>
      <c r="AR106" s="37"/>
      <c r="AT106" s="37"/>
      <c r="AU106" s="26"/>
      <c r="AV106" s="35">
        <f t="shared" si="1"/>
        <v>2965.94</v>
      </c>
      <c r="AW106" s="33">
        <f t="shared" si="2"/>
        <v>271</v>
      </c>
      <c r="AX106" s="33">
        <f t="shared" si="3"/>
        <v>0</v>
      </c>
      <c r="AY106" s="33">
        <f t="shared" si="4"/>
        <v>271</v>
      </c>
      <c r="AZ106" s="30">
        <f t="shared" si="5"/>
        <v>10.94442804</v>
      </c>
    </row>
    <row r="107" ht="15.75" customHeight="1">
      <c r="A107" s="44" t="s">
        <v>46</v>
      </c>
      <c r="B107" s="45">
        <f t="shared" si="6"/>
        <v>45032</v>
      </c>
      <c r="C107" s="46">
        <v>4.0</v>
      </c>
      <c r="D107" s="46" t="s">
        <v>48</v>
      </c>
      <c r="E107" s="47"/>
      <c r="F107" s="60"/>
      <c r="G107" s="51"/>
      <c r="H107" s="61"/>
      <c r="I107" s="51"/>
      <c r="J107" s="61"/>
      <c r="K107" s="51"/>
      <c r="L107" s="61"/>
      <c r="M107" s="51"/>
      <c r="N107" s="61"/>
      <c r="O107" s="51"/>
      <c r="P107" s="61"/>
      <c r="Q107" s="53"/>
      <c r="R107" s="62"/>
      <c r="S107" s="51"/>
      <c r="T107" s="63"/>
      <c r="U107" s="51"/>
      <c r="V107" s="61"/>
      <c r="W107" s="51"/>
      <c r="X107" s="61"/>
      <c r="Y107" s="51"/>
      <c r="Z107" s="61"/>
      <c r="AA107" s="51"/>
      <c r="AB107" s="61"/>
      <c r="AC107" s="53"/>
      <c r="AD107" s="61"/>
      <c r="AE107" s="51"/>
      <c r="AF107" s="61"/>
      <c r="AG107" s="51"/>
      <c r="AH107" s="61"/>
      <c r="AI107" s="51"/>
      <c r="AJ107" s="68"/>
      <c r="AK107" s="53"/>
      <c r="AL107" s="61"/>
      <c r="AM107" s="51"/>
      <c r="AN107" s="61"/>
      <c r="AO107" s="51"/>
      <c r="AP107" s="61"/>
      <c r="AQ107" s="51"/>
      <c r="AR107" s="61"/>
      <c r="AS107" s="51"/>
      <c r="AT107" s="61"/>
      <c r="AU107" s="53"/>
      <c r="AV107" s="55">
        <f t="shared" si="1"/>
        <v>0</v>
      </c>
      <c r="AW107" s="46">
        <f t="shared" si="2"/>
        <v>0</v>
      </c>
      <c r="AX107" s="46">
        <f t="shared" si="3"/>
        <v>0</v>
      </c>
      <c r="AY107" s="46">
        <f t="shared" si="4"/>
        <v>0</v>
      </c>
      <c r="AZ107" s="56" t="str">
        <f t="shared" si="5"/>
        <v/>
      </c>
    </row>
    <row r="108" ht="15.75" customHeight="1">
      <c r="A108" s="19" t="s">
        <v>30</v>
      </c>
      <c r="B108" s="57">
        <f t="shared" si="6"/>
        <v>45033</v>
      </c>
      <c r="C108" s="21">
        <v>4.0</v>
      </c>
      <c r="D108" s="21" t="s">
        <v>49</v>
      </c>
      <c r="E108" s="23"/>
      <c r="F108" s="36"/>
      <c r="H108" s="37"/>
      <c r="J108" s="37"/>
      <c r="L108" s="37"/>
      <c r="N108" s="37"/>
      <c r="P108" s="37"/>
      <c r="Q108" s="26"/>
      <c r="R108" s="38">
        <v>104.0</v>
      </c>
      <c r="T108" s="39">
        <v>128.0</v>
      </c>
      <c r="V108" s="37"/>
      <c r="X108" s="37"/>
      <c r="Z108" s="37"/>
      <c r="AB108" s="37"/>
      <c r="AC108" s="26"/>
      <c r="AD108" s="37"/>
      <c r="AF108" s="39"/>
      <c r="AH108" s="39"/>
      <c r="AJ108" s="59"/>
      <c r="AK108" s="26"/>
      <c r="AL108" s="37"/>
      <c r="AN108" s="37"/>
      <c r="AP108" s="37"/>
      <c r="AR108" s="37"/>
      <c r="AT108" s="37"/>
      <c r="AU108" s="26"/>
      <c r="AV108" s="29">
        <f t="shared" si="1"/>
        <v>2352.48</v>
      </c>
      <c r="AW108" s="21">
        <f t="shared" si="2"/>
        <v>232</v>
      </c>
      <c r="AX108" s="21">
        <f t="shared" si="3"/>
        <v>0</v>
      </c>
      <c r="AY108" s="21">
        <f t="shared" si="4"/>
        <v>232</v>
      </c>
      <c r="AZ108" s="58">
        <f t="shared" si="5"/>
        <v>10.14</v>
      </c>
    </row>
    <row r="109" ht="15.75" customHeight="1">
      <c r="A109" s="31" t="s">
        <v>33</v>
      </c>
      <c r="B109" s="32">
        <f t="shared" si="6"/>
        <v>45034</v>
      </c>
      <c r="C109" s="33">
        <v>4.0</v>
      </c>
      <c r="D109" s="33" t="s">
        <v>49</v>
      </c>
      <c r="E109" s="34"/>
      <c r="F109" s="36"/>
      <c r="H109" s="37"/>
      <c r="J109" s="37"/>
      <c r="L109" s="37"/>
      <c r="N109" s="37"/>
      <c r="P109" s="37"/>
      <c r="Q109" s="26"/>
      <c r="R109" s="38">
        <v>110.0</v>
      </c>
      <c r="T109" s="39">
        <v>135.0</v>
      </c>
      <c r="V109" s="37"/>
      <c r="X109" s="37"/>
      <c r="Z109" s="37"/>
      <c r="AB109" s="37"/>
      <c r="AC109" s="26"/>
      <c r="AD109" s="37"/>
      <c r="AF109" s="39"/>
      <c r="AH109" s="39"/>
      <c r="AJ109" s="59"/>
      <c r="AK109" s="26"/>
      <c r="AL109" s="37"/>
      <c r="AN109" s="37"/>
      <c r="AP109" s="37"/>
      <c r="AR109" s="37"/>
      <c r="AT109" s="37"/>
      <c r="AU109" s="26"/>
      <c r="AV109" s="35">
        <f t="shared" si="1"/>
        <v>2484.3</v>
      </c>
      <c r="AW109" s="33">
        <f t="shared" si="2"/>
        <v>245</v>
      </c>
      <c r="AX109" s="33">
        <f t="shared" si="3"/>
        <v>0</v>
      </c>
      <c r="AY109" s="33">
        <f t="shared" si="4"/>
        <v>245</v>
      </c>
      <c r="AZ109" s="30">
        <f t="shared" si="5"/>
        <v>10.14</v>
      </c>
    </row>
    <row r="110" ht="15.75" customHeight="1">
      <c r="A110" s="31" t="s">
        <v>34</v>
      </c>
      <c r="B110" s="32">
        <f t="shared" si="6"/>
        <v>45035</v>
      </c>
      <c r="C110" s="33">
        <v>4.0</v>
      </c>
      <c r="D110" s="33" t="s">
        <v>49</v>
      </c>
      <c r="E110" s="34"/>
      <c r="F110" s="36"/>
      <c r="H110" s="37"/>
      <c r="J110" s="37"/>
      <c r="L110" s="37"/>
      <c r="N110" s="37"/>
      <c r="P110" s="37"/>
      <c r="Q110" s="26"/>
      <c r="R110" s="38">
        <v>108.0</v>
      </c>
      <c r="T110" s="39">
        <v>149.0</v>
      </c>
      <c r="V110" s="37"/>
      <c r="X110" s="37"/>
      <c r="Z110" s="37"/>
      <c r="AB110" s="37"/>
      <c r="AC110" s="26"/>
      <c r="AD110" s="37"/>
      <c r="AF110" s="39"/>
      <c r="AH110" s="39"/>
      <c r="AJ110" s="59"/>
      <c r="AK110" s="26"/>
      <c r="AL110" s="37"/>
      <c r="AN110" s="37"/>
      <c r="AP110" s="37"/>
      <c r="AR110" s="37"/>
      <c r="AT110" s="37"/>
      <c r="AU110" s="26"/>
      <c r="AV110" s="35">
        <f t="shared" si="1"/>
        <v>2605.98</v>
      </c>
      <c r="AW110" s="33">
        <f t="shared" si="2"/>
        <v>257</v>
      </c>
      <c r="AX110" s="33">
        <f t="shared" si="3"/>
        <v>0</v>
      </c>
      <c r="AY110" s="33">
        <f t="shared" si="4"/>
        <v>257</v>
      </c>
      <c r="AZ110" s="30">
        <f t="shared" si="5"/>
        <v>10.14</v>
      </c>
    </row>
    <row r="111" ht="15.75" customHeight="1">
      <c r="A111" s="31" t="s">
        <v>35</v>
      </c>
      <c r="B111" s="32">
        <f t="shared" si="6"/>
        <v>45036</v>
      </c>
      <c r="C111" s="33">
        <v>4.0</v>
      </c>
      <c r="D111" s="33" t="s">
        <v>49</v>
      </c>
      <c r="E111" s="34"/>
      <c r="F111" s="36"/>
      <c r="H111" s="37"/>
      <c r="J111" s="37"/>
      <c r="L111" s="37"/>
      <c r="N111" s="37"/>
      <c r="P111" s="37"/>
      <c r="Q111" s="26"/>
      <c r="R111" s="38">
        <v>112.0</v>
      </c>
      <c r="T111" s="39">
        <v>105.0</v>
      </c>
      <c r="V111" s="37"/>
      <c r="X111" s="37"/>
      <c r="Z111" s="37"/>
      <c r="AB111" s="37"/>
      <c r="AC111" s="26"/>
      <c r="AD111" s="37"/>
      <c r="AF111" s="39"/>
      <c r="AH111" s="39"/>
      <c r="AJ111" s="59"/>
      <c r="AK111" s="26"/>
      <c r="AL111" s="37"/>
      <c r="AN111" s="37"/>
      <c r="AP111" s="37"/>
      <c r="AR111" s="37"/>
      <c r="AT111" s="37"/>
      <c r="AU111" s="26"/>
      <c r="AV111" s="35">
        <f t="shared" si="1"/>
        <v>2200.38</v>
      </c>
      <c r="AW111" s="33">
        <f t="shared" si="2"/>
        <v>217</v>
      </c>
      <c r="AX111" s="33">
        <f t="shared" si="3"/>
        <v>0</v>
      </c>
      <c r="AY111" s="33">
        <f t="shared" si="4"/>
        <v>217</v>
      </c>
      <c r="AZ111" s="30">
        <f t="shared" si="5"/>
        <v>10.14</v>
      </c>
    </row>
    <row r="112" ht="15.75" customHeight="1">
      <c r="A112" s="31" t="s">
        <v>38</v>
      </c>
      <c r="B112" s="32">
        <f t="shared" si="6"/>
        <v>45037</v>
      </c>
      <c r="C112" s="33">
        <v>4.0</v>
      </c>
      <c r="D112" s="33" t="s">
        <v>49</v>
      </c>
      <c r="E112" s="34"/>
      <c r="F112" s="36"/>
      <c r="H112" s="37"/>
      <c r="J112" s="37"/>
      <c r="L112" s="37"/>
      <c r="N112" s="37"/>
      <c r="P112" s="37"/>
      <c r="Q112" s="26"/>
      <c r="R112" s="38">
        <v>114.0</v>
      </c>
      <c r="T112" s="39">
        <v>134.0</v>
      </c>
      <c r="V112" s="37"/>
      <c r="X112" s="37"/>
      <c r="Z112" s="37"/>
      <c r="AB112" s="37"/>
      <c r="AC112" s="26"/>
      <c r="AD112" s="37"/>
      <c r="AF112" s="39"/>
      <c r="AH112" s="39"/>
      <c r="AJ112" s="59"/>
      <c r="AK112" s="26"/>
      <c r="AL112" s="37"/>
      <c r="AN112" s="37"/>
      <c r="AP112" s="37"/>
      <c r="AR112" s="37"/>
      <c r="AT112" s="37"/>
      <c r="AU112" s="26"/>
      <c r="AV112" s="35">
        <f t="shared" si="1"/>
        <v>2514.72</v>
      </c>
      <c r="AW112" s="33">
        <f t="shared" si="2"/>
        <v>248</v>
      </c>
      <c r="AX112" s="33">
        <f t="shared" si="3"/>
        <v>0</v>
      </c>
      <c r="AY112" s="33">
        <f t="shared" si="4"/>
        <v>248</v>
      </c>
      <c r="AZ112" s="30">
        <f t="shared" si="5"/>
        <v>10.14</v>
      </c>
    </row>
    <row r="113" ht="15.75" customHeight="1">
      <c r="A113" s="31" t="s">
        <v>45</v>
      </c>
      <c r="B113" s="32">
        <f t="shared" si="6"/>
        <v>45038</v>
      </c>
      <c r="C113" s="33">
        <v>4.0</v>
      </c>
      <c r="D113" s="33" t="s">
        <v>49</v>
      </c>
      <c r="E113" s="34"/>
      <c r="F113" s="36"/>
      <c r="H113" s="37"/>
      <c r="J113" s="37"/>
      <c r="L113" s="37"/>
      <c r="N113" s="37"/>
      <c r="P113" s="37"/>
      <c r="Q113" s="26"/>
      <c r="R113" s="38">
        <v>129.0</v>
      </c>
      <c r="T113" s="39">
        <v>126.0</v>
      </c>
      <c r="V113" s="37"/>
      <c r="X113" s="37"/>
      <c r="Z113" s="37"/>
      <c r="AB113" s="37"/>
      <c r="AC113" s="26"/>
      <c r="AD113" s="37"/>
      <c r="AF113" s="39"/>
      <c r="AH113" s="39"/>
      <c r="AJ113" s="59"/>
      <c r="AK113" s="26"/>
      <c r="AL113" s="37"/>
      <c r="AN113" s="37"/>
      <c r="AP113" s="37"/>
      <c r="AR113" s="37"/>
      <c r="AT113" s="37"/>
      <c r="AU113" s="26"/>
      <c r="AV113" s="35">
        <f t="shared" si="1"/>
        <v>2585.7</v>
      </c>
      <c r="AW113" s="33">
        <f t="shared" si="2"/>
        <v>255</v>
      </c>
      <c r="AX113" s="33">
        <f t="shared" si="3"/>
        <v>0</v>
      </c>
      <c r="AY113" s="33">
        <f t="shared" si="4"/>
        <v>255</v>
      </c>
      <c r="AZ113" s="30">
        <f t="shared" si="5"/>
        <v>10.14</v>
      </c>
    </row>
    <row r="114" ht="15.75" customHeight="1">
      <c r="A114" s="44" t="s">
        <v>46</v>
      </c>
      <c r="B114" s="45">
        <f t="shared" si="6"/>
        <v>45039</v>
      </c>
      <c r="C114" s="46">
        <v>4.0</v>
      </c>
      <c r="D114" s="46" t="s">
        <v>49</v>
      </c>
      <c r="E114" s="47"/>
      <c r="F114" s="60"/>
      <c r="G114" s="51"/>
      <c r="H114" s="61"/>
      <c r="I114" s="51"/>
      <c r="J114" s="61"/>
      <c r="K114" s="51"/>
      <c r="L114" s="61"/>
      <c r="M114" s="51"/>
      <c r="N114" s="61"/>
      <c r="O114" s="51"/>
      <c r="P114" s="61"/>
      <c r="Q114" s="53"/>
      <c r="R114" s="62"/>
      <c r="S114" s="51"/>
      <c r="T114" s="63"/>
      <c r="U114" s="51"/>
      <c r="V114" s="61"/>
      <c r="W114" s="51"/>
      <c r="X114" s="61"/>
      <c r="Y114" s="51"/>
      <c r="Z114" s="61"/>
      <c r="AA114" s="51"/>
      <c r="AB114" s="61"/>
      <c r="AC114" s="53"/>
      <c r="AD114" s="61"/>
      <c r="AE114" s="51"/>
      <c r="AF114" s="63"/>
      <c r="AG114" s="51"/>
      <c r="AH114" s="63"/>
      <c r="AI114" s="51"/>
      <c r="AJ114" s="68"/>
      <c r="AK114" s="53"/>
      <c r="AL114" s="61"/>
      <c r="AM114" s="51"/>
      <c r="AN114" s="61"/>
      <c r="AO114" s="51"/>
      <c r="AP114" s="61"/>
      <c r="AQ114" s="51"/>
      <c r="AR114" s="61"/>
      <c r="AS114" s="51"/>
      <c r="AT114" s="61"/>
      <c r="AU114" s="53"/>
      <c r="AV114" s="55">
        <f t="shared" si="1"/>
        <v>0</v>
      </c>
      <c r="AW114" s="46">
        <f t="shared" si="2"/>
        <v>0</v>
      </c>
      <c r="AX114" s="46">
        <f t="shared" si="3"/>
        <v>0</v>
      </c>
      <c r="AY114" s="46">
        <f t="shared" si="4"/>
        <v>0</v>
      </c>
      <c r="AZ114" s="56" t="str">
        <f t="shared" si="5"/>
        <v/>
      </c>
    </row>
    <row r="115" ht="15.75" customHeight="1">
      <c r="A115" s="19" t="s">
        <v>30</v>
      </c>
      <c r="B115" s="57">
        <f t="shared" si="6"/>
        <v>45040</v>
      </c>
      <c r="C115" s="21">
        <v>5.0</v>
      </c>
      <c r="D115" s="21" t="s">
        <v>31</v>
      </c>
      <c r="E115" s="23"/>
      <c r="F115" s="36"/>
      <c r="H115" s="37"/>
      <c r="J115" s="37"/>
      <c r="L115" s="37"/>
      <c r="N115" s="37"/>
      <c r="P115" s="37"/>
      <c r="Q115" s="26"/>
      <c r="R115" s="38">
        <v>143.0</v>
      </c>
      <c r="T115" s="39">
        <v>144.0</v>
      </c>
      <c r="V115" s="37"/>
      <c r="X115" s="37"/>
      <c r="Z115" s="37"/>
      <c r="AB115" s="37"/>
      <c r="AC115" s="26"/>
      <c r="AD115" s="37"/>
      <c r="AF115" s="37"/>
      <c r="AH115" s="37"/>
      <c r="AJ115" s="59"/>
      <c r="AK115" s="26"/>
      <c r="AL115" s="37"/>
      <c r="AN115" s="37"/>
      <c r="AP115" s="37"/>
      <c r="AR115" s="37"/>
      <c r="AT115" s="37"/>
      <c r="AU115" s="26"/>
      <c r="AV115" s="29">
        <f t="shared" si="1"/>
        <v>2910.18</v>
      </c>
      <c r="AW115" s="21">
        <f t="shared" si="2"/>
        <v>287</v>
      </c>
      <c r="AX115" s="21">
        <f t="shared" si="3"/>
        <v>0</v>
      </c>
      <c r="AY115" s="21">
        <f t="shared" si="4"/>
        <v>287</v>
      </c>
      <c r="AZ115" s="58">
        <f t="shared" si="5"/>
        <v>10.14</v>
      </c>
    </row>
    <row r="116" ht="15.75" customHeight="1">
      <c r="A116" s="31" t="s">
        <v>33</v>
      </c>
      <c r="B116" s="32">
        <f t="shared" si="6"/>
        <v>45041</v>
      </c>
      <c r="C116" s="33">
        <v>5.0</v>
      </c>
      <c r="D116" s="33" t="s">
        <v>31</v>
      </c>
      <c r="E116" s="34"/>
      <c r="F116" s="36"/>
      <c r="H116" s="37"/>
      <c r="J116" s="37"/>
      <c r="L116" s="37"/>
      <c r="N116" s="37"/>
      <c r="P116" s="37"/>
      <c r="Q116" s="26"/>
      <c r="R116" s="38">
        <v>141.0</v>
      </c>
      <c r="T116" s="39">
        <v>144.0</v>
      </c>
      <c r="V116" s="37"/>
      <c r="X116" s="37"/>
      <c r="Z116" s="37"/>
      <c r="AB116" s="37"/>
      <c r="AC116" s="26"/>
      <c r="AD116" s="37"/>
      <c r="AF116" s="39">
        <v>50.0</v>
      </c>
      <c r="AH116" s="39">
        <v>50.0</v>
      </c>
      <c r="AJ116" s="59"/>
      <c r="AK116" s="26"/>
      <c r="AL116" s="37"/>
      <c r="AN116" s="37"/>
      <c r="AP116" s="37"/>
      <c r="AR116" s="37"/>
      <c r="AT116" s="37"/>
      <c r="AU116" s="26"/>
      <c r="AV116" s="35">
        <f t="shared" si="1"/>
        <v>4339.9</v>
      </c>
      <c r="AW116" s="33">
        <f t="shared" si="2"/>
        <v>385</v>
      </c>
      <c r="AX116" s="33">
        <f t="shared" si="3"/>
        <v>0</v>
      </c>
      <c r="AY116" s="33">
        <f t="shared" si="4"/>
        <v>385</v>
      </c>
      <c r="AZ116" s="30">
        <f t="shared" si="5"/>
        <v>11.27246753</v>
      </c>
    </row>
    <row r="117" ht="15.75" customHeight="1">
      <c r="A117" s="31" t="s">
        <v>34</v>
      </c>
      <c r="B117" s="32">
        <f t="shared" si="6"/>
        <v>45042</v>
      </c>
      <c r="C117" s="33">
        <v>5.0</v>
      </c>
      <c r="D117" s="33" t="s">
        <v>31</v>
      </c>
      <c r="E117" s="34"/>
      <c r="F117" s="36"/>
      <c r="H117" s="37"/>
      <c r="J117" s="37"/>
      <c r="L117" s="37"/>
      <c r="N117" s="37"/>
      <c r="P117" s="37"/>
      <c r="Q117" s="26"/>
      <c r="R117" s="38">
        <v>116.0</v>
      </c>
      <c r="T117" s="39">
        <v>129.0</v>
      </c>
      <c r="V117" s="37"/>
      <c r="X117" s="37"/>
      <c r="Z117" s="37"/>
      <c r="AB117" s="37"/>
      <c r="AC117" s="26"/>
      <c r="AD117" s="37"/>
      <c r="AF117" s="39">
        <v>50.0</v>
      </c>
      <c r="AH117" s="39">
        <v>50.0</v>
      </c>
      <c r="AJ117" s="59"/>
      <c r="AK117" s="26"/>
      <c r="AL117" s="37"/>
      <c r="AN117" s="37"/>
      <c r="AP117" s="37"/>
      <c r="AR117" s="37"/>
      <c r="AT117" s="37"/>
      <c r="AU117" s="26"/>
      <c r="AV117" s="35">
        <f t="shared" si="1"/>
        <v>3934.3</v>
      </c>
      <c r="AW117" s="33">
        <f t="shared" si="2"/>
        <v>345</v>
      </c>
      <c r="AX117" s="33">
        <f t="shared" si="3"/>
        <v>0</v>
      </c>
      <c r="AY117" s="33">
        <f t="shared" si="4"/>
        <v>345</v>
      </c>
      <c r="AZ117" s="30">
        <f t="shared" si="5"/>
        <v>11.40376812</v>
      </c>
    </row>
    <row r="118" ht="15.75" customHeight="1">
      <c r="A118" s="31" t="s">
        <v>35</v>
      </c>
      <c r="B118" s="32">
        <f t="shared" si="6"/>
        <v>45043</v>
      </c>
      <c r="C118" s="33">
        <v>5.0</v>
      </c>
      <c r="D118" s="33" t="s">
        <v>31</v>
      </c>
      <c r="E118" s="34"/>
      <c r="F118" s="36"/>
      <c r="H118" s="37"/>
      <c r="J118" s="37"/>
      <c r="L118" s="37"/>
      <c r="N118" s="37"/>
      <c r="P118" s="37"/>
      <c r="Q118" s="26"/>
      <c r="R118" s="38">
        <v>128.0</v>
      </c>
      <c r="T118" s="39">
        <v>132.0</v>
      </c>
      <c r="V118" s="37"/>
      <c r="X118" s="37"/>
      <c r="Z118" s="37"/>
      <c r="AB118" s="37"/>
      <c r="AC118" s="26"/>
      <c r="AD118" s="37"/>
      <c r="AF118" s="37"/>
      <c r="AH118" s="39">
        <v>50.0</v>
      </c>
      <c r="AJ118" s="59"/>
      <c r="AK118" s="26"/>
      <c r="AL118" s="37"/>
      <c r="AN118" s="37"/>
      <c r="AP118" s="37"/>
      <c r="AR118" s="37"/>
      <c r="AT118" s="37"/>
      <c r="AU118" s="26"/>
      <c r="AV118" s="35">
        <f t="shared" si="1"/>
        <v>3361.4</v>
      </c>
      <c r="AW118" s="33">
        <f t="shared" si="2"/>
        <v>310</v>
      </c>
      <c r="AX118" s="33">
        <f t="shared" si="3"/>
        <v>0</v>
      </c>
      <c r="AY118" s="33">
        <f t="shared" si="4"/>
        <v>310</v>
      </c>
      <c r="AZ118" s="30">
        <f t="shared" si="5"/>
        <v>10.84322581</v>
      </c>
    </row>
    <row r="119" ht="15.75" customHeight="1">
      <c r="A119" s="31" t="s">
        <v>38</v>
      </c>
      <c r="B119" s="32">
        <f t="shared" si="6"/>
        <v>45044</v>
      </c>
      <c r="C119" s="33">
        <v>5.0</v>
      </c>
      <c r="D119" s="33" t="s">
        <v>31</v>
      </c>
      <c r="E119" s="34"/>
      <c r="F119" s="36"/>
      <c r="H119" s="37"/>
      <c r="J119" s="37"/>
      <c r="L119" s="37"/>
      <c r="N119" s="37"/>
      <c r="P119" s="37"/>
      <c r="Q119" s="26"/>
      <c r="R119" s="38">
        <v>119.0</v>
      </c>
      <c r="T119" s="39">
        <v>128.0</v>
      </c>
      <c r="V119" s="37"/>
      <c r="X119" s="37"/>
      <c r="Z119" s="37"/>
      <c r="AB119" s="37"/>
      <c r="AC119" s="26"/>
      <c r="AD119" s="37"/>
      <c r="AF119" s="39">
        <v>50.0</v>
      </c>
      <c r="AH119" s="39">
        <v>50.0</v>
      </c>
      <c r="AJ119" s="59"/>
      <c r="AK119" s="26"/>
      <c r="AL119" s="37"/>
      <c r="AN119" s="37"/>
      <c r="AP119" s="37"/>
      <c r="AR119" s="37"/>
      <c r="AT119" s="37"/>
      <c r="AU119" s="26"/>
      <c r="AV119" s="35">
        <f t="shared" si="1"/>
        <v>3954.58</v>
      </c>
      <c r="AW119" s="33">
        <f t="shared" si="2"/>
        <v>347</v>
      </c>
      <c r="AX119" s="33">
        <f t="shared" si="3"/>
        <v>0</v>
      </c>
      <c r="AY119" s="33">
        <f t="shared" si="4"/>
        <v>347</v>
      </c>
      <c r="AZ119" s="30">
        <f t="shared" si="5"/>
        <v>11.39648415</v>
      </c>
    </row>
    <row r="120" ht="15.75" customHeight="1">
      <c r="A120" s="31" t="s">
        <v>45</v>
      </c>
      <c r="B120" s="32">
        <f t="shared" si="6"/>
        <v>45045</v>
      </c>
      <c r="C120" s="33">
        <v>5.0</v>
      </c>
      <c r="D120" s="33" t="s">
        <v>31</v>
      </c>
      <c r="E120" s="34"/>
      <c r="F120" s="36"/>
      <c r="H120" s="37"/>
      <c r="J120" s="37"/>
      <c r="L120" s="37"/>
      <c r="N120" s="37"/>
      <c r="P120" s="37"/>
      <c r="Q120" s="26"/>
      <c r="R120" s="38">
        <v>117.0</v>
      </c>
      <c r="T120" s="39">
        <v>109.0</v>
      </c>
      <c r="V120" s="37"/>
      <c r="X120" s="37"/>
      <c r="Z120" s="37"/>
      <c r="AB120" s="37"/>
      <c r="AC120" s="26"/>
      <c r="AD120" s="37"/>
      <c r="AF120" s="39">
        <v>50.0</v>
      </c>
      <c r="AH120" s="37"/>
      <c r="AJ120" s="59"/>
      <c r="AK120" s="26"/>
      <c r="AL120" s="37"/>
      <c r="AN120" s="37"/>
      <c r="AP120" s="37"/>
      <c r="AR120" s="37"/>
      <c r="AT120" s="37"/>
      <c r="AU120" s="26"/>
      <c r="AV120" s="35">
        <f t="shared" si="1"/>
        <v>3016.64</v>
      </c>
      <c r="AW120" s="33">
        <f t="shared" si="2"/>
        <v>276</v>
      </c>
      <c r="AX120" s="33">
        <f t="shared" si="3"/>
        <v>0</v>
      </c>
      <c r="AY120" s="33">
        <f t="shared" si="4"/>
        <v>276</v>
      </c>
      <c r="AZ120" s="30">
        <f t="shared" si="5"/>
        <v>10.92985507</v>
      </c>
    </row>
    <row r="121" ht="15.75" customHeight="1">
      <c r="A121" s="44" t="s">
        <v>46</v>
      </c>
      <c r="B121" s="45">
        <f t="shared" si="6"/>
        <v>45046</v>
      </c>
      <c r="C121" s="46">
        <v>5.0</v>
      </c>
      <c r="D121" s="46" t="s">
        <v>31</v>
      </c>
      <c r="E121" s="47"/>
      <c r="F121" s="60"/>
      <c r="G121" s="51"/>
      <c r="H121" s="61"/>
      <c r="I121" s="51"/>
      <c r="J121" s="61"/>
      <c r="K121" s="51"/>
      <c r="L121" s="61"/>
      <c r="M121" s="51"/>
      <c r="N121" s="61"/>
      <c r="O121" s="51"/>
      <c r="P121" s="61"/>
      <c r="Q121" s="53"/>
      <c r="R121" s="62"/>
      <c r="S121" s="51"/>
      <c r="T121" s="63"/>
      <c r="U121" s="51"/>
      <c r="V121" s="61"/>
      <c r="W121" s="51"/>
      <c r="X121" s="61"/>
      <c r="Y121" s="51"/>
      <c r="Z121" s="61"/>
      <c r="AA121" s="51"/>
      <c r="AB121" s="61"/>
      <c r="AC121" s="53"/>
      <c r="AD121" s="61"/>
      <c r="AE121" s="51"/>
      <c r="AF121" s="61"/>
      <c r="AG121" s="51"/>
      <c r="AH121" s="61"/>
      <c r="AI121" s="51"/>
      <c r="AJ121" s="68"/>
      <c r="AK121" s="53"/>
      <c r="AL121" s="61"/>
      <c r="AM121" s="51"/>
      <c r="AN121" s="61"/>
      <c r="AO121" s="51"/>
      <c r="AP121" s="61"/>
      <c r="AQ121" s="51"/>
      <c r="AR121" s="61"/>
      <c r="AS121" s="51"/>
      <c r="AT121" s="61"/>
      <c r="AU121" s="53"/>
      <c r="AV121" s="55">
        <f t="shared" si="1"/>
        <v>0</v>
      </c>
      <c r="AW121" s="46">
        <f t="shared" si="2"/>
        <v>0</v>
      </c>
      <c r="AX121" s="46">
        <f t="shared" si="3"/>
        <v>0</v>
      </c>
      <c r="AY121" s="46">
        <f t="shared" si="4"/>
        <v>0</v>
      </c>
      <c r="AZ121" s="56" t="str">
        <f t="shared" si="5"/>
        <v/>
      </c>
    </row>
    <row r="122" ht="15.75" customHeight="1">
      <c r="A122" s="19" t="s">
        <v>30</v>
      </c>
      <c r="B122" s="57">
        <f t="shared" si="6"/>
        <v>45047</v>
      </c>
      <c r="C122" s="21">
        <v>5.0</v>
      </c>
      <c r="D122" s="21" t="s">
        <v>47</v>
      </c>
      <c r="E122" s="23"/>
      <c r="F122" s="36"/>
      <c r="H122" s="37"/>
      <c r="J122" s="37"/>
      <c r="L122" s="37"/>
      <c r="N122" s="37"/>
      <c r="P122" s="37"/>
      <c r="Q122" s="26"/>
      <c r="R122" s="38">
        <v>112.0</v>
      </c>
      <c r="T122" s="39">
        <v>145.0</v>
      </c>
      <c r="V122" s="37"/>
      <c r="X122" s="37"/>
      <c r="Z122" s="37"/>
      <c r="AB122" s="37"/>
      <c r="AC122" s="26"/>
      <c r="AD122" s="37"/>
      <c r="AF122" s="39"/>
      <c r="AH122" s="39"/>
      <c r="AJ122" s="59"/>
      <c r="AK122" s="26"/>
      <c r="AL122" s="37"/>
      <c r="AN122" s="37"/>
      <c r="AP122" s="37"/>
      <c r="AR122" s="37"/>
      <c r="AT122" s="37"/>
      <c r="AU122" s="26"/>
      <c r="AV122" s="29">
        <f t="shared" si="1"/>
        <v>2605.98</v>
      </c>
      <c r="AW122" s="21">
        <f t="shared" si="2"/>
        <v>257</v>
      </c>
      <c r="AX122" s="21">
        <f t="shared" si="3"/>
        <v>0</v>
      </c>
      <c r="AY122" s="21">
        <f t="shared" si="4"/>
        <v>257</v>
      </c>
      <c r="AZ122" s="58">
        <f t="shared" si="5"/>
        <v>10.14</v>
      </c>
    </row>
    <row r="123" ht="15.75" customHeight="1">
      <c r="A123" s="31" t="s">
        <v>33</v>
      </c>
      <c r="B123" s="32">
        <f t="shared" si="6"/>
        <v>45048</v>
      </c>
      <c r="C123" s="33">
        <v>5.0</v>
      </c>
      <c r="D123" s="33" t="s">
        <v>47</v>
      </c>
      <c r="E123" s="34"/>
      <c r="F123" s="36"/>
      <c r="H123" s="37"/>
      <c r="J123" s="37"/>
      <c r="L123" s="37"/>
      <c r="N123" s="37"/>
      <c r="P123" s="37"/>
      <c r="Q123" s="26"/>
      <c r="R123" s="38">
        <v>139.0</v>
      </c>
      <c r="T123" s="39">
        <v>146.0</v>
      </c>
      <c r="V123" s="37"/>
      <c r="X123" s="37"/>
      <c r="Z123" s="37"/>
      <c r="AB123" s="37"/>
      <c r="AC123" s="26"/>
      <c r="AD123" s="37"/>
      <c r="AF123" s="39"/>
      <c r="AH123" s="39"/>
      <c r="AJ123" s="59"/>
      <c r="AK123" s="26"/>
      <c r="AL123" s="37"/>
      <c r="AN123" s="37"/>
      <c r="AP123" s="37"/>
      <c r="AR123" s="37"/>
      <c r="AT123" s="37"/>
      <c r="AU123" s="26"/>
      <c r="AV123" s="35">
        <f t="shared" si="1"/>
        <v>2889.9</v>
      </c>
      <c r="AW123" s="33">
        <f t="shared" si="2"/>
        <v>285</v>
      </c>
      <c r="AX123" s="33">
        <f t="shared" si="3"/>
        <v>0</v>
      </c>
      <c r="AY123" s="33">
        <f t="shared" si="4"/>
        <v>285</v>
      </c>
      <c r="AZ123" s="30">
        <f t="shared" si="5"/>
        <v>10.14</v>
      </c>
    </row>
    <row r="124" ht="15.75" customHeight="1">
      <c r="A124" s="31" t="s">
        <v>34</v>
      </c>
      <c r="B124" s="32">
        <f t="shared" si="6"/>
        <v>45049</v>
      </c>
      <c r="C124" s="33">
        <v>5.0</v>
      </c>
      <c r="D124" s="33" t="s">
        <v>47</v>
      </c>
      <c r="E124" s="34"/>
      <c r="F124" s="36"/>
      <c r="H124" s="37"/>
      <c r="J124" s="37"/>
      <c r="L124" s="37"/>
      <c r="N124" s="37"/>
      <c r="P124" s="37"/>
      <c r="Q124" s="26"/>
      <c r="R124" s="38">
        <v>121.0</v>
      </c>
      <c r="T124" s="39">
        <v>140.0</v>
      </c>
      <c r="V124" s="37"/>
      <c r="X124" s="37"/>
      <c r="Z124" s="37"/>
      <c r="AB124" s="37"/>
      <c r="AC124" s="26"/>
      <c r="AD124" s="37"/>
      <c r="AF124" s="39"/>
      <c r="AH124" s="39"/>
      <c r="AJ124" s="59"/>
      <c r="AK124" s="26"/>
      <c r="AL124" s="37"/>
      <c r="AN124" s="37"/>
      <c r="AP124" s="37"/>
      <c r="AR124" s="37"/>
      <c r="AT124" s="37"/>
      <c r="AU124" s="26"/>
      <c r="AV124" s="35">
        <f t="shared" si="1"/>
        <v>2646.54</v>
      </c>
      <c r="AW124" s="33">
        <f t="shared" si="2"/>
        <v>261</v>
      </c>
      <c r="AX124" s="33">
        <f t="shared" si="3"/>
        <v>0</v>
      </c>
      <c r="AY124" s="33">
        <f t="shared" si="4"/>
        <v>261</v>
      </c>
      <c r="AZ124" s="30">
        <f t="shared" si="5"/>
        <v>10.14</v>
      </c>
    </row>
    <row r="125" ht="15.75" customHeight="1">
      <c r="A125" s="31" t="s">
        <v>35</v>
      </c>
      <c r="B125" s="32">
        <f t="shared" si="6"/>
        <v>45050</v>
      </c>
      <c r="C125" s="33">
        <v>5.0</v>
      </c>
      <c r="D125" s="33" t="s">
        <v>47</v>
      </c>
      <c r="E125" s="34"/>
      <c r="F125" s="36"/>
      <c r="H125" s="37"/>
      <c r="J125" s="37"/>
      <c r="L125" s="37"/>
      <c r="N125" s="37"/>
      <c r="P125" s="37"/>
      <c r="Q125" s="26"/>
      <c r="R125" s="38">
        <v>123.0</v>
      </c>
      <c r="T125" s="39">
        <v>140.0</v>
      </c>
      <c r="V125" s="37"/>
      <c r="X125" s="37"/>
      <c r="Z125" s="37"/>
      <c r="AB125" s="37"/>
      <c r="AC125" s="26"/>
      <c r="AD125" s="37"/>
      <c r="AF125" s="39"/>
      <c r="AH125" s="39"/>
      <c r="AJ125" s="59"/>
      <c r="AK125" s="26"/>
      <c r="AL125" s="37"/>
      <c r="AN125" s="37"/>
      <c r="AP125" s="37"/>
      <c r="AR125" s="37"/>
      <c r="AT125" s="37"/>
      <c r="AU125" s="26"/>
      <c r="AV125" s="35">
        <f t="shared" si="1"/>
        <v>2666.82</v>
      </c>
      <c r="AW125" s="33">
        <f t="shared" si="2"/>
        <v>263</v>
      </c>
      <c r="AX125" s="33">
        <f t="shared" si="3"/>
        <v>0</v>
      </c>
      <c r="AY125" s="33">
        <f t="shared" si="4"/>
        <v>263</v>
      </c>
      <c r="AZ125" s="30">
        <f t="shared" si="5"/>
        <v>10.14</v>
      </c>
    </row>
    <row r="126" ht="15.75" customHeight="1">
      <c r="A126" s="31" t="s">
        <v>38</v>
      </c>
      <c r="B126" s="32">
        <f t="shared" si="6"/>
        <v>45051</v>
      </c>
      <c r="C126" s="33">
        <v>5.0</v>
      </c>
      <c r="D126" s="33" t="s">
        <v>47</v>
      </c>
      <c r="E126" s="34"/>
      <c r="F126" s="36"/>
      <c r="H126" s="37"/>
      <c r="J126" s="37"/>
      <c r="L126" s="37"/>
      <c r="N126" s="37"/>
      <c r="P126" s="37"/>
      <c r="Q126" s="26"/>
      <c r="R126" s="38">
        <v>116.0</v>
      </c>
      <c r="T126" s="39">
        <v>120.0</v>
      </c>
      <c r="V126" s="37"/>
      <c r="X126" s="37"/>
      <c r="Z126" s="37"/>
      <c r="AB126" s="37"/>
      <c r="AC126" s="26"/>
      <c r="AD126" s="37"/>
      <c r="AF126" s="39"/>
      <c r="AH126" s="39"/>
      <c r="AJ126" s="59"/>
      <c r="AK126" s="26"/>
      <c r="AL126" s="37"/>
      <c r="AN126" s="37"/>
      <c r="AP126" s="37"/>
      <c r="AR126" s="37"/>
      <c r="AT126" s="37"/>
      <c r="AU126" s="26"/>
      <c r="AV126" s="35">
        <f t="shared" si="1"/>
        <v>2393.04</v>
      </c>
      <c r="AW126" s="33">
        <f t="shared" si="2"/>
        <v>236</v>
      </c>
      <c r="AX126" s="33">
        <f t="shared" si="3"/>
        <v>0</v>
      </c>
      <c r="AY126" s="33">
        <f t="shared" si="4"/>
        <v>236</v>
      </c>
      <c r="AZ126" s="30">
        <f t="shared" si="5"/>
        <v>10.14</v>
      </c>
    </row>
    <row r="127" ht="15.75" customHeight="1">
      <c r="A127" s="31" t="s">
        <v>45</v>
      </c>
      <c r="B127" s="32">
        <f t="shared" si="6"/>
        <v>45052</v>
      </c>
      <c r="C127" s="33">
        <v>5.0</v>
      </c>
      <c r="D127" s="33" t="s">
        <v>47</v>
      </c>
      <c r="E127" s="34"/>
      <c r="F127" s="36"/>
      <c r="H127" s="37"/>
      <c r="J127" s="37"/>
      <c r="L127" s="37"/>
      <c r="N127" s="37"/>
      <c r="P127" s="37"/>
      <c r="Q127" s="26"/>
      <c r="R127" s="38">
        <v>114.0</v>
      </c>
      <c r="T127" s="39">
        <v>137.0</v>
      </c>
      <c r="V127" s="37"/>
      <c r="X127" s="37"/>
      <c r="Z127" s="37"/>
      <c r="AB127" s="37"/>
      <c r="AC127" s="26"/>
      <c r="AD127" s="37"/>
      <c r="AF127" s="39"/>
      <c r="AH127" s="39"/>
      <c r="AJ127" s="59"/>
      <c r="AK127" s="26"/>
      <c r="AL127" s="37"/>
      <c r="AN127" s="37"/>
      <c r="AP127" s="37"/>
      <c r="AR127" s="37"/>
      <c r="AT127" s="37"/>
      <c r="AU127" s="26"/>
      <c r="AV127" s="35">
        <f t="shared" si="1"/>
        <v>2545.14</v>
      </c>
      <c r="AW127" s="33">
        <f t="shared" si="2"/>
        <v>251</v>
      </c>
      <c r="AX127" s="33">
        <f t="shared" si="3"/>
        <v>0</v>
      </c>
      <c r="AY127" s="33">
        <f t="shared" si="4"/>
        <v>251</v>
      </c>
      <c r="AZ127" s="30">
        <f t="shared" si="5"/>
        <v>10.14</v>
      </c>
    </row>
    <row r="128" ht="15.75" customHeight="1">
      <c r="A128" s="44" t="s">
        <v>46</v>
      </c>
      <c r="B128" s="45">
        <f t="shared" si="6"/>
        <v>45053</v>
      </c>
      <c r="C128" s="46">
        <v>5.0</v>
      </c>
      <c r="D128" s="46" t="s">
        <v>47</v>
      </c>
      <c r="E128" s="47"/>
      <c r="F128" s="60"/>
      <c r="G128" s="51"/>
      <c r="H128" s="61"/>
      <c r="I128" s="51"/>
      <c r="J128" s="61"/>
      <c r="K128" s="51"/>
      <c r="L128" s="61"/>
      <c r="M128" s="51"/>
      <c r="N128" s="61"/>
      <c r="O128" s="51"/>
      <c r="P128" s="61"/>
      <c r="Q128" s="53"/>
      <c r="R128" s="62"/>
      <c r="S128" s="51"/>
      <c r="T128" s="63"/>
      <c r="U128" s="51"/>
      <c r="V128" s="61"/>
      <c r="W128" s="51"/>
      <c r="X128" s="61"/>
      <c r="Y128" s="51"/>
      <c r="Z128" s="61"/>
      <c r="AA128" s="51"/>
      <c r="AB128" s="61"/>
      <c r="AC128" s="53"/>
      <c r="AD128" s="61"/>
      <c r="AE128" s="51"/>
      <c r="AF128" s="63"/>
      <c r="AG128" s="51"/>
      <c r="AH128" s="63"/>
      <c r="AI128" s="51"/>
      <c r="AJ128" s="68"/>
      <c r="AK128" s="53"/>
      <c r="AL128" s="61"/>
      <c r="AM128" s="51"/>
      <c r="AN128" s="61"/>
      <c r="AO128" s="51"/>
      <c r="AP128" s="61"/>
      <c r="AQ128" s="51"/>
      <c r="AR128" s="61"/>
      <c r="AS128" s="51"/>
      <c r="AT128" s="61"/>
      <c r="AU128" s="53"/>
      <c r="AV128" s="55">
        <f t="shared" si="1"/>
        <v>0</v>
      </c>
      <c r="AW128" s="46">
        <f t="shared" si="2"/>
        <v>0</v>
      </c>
      <c r="AX128" s="46">
        <f t="shared" si="3"/>
        <v>0</v>
      </c>
      <c r="AY128" s="46">
        <f t="shared" si="4"/>
        <v>0</v>
      </c>
      <c r="AZ128" s="56" t="str">
        <f t="shared" si="5"/>
        <v/>
      </c>
    </row>
    <row r="129" ht="15.75" customHeight="1">
      <c r="A129" s="19" t="s">
        <v>30</v>
      </c>
      <c r="B129" s="57">
        <f t="shared" si="6"/>
        <v>45054</v>
      </c>
      <c r="C129" s="21">
        <v>5.0</v>
      </c>
      <c r="D129" s="21" t="s">
        <v>48</v>
      </c>
      <c r="E129" s="23"/>
      <c r="F129" s="36"/>
      <c r="H129" s="37"/>
      <c r="J129" s="37"/>
      <c r="L129" s="37"/>
      <c r="N129" s="37"/>
      <c r="P129" s="37"/>
      <c r="Q129" s="26"/>
      <c r="R129" s="38">
        <v>124.0</v>
      </c>
      <c r="T129" s="39">
        <v>129.0</v>
      </c>
      <c r="V129" s="37"/>
      <c r="X129" s="37"/>
      <c r="Z129" s="37"/>
      <c r="AB129" s="37"/>
      <c r="AC129" s="26"/>
      <c r="AD129" s="37"/>
      <c r="AF129" s="37"/>
      <c r="AH129" s="37"/>
      <c r="AJ129" s="59"/>
      <c r="AK129" s="26"/>
      <c r="AL129" s="37"/>
      <c r="AN129" s="37"/>
      <c r="AP129" s="37"/>
      <c r="AR129" s="37"/>
      <c r="AT129" s="37"/>
      <c r="AU129" s="26"/>
      <c r="AV129" s="29">
        <f t="shared" si="1"/>
        <v>2565.42</v>
      </c>
      <c r="AW129" s="21">
        <f t="shared" si="2"/>
        <v>253</v>
      </c>
      <c r="AX129" s="21">
        <f t="shared" si="3"/>
        <v>0</v>
      </c>
      <c r="AY129" s="21">
        <f t="shared" si="4"/>
        <v>253</v>
      </c>
      <c r="AZ129" s="58">
        <f t="shared" si="5"/>
        <v>10.14</v>
      </c>
    </row>
    <row r="130" ht="15.75" customHeight="1">
      <c r="A130" s="31" t="s">
        <v>33</v>
      </c>
      <c r="B130" s="32">
        <f t="shared" si="6"/>
        <v>45055</v>
      </c>
      <c r="C130" s="33">
        <v>5.0</v>
      </c>
      <c r="D130" s="33" t="s">
        <v>48</v>
      </c>
      <c r="E130" s="34"/>
      <c r="F130" s="36"/>
      <c r="H130" s="37"/>
      <c r="J130" s="37"/>
      <c r="L130" s="37"/>
      <c r="N130" s="37"/>
      <c r="P130" s="37"/>
      <c r="Q130" s="26"/>
      <c r="R130" s="38">
        <v>122.0</v>
      </c>
      <c r="T130" s="39">
        <v>135.0</v>
      </c>
      <c r="V130" s="37"/>
      <c r="X130" s="37"/>
      <c r="Z130" s="37"/>
      <c r="AB130" s="37"/>
      <c r="AC130" s="26"/>
      <c r="AD130" s="37"/>
      <c r="AF130" s="39">
        <v>50.0</v>
      </c>
      <c r="AH130" s="39">
        <v>50.0</v>
      </c>
      <c r="AJ130" s="59"/>
      <c r="AK130" s="26"/>
      <c r="AL130" s="37"/>
      <c r="AN130" s="37"/>
      <c r="AP130" s="37"/>
      <c r="AR130" s="37"/>
      <c r="AT130" s="37"/>
      <c r="AU130" s="26"/>
      <c r="AV130" s="35">
        <f t="shared" si="1"/>
        <v>4055.98</v>
      </c>
      <c r="AW130" s="33">
        <f t="shared" si="2"/>
        <v>357</v>
      </c>
      <c r="AX130" s="33">
        <f t="shared" si="3"/>
        <v>0</v>
      </c>
      <c r="AY130" s="33">
        <f t="shared" si="4"/>
        <v>357</v>
      </c>
      <c r="AZ130" s="30">
        <f t="shared" si="5"/>
        <v>11.36128852</v>
      </c>
    </row>
    <row r="131" ht="15.75" customHeight="1">
      <c r="A131" s="31" t="s">
        <v>34</v>
      </c>
      <c r="B131" s="32">
        <f t="shared" si="6"/>
        <v>45056</v>
      </c>
      <c r="C131" s="33">
        <v>5.0</v>
      </c>
      <c r="D131" s="33" t="s">
        <v>48</v>
      </c>
      <c r="E131" s="34"/>
      <c r="F131" s="36"/>
      <c r="H131" s="37"/>
      <c r="J131" s="37"/>
      <c r="L131" s="37"/>
      <c r="N131" s="37"/>
      <c r="P131" s="37"/>
      <c r="Q131" s="26"/>
      <c r="R131" s="38">
        <v>118.0</v>
      </c>
      <c r="T131" s="39">
        <v>129.0</v>
      </c>
      <c r="V131" s="37"/>
      <c r="X131" s="37"/>
      <c r="Z131" s="37"/>
      <c r="AB131" s="37"/>
      <c r="AC131" s="26"/>
      <c r="AD131" s="37"/>
      <c r="AF131" s="39">
        <v>50.0</v>
      </c>
      <c r="AH131" s="39">
        <v>50.0</v>
      </c>
      <c r="AJ131" s="59"/>
      <c r="AK131" s="26"/>
      <c r="AL131" s="37"/>
      <c r="AN131" s="37"/>
      <c r="AP131" s="37"/>
      <c r="AR131" s="37"/>
      <c r="AT131" s="37"/>
      <c r="AU131" s="26"/>
      <c r="AV131" s="35">
        <f t="shared" si="1"/>
        <v>3954.58</v>
      </c>
      <c r="AW131" s="33">
        <f t="shared" si="2"/>
        <v>347</v>
      </c>
      <c r="AX131" s="33">
        <f t="shared" si="3"/>
        <v>0</v>
      </c>
      <c r="AY131" s="33">
        <f t="shared" si="4"/>
        <v>347</v>
      </c>
      <c r="AZ131" s="30">
        <f t="shared" si="5"/>
        <v>11.39648415</v>
      </c>
    </row>
    <row r="132" ht="15.75" customHeight="1">
      <c r="A132" s="31" t="s">
        <v>35</v>
      </c>
      <c r="B132" s="32">
        <f t="shared" si="6"/>
        <v>45057</v>
      </c>
      <c r="C132" s="33">
        <v>5.0</v>
      </c>
      <c r="D132" s="33" t="s">
        <v>48</v>
      </c>
      <c r="E132" s="34"/>
      <c r="F132" s="36"/>
      <c r="H132" s="37"/>
      <c r="J132" s="37"/>
      <c r="L132" s="37"/>
      <c r="N132" s="37"/>
      <c r="P132" s="37"/>
      <c r="Q132" s="26"/>
      <c r="R132" s="38">
        <v>129.0</v>
      </c>
      <c r="T132" s="39">
        <v>132.0</v>
      </c>
      <c r="V132" s="37"/>
      <c r="X132" s="37"/>
      <c r="Z132" s="37"/>
      <c r="AB132" s="37"/>
      <c r="AC132" s="26"/>
      <c r="AD132" s="37"/>
      <c r="AF132" s="37"/>
      <c r="AH132" s="39">
        <v>50.0</v>
      </c>
      <c r="AJ132" s="59"/>
      <c r="AK132" s="26"/>
      <c r="AL132" s="37"/>
      <c r="AN132" s="37"/>
      <c r="AP132" s="37"/>
      <c r="AR132" s="37"/>
      <c r="AT132" s="37"/>
      <c r="AU132" s="26"/>
      <c r="AV132" s="35">
        <f t="shared" si="1"/>
        <v>3371.54</v>
      </c>
      <c r="AW132" s="33">
        <f t="shared" si="2"/>
        <v>311</v>
      </c>
      <c r="AX132" s="33">
        <f t="shared" si="3"/>
        <v>0</v>
      </c>
      <c r="AY132" s="33">
        <f t="shared" si="4"/>
        <v>311</v>
      </c>
      <c r="AZ132" s="30">
        <f t="shared" si="5"/>
        <v>10.84096463</v>
      </c>
    </row>
    <row r="133" ht="15.75" customHeight="1">
      <c r="A133" s="31" t="s">
        <v>38</v>
      </c>
      <c r="B133" s="32">
        <f t="shared" si="6"/>
        <v>45058</v>
      </c>
      <c r="C133" s="33">
        <v>5.0</v>
      </c>
      <c r="D133" s="33" t="s">
        <v>48</v>
      </c>
      <c r="E133" s="34"/>
      <c r="F133" s="36"/>
      <c r="H133" s="37"/>
      <c r="J133" s="37"/>
      <c r="L133" s="37"/>
      <c r="N133" s="37"/>
      <c r="P133" s="37"/>
      <c r="Q133" s="26"/>
      <c r="R133" s="38">
        <v>123.0</v>
      </c>
      <c r="T133" s="39">
        <v>129.0</v>
      </c>
      <c r="V133" s="37"/>
      <c r="X133" s="37"/>
      <c r="Z133" s="37"/>
      <c r="AB133" s="37"/>
      <c r="AC133" s="26"/>
      <c r="AD133" s="37"/>
      <c r="AF133" s="39">
        <v>50.0</v>
      </c>
      <c r="AH133" s="39">
        <v>50.0</v>
      </c>
      <c r="AJ133" s="59"/>
      <c r="AK133" s="26"/>
      <c r="AL133" s="37"/>
      <c r="AN133" s="37"/>
      <c r="AP133" s="37"/>
      <c r="AR133" s="37"/>
      <c r="AT133" s="37"/>
      <c r="AU133" s="26"/>
      <c r="AV133" s="35">
        <f t="shared" si="1"/>
        <v>4005.28</v>
      </c>
      <c r="AW133" s="33">
        <f t="shared" si="2"/>
        <v>352</v>
      </c>
      <c r="AX133" s="33">
        <f t="shared" si="3"/>
        <v>0</v>
      </c>
      <c r="AY133" s="33">
        <f t="shared" si="4"/>
        <v>352</v>
      </c>
      <c r="AZ133" s="30">
        <f t="shared" si="5"/>
        <v>11.37863636</v>
      </c>
    </row>
    <row r="134" ht="15.75" customHeight="1">
      <c r="A134" s="31" t="s">
        <v>45</v>
      </c>
      <c r="B134" s="32">
        <f t="shared" si="6"/>
        <v>45059</v>
      </c>
      <c r="C134" s="33">
        <v>5.0</v>
      </c>
      <c r="D134" s="33" t="s">
        <v>48</v>
      </c>
      <c r="E134" s="34"/>
      <c r="F134" s="36"/>
      <c r="H134" s="37"/>
      <c r="J134" s="37"/>
      <c r="L134" s="37"/>
      <c r="N134" s="37"/>
      <c r="P134" s="37"/>
      <c r="Q134" s="26"/>
      <c r="R134" s="38">
        <v>112.0</v>
      </c>
      <c r="T134" s="39">
        <v>129.0</v>
      </c>
      <c r="V134" s="37"/>
      <c r="X134" s="37"/>
      <c r="Z134" s="37"/>
      <c r="AB134" s="37"/>
      <c r="AC134" s="26"/>
      <c r="AD134" s="37"/>
      <c r="AF134" s="39">
        <v>50.0</v>
      </c>
      <c r="AH134" s="37"/>
      <c r="AJ134" s="59"/>
      <c r="AK134" s="26"/>
      <c r="AL134" s="37"/>
      <c r="AN134" s="37"/>
      <c r="AP134" s="37"/>
      <c r="AR134" s="37"/>
      <c r="AT134" s="37"/>
      <c r="AU134" s="26"/>
      <c r="AV134" s="35">
        <f t="shared" si="1"/>
        <v>3168.74</v>
      </c>
      <c r="AW134" s="33">
        <f t="shared" si="2"/>
        <v>291</v>
      </c>
      <c r="AX134" s="33">
        <f t="shared" si="3"/>
        <v>0</v>
      </c>
      <c r="AY134" s="33">
        <f t="shared" si="4"/>
        <v>291</v>
      </c>
      <c r="AZ134" s="30">
        <f t="shared" si="5"/>
        <v>10.88914089</v>
      </c>
    </row>
    <row r="135" ht="15.75" customHeight="1">
      <c r="A135" s="44" t="s">
        <v>46</v>
      </c>
      <c r="B135" s="45">
        <f t="shared" si="6"/>
        <v>45060</v>
      </c>
      <c r="C135" s="46">
        <v>5.0</v>
      </c>
      <c r="D135" s="46" t="s">
        <v>48</v>
      </c>
      <c r="E135" s="47"/>
      <c r="F135" s="60"/>
      <c r="G135" s="51"/>
      <c r="H135" s="61"/>
      <c r="I135" s="51"/>
      <c r="J135" s="61"/>
      <c r="K135" s="51"/>
      <c r="L135" s="61"/>
      <c r="M135" s="51"/>
      <c r="N135" s="61"/>
      <c r="O135" s="51"/>
      <c r="P135" s="61"/>
      <c r="Q135" s="53"/>
      <c r="R135" s="62"/>
      <c r="S135" s="51"/>
      <c r="T135" s="63"/>
      <c r="U135" s="51"/>
      <c r="V135" s="61"/>
      <c r="W135" s="51"/>
      <c r="X135" s="61"/>
      <c r="Y135" s="51"/>
      <c r="Z135" s="61"/>
      <c r="AA135" s="51"/>
      <c r="AB135" s="61"/>
      <c r="AC135" s="53"/>
      <c r="AD135" s="61"/>
      <c r="AE135" s="51"/>
      <c r="AF135" s="61"/>
      <c r="AG135" s="51"/>
      <c r="AH135" s="61"/>
      <c r="AI135" s="51"/>
      <c r="AJ135" s="68"/>
      <c r="AK135" s="53"/>
      <c r="AL135" s="61"/>
      <c r="AM135" s="51"/>
      <c r="AN135" s="61"/>
      <c r="AO135" s="51"/>
      <c r="AP135" s="61"/>
      <c r="AQ135" s="51"/>
      <c r="AR135" s="61"/>
      <c r="AS135" s="51"/>
      <c r="AT135" s="61"/>
      <c r="AU135" s="53"/>
      <c r="AV135" s="55">
        <f t="shared" si="1"/>
        <v>0</v>
      </c>
      <c r="AW135" s="46">
        <f t="shared" si="2"/>
        <v>0</v>
      </c>
      <c r="AX135" s="46">
        <f t="shared" si="3"/>
        <v>0</v>
      </c>
      <c r="AY135" s="46">
        <f t="shared" si="4"/>
        <v>0</v>
      </c>
      <c r="AZ135" s="56" t="str">
        <f t="shared" si="5"/>
        <v/>
      </c>
    </row>
    <row r="136" ht="15.75" customHeight="1">
      <c r="A136" s="19" t="s">
        <v>30</v>
      </c>
      <c r="B136" s="57">
        <f t="shared" si="6"/>
        <v>45061</v>
      </c>
      <c r="C136" s="21">
        <v>5.0</v>
      </c>
      <c r="D136" s="21" t="s">
        <v>49</v>
      </c>
      <c r="E136" s="23"/>
      <c r="F136" s="36"/>
      <c r="H136" s="37"/>
      <c r="J136" s="37"/>
      <c r="L136" s="37"/>
      <c r="N136" s="37"/>
      <c r="P136" s="37"/>
      <c r="Q136" s="26"/>
      <c r="R136" s="38">
        <v>110.0</v>
      </c>
      <c r="T136" s="39">
        <v>126.0</v>
      </c>
      <c r="V136" s="37"/>
      <c r="X136" s="37"/>
      <c r="Z136" s="37"/>
      <c r="AB136" s="37"/>
      <c r="AC136" s="26"/>
      <c r="AD136" s="37"/>
      <c r="AF136" s="39"/>
      <c r="AH136" s="39"/>
      <c r="AJ136" s="59"/>
      <c r="AK136" s="26"/>
      <c r="AL136" s="37"/>
      <c r="AN136" s="37"/>
      <c r="AP136" s="37"/>
      <c r="AR136" s="37"/>
      <c r="AT136" s="37"/>
      <c r="AU136" s="26"/>
      <c r="AV136" s="29">
        <f t="shared" si="1"/>
        <v>2393.04</v>
      </c>
      <c r="AW136" s="21">
        <f t="shared" si="2"/>
        <v>236</v>
      </c>
      <c r="AX136" s="21">
        <f t="shared" si="3"/>
        <v>0</v>
      </c>
      <c r="AY136" s="21">
        <f t="shared" si="4"/>
        <v>236</v>
      </c>
      <c r="AZ136" s="58">
        <f t="shared" si="5"/>
        <v>10.14</v>
      </c>
    </row>
    <row r="137" ht="15.75" customHeight="1">
      <c r="A137" s="31" t="s">
        <v>33</v>
      </c>
      <c r="B137" s="32">
        <f t="shared" si="6"/>
        <v>45062</v>
      </c>
      <c r="C137" s="33">
        <v>5.0</v>
      </c>
      <c r="D137" s="33" t="s">
        <v>49</v>
      </c>
      <c r="E137" s="34"/>
      <c r="F137" s="36"/>
      <c r="H137" s="37"/>
      <c r="J137" s="37"/>
      <c r="L137" s="37"/>
      <c r="N137" s="37"/>
      <c r="P137" s="37"/>
      <c r="Q137" s="26"/>
      <c r="R137" s="38">
        <v>113.0</v>
      </c>
      <c r="T137" s="39">
        <v>140.0</v>
      </c>
      <c r="V137" s="37"/>
      <c r="X137" s="37"/>
      <c r="Z137" s="37"/>
      <c r="AB137" s="37"/>
      <c r="AC137" s="26"/>
      <c r="AD137" s="37"/>
      <c r="AF137" s="39"/>
      <c r="AH137" s="39"/>
      <c r="AJ137" s="59"/>
      <c r="AK137" s="26"/>
      <c r="AL137" s="37"/>
      <c r="AN137" s="37"/>
      <c r="AP137" s="37"/>
      <c r="AR137" s="37"/>
      <c r="AT137" s="37"/>
      <c r="AU137" s="26"/>
      <c r="AV137" s="35">
        <f t="shared" si="1"/>
        <v>2565.42</v>
      </c>
      <c r="AW137" s="33">
        <f t="shared" si="2"/>
        <v>253</v>
      </c>
      <c r="AX137" s="33">
        <f t="shared" si="3"/>
        <v>0</v>
      </c>
      <c r="AY137" s="33">
        <f t="shared" si="4"/>
        <v>253</v>
      </c>
      <c r="AZ137" s="30">
        <f t="shared" si="5"/>
        <v>10.14</v>
      </c>
    </row>
    <row r="138" ht="15.75" customHeight="1">
      <c r="A138" s="31" t="s">
        <v>34</v>
      </c>
      <c r="B138" s="32">
        <f t="shared" si="6"/>
        <v>45063</v>
      </c>
      <c r="C138" s="33">
        <v>5.0</v>
      </c>
      <c r="D138" s="33" t="s">
        <v>49</v>
      </c>
      <c r="E138" s="34"/>
      <c r="F138" s="36"/>
      <c r="H138" s="37"/>
      <c r="J138" s="37"/>
      <c r="L138" s="37"/>
      <c r="N138" s="37"/>
      <c r="P138" s="37"/>
      <c r="Q138" s="26"/>
      <c r="R138" s="38">
        <v>117.0</v>
      </c>
      <c r="T138" s="39">
        <v>130.0</v>
      </c>
      <c r="V138" s="37"/>
      <c r="X138" s="37"/>
      <c r="Z138" s="37"/>
      <c r="AB138" s="37"/>
      <c r="AC138" s="26"/>
      <c r="AD138" s="37"/>
      <c r="AF138" s="39"/>
      <c r="AH138" s="39"/>
      <c r="AJ138" s="59"/>
      <c r="AK138" s="26"/>
      <c r="AL138" s="37"/>
      <c r="AN138" s="37"/>
      <c r="AP138" s="37"/>
      <c r="AR138" s="37"/>
      <c r="AT138" s="37"/>
      <c r="AU138" s="26"/>
      <c r="AV138" s="35">
        <f t="shared" si="1"/>
        <v>2504.58</v>
      </c>
      <c r="AW138" s="33">
        <f t="shared" si="2"/>
        <v>247</v>
      </c>
      <c r="AX138" s="33">
        <f t="shared" si="3"/>
        <v>0</v>
      </c>
      <c r="AY138" s="33">
        <f t="shared" si="4"/>
        <v>247</v>
      </c>
      <c r="AZ138" s="30">
        <f t="shared" si="5"/>
        <v>10.14</v>
      </c>
    </row>
    <row r="139" ht="15.75" customHeight="1">
      <c r="A139" s="31" t="s">
        <v>35</v>
      </c>
      <c r="B139" s="32">
        <f t="shared" si="6"/>
        <v>45064</v>
      </c>
      <c r="C139" s="33">
        <v>5.0</v>
      </c>
      <c r="D139" s="33" t="s">
        <v>49</v>
      </c>
      <c r="E139" s="34"/>
      <c r="F139" s="36"/>
      <c r="H139" s="37"/>
      <c r="J139" s="37"/>
      <c r="L139" s="37"/>
      <c r="N139" s="37"/>
      <c r="P139" s="37"/>
      <c r="Q139" s="26"/>
      <c r="R139" s="38">
        <v>120.0</v>
      </c>
      <c r="T139" s="39">
        <v>128.0</v>
      </c>
      <c r="V139" s="37"/>
      <c r="X139" s="37"/>
      <c r="Z139" s="37"/>
      <c r="AB139" s="37"/>
      <c r="AC139" s="26"/>
      <c r="AD139" s="37"/>
      <c r="AF139" s="39"/>
      <c r="AH139" s="39"/>
      <c r="AJ139" s="59"/>
      <c r="AK139" s="26"/>
      <c r="AL139" s="37"/>
      <c r="AN139" s="37"/>
      <c r="AP139" s="37"/>
      <c r="AR139" s="37"/>
      <c r="AT139" s="37"/>
      <c r="AU139" s="26"/>
      <c r="AV139" s="35">
        <f t="shared" si="1"/>
        <v>2514.72</v>
      </c>
      <c r="AW139" s="33">
        <f t="shared" si="2"/>
        <v>248</v>
      </c>
      <c r="AX139" s="33">
        <f t="shared" si="3"/>
        <v>0</v>
      </c>
      <c r="AY139" s="33">
        <f t="shared" si="4"/>
        <v>248</v>
      </c>
      <c r="AZ139" s="30">
        <f t="shared" si="5"/>
        <v>10.14</v>
      </c>
    </row>
    <row r="140" ht="15.75" customHeight="1">
      <c r="A140" s="31" t="s">
        <v>38</v>
      </c>
      <c r="B140" s="32">
        <f t="shared" si="6"/>
        <v>45065</v>
      </c>
      <c r="C140" s="33">
        <v>5.0</v>
      </c>
      <c r="D140" s="33" t="s">
        <v>49</v>
      </c>
      <c r="E140" s="34"/>
      <c r="F140" s="36"/>
      <c r="H140" s="37"/>
      <c r="J140" s="37"/>
      <c r="L140" s="37"/>
      <c r="N140" s="37"/>
      <c r="P140" s="37"/>
      <c r="Q140" s="26"/>
      <c r="R140" s="38">
        <v>123.0</v>
      </c>
      <c r="T140" s="39">
        <v>130.0</v>
      </c>
      <c r="V140" s="37"/>
      <c r="X140" s="37"/>
      <c r="Z140" s="37"/>
      <c r="AB140" s="37"/>
      <c r="AC140" s="26"/>
      <c r="AD140" s="37"/>
      <c r="AF140" s="39"/>
      <c r="AH140" s="39"/>
      <c r="AJ140" s="59"/>
      <c r="AK140" s="26"/>
      <c r="AL140" s="37"/>
      <c r="AN140" s="37"/>
      <c r="AP140" s="37"/>
      <c r="AR140" s="37"/>
      <c r="AT140" s="37"/>
      <c r="AU140" s="26"/>
      <c r="AV140" s="35">
        <f t="shared" si="1"/>
        <v>2565.42</v>
      </c>
      <c r="AW140" s="33">
        <f t="shared" si="2"/>
        <v>253</v>
      </c>
      <c r="AX140" s="33">
        <f t="shared" si="3"/>
        <v>0</v>
      </c>
      <c r="AY140" s="33">
        <f t="shared" si="4"/>
        <v>253</v>
      </c>
      <c r="AZ140" s="30">
        <f t="shared" si="5"/>
        <v>10.14</v>
      </c>
    </row>
    <row r="141" ht="15.75" customHeight="1">
      <c r="A141" s="31" t="s">
        <v>45</v>
      </c>
      <c r="B141" s="32">
        <f t="shared" si="6"/>
        <v>45066</v>
      </c>
      <c r="C141" s="33">
        <v>5.0</v>
      </c>
      <c r="D141" s="33" t="s">
        <v>49</v>
      </c>
      <c r="E141" s="34"/>
      <c r="F141" s="36"/>
      <c r="H141" s="37"/>
      <c r="J141" s="37"/>
      <c r="L141" s="37"/>
      <c r="N141" s="37"/>
      <c r="P141" s="37"/>
      <c r="Q141" s="26"/>
      <c r="R141" s="38">
        <v>109.0</v>
      </c>
      <c r="T141" s="39">
        <v>124.0</v>
      </c>
      <c r="V141" s="37"/>
      <c r="X141" s="37"/>
      <c r="Z141" s="37"/>
      <c r="AB141" s="37"/>
      <c r="AC141" s="26"/>
      <c r="AD141" s="37"/>
      <c r="AF141" s="39"/>
      <c r="AH141" s="39"/>
      <c r="AJ141" s="59"/>
      <c r="AK141" s="26"/>
      <c r="AL141" s="37"/>
      <c r="AN141" s="37"/>
      <c r="AP141" s="37"/>
      <c r="AR141" s="37"/>
      <c r="AT141" s="37"/>
      <c r="AU141" s="26"/>
      <c r="AV141" s="35">
        <f t="shared" si="1"/>
        <v>2362.62</v>
      </c>
      <c r="AW141" s="33">
        <f t="shared" si="2"/>
        <v>233</v>
      </c>
      <c r="AX141" s="33">
        <f t="shared" si="3"/>
        <v>0</v>
      </c>
      <c r="AY141" s="33">
        <f t="shared" si="4"/>
        <v>233</v>
      </c>
      <c r="AZ141" s="30">
        <f t="shared" si="5"/>
        <v>10.14</v>
      </c>
    </row>
    <row r="142" ht="15.75" customHeight="1">
      <c r="A142" s="44" t="s">
        <v>46</v>
      </c>
      <c r="B142" s="45">
        <f t="shared" si="6"/>
        <v>45067</v>
      </c>
      <c r="C142" s="46">
        <v>5.0</v>
      </c>
      <c r="D142" s="46" t="s">
        <v>49</v>
      </c>
      <c r="E142" s="47"/>
      <c r="F142" s="60"/>
      <c r="G142" s="51"/>
      <c r="H142" s="61"/>
      <c r="I142" s="51"/>
      <c r="J142" s="61"/>
      <c r="K142" s="51"/>
      <c r="L142" s="61"/>
      <c r="M142" s="51"/>
      <c r="N142" s="61"/>
      <c r="O142" s="51"/>
      <c r="P142" s="61"/>
      <c r="Q142" s="53"/>
      <c r="R142" s="62"/>
      <c r="S142" s="51"/>
      <c r="T142" s="63"/>
      <c r="U142" s="51"/>
      <c r="V142" s="61"/>
      <c r="W142" s="51"/>
      <c r="X142" s="61"/>
      <c r="Y142" s="51"/>
      <c r="Z142" s="61"/>
      <c r="AA142" s="51"/>
      <c r="AB142" s="61"/>
      <c r="AC142" s="53"/>
      <c r="AD142" s="61"/>
      <c r="AE142" s="51"/>
      <c r="AF142" s="63"/>
      <c r="AG142" s="51"/>
      <c r="AH142" s="63"/>
      <c r="AI142" s="51"/>
      <c r="AJ142" s="68"/>
      <c r="AK142" s="53"/>
      <c r="AL142" s="61"/>
      <c r="AM142" s="51"/>
      <c r="AN142" s="61"/>
      <c r="AO142" s="51"/>
      <c r="AP142" s="61"/>
      <c r="AQ142" s="51"/>
      <c r="AR142" s="61"/>
      <c r="AS142" s="51"/>
      <c r="AT142" s="61"/>
      <c r="AU142" s="53"/>
      <c r="AV142" s="55">
        <f t="shared" si="1"/>
        <v>0</v>
      </c>
      <c r="AW142" s="46">
        <f t="shared" si="2"/>
        <v>0</v>
      </c>
      <c r="AX142" s="46">
        <f t="shared" si="3"/>
        <v>0</v>
      </c>
      <c r="AY142" s="46">
        <f t="shared" si="4"/>
        <v>0</v>
      </c>
      <c r="AZ142" s="56" t="str">
        <f t="shared" si="5"/>
        <v/>
      </c>
    </row>
    <row r="143" ht="15.75" customHeight="1">
      <c r="A143" s="19" t="s">
        <v>30</v>
      </c>
      <c r="B143" s="57">
        <f t="shared" si="6"/>
        <v>45068</v>
      </c>
      <c r="C143" s="21">
        <v>6.0</v>
      </c>
      <c r="D143" s="21" t="s">
        <v>31</v>
      </c>
      <c r="E143" s="23"/>
      <c r="F143" s="36"/>
      <c r="H143" s="37"/>
      <c r="J143" s="37"/>
      <c r="L143" s="37"/>
      <c r="N143" s="37"/>
      <c r="P143" s="37"/>
      <c r="Q143" s="26"/>
      <c r="R143" s="38">
        <v>120.0</v>
      </c>
      <c r="T143" s="39">
        <v>134.0</v>
      </c>
      <c r="V143" s="37"/>
      <c r="X143" s="37"/>
      <c r="Z143" s="37"/>
      <c r="AB143" s="37"/>
      <c r="AC143" s="26"/>
      <c r="AD143" s="37"/>
      <c r="AF143" s="37"/>
      <c r="AH143" s="37"/>
      <c r="AJ143" s="59"/>
      <c r="AK143" s="26"/>
      <c r="AL143" s="37"/>
      <c r="AN143" s="37"/>
      <c r="AP143" s="37"/>
      <c r="AR143" s="37"/>
      <c r="AT143" s="37"/>
      <c r="AU143" s="26"/>
      <c r="AV143" s="29">
        <f t="shared" si="1"/>
        <v>2575.56</v>
      </c>
      <c r="AW143" s="21">
        <f t="shared" si="2"/>
        <v>254</v>
      </c>
      <c r="AX143" s="21">
        <f t="shared" si="3"/>
        <v>0</v>
      </c>
      <c r="AY143" s="21">
        <f t="shared" si="4"/>
        <v>254</v>
      </c>
      <c r="AZ143" s="58">
        <f t="shared" si="5"/>
        <v>10.14</v>
      </c>
    </row>
    <row r="144" ht="15.75" customHeight="1">
      <c r="A144" s="31" t="s">
        <v>33</v>
      </c>
      <c r="B144" s="32">
        <f t="shared" si="6"/>
        <v>45069</v>
      </c>
      <c r="C144" s="33">
        <v>6.0</v>
      </c>
      <c r="D144" s="33" t="s">
        <v>31</v>
      </c>
      <c r="E144" s="34"/>
      <c r="F144" s="36"/>
      <c r="H144" s="37"/>
      <c r="J144" s="37"/>
      <c r="L144" s="37"/>
      <c r="N144" s="37"/>
      <c r="P144" s="37"/>
      <c r="Q144" s="26"/>
      <c r="R144" s="38">
        <v>120.0</v>
      </c>
      <c r="T144" s="39">
        <v>129.0</v>
      </c>
      <c r="V144" s="37"/>
      <c r="X144" s="37"/>
      <c r="Z144" s="37"/>
      <c r="AB144" s="37"/>
      <c r="AC144" s="26"/>
      <c r="AD144" s="37"/>
      <c r="AF144" s="39">
        <v>50.0</v>
      </c>
      <c r="AH144" s="39">
        <v>50.0</v>
      </c>
      <c r="AJ144" s="59"/>
      <c r="AK144" s="26"/>
      <c r="AL144" s="37"/>
      <c r="AN144" s="37"/>
      <c r="AP144" s="37"/>
      <c r="AR144" s="37"/>
      <c r="AT144" s="37"/>
      <c r="AU144" s="26"/>
      <c r="AV144" s="35">
        <f t="shared" si="1"/>
        <v>3974.86</v>
      </c>
      <c r="AW144" s="33">
        <f t="shared" si="2"/>
        <v>349</v>
      </c>
      <c r="AX144" s="33">
        <f t="shared" si="3"/>
        <v>0</v>
      </c>
      <c r="AY144" s="33">
        <f t="shared" si="4"/>
        <v>349</v>
      </c>
      <c r="AZ144" s="30">
        <f t="shared" si="5"/>
        <v>11.38928367</v>
      </c>
    </row>
    <row r="145" ht="15.75" customHeight="1">
      <c r="A145" s="31" t="s">
        <v>34</v>
      </c>
      <c r="B145" s="32">
        <f t="shared" si="6"/>
        <v>45070</v>
      </c>
      <c r="C145" s="33">
        <v>6.0</v>
      </c>
      <c r="D145" s="33" t="s">
        <v>31</v>
      </c>
      <c r="E145" s="34"/>
      <c r="F145" s="36"/>
      <c r="H145" s="37"/>
      <c r="J145" s="37"/>
      <c r="L145" s="37"/>
      <c r="N145" s="37"/>
      <c r="P145" s="37"/>
      <c r="Q145" s="26"/>
      <c r="R145" s="38">
        <v>123.0</v>
      </c>
      <c r="T145" s="39">
        <v>135.0</v>
      </c>
      <c r="V145" s="37"/>
      <c r="X145" s="37"/>
      <c r="Z145" s="37"/>
      <c r="AB145" s="37"/>
      <c r="AC145" s="26"/>
      <c r="AD145" s="37"/>
      <c r="AF145" s="39">
        <v>50.0</v>
      </c>
      <c r="AH145" s="39">
        <v>50.0</v>
      </c>
      <c r="AJ145" s="59"/>
      <c r="AK145" s="26"/>
      <c r="AL145" s="37"/>
      <c r="AN145" s="37"/>
      <c r="AP145" s="37"/>
      <c r="AR145" s="37"/>
      <c r="AT145" s="37"/>
      <c r="AU145" s="26"/>
      <c r="AV145" s="35">
        <f t="shared" si="1"/>
        <v>4066.12</v>
      </c>
      <c r="AW145" s="33">
        <f t="shared" si="2"/>
        <v>358</v>
      </c>
      <c r="AX145" s="33">
        <f t="shared" si="3"/>
        <v>0</v>
      </c>
      <c r="AY145" s="33">
        <f t="shared" si="4"/>
        <v>358</v>
      </c>
      <c r="AZ145" s="30">
        <f t="shared" si="5"/>
        <v>11.35787709</v>
      </c>
    </row>
    <row r="146" ht="15.75" customHeight="1">
      <c r="A146" s="31" t="s">
        <v>35</v>
      </c>
      <c r="B146" s="32">
        <f t="shared" si="6"/>
        <v>45071</v>
      </c>
      <c r="C146" s="33">
        <v>6.0</v>
      </c>
      <c r="D146" s="33" t="s">
        <v>31</v>
      </c>
      <c r="E146" s="34"/>
      <c r="F146" s="36"/>
      <c r="H146" s="37"/>
      <c r="J146" s="37"/>
      <c r="L146" s="37"/>
      <c r="N146" s="37"/>
      <c r="P146" s="37"/>
      <c r="Q146" s="26"/>
      <c r="R146" s="38">
        <v>119.0</v>
      </c>
      <c r="T146" s="39">
        <v>152.0</v>
      </c>
      <c r="V146" s="37"/>
      <c r="X146" s="37"/>
      <c r="Z146" s="37"/>
      <c r="AB146" s="37"/>
      <c r="AC146" s="26"/>
      <c r="AD146" s="37"/>
      <c r="AF146" s="37"/>
      <c r="AH146" s="39">
        <v>50.0</v>
      </c>
      <c r="AJ146" s="59"/>
      <c r="AK146" s="26"/>
      <c r="AL146" s="37"/>
      <c r="AN146" s="37"/>
      <c r="AP146" s="37"/>
      <c r="AR146" s="37"/>
      <c r="AT146" s="37"/>
      <c r="AU146" s="26"/>
      <c r="AV146" s="35">
        <f t="shared" si="1"/>
        <v>3472.94</v>
      </c>
      <c r="AW146" s="33">
        <f t="shared" si="2"/>
        <v>321</v>
      </c>
      <c r="AX146" s="33">
        <f t="shared" si="3"/>
        <v>0</v>
      </c>
      <c r="AY146" s="33">
        <f t="shared" si="4"/>
        <v>321</v>
      </c>
      <c r="AZ146" s="30">
        <f t="shared" si="5"/>
        <v>10.81912773</v>
      </c>
    </row>
    <row r="147" ht="15.75" customHeight="1">
      <c r="A147" s="31" t="s">
        <v>38</v>
      </c>
      <c r="B147" s="32">
        <f t="shared" si="6"/>
        <v>45072</v>
      </c>
      <c r="C147" s="33">
        <v>6.0</v>
      </c>
      <c r="D147" s="33" t="s">
        <v>31</v>
      </c>
      <c r="E147" s="34"/>
      <c r="F147" s="36"/>
      <c r="H147" s="37"/>
      <c r="J147" s="37"/>
      <c r="L147" s="37"/>
      <c r="N147" s="37"/>
      <c r="P147" s="37"/>
      <c r="Q147" s="26"/>
      <c r="R147" s="38">
        <v>124.0</v>
      </c>
      <c r="T147" s="39">
        <v>125.0</v>
      </c>
      <c r="V147" s="37"/>
      <c r="X147" s="37"/>
      <c r="Z147" s="37"/>
      <c r="AB147" s="37"/>
      <c r="AC147" s="26"/>
      <c r="AD147" s="37"/>
      <c r="AF147" s="39">
        <v>50.0</v>
      </c>
      <c r="AH147" s="39">
        <v>50.0</v>
      </c>
      <c r="AJ147" s="59"/>
      <c r="AK147" s="26"/>
      <c r="AL147" s="37"/>
      <c r="AN147" s="37"/>
      <c r="AP147" s="37"/>
      <c r="AR147" s="37"/>
      <c r="AT147" s="37"/>
      <c r="AU147" s="26"/>
      <c r="AV147" s="35">
        <f t="shared" si="1"/>
        <v>3974.86</v>
      </c>
      <c r="AW147" s="33">
        <f t="shared" si="2"/>
        <v>349</v>
      </c>
      <c r="AX147" s="33">
        <f t="shared" si="3"/>
        <v>0</v>
      </c>
      <c r="AY147" s="33">
        <f t="shared" si="4"/>
        <v>349</v>
      </c>
      <c r="AZ147" s="30">
        <f t="shared" si="5"/>
        <v>11.38928367</v>
      </c>
    </row>
    <row r="148" ht="15.75" customHeight="1">
      <c r="A148" s="31" t="s">
        <v>45</v>
      </c>
      <c r="B148" s="32">
        <f t="shared" si="6"/>
        <v>45073</v>
      </c>
      <c r="C148" s="33">
        <v>6.0</v>
      </c>
      <c r="D148" s="33" t="s">
        <v>31</v>
      </c>
      <c r="E148" s="34"/>
      <c r="F148" s="36"/>
      <c r="H148" s="37"/>
      <c r="J148" s="37"/>
      <c r="L148" s="37"/>
      <c r="N148" s="37"/>
      <c r="P148" s="37"/>
      <c r="Q148" s="26"/>
      <c r="R148" s="38">
        <v>125.0</v>
      </c>
      <c r="T148" s="39">
        <v>118.0</v>
      </c>
      <c r="V148" s="37"/>
      <c r="X148" s="37"/>
      <c r="Z148" s="37"/>
      <c r="AB148" s="37"/>
      <c r="AC148" s="26"/>
      <c r="AD148" s="37"/>
      <c r="AF148" s="39">
        <v>50.0</v>
      </c>
      <c r="AH148" s="37"/>
      <c r="AJ148" s="59"/>
      <c r="AK148" s="26"/>
      <c r="AL148" s="37"/>
      <c r="AN148" s="37"/>
      <c r="AP148" s="37"/>
      <c r="AR148" s="37"/>
      <c r="AT148" s="37"/>
      <c r="AU148" s="26"/>
      <c r="AV148" s="35">
        <f t="shared" si="1"/>
        <v>3189.02</v>
      </c>
      <c r="AW148" s="33">
        <f t="shared" si="2"/>
        <v>293</v>
      </c>
      <c r="AX148" s="33">
        <f t="shared" si="3"/>
        <v>0</v>
      </c>
      <c r="AY148" s="33">
        <f t="shared" si="4"/>
        <v>293</v>
      </c>
      <c r="AZ148" s="30">
        <f t="shared" si="5"/>
        <v>10.8840273</v>
      </c>
    </row>
    <row r="149" ht="15.75" customHeight="1">
      <c r="A149" s="44" t="s">
        <v>46</v>
      </c>
      <c r="B149" s="45">
        <f t="shared" si="6"/>
        <v>45074</v>
      </c>
      <c r="C149" s="46">
        <v>6.0</v>
      </c>
      <c r="D149" s="46" t="s">
        <v>31</v>
      </c>
      <c r="E149" s="47"/>
      <c r="F149" s="60"/>
      <c r="G149" s="51"/>
      <c r="H149" s="61"/>
      <c r="I149" s="51"/>
      <c r="J149" s="61"/>
      <c r="K149" s="51"/>
      <c r="L149" s="61"/>
      <c r="M149" s="51"/>
      <c r="N149" s="61"/>
      <c r="O149" s="51"/>
      <c r="P149" s="61"/>
      <c r="Q149" s="53"/>
      <c r="R149" s="62"/>
      <c r="S149" s="51"/>
      <c r="T149" s="63"/>
      <c r="U149" s="51"/>
      <c r="V149" s="61"/>
      <c r="W149" s="51"/>
      <c r="X149" s="61"/>
      <c r="Y149" s="51"/>
      <c r="Z149" s="61"/>
      <c r="AA149" s="51"/>
      <c r="AB149" s="61"/>
      <c r="AC149" s="53"/>
      <c r="AD149" s="61"/>
      <c r="AE149" s="51"/>
      <c r="AF149" s="61"/>
      <c r="AG149" s="51"/>
      <c r="AH149" s="61"/>
      <c r="AI149" s="51"/>
      <c r="AJ149" s="68"/>
      <c r="AK149" s="53"/>
      <c r="AL149" s="61"/>
      <c r="AM149" s="51"/>
      <c r="AN149" s="61"/>
      <c r="AO149" s="51"/>
      <c r="AP149" s="61"/>
      <c r="AQ149" s="51"/>
      <c r="AR149" s="61"/>
      <c r="AS149" s="51"/>
      <c r="AT149" s="61"/>
      <c r="AU149" s="53"/>
      <c r="AV149" s="55">
        <f t="shared" si="1"/>
        <v>0</v>
      </c>
      <c r="AW149" s="46">
        <f t="shared" si="2"/>
        <v>0</v>
      </c>
      <c r="AX149" s="46">
        <f t="shared" si="3"/>
        <v>0</v>
      </c>
      <c r="AY149" s="46">
        <f t="shared" si="4"/>
        <v>0</v>
      </c>
      <c r="AZ149" s="56" t="str">
        <f t="shared" si="5"/>
        <v/>
      </c>
    </row>
    <row r="150" ht="15.75" customHeight="1">
      <c r="A150" s="19" t="s">
        <v>30</v>
      </c>
      <c r="B150" s="57">
        <f t="shared" si="6"/>
        <v>45075</v>
      </c>
      <c r="C150" s="21">
        <v>6.0</v>
      </c>
      <c r="D150" s="21" t="s">
        <v>47</v>
      </c>
      <c r="E150" s="23"/>
      <c r="F150" s="36"/>
      <c r="H150" s="37"/>
      <c r="J150" s="37"/>
      <c r="L150" s="37"/>
      <c r="N150" s="37"/>
      <c r="P150" s="37"/>
      <c r="Q150" s="26"/>
      <c r="R150" s="38">
        <v>102.0</v>
      </c>
      <c r="T150" s="39">
        <v>105.0</v>
      </c>
      <c r="V150" s="37"/>
      <c r="X150" s="37"/>
      <c r="Z150" s="37"/>
      <c r="AB150" s="37"/>
      <c r="AC150" s="26"/>
      <c r="AD150" s="37"/>
      <c r="AF150" s="39"/>
      <c r="AH150" s="39"/>
      <c r="AJ150" s="59"/>
      <c r="AK150" s="26"/>
      <c r="AL150" s="37"/>
      <c r="AN150" s="37"/>
      <c r="AP150" s="37"/>
      <c r="AR150" s="37"/>
      <c r="AT150" s="37"/>
      <c r="AU150" s="26"/>
      <c r="AV150" s="29">
        <f t="shared" si="1"/>
        <v>2098.98</v>
      </c>
      <c r="AW150" s="21">
        <f t="shared" si="2"/>
        <v>207</v>
      </c>
      <c r="AX150" s="21">
        <f t="shared" si="3"/>
        <v>0</v>
      </c>
      <c r="AY150" s="21">
        <f t="shared" si="4"/>
        <v>207</v>
      </c>
      <c r="AZ150" s="58">
        <f t="shared" si="5"/>
        <v>10.14</v>
      </c>
    </row>
    <row r="151" ht="15.75" customHeight="1">
      <c r="A151" s="31" t="s">
        <v>33</v>
      </c>
      <c r="B151" s="32">
        <f t="shared" si="6"/>
        <v>45076</v>
      </c>
      <c r="C151" s="33">
        <v>6.0</v>
      </c>
      <c r="D151" s="33" t="s">
        <v>47</v>
      </c>
      <c r="E151" s="34"/>
      <c r="F151" s="36"/>
      <c r="H151" s="37"/>
      <c r="J151" s="37"/>
      <c r="L151" s="37"/>
      <c r="N151" s="37"/>
      <c r="P151" s="37"/>
      <c r="Q151" s="26"/>
      <c r="R151" s="38">
        <v>118.0</v>
      </c>
      <c r="T151" s="39">
        <v>134.0</v>
      </c>
      <c r="V151" s="37"/>
      <c r="X151" s="37"/>
      <c r="Z151" s="37"/>
      <c r="AB151" s="37"/>
      <c r="AC151" s="26"/>
      <c r="AD151" s="37"/>
      <c r="AF151" s="39"/>
      <c r="AH151" s="39"/>
      <c r="AJ151" s="59"/>
      <c r="AK151" s="26"/>
      <c r="AL151" s="37"/>
      <c r="AN151" s="37"/>
      <c r="AP151" s="37"/>
      <c r="AR151" s="37"/>
      <c r="AT151" s="37"/>
      <c r="AU151" s="26"/>
      <c r="AV151" s="35">
        <f t="shared" si="1"/>
        <v>2555.28</v>
      </c>
      <c r="AW151" s="33">
        <f t="shared" si="2"/>
        <v>252</v>
      </c>
      <c r="AX151" s="33">
        <f t="shared" si="3"/>
        <v>0</v>
      </c>
      <c r="AY151" s="33">
        <f t="shared" si="4"/>
        <v>252</v>
      </c>
      <c r="AZ151" s="30">
        <f t="shared" si="5"/>
        <v>10.14</v>
      </c>
    </row>
    <row r="152" ht="15.75" customHeight="1">
      <c r="A152" s="31" t="s">
        <v>34</v>
      </c>
      <c r="B152" s="32">
        <f t="shared" si="6"/>
        <v>45077</v>
      </c>
      <c r="C152" s="33">
        <v>6.0</v>
      </c>
      <c r="D152" s="33" t="s">
        <v>47</v>
      </c>
      <c r="E152" s="34"/>
      <c r="F152" s="36"/>
      <c r="H152" s="37"/>
      <c r="J152" s="37"/>
      <c r="L152" s="37"/>
      <c r="N152" s="37"/>
      <c r="P152" s="37"/>
      <c r="Q152" s="26"/>
      <c r="R152" s="38">
        <v>123.0</v>
      </c>
      <c r="T152" s="39">
        <v>142.0</v>
      </c>
      <c r="V152" s="37"/>
      <c r="X152" s="37"/>
      <c r="Z152" s="37"/>
      <c r="AB152" s="37"/>
      <c r="AC152" s="26"/>
      <c r="AD152" s="37"/>
      <c r="AF152" s="39"/>
      <c r="AH152" s="39"/>
      <c r="AJ152" s="59"/>
      <c r="AK152" s="26"/>
      <c r="AL152" s="37"/>
      <c r="AN152" s="37"/>
      <c r="AP152" s="37"/>
      <c r="AR152" s="37"/>
      <c r="AT152" s="37"/>
      <c r="AU152" s="26"/>
      <c r="AV152" s="35">
        <f t="shared" si="1"/>
        <v>2687.1</v>
      </c>
      <c r="AW152" s="33">
        <f t="shared" si="2"/>
        <v>265</v>
      </c>
      <c r="AX152" s="33">
        <f t="shared" si="3"/>
        <v>0</v>
      </c>
      <c r="AY152" s="33">
        <f t="shared" si="4"/>
        <v>265</v>
      </c>
      <c r="AZ152" s="30">
        <f t="shared" si="5"/>
        <v>10.14</v>
      </c>
    </row>
    <row r="153" ht="15.75" customHeight="1">
      <c r="A153" s="31" t="s">
        <v>35</v>
      </c>
      <c r="B153" s="32">
        <f t="shared" si="6"/>
        <v>45078</v>
      </c>
      <c r="C153" s="33">
        <v>6.0</v>
      </c>
      <c r="D153" s="33" t="s">
        <v>47</v>
      </c>
      <c r="E153" s="34"/>
      <c r="F153" s="36"/>
      <c r="H153" s="37"/>
      <c r="J153" s="37"/>
      <c r="L153" s="37"/>
      <c r="N153" s="37"/>
      <c r="P153" s="37"/>
      <c r="Q153" s="26"/>
      <c r="R153" s="38">
        <v>138.0</v>
      </c>
      <c r="T153" s="39">
        <v>135.0</v>
      </c>
      <c r="V153" s="37"/>
      <c r="X153" s="37"/>
      <c r="Z153" s="37"/>
      <c r="AB153" s="37"/>
      <c r="AC153" s="26"/>
      <c r="AD153" s="37"/>
      <c r="AF153" s="39"/>
      <c r="AH153" s="39"/>
      <c r="AJ153" s="59"/>
      <c r="AK153" s="26"/>
      <c r="AL153" s="37"/>
      <c r="AN153" s="37"/>
      <c r="AP153" s="37"/>
      <c r="AR153" s="37"/>
      <c r="AT153" s="37"/>
      <c r="AU153" s="26"/>
      <c r="AV153" s="35">
        <f t="shared" si="1"/>
        <v>2768.22</v>
      </c>
      <c r="AW153" s="33">
        <f t="shared" si="2"/>
        <v>273</v>
      </c>
      <c r="AX153" s="33">
        <f t="shared" si="3"/>
        <v>0</v>
      </c>
      <c r="AY153" s="33">
        <f t="shared" si="4"/>
        <v>273</v>
      </c>
      <c r="AZ153" s="30">
        <f t="shared" si="5"/>
        <v>10.14</v>
      </c>
    </row>
    <row r="154" ht="15.75" customHeight="1">
      <c r="A154" s="31" t="s">
        <v>38</v>
      </c>
      <c r="B154" s="32">
        <f t="shared" si="6"/>
        <v>45079</v>
      </c>
      <c r="C154" s="33">
        <v>6.0</v>
      </c>
      <c r="D154" s="33" t="s">
        <v>47</v>
      </c>
      <c r="E154" s="34"/>
      <c r="F154" s="36"/>
      <c r="H154" s="37"/>
      <c r="J154" s="37"/>
      <c r="L154" s="37"/>
      <c r="N154" s="37"/>
      <c r="P154" s="37"/>
      <c r="Q154" s="26"/>
      <c r="R154" s="38">
        <v>131.0</v>
      </c>
      <c r="T154" s="39">
        <v>145.0</v>
      </c>
      <c r="V154" s="37"/>
      <c r="X154" s="37"/>
      <c r="Z154" s="37"/>
      <c r="AB154" s="37"/>
      <c r="AC154" s="26"/>
      <c r="AD154" s="37"/>
      <c r="AF154" s="39"/>
      <c r="AH154" s="39"/>
      <c r="AJ154" s="59"/>
      <c r="AK154" s="26"/>
      <c r="AL154" s="37"/>
      <c r="AN154" s="37"/>
      <c r="AP154" s="37"/>
      <c r="AR154" s="37"/>
      <c r="AT154" s="37"/>
      <c r="AU154" s="26"/>
      <c r="AV154" s="35">
        <f t="shared" si="1"/>
        <v>2798.64</v>
      </c>
      <c r="AW154" s="33">
        <f t="shared" si="2"/>
        <v>276</v>
      </c>
      <c r="AX154" s="33">
        <f t="shared" si="3"/>
        <v>0</v>
      </c>
      <c r="AY154" s="33">
        <f t="shared" si="4"/>
        <v>276</v>
      </c>
      <c r="AZ154" s="30">
        <f t="shared" si="5"/>
        <v>10.14</v>
      </c>
    </row>
    <row r="155" ht="15.75" customHeight="1">
      <c r="A155" s="31" t="s">
        <v>45</v>
      </c>
      <c r="B155" s="32">
        <f t="shared" si="6"/>
        <v>45080</v>
      </c>
      <c r="C155" s="33">
        <v>6.0</v>
      </c>
      <c r="D155" s="33" t="s">
        <v>47</v>
      </c>
      <c r="E155" s="34"/>
      <c r="F155" s="36"/>
      <c r="H155" s="37"/>
      <c r="J155" s="37"/>
      <c r="L155" s="37"/>
      <c r="N155" s="37"/>
      <c r="P155" s="37"/>
      <c r="Q155" s="26"/>
      <c r="R155" s="38">
        <v>103.0</v>
      </c>
      <c r="T155" s="39">
        <v>106.0</v>
      </c>
      <c r="V155" s="37"/>
      <c r="X155" s="37"/>
      <c r="Z155" s="37"/>
      <c r="AB155" s="37"/>
      <c r="AC155" s="26"/>
      <c r="AD155" s="37"/>
      <c r="AF155" s="39"/>
      <c r="AH155" s="39"/>
      <c r="AJ155" s="59"/>
      <c r="AK155" s="26"/>
      <c r="AL155" s="37"/>
      <c r="AN155" s="37"/>
      <c r="AP155" s="37"/>
      <c r="AR155" s="37"/>
      <c r="AT155" s="37"/>
      <c r="AU155" s="26"/>
      <c r="AV155" s="35">
        <f t="shared" si="1"/>
        <v>2119.26</v>
      </c>
      <c r="AW155" s="33">
        <f t="shared" si="2"/>
        <v>209</v>
      </c>
      <c r="AX155" s="33">
        <f t="shared" si="3"/>
        <v>0</v>
      </c>
      <c r="AY155" s="33">
        <f t="shared" si="4"/>
        <v>209</v>
      </c>
      <c r="AZ155" s="30">
        <f t="shared" si="5"/>
        <v>10.14</v>
      </c>
    </row>
    <row r="156" ht="15.75" customHeight="1">
      <c r="A156" s="44" t="s">
        <v>46</v>
      </c>
      <c r="B156" s="45">
        <f t="shared" si="6"/>
        <v>45081</v>
      </c>
      <c r="C156" s="46">
        <v>6.0</v>
      </c>
      <c r="D156" s="46" t="s">
        <v>47</v>
      </c>
      <c r="E156" s="47"/>
      <c r="F156" s="60"/>
      <c r="G156" s="51"/>
      <c r="H156" s="61"/>
      <c r="I156" s="51"/>
      <c r="J156" s="61"/>
      <c r="K156" s="51"/>
      <c r="L156" s="61"/>
      <c r="M156" s="51"/>
      <c r="N156" s="61"/>
      <c r="O156" s="51"/>
      <c r="P156" s="61"/>
      <c r="Q156" s="53"/>
      <c r="R156" s="62"/>
      <c r="S156" s="51"/>
      <c r="T156" s="63"/>
      <c r="U156" s="51"/>
      <c r="V156" s="61"/>
      <c r="W156" s="51"/>
      <c r="X156" s="61"/>
      <c r="Y156" s="51"/>
      <c r="Z156" s="61"/>
      <c r="AA156" s="51"/>
      <c r="AB156" s="61"/>
      <c r="AC156" s="53"/>
      <c r="AD156" s="61"/>
      <c r="AE156" s="51"/>
      <c r="AF156" s="63"/>
      <c r="AG156" s="51"/>
      <c r="AH156" s="63"/>
      <c r="AI156" s="51"/>
      <c r="AJ156" s="68"/>
      <c r="AK156" s="53"/>
      <c r="AL156" s="61"/>
      <c r="AM156" s="51"/>
      <c r="AN156" s="61"/>
      <c r="AO156" s="51"/>
      <c r="AP156" s="61"/>
      <c r="AQ156" s="51"/>
      <c r="AR156" s="61"/>
      <c r="AS156" s="51"/>
      <c r="AT156" s="61"/>
      <c r="AU156" s="53"/>
      <c r="AV156" s="55">
        <f t="shared" si="1"/>
        <v>0</v>
      </c>
      <c r="AW156" s="46">
        <f t="shared" si="2"/>
        <v>0</v>
      </c>
      <c r="AX156" s="46">
        <f t="shared" si="3"/>
        <v>0</v>
      </c>
      <c r="AY156" s="46">
        <f t="shared" si="4"/>
        <v>0</v>
      </c>
      <c r="AZ156" s="56" t="str">
        <f t="shared" si="5"/>
        <v/>
      </c>
    </row>
    <row r="157" ht="15.75" customHeight="1">
      <c r="A157" s="19" t="s">
        <v>30</v>
      </c>
      <c r="B157" s="57">
        <f t="shared" si="6"/>
        <v>45082</v>
      </c>
      <c r="C157" s="21">
        <v>6.0</v>
      </c>
      <c r="D157" s="21" t="s">
        <v>48</v>
      </c>
      <c r="E157" s="23"/>
      <c r="F157" s="36"/>
      <c r="H157" s="37"/>
      <c r="J157" s="37"/>
      <c r="L157" s="37"/>
      <c r="N157" s="37"/>
      <c r="P157" s="37"/>
      <c r="Q157" s="26"/>
      <c r="R157" s="38">
        <v>134.0</v>
      </c>
      <c r="T157" s="39">
        <v>156.0</v>
      </c>
      <c r="V157" s="37"/>
      <c r="X157" s="37"/>
      <c r="Z157" s="37"/>
      <c r="AB157" s="37"/>
      <c r="AC157" s="26"/>
      <c r="AD157" s="37"/>
      <c r="AF157" s="37"/>
      <c r="AH157" s="37"/>
      <c r="AJ157" s="59"/>
      <c r="AK157" s="26"/>
      <c r="AL157" s="37"/>
      <c r="AN157" s="37"/>
      <c r="AP157" s="37"/>
      <c r="AR157" s="37"/>
      <c r="AT157" s="37"/>
      <c r="AU157" s="26"/>
      <c r="AV157" s="29">
        <f t="shared" si="1"/>
        <v>2940.6</v>
      </c>
      <c r="AW157" s="21">
        <f t="shared" si="2"/>
        <v>290</v>
      </c>
      <c r="AX157" s="21">
        <f t="shared" si="3"/>
        <v>0</v>
      </c>
      <c r="AY157" s="21">
        <f t="shared" si="4"/>
        <v>290</v>
      </c>
      <c r="AZ157" s="58">
        <f t="shared" si="5"/>
        <v>10.14</v>
      </c>
    </row>
    <row r="158" ht="15.75" customHeight="1">
      <c r="A158" s="31" t="s">
        <v>33</v>
      </c>
      <c r="B158" s="32">
        <f t="shared" si="6"/>
        <v>45083</v>
      </c>
      <c r="C158" s="33">
        <v>6.0</v>
      </c>
      <c r="D158" s="33" t="s">
        <v>48</v>
      </c>
      <c r="E158" s="34"/>
      <c r="F158" s="36"/>
      <c r="H158" s="37"/>
      <c r="J158" s="37"/>
      <c r="L158" s="37"/>
      <c r="N158" s="37"/>
      <c r="P158" s="37"/>
      <c r="Q158" s="26"/>
      <c r="R158" s="38">
        <v>125.0</v>
      </c>
      <c r="T158" s="39">
        <v>133.0</v>
      </c>
      <c r="V158" s="37"/>
      <c r="X158" s="37"/>
      <c r="Z158" s="37"/>
      <c r="AB158" s="37"/>
      <c r="AC158" s="26"/>
      <c r="AD158" s="37"/>
      <c r="AF158" s="37"/>
      <c r="AH158" s="37"/>
      <c r="AJ158" s="59"/>
      <c r="AK158" s="26"/>
      <c r="AL158" s="37"/>
      <c r="AN158" s="37"/>
      <c r="AP158" s="37"/>
      <c r="AR158" s="37"/>
      <c r="AT158" s="37"/>
      <c r="AU158" s="26"/>
      <c r="AV158" s="35">
        <f t="shared" si="1"/>
        <v>2616.12</v>
      </c>
      <c r="AW158" s="33">
        <f t="shared" si="2"/>
        <v>258</v>
      </c>
      <c r="AX158" s="33">
        <f t="shared" si="3"/>
        <v>0</v>
      </c>
      <c r="AY158" s="33">
        <f t="shared" si="4"/>
        <v>258</v>
      </c>
      <c r="AZ158" s="30">
        <f t="shared" si="5"/>
        <v>10.14</v>
      </c>
    </row>
    <row r="159" ht="15.75" customHeight="1">
      <c r="A159" s="31" t="s">
        <v>34</v>
      </c>
      <c r="B159" s="32">
        <f t="shared" si="6"/>
        <v>45084</v>
      </c>
      <c r="C159" s="33">
        <v>6.0</v>
      </c>
      <c r="D159" s="33" t="s">
        <v>48</v>
      </c>
      <c r="E159" s="34"/>
      <c r="F159" s="36"/>
      <c r="H159" s="37"/>
      <c r="J159" s="37"/>
      <c r="L159" s="37"/>
      <c r="N159" s="37"/>
      <c r="P159" s="37"/>
      <c r="Q159" s="26"/>
      <c r="R159" s="38">
        <v>135.0</v>
      </c>
      <c r="T159" s="39">
        <v>149.0</v>
      </c>
      <c r="V159" s="37"/>
      <c r="X159" s="37"/>
      <c r="Z159" s="37"/>
      <c r="AB159" s="37"/>
      <c r="AC159" s="26"/>
      <c r="AD159" s="37"/>
      <c r="AF159" s="37"/>
      <c r="AH159" s="37"/>
      <c r="AJ159" s="59"/>
      <c r="AK159" s="26"/>
      <c r="AL159" s="37"/>
      <c r="AN159" s="37"/>
      <c r="AP159" s="37"/>
      <c r="AR159" s="37"/>
      <c r="AT159" s="37"/>
      <c r="AU159" s="26"/>
      <c r="AV159" s="35">
        <f t="shared" si="1"/>
        <v>2879.76</v>
      </c>
      <c r="AW159" s="33">
        <f t="shared" si="2"/>
        <v>284</v>
      </c>
      <c r="AX159" s="33">
        <f t="shared" si="3"/>
        <v>0</v>
      </c>
      <c r="AY159" s="33">
        <f t="shared" si="4"/>
        <v>284</v>
      </c>
      <c r="AZ159" s="30">
        <f t="shared" si="5"/>
        <v>10.14</v>
      </c>
    </row>
    <row r="160" ht="15.75" customHeight="1">
      <c r="A160" s="31" t="s">
        <v>35</v>
      </c>
      <c r="B160" s="32">
        <f t="shared" si="6"/>
        <v>45085</v>
      </c>
      <c r="C160" s="33">
        <v>6.0</v>
      </c>
      <c r="D160" s="33" t="s">
        <v>48</v>
      </c>
      <c r="E160" s="34"/>
      <c r="F160" s="36"/>
      <c r="H160" s="37"/>
      <c r="J160" s="37"/>
      <c r="L160" s="37"/>
      <c r="N160" s="37"/>
      <c r="P160" s="37"/>
      <c r="Q160" s="26"/>
      <c r="R160" s="38">
        <v>119.0</v>
      </c>
      <c r="T160" s="39">
        <v>124.0</v>
      </c>
      <c r="V160" s="37"/>
      <c r="X160" s="37"/>
      <c r="Z160" s="37"/>
      <c r="AB160" s="37"/>
      <c r="AC160" s="26"/>
      <c r="AD160" s="37"/>
      <c r="AF160" s="37"/>
      <c r="AH160" s="37"/>
      <c r="AJ160" s="59"/>
      <c r="AK160" s="26"/>
      <c r="AL160" s="37"/>
      <c r="AN160" s="37"/>
      <c r="AP160" s="37"/>
      <c r="AR160" s="37"/>
      <c r="AT160" s="37"/>
      <c r="AU160" s="26"/>
      <c r="AV160" s="35">
        <f t="shared" si="1"/>
        <v>2464.02</v>
      </c>
      <c r="AW160" s="33">
        <f t="shared" si="2"/>
        <v>243</v>
      </c>
      <c r="AX160" s="33">
        <f t="shared" si="3"/>
        <v>0</v>
      </c>
      <c r="AY160" s="33">
        <f t="shared" si="4"/>
        <v>243</v>
      </c>
      <c r="AZ160" s="30">
        <f t="shared" si="5"/>
        <v>10.14</v>
      </c>
    </row>
    <row r="161" ht="15.75" customHeight="1">
      <c r="A161" s="31" t="s">
        <v>38</v>
      </c>
      <c r="B161" s="32">
        <f t="shared" si="6"/>
        <v>45086</v>
      </c>
      <c r="C161" s="33">
        <v>6.0</v>
      </c>
      <c r="D161" s="33" t="s">
        <v>48</v>
      </c>
      <c r="E161" s="34"/>
      <c r="F161" s="36"/>
      <c r="H161" s="37"/>
      <c r="J161" s="37"/>
      <c r="L161" s="37"/>
      <c r="N161" s="37"/>
      <c r="P161" s="37"/>
      <c r="Q161" s="26"/>
      <c r="R161" s="38">
        <v>108.0</v>
      </c>
      <c r="T161" s="39">
        <v>96.0</v>
      </c>
      <c r="V161" s="37"/>
      <c r="X161" s="37"/>
      <c r="Z161" s="37"/>
      <c r="AB161" s="37"/>
      <c r="AC161" s="26"/>
      <c r="AD161" s="37"/>
      <c r="AF161" s="37"/>
      <c r="AH161" s="37"/>
      <c r="AJ161" s="59"/>
      <c r="AK161" s="26"/>
      <c r="AL161" s="37"/>
      <c r="AN161" s="37"/>
      <c r="AP161" s="37"/>
      <c r="AR161" s="37"/>
      <c r="AT161" s="37"/>
      <c r="AU161" s="26"/>
      <c r="AV161" s="35">
        <f t="shared" si="1"/>
        <v>2068.56</v>
      </c>
      <c r="AW161" s="33">
        <f t="shared" si="2"/>
        <v>204</v>
      </c>
      <c r="AX161" s="33">
        <f t="shared" si="3"/>
        <v>0</v>
      </c>
      <c r="AY161" s="33">
        <f t="shared" si="4"/>
        <v>204</v>
      </c>
      <c r="AZ161" s="30">
        <f t="shared" si="5"/>
        <v>10.14</v>
      </c>
    </row>
    <row r="162" ht="15.75" customHeight="1">
      <c r="A162" s="31" t="s">
        <v>45</v>
      </c>
      <c r="B162" s="32">
        <f t="shared" si="6"/>
        <v>45087</v>
      </c>
      <c r="C162" s="33">
        <v>6.0</v>
      </c>
      <c r="D162" s="33" t="s">
        <v>48</v>
      </c>
      <c r="E162" s="34"/>
      <c r="F162" s="36"/>
      <c r="H162" s="37"/>
      <c r="J162" s="37"/>
      <c r="L162" s="37"/>
      <c r="N162" s="37"/>
      <c r="P162" s="37"/>
      <c r="Q162" s="26"/>
      <c r="R162" s="38">
        <v>106.0</v>
      </c>
      <c r="T162" s="39">
        <v>112.0</v>
      </c>
      <c r="V162" s="37"/>
      <c r="X162" s="37"/>
      <c r="Z162" s="37"/>
      <c r="AB162" s="37"/>
      <c r="AC162" s="26"/>
      <c r="AD162" s="37"/>
      <c r="AF162" s="37"/>
      <c r="AH162" s="37"/>
      <c r="AJ162" s="59"/>
      <c r="AK162" s="26"/>
      <c r="AL162" s="37"/>
      <c r="AN162" s="37"/>
      <c r="AP162" s="37"/>
      <c r="AR162" s="37"/>
      <c r="AT162" s="37"/>
      <c r="AU162" s="26"/>
      <c r="AV162" s="35">
        <f t="shared" si="1"/>
        <v>2210.52</v>
      </c>
      <c r="AW162" s="33">
        <f t="shared" si="2"/>
        <v>218</v>
      </c>
      <c r="AX162" s="33">
        <f t="shared" si="3"/>
        <v>0</v>
      </c>
      <c r="AY162" s="33">
        <f t="shared" si="4"/>
        <v>218</v>
      </c>
      <c r="AZ162" s="30">
        <f t="shared" si="5"/>
        <v>10.14</v>
      </c>
    </row>
    <row r="163" ht="15.75" customHeight="1">
      <c r="A163" s="44" t="s">
        <v>46</v>
      </c>
      <c r="B163" s="45">
        <f t="shared" si="6"/>
        <v>45088</v>
      </c>
      <c r="C163" s="46">
        <v>6.0</v>
      </c>
      <c r="D163" s="46" t="s">
        <v>48</v>
      </c>
      <c r="E163" s="47"/>
      <c r="F163" s="60"/>
      <c r="G163" s="51"/>
      <c r="H163" s="61"/>
      <c r="I163" s="51"/>
      <c r="J163" s="61"/>
      <c r="K163" s="51"/>
      <c r="L163" s="61"/>
      <c r="M163" s="51"/>
      <c r="N163" s="61"/>
      <c r="O163" s="51"/>
      <c r="P163" s="61"/>
      <c r="Q163" s="53"/>
      <c r="R163" s="62"/>
      <c r="S163" s="51"/>
      <c r="T163" s="63"/>
      <c r="U163" s="51"/>
      <c r="V163" s="61"/>
      <c r="W163" s="51"/>
      <c r="X163" s="61"/>
      <c r="Y163" s="51"/>
      <c r="Z163" s="61"/>
      <c r="AA163" s="51"/>
      <c r="AB163" s="61"/>
      <c r="AC163" s="53"/>
      <c r="AD163" s="61"/>
      <c r="AE163" s="51"/>
      <c r="AF163" s="61"/>
      <c r="AG163" s="51"/>
      <c r="AH163" s="61"/>
      <c r="AI163" s="51"/>
      <c r="AJ163" s="68"/>
      <c r="AK163" s="53"/>
      <c r="AL163" s="61"/>
      <c r="AM163" s="51"/>
      <c r="AN163" s="61"/>
      <c r="AO163" s="51"/>
      <c r="AP163" s="61"/>
      <c r="AQ163" s="51"/>
      <c r="AR163" s="61"/>
      <c r="AS163" s="51"/>
      <c r="AT163" s="61"/>
      <c r="AU163" s="53"/>
      <c r="AV163" s="55">
        <f t="shared" si="1"/>
        <v>0</v>
      </c>
      <c r="AW163" s="46">
        <f t="shared" si="2"/>
        <v>0</v>
      </c>
      <c r="AX163" s="46">
        <f t="shared" si="3"/>
        <v>0</v>
      </c>
      <c r="AY163" s="46">
        <f t="shared" si="4"/>
        <v>0</v>
      </c>
      <c r="AZ163" s="56" t="str">
        <f t="shared" si="5"/>
        <v/>
      </c>
    </row>
    <row r="164" ht="15.75" customHeight="1">
      <c r="A164" s="19" t="s">
        <v>30</v>
      </c>
      <c r="B164" s="57">
        <f t="shared" si="6"/>
        <v>45089</v>
      </c>
      <c r="C164" s="21">
        <v>6.0</v>
      </c>
      <c r="D164" s="21" t="s">
        <v>49</v>
      </c>
      <c r="E164" s="23"/>
      <c r="F164" s="36"/>
      <c r="H164" s="37"/>
      <c r="J164" s="37"/>
      <c r="L164" s="37"/>
      <c r="N164" s="37"/>
      <c r="P164" s="37"/>
      <c r="Q164" s="26"/>
      <c r="R164" s="38">
        <v>101.0</v>
      </c>
      <c r="T164" s="39">
        <v>120.0</v>
      </c>
      <c r="V164" s="37"/>
      <c r="X164" s="37"/>
      <c r="Z164" s="37"/>
      <c r="AB164" s="37"/>
      <c r="AC164" s="26"/>
      <c r="AD164" s="37"/>
      <c r="AF164" s="39"/>
      <c r="AH164" s="39"/>
      <c r="AJ164" s="59"/>
      <c r="AK164" s="26"/>
      <c r="AL164" s="37"/>
      <c r="AN164" s="37"/>
      <c r="AP164" s="37"/>
      <c r="AR164" s="37"/>
      <c r="AT164" s="37"/>
      <c r="AU164" s="26"/>
      <c r="AV164" s="29">
        <f t="shared" si="1"/>
        <v>2240.94</v>
      </c>
      <c r="AW164" s="21">
        <f t="shared" si="2"/>
        <v>221</v>
      </c>
      <c r="AX164" s="21">
        <f t="shared" si="3"/>
        <v>0</v>
      </c>
      <c r="AY164" s="21">
        <f t="shared" si="4"/>
        <v>221</v>
      </c>
      <c r="AZ164" s="58">
        <f t="shared" si="5"/>
        <v>10.14</v>
      </c>
    </row>
    <row r="165" ht="15.75" customHeight="1">
      <c r="A165" s="31" t="s">
        <v>33</v>
      </c>
      <c r="B165" s="32">
        <f t="shared" si="6"/>
        <v>45090</v>
      </c>
      <c r="C165" s="33">
        <v>6.0</v>
      </c>
      <c r="D165" s="33" t="s">
        <v>49</v>
      </c>
      <c r="E165" s="34"/>
      <c r="F165" s="36"/>
      <c r="H165" s="37"/>
      <c r="J165" s="37"/>
      <c r="L165" s="37"/>
      <c r="N165" s="37"/>
      <c r="P165" s="37"/>
      <c r="Q165" s="26"/>
      <c r="R165" s="38">
        <v>92.0</v>
      </c>
      <c r="T165" s="39">
        <v>113.0</v>
      </c>
      <c r="V165" s="37"/>
      <c r="X165" s="37"/>
      <c r="Z165" s="37"/>
      <c r="AB165" s="37"/>
      <c r="AC165" s="26"/>
      <c r="AD165" s="37"/>
      <c r="AF165" s="39">
        <v>50.0</v>
      </c>
      <c r="AH165" s="39">
        <v>50.0</v>
      </c>
      <c r="AJ165" s="59"/>
      <c r="AK165" s="26"/>
      <c r="AL165" s="37"/>
      <c r="AN165" s="37"/>
      <c r="AP165" s="37"/>
      <c r="AR165" s="37"/>
      <c r="AT165" s="37"/>
      <c r="AU165" s="26"/>
      <c r="AV165" s="35">
        <f t="shared" si="1"/>
        <v>3528.7</v>
      </c>
      <c r="AW165" s="33">
        <f t="shared" si="2"/>
        <v>305</v>
      </c>
      <c r="AX165" s="33">
        <f t="shared" si="3"/>
        <v>0</v>
      </c>
      <c r="AY165" s="33">
        <f t="shared" si="4"/>
        <v>305</v>
      </c>
      <c r="AZ165" s="30">
        <f t="shared" si="5"/>
        <v>11.5695082</v>
      </c>
    </row>
    <row r="166" ht="15.75" customHeight="1">
      <c r="A166" s="31" t="s">
        <v>34</v>
      </c>
      <c r="B166" s="32">
        <f t="shared" si="6"/>
        <v>45091</v>
      </c>
      <c r="C166" s="33">
        <v>6.0</v>
      </c>
      <c r="D166" s="33" t="s">
        <v>49</v>
      </c>
      <c r="E166" s="34"/>
      <c r="F166" s="36"/>
      <c r="H166" s="37"/>
      <c r="J166" s="37"/>
      <c r="L166" s="37"/>
      <c r="N166" s="37"/>
      <c r="P166" s="37"/>
      <c r="Q166" s="26"/>
      <c r="R166" s="38">
        <v>98.0</v>
      </c>
      <c r="T166" s="39">
        <v>109.0</v>
      </c>
      <c r="V166" s="37"/>
      <c r="X166" s="37"/>
      <c r="Z166" s="37"/>
      <c r="AB166" s="37"/>
      <c r="AC166" s="26"/>
      <c r="AD166" s="37"/>
      <c r="AF166" s="39">
        <v>50.0</v>
      </c>
      <c r="AH166" s="39">
        <v>50.0</v>
      </c>
      <c r="AJ166" s="59"/>
      <c r="AK166" s="26"/>
      <c r="AL166" s="37"/>
      <c r="AN166" s="37"/>
      <c r="AP166" s="37"/>
      <c r="AR166" s="37"/>
      <c r="AT166" s="37"/>
      <c r="AU166" s="26"/>
      <c r="AV166" s="35">
        <f t="shared" si="1"/>
        <v>3548.98</v>
      </c>
      <c r="AW166" s="33">
        <f t="shared" si="2"/>
        <v>307</v>
      </c>
      <c r="AX166" s="33">
        <f t="shared" si="3"/>
        <v>0</v>
      </c>
      <c r="AY166" s="33">
        <f t="shared" si="4"/>
        <v>307</v>
      </c>
      <c r="AZ166" s="30">
        <f t="shared" si="5"/>
        <v>11.56019544</v>
      </c>
    </row>
    <row r="167" ht="15.75" customHeight="1">
      <c r="A167" s="31" t="s">
        <v>35</v>
      </c>
      <c r="B167" s="32">
        <f t="shared" si="6"/>
        <v>45092</v>
      </c>
      <c r="C167" s="33">
        <v>6.0</v>
      </c>
      <c r="D167" s="33" t="s">
        <v>49</v>
      </c>
      <c r="E167" s="34"/>
      <c r="F167" s="36"/>
      <c r="H167" s="37"/>
      <c r="J167" s="37"/>
      <c r="L167" s="37"/>
      <c r="N167" s="37"/>
      <c r="P167" s="37"/>
      <c r="Q167" s="26"/>
      <c r="R167" s="38">
        <v>120.0</v>
      </c>
      <c r="T167" s="39">
        <v>132.0</v>
      </c>
      <c r="V167" s="37"/>
      <c r="X167" s="37"/>
      <c r="Z167" s="37"/>
      <c r="AB167" s="37"/>
      <c r="AC167" s="26"/>
      <c r="AD167" s="37"/>
      <c r="AF167" s="37"/>
      <c r="AH167" s="39">
        <v>50.0</v>
      </c>
      <c r="AJ167" s="59"/>
      <c r="AK167" s="26"/>
      <c r="AL167" s="37"/>
      <c r="AN167" s="37"/>
      <c r="AP167" s="37"/>
      <c r="AR167" s="37"/>
      <c r="AT167" s="37"/>
      <c r="AU167" s="26"/>
      <c r="AV167" s="35">
        <f t="shared" si="1"/>
        <v>3280.28</v>
      </c>
      <c r="AW167" s="33">
        <f t="shared" si="2"/>
        <v>302</v>
      </c>
      <c r="AX167" s="33">
        <f t="shared" si="3"/>
        <v>0</v>
      </c>
      <c r="AY167" s="33">
        <f t="shared" si="4"/>
        <v>302</v>
      </c>
      <c r="AZ167" s="30">
        <f t="shared" si="5"/>
        <v>10.8618543</v>
      </c>
    </row>
    <row r="168" ht="15.75" customHeight="1">
      <c r="A168" s="31" t="s">
        <v>38</v>
      </c>
      <c r="B168" s="32">
        <f t="shared" si="6"/>
        <v>45093</v>
      </c>
      <c r="C168" s="33">
        <v>6.0</v>
      </c>
      <c r="D168" s="33" t="s">
        <v>49</v>
      </c>
      <c r="E168" s="34"/>
      <c r="F168" s="36"/>
      <c r="H168" s="37"/>
      <c r="J168" s="37"/>
      <c r="L168" s="37"/>
      <c r="N168" s="37"/>
      <c r="P168" s="37"/>
      <c r="Q168" s="26"/>
      <c r="R168" s="38">
        <v>102.0</v>
      </c>
      <c r="T168" s="39">
        <v>95.0</v>
      </c>
      <c r="V168" s="37"/>
      <c r="X168" s="37"/>
      <c r="Z168" s="37"/>
      <c r="AB168" s="37"/>
      <c r="AC168" s="26"/>
      <c r="AD168" s="37"/>
      <c r="AF168" s="39">
        <v>50.0</v>
      </c>
      <c r="AH168" s="39">
        <v>50.0</v>
      </c>
      <c r="AJ168" s="59"/>
      <c r="AK168" s="26"/>
      <c r="AL168" s="37"/>
      <c r="AN168" s="37"/>
      <c r="AP168" s="37"/>
      <c r="AR168" s="37"/>
      <c r="AT168" s="37"/>
      <c r="AU168" s="26"/>
      <c r="AV168" s="35">
        <f t="shared" si="1"/>
        <v>3447.58</v>
      </c>
      <c r="AW168" s="33">
        <f t="shared" si="2"/>
        <v>297</v>
      </c>
      <c r="AX168" s="33">
        <f t="shared" si="3"/>
        <v>0</v>
      </c>
      <c r="AY168" s="33">
        <f t="shared" si="4"/>
        <v>297</v>
      </c>
      <c r="AZ168" s="30">
        <f t="shared" si="5"/>
        <v>11.60801347</v>
      </c>
    </row>
    <row r="169" ht="15.75" customHeight="1">
      <c r="A169" s="31" t="s">
        <v>45</v>
      </c>
      <c r="B169" s="32">
        <f t="shared" si="6"/>
        <v>45094</v>
      </c>
      <c r="C169" s="33">
        <v>6.0</v>
      </c>
      <c r="D169" s="33" t="s">
        <v>49</v>
      </c>
      <c r="E169" s="34"/>
      <c r="F169" s="36"/>
      <c r="H169" s="37"/>
      <c r="J169" s="37"/>
      <c r="L169" s="37"/>
      <c r="N169" s="37"/>
      <c r="P169" s="37"/>
      <c r="Q169" s="26"/>
      <c r="R169" s="38">
        <v>91.0</v>
      </c>
      <c r="T169" s="39">
        <v>53.0</v>
      </c>
      <c r="V169" s="37"/>
      <c r="X169" s="37"/>
      <c r="Z169" s="37"/>
      <c r="AB169" s="37"/>
      <c r="AC169" s="26"/>
      <c r="AD169" s="37"/>
      <c r="AF169" s="39">
        <v>50.0</v>
      </c>
      <c r="AH169" s="37"/>
      <c r="AJ169" s="59"/>
      <c r="AK169" s="26"/>
      <c r="AL169" s="37"/>
      <c r="AN169" s="37"/>
      <c r="AP169" s="37"/>
      <c r="AR169" s="37"/>
      <c r="AT169" s="37"/>
      <c r="AU169" s="26"/>
      <c r="AV169" s="35">
        <f t="shared" si="1"/>
        <v>2185.16</v>
      </c>
      <c r="AW169" s="33">
        <f t="shared" si="2"/>
        <v>194</v>
      </c>
      <c r="AX169" s="33">
        <f t="shared" si="3"/>
        <v>0</v>
      </c>
      <c r="AY169" s="33">
        <f t="shared" si="4"/>
        <v>194</v>
      </c>
      <c r="AZ169" s="30">
        <f t="shared" si="5"/>
        <v>11.26371134</v>
      </c>
    </row>
    <row r="170" ht="15.75" customHeight="1">
      <c r="A170" s="44" t="s">
        <v>46</v>
      </c>
      <c r="B170" s="45">
        <f t="shared" si="6"/>
        <v>45095</v>
      </c>
      <c r="C170" s="46">
        <v>6.0</v>
      </c>
      <c r="D170" s="46" t="s">
        <v>49</v>
      </c>
      <c r="E170" s="47"/>
      <c r="F170" s="60"/>
      <c r="G170" s="51"/>
      <c r="H170" s="61"/>
      <c r="I170" s="51"/>
      <c r="J170" s="61"/>
      <c r="K170" s="51"/>
      <c r="L170" s="61"/>
      <c r="M170" s="51"/>
      <c r="N170" s="61"/>
      <c r="O170" s="51"/>
      <c r="P170" s="61"/>
      <c r="Q170" s="53"/>
      <c r="R170" s="62"/>
      <c r="S170" s="51"/>
      <c r="T170" s="63"/>
      <c r="U170" s="51"/>
      <c r="V170" s="61"/>
      <c r="W170" s="51"/>
      <c r="X170" s="61"/>
      <c r="Y170" s="51"/>
      <c r="Z170" s="61"/>
      <c r="AA170" s="51"/>
      <c r="AB170" s="61"/>
      <c r="AC170" s="53"/>
      <c r="AD170" s="61"/>
      <c r="AE170" s="51"/>
      <c r="AF170" s="63"/>
      <c r="AG170" s="51"/>
      <c r="AH170" s="63"/>
      <c r="AI170" s="51"/>
      <c r="AJ170" s="68"/>
      <c r="AK170" s="53"/>
      <c r="AL170" s="61"/>
      <c r="AM170" s="51"/>
      <c r="AN170" s="61"/>
      <c r="AO170" s="51"/>
      <c r="AP170" s="61"/>
      <c r="AQ170" s="51"/>
      <c r="AR170" s="61"/>
      <c r="AS170" s="51"/>
      <c r="AT170" s="61"/>
      <c r="AU170" s="53"/>
      <c r="AV170" s="55">
        <f t="shared" si="1"/>
        <v>0</v>
      </c>
      <c r="AW170" s="46">
        <f t="shared" si="2"/>
        <v>0</v>
      </c>
      <c r="AX170" s="46">
        <f t="shared" si="3"/>
        <v>0</v>
      </c>
      <c r="AY170" s="46">
        <f t="shared" si="4"/>
        <v>0</v>
      </c>
      <c r="AZ170" s="56" t="str">
        <f t="shared" si="5"/>
        <v/>
      </c>
    </row>
    <row r="171" ht="15.75" customHeight="1">
      <c r="A171" s="19" t="s">
        <v>30</v>
      </c>
      <c r="B171" s="57">
        <f t="shared" si="6"/>
        <v>45096</v>
      </c>
      <c r="C171" s="21">
        <v>7.0</v>
      </c>
      <c r="D171" s="21" t="s">
        <v>31</v>
      </c>
      <c r="E171" s="23"/>
      <c r="F171" s="36"/>
      <c r="H171" s="37"/>
      <c r="J171" s="37"/>
      <c r="L171" s="37"/>
      <c r="N171" s="37"/>
      <c r="P171" s="37"/>
      <c r="Q171" s="26"/>
      <c r="R171" s="38">
        <v>90.0</v>
      </c>
      <c r="T171" s="39">
        <v>122.0</v>
      </c>
      <c r="V171" s="37"/>
      <c r="X171" s="37"/>
      <c r="Z171" s="37"/>
      <c r="AB171" s="37"/>
      <c r="AC171" s="26"/>
      <c r="AD171" s="37"/>
      <c r="AF171" s="37"/>
      <c r="AH171" s="37"/>
      <c r="AJ171" s="59"/>
      <c r="AK171" s="26"/>
      <c r="AL171" s="37"/>
      <c r="AN171" s="37"/>
      <c r="AP171" s="37"/>
      <c r="AR171" s="37"/>
      <c r="AT171" s="37"/>
      <c r="AU171" s="26"/>
      <c r="AV171" s="29">
        <f t="shared" si="1"/>
        <v>2149.68</v>
      </c>
      <c r="AW171" s="21">
        <f t="shared" si="2"/>
        <v>212</v>
      </c>
      <c r="AX171" s="21">
        <f t="shared" si="3"/>
        <v>0</v>
      </c>
      <c r="AY171" s="21">
        <f t="shared" si="4"/>
        <v>212</v>
      </c>
      <c r="AZ171" s="58">
        <f t="shared" si="5"/>
        <v>10.14</v>
      </c>
    </row>
    <row r="172" ht="15.75" customHeight="1">
      <c r="A172" s="31" t="s">
        <v>33</v>
      </c>
      <c r="B172" s="32">
        <f t="shared" si="6"/>
        <v>45097</v>
      </c>
      <c r="C172" s="33">
        <v>7.0</v>
      </c>
      <c r="D172" s="33" t="s">
        <v>31</v>
      </c>
      <c r="E172" s="34"/>
      <c r="F172" s="36"/>
      <c r="H172" s="37"/>
      <c r="J172" s="37"/>
      <c r="L172" s="37"/>
      <c r="N172" s="37"/>
      <c r="P172" s="37"/>
      <c r="Q172" s="26"/>
      <c r="R172" s="38">
        <v>122.0</v>
      </c>
      <c r="T172" s="39">
        <v>128.0</v>
      </c>
      <c r="V172" s="37"/>
      <c r="X172" s="37"/>
      <c r="Z172" s="37"/>
      <c r="AB172" s="37"/>
      <c r="AC172" s="26"/>
      <c r="AD172" s="37"/>
      <c r="AF172" s="39">
        <v>50.0</v>
      </c>
      <c r="AH172" s="39">
        <v>50.0</v>
      </c>
      <c r="AJ172" s="59"/>
      <c r="AK172" s="26"/>
      <c r="AL172" s="37"/>
      <c r="AN172" s="37"/>
      <c r="AP172" s="37"/>
      <c r="AR172" s="37"/>
      <c r="AT172" s="37"/>
      <c r="AU172" s="26"/>
      <c r="AV172" s="35">
        <f t="shared" si="1"/>
        <v>3985</v>
      </c>
      <c r="AW172" s="33">
        <f t="shared" si="2"/>
        <v>350</v>
      </c>
      <c r="AX172" s="33">
        <f t="shared" si="3"/>
        <v>0</v>
      </c>
      <c r="AY172" s="33">
        <f t="shared" si="4"/>
        <v>350</v>
      </c>
      <c r="AZ172" s="30">
        <f t="shared" si="5"/>
        <v>11.38571429</v>
      </c>
    </row>
    <row r="173" ht="15.75" customHeight="1">
      <c r="A173" s="31" t="s">
        <v>34</v>
      </c>
      <c r="B173" s="32">
        <f t="shared" si="6"/>
        <v>45098</v>
      </c>
      <c r="C173" s="33">
        <v>7.0</v>
      </c>
      <c r="D173" s="33" t="s">
        <v>31</v>
      </c>
      <c r="E173" s="34"/>
      <c r="F173" s="36"/>
      <c r="H173" s="37"/>
      <c r="J173" s="37"/>
      <c r="L173" s="37"/>
      <c r="N173" s="37"/>
      <c r="P173" s="37"/>
      <c r="Q173" s="26"/>
      <c r="R173" s="38">
        <v>116.0</v>
      </c>
      <c r="T173" s="39">
        <v>139.0</v>
      </c>
      <c r="V173" s="37"/>
      <c r="X173" s="37"/>
      <c r="Z173" s="37"/>
      <c r="AB173" s="37"/>
      <c r="AC173" s="26"/>
      <c r="AD173" s="37"/>
      <c r="AF173" s="39">
        <v>50.0</v>
      </c>
      <c r="AH173" s="39">
        <v>50.0</v>
      </c>
      <c r="AJ173" s="59"/>
      <c r="AK173" s="26"/>
      <c r="AL173" s="37"/>
      <c r="AN173" s="37"/>
      <c r="AP173" s="37"/>
      <c r="AR173" s="37"/>
      <c r="AT173" s="37"/>
      <c r="AU173" s="26"/>
      <c r="AV173" s="35">
        <f t="shared" si="1"/>
        <v>4035.7</v>
      </c>
      <c r="AW173" s="33">
        <f t="shared" si="2"/>
        <v>355</v>
      </c>
      <c r="AX173" s="33">
        <f t="shared" si="3"/>
        <v>0</v>
      </c>
      <c r="AY173" s="33">
        <f t="shared" si="4"/>
        <v>355</v>
      </c>
      <c r="AZ173" s="30">
        <f t="shared" si="5"/>
        <v>11.36816901</v>
      </c>
    </row>
    <row r="174" ht="15.75" customHeight="1">
      <c r="A174" s="31" t="s">
        <v>35</v>
      </c>
      <c r="B174" s="32">
        <f t="shared" si="6"/>
        <v>45099</v>
      </c>
      <c r="C174" s="33">
        <v>7.0</v>
      </c>
      <c r="D174" s="33" t="s">
        <v>31</v>
      </c>
      <c r="E174" s="34"/>
      <c r="F174" s="36"/>
      <c r="H174" s="37"/>
      <c r="J174" s="37"/>
      <c r="L174" s="37"/>
      <c r="N174" s="37"/>
      <c r="P174" s="37"/>
      <c r="Q174" s="26"/>
      <c r="R174" s="38">
        <v>119.0</v>
      </c>
      <c r="T174" s="39">
        <v>117.0</v>
      </c>
      <c r="V174" s="37"/>
      <c r="X174" s="37"/>
      <c r="Z174" s="37"/>
      <c r="AB174" s="37"/>
      <c r="AC174" s="26"/>
      <c r="AD174" s="37"/>
      <c r="AF174" s="37"/>
      <c r="AH174" s="39">
        <v>50.0</v>
      </c>
      <c r="AJ174" s="59"/>
      <c r="AK174" s="26"/>
      <c r="AL174" s="37"/>
      <c r="AN174" s="37"/>
      <c r="AP174" s="37"/>
      <c r="AR174" s="37"/>
      <c r="AT174" s="37"/>
      <c r="AU174" s="26"/>
      <c r="AV174" s="35">
        <f t="shared" si="1"/>
        <v>3118.04</v>
      </c>
      <c r="AW174" s="33">
        <f t="shared" si="2"/>
        <v>286</v>
      </c>
      <c r="AX174" s="33">
        <f t="shared" si="3"/>
        <v>0</v>
      </c>
      <c r="AY174" s="33">
        <f t="shared" si="4"/>
        <v>286</v>
      </c>
      <c r="AZ174" s="30">
        <f t="shared" si="5"/>
        <v>10.90223776</v>
      </c>
    </row>
    <row r="175" ht="15.75" customHeight="1">
      <c r="A175" s="31" t="s">
        <v>38</v>
      </c>
      <c r="B175" s="32">
        <f t="shared" si="6"/>
        <v>45100</v>
      </c>
      <c r="C175" s="33">
        <v>7.0</v>
      </c>
      <c r="D175" s="33" t="s">
        <v>31</v>
      </c>
      <c r="E175" s="34"/>
      <c r="F175" s="36"/>
      <c r="H175" s="37"/>
      <c r="J175" s="37"/>
      <c r="L175" s="37"/>
      <c r="N175" s="37"/>
      <c r="P175" s="37"/>
      <c r="Q175" s="26"/>
      <c r="R175" s="38">
        <v>116.0</v>
      </c>
      <c r="T175" s="39">
        <v>114.0</v>
      </c>
      <c r="V175" s="37"/>
      <c r="X175" s="37"/>
      <c r="Z175" s="37"/>
      <c r="AB175" s="37"/>
      <c r="AC175" s="26"/>
      <c r="AD175" s="37"/>
      <c r="AF175" s="39">
        <v>50.0</v>
      </c>
      <c r="AH175" s="39">
        <v>50.0</v>
      </c>
      <c r="AJ175" s="59"/>
      <c r="AK175" s="26"/>
      <c r="AL175" s="37"/>
      <c r="AN175" s="37"/>
      <c r="AP175" s="37"/>
      <c r="AR175" s="37"/>
      <c r="AT175" s="37"/>
      <c r="AU175" s="26"/>
      <c r="AV175" s="35">
        <f t="shared" si="1"/>
        <v>3782.2</v>
      </c>
      <c r="AW175" s="33">
        <f t="shared" si="2"/>
        <v>330</v>
      </c>
      <c r="AX175" s="33">
        <f t="shared" si="3"/>
        <v>0</v>
      </c>
      <c r="AY175" s="33">
        <f t="shared" si="4"/>
        <v>330</v>
      </c>
      <c r="AZ175" s="30">
        <f t="shared" si="5"/>
        <v>11.46121212</v>
      </c>
    </row>
    <row r="176" ht="15.75" customHeight="1">
      <c r="A176" s="31" t="s">
        <v>45</v>
      </c>
      <c r="B176" s="32">
        <f t="shared" si="6"/>
        <v>45101</v>
      </c>
      <c r="C176" s="33">
        <v>7.0</v>
      </c>
      <c r="D176" s="33" t="s">
        <v>31</v>
      </c>
      <c r="E176" s="34"/>
      <c r="F176" s="36"/>
      <c r="H176" s="37"/>
      <c r="J176" s="37"/>
      <c r="L176" s="37"/>
      <c r="N176" s="37"/>
      <c r="P176" s="37"/>
      <c r="Q176" s="26"/>
      <c r="R176" s="38">
        <v>113.0</v>
      </c>
      <c r="T176" s="39">
        <v>117.0</v>
      </c>
      <c r="V176" s="37"/>
      <c r="X176" s="37"/>
      <c r="Z176" s="37"/>
      <c r="AB176" s="37"/>
      <c r="AC176" s="26"/>
      <c r="AD176" s="37"/>
      <c r="AF176" s="39">
        <v>50.0</v>
      </c>
      <c r="AH176" s="37"/>
      <c r="AJ176" s="59"/>
      <c r="AK176" s="26"/>
      <c r="AL176" s="37"/>
      <c r="AN176" s="37"/>
      <c r="AP176" s="37"/>
      <c r="AR176" s="37"/>
      <c r="AT176" s="37"/>
      <c r="AU176" s="26"/>
      <c r="AV176" s="35">
        <f t="shared" si="1"/>
        <v>3057.2</v>
      </c>
      <c r="AW176" s="33">
        <f t="shared" si="2"/>
        <v>280</v>
      </c>
      <c r="AX176" s="33">
        <f t="shared" si="3"/>
        <v>0</v>
      </c>
      <c r="AY176" s="33">
        <f t="shared" si="4"/>
        <v>280</v>
      </c>
      <c r="AZ176" s="30">
        <f t="shared" si="5"/>
        <v>10.91857143</v>
      </c>
    </row>
    <row r="177" ht="15.75" customHeight="1">
      <c r="A177" s="44" t="s">
        <v>46</v>
      </c>
      <c r="B177" s="45">
        <f t="shared" si="6"/>
        <v>45102</v>
      </c>
      <c r="C177" s="46">
        <v>7.0</v>
      </c>
      <c r="D177" s="46" t="s">
        <v>31</v>
      </c>
      <c r="E177" s="47"/>
      <c r="F177" s="60"/>
      <c r="G177" s="51"/>
      <c r="H177" s="61"/>
      <c r="I177" s="51"/>
      <c r="J177" s="61"/>
      <c r="K177" s="51"/>
      <c r="L177" s="61"/>
      <c r="M177" s="51"/>
      <c r="N177" s="61"/>
      <c r="O177" s="51"/>
      <c r="P177" s="61"/>
      <c r="Q177" s="53"/>
      <c r="R177" s="62"/>
      <c r="S177" s="51"/>
      <c r="T177" s="63"/>
      <c r="U177" s="51"/>
      <c r="V177" s="61"/>
      <c r="W177" s="51"/>
      <c r="X177" s="61"/>
      <c r="Y177" s="51"/>
      <c r="Z177" s="61"/>
      <c r="AA177" s="51"/>
      <c r="AB177" s="61"/>
      <c r="AC177" s="53"/>
      <c r="AD177" s="61"/>
      <c r="AE177" s="51"/>
      <c r="AF177" s="61"/>
      <c r="AG177" s="51"/>
      <c r="AH177" s="61"/>
      <c r="AI177" s="51"/>
      <c r="AJ177" s="68"/>
      <c r="AK177" s="53"/>
      <c r="AL177" s="61"/>
      <c r="AM177" s="51"/>
      <c r="AN177" s="61"/>
      <c r="AO177" s="51"/>
      <c r="AP177" s="61"/>
      <c r="AQ177" s="51"/>
      <c r="AR177" s="61"/>
      <c r="AS177" s="51"/>
      <c r="AT177" s="61"/>
      <c r="AU177" s="53"/>
      <c r="AV177" s="55">
        <f t="shared" si="1"/>
        <v>0</v>
      </c>
      <c r="AW177" s="46">
        <f t="shared" si="2"/>
        <v>0</v>
      </c>
      <c r="AX177" s="46">
        <f t="shared" si="3"/>
        <v>0</v>
      </c>
      <c r="AY177" s="46">
        <f t="shared" si="4"/>
        <v>0</v>
      </c>
      <c r="AZ177" s="56" t="str">
        <f t="shared" si="5"/>
        <v/>
      </c>
    </row>
    <row r="178" ht="15.75" customHeight="1">
      <c r="A178" s="19" t="s">
        <v>30</v>
      </c>
      <c r="B178" s="57">
        <f t="shared" si="6"/>
        <v>45103</v>
      </c>
      <c r="C178" s="21">
        <v>7.0</v>
      </c>
      <c r="D178" s="21" t="s">
        <v>47</v>
      </c>
      <c r="E178" s="23"/>
      <c r="F178" s="36"/>
      <c r="H178" s="37"/>
      <c r="J178" s="37"/>
      <c r="L178" s="37"/>
      <c r="N178" s="37"/>
      <c r="P178" s="37"/>
      <c r="Q178" s="26"/>
      <c r="R178" s="38">
        <v>124.0</v>
      </c>
      <c r="T178" s="39">
        <v>98.0</v>
      </c>
      <c r="V178" s="37"/>
      <c r="X178" s="37"/>
      <c r="Z178" s="37"/>
      <c r="AB178" s="37"/>
      <c r="AC178" s="26"/>
      <c r="AD178" s="37"/>
      <c r="AF178" s="39"/>
      <c r="AH178" s="39"/>
      <c r="AJ178" s="59"/>
      <c r="AK178" s="26"/>
      <c r="AL178" s="37"/>
      <c r="AN178" s="37"/>
      <c r="AP178" s="37"/>
      <c r="AR178" s="37"/>
      <c r="AT178" s="37"/>
      <c r="AU178" s="26"/>
      <c r="AV178" s="29">
        <f t="shared" si="1"/>
        <v>2251.08</v>
      </c>
      <c r="AW178" s="21">
        <f t="shared" si="2"/>
        <v>222</v>
      </c>
      <c r="AX178" s="21">
        <f t="shared" si="3"/>
        <v>0</v>
      </c>
      <c r="AY178" s="21">
        <f t="shared" si="4"/>
        <v>222</v>
      </c>
      <c r="AZ178" s="58">
        <f t="shared" si="5"/>
        <v>10.14</v>
      </c>
    </row>
    <row r="179" ht="15.75" customHeight="1">
      <c r="A179" s="31" t="s">
        <v>33</v>
      </c>
      <c r="B179" s="32">
        <f t="shared" si="6"/>
        <v>45104</v>
      </c>
      <c r="C179" s="33">
        <v>7.0</v>
      </c>
      <c r="D179" s="33" t="s">
        <v>47</v>
      </c>
      <c r="E179" s="34"/>
      <c r="F179" s="36"/>
      <c r="H179" s="37"/>
      <c r="J179" s="37"/>
      <c r="L179" s="37"/>
      <c r="N179" s="37"/>
      <c r="P179" s="37"/>
      <c r="Q179" s="26"/>
      <c r="R179" s="38">
        <v>116.0</v>
      </c>
      <c r="T179" s="39">
        <v>120.0</v>
      </c>
      <c r="V179" s="37"/>
      <c r="X179" s="37"/>
      <c r="Z179" s="37"/>
      <c r="AB179" s="37"/>
      <c r="AC179" s="26"/>
      <c r="AD179" s="37"/>
      <c r="AF179" s="39"/>
      <c r="AH179" s="39"/>
      <c r="AJ179" s="59"/>
      <c r="AK179" s="26"/>
      <c r="AL179" s="37"/>
      <c r="AN179" s="37"/>
      <c r="AP179" s="37"/>
      <c r="AR179" s="37"/>
      <c r="AT179" s="37"/>
      <c r="AU179" s="26"/>
      <c r="AV179" s="35">
        <f t="shared" si="1"/>
        <v>2393.04</v>
      </c>
      <c r="AW179" s="33">
        <f t="shared" si="2"/>
        <v>236</v>
      </c>
      <c r="AX179" s="33">
        <f t="shared" si="3"/>
        <v>0</v>
      </c>
      <c r="AY179" s="33">
        <f t="shared" si="4"/>
        <v>236</v>
      </c>
      <c r="AZ179" s="30">
        <f t="shared" si="5"/>
        <v>10.14</v>
      </c>
    </row>
    <row r="180" ht="15.75" customHeight="1">
      <c r="A180" s="31" t="s">
        <v>34</v>
      </c>
      <c r="B180" s="32">
        <f t="shared" si="6"/>
        <v>45105</v>
      </c>
      <c r="C180" s="33">
        <v>7.0</v>
      </c>
      <c r="D180" s="33" t="s">
        <v>47</v>
      </c>
      <c r="E180" s="34"/>
      <c r="F180" s="36"/>
      <c r="H180" s="37"/>
      <c r="J180" s="37"/>
      <c r="L180" s="37"/>
      <c r="N180" s="37"/>
      <c r="P180" s="37"/>
      <c r="Q180" s="26"/>
      <c r="R180" s="38">
        <v>119.0</v>
      </c>
      <c r="T180" s="39">
        <v>139.0</v>
      </c>
      <c r="V180" s="37"/>
      <c r="X180" s="37"/>
      <c r="Z180" s="37"/>
      <c r="AB180" s="37"/>
      <c r="AC180" s="26"/>
      <c r="AD180" s="37"/>
      <c r="AF180" s="39"/>
      <c r="AH180" s="39"/>
      <c r="AJ180" s="59"/>
      <c r="AK180" s="26"/>
      <c r="AL180" s="37"/>
      <c r="AN180" s="37"/>
      <c r="AP180" s="37"/>
      <c r="AR180" s="37"/>
      <c r="AT180" s="37"/>
      <c r="AU180" s="26"/>
      <c r="AV180" s="35">
        <f t="shared" si="1"/>
        <v>2616.12</v>
      </c>
      <c r="AW180" s="33">
        <f t="shared" si="2"/>
        <v>258</v>
      </c>
      <c r="AX180" s="33">
        <f t="shared" si="3"/>
        <v>0</v>
      </c>
      <c r="AY180" s="33">
        <f t="shared" si="4"/>
        <v>258</v>
      </c>
      <c r="AZ180" s="30">
        <f t="shared" si="5"/>
        <v>10.14</v>
      </c>
    </row>
    <row r="181" ht="15.75" customHeight="1">
      <c r="A181" s="31" t="s">
        <v>35</v>
      </c>
      <c r="B181" s="32">
        <f t="shared" si="6"/>
        <v>45106</v>
      </c>
      <c r="C181" s="33">
        <v>7.0</v>
      </c>
      <c r="D181" s="33" t="s">
        <v>47</v>
      </c>
      <c r="E181" s="34"/>
      <c r="F181" s="36"/>
      <c r="H181" s="37"/>
      <c r="J181" s="37"/>
      <c r="L181" s="37"/>
      <c r="N181" s="37"/>
      <c r="P181" s="37"/>
      <c r="Q181" s="26"/>
      <c r="R181" s="38">
        <v>116.0</v>
      </c>
      <c r="T181" s="39">
        <v>127.0</v>
      </c>
      <c r="V181" s="37"/>
      <c r="X181" s="37"/>
      <c r="Z181" s="37"/>
      <c r="AB181" s="37"/>
      <c r="AC181" s="26"/>
      <c r="AD181" s="37"/>
      <c r="AF181" s="39"/>
      <c r="AH181" s="39"/>
      <c r="AJ181" s="59"/>
      <c r="AK181" s="26"/>
      <c r="AL181" s="37"/>
      <c r="AN181" s="37"/>
      <c r="AP181" s="37"/>
      <c r="AR181" s="37"/>
      <c r="AT181" s="37"/>
      <c r="AU181" s="26"/>
      <c r="AV181" s="35">
        <f t="shared" si="1"/>
        <v>2464.02</v>
      </c>
      <c r="AW181" s="33">
        <f t="shared" si="2"/>
        <v>243</v>
      </c>
      <c r="AX181" s="33">
        <f t="shared" si="3"/>
        <v>0</v>
      </c>
      <c r="AY181" s="33">
        <f t="shared" si="4"/>
        <v>243</v>
      </c>
      <c r="AZ181" s="30">
        <f t="shared" si="5"/>
        <v>10.14</v>
      </c>
    </row>
    <row r="182" ht="15.75" customHeight="1">
      <c r="A182" s="31" t="s">
        <v>38</v>
      </c>
      <c r="B182" s="32">
        <f t="shared" si="6"/>
        <v>45107</v>
      </c>
      <c r="C182" s="33">
        <v>7.0</v>
      </c>
      <c r="D182" s="33" t="s">
        <v>47</v>
      </c>
      <c r="E182" s="34"/>
      <c r="F182" s="36"/>
      <c r="H182" s="37"/>
      <c r="J182" s="37"/>
      <c r="L182" s="37"/>
      <c r="N182" s="37"/>
      <c r="P182" s="37"/>
      <c r="Q182" s="26"/>
      <c r="R182" s="38">
        <v>119.0</v>
      </c>
      <c r="T182" s="39">
        <v>104.0</v>
      </c>
      <c r="V182" s="37"/>
      <c r="X182" s="37"/>
      <c r="Z182" s="37"/>
      <c r="AB182" s="37"/>
      <c r="AC182" s="26"/>
      <c r="AD182" s="37"/>
      <c r="AF182" s="39"/>
      <c r="AH182" s="39"/>
      <c r="AJ182" s="59"/>
      <c r="AK182" s="26"/>
      <c r="AL182" s="37"/>
      <c r="AN182" s="37"/>
      <c r="AP182" s="37"/>
      <c r="AR182" s="37"/>
      <c r="AT182" s="37"/>
      <c r="AU182" s="26"/>
      <c r="AV182" s="35">
        <f t="shared" si="1"/>
        <v>2261.22</v>
      </c>
      <c r="AW182" s="33">
        <f t="shared" si="2"/>
        <v>223</v>
      </c>
      <c r="AX182" s="33">
        <f t="shared" si="3"/>
        <v>0</v>
      </c>
      <c r="AY182" s="33">
        <f t="shared" si="4"/>
        <v>223</v>
      </c>
      <c r="AZ182" s="30">
        <f t="shared" si="5"/>
        <v>10.14</v>
      </c>
    </row>
    <row r="183" ht="15.75" customHeight="1">
      <c r="A183" s="31" t="s">
        <v>45</v>
      </c>
      <c r="B183" s="32">
        <f t="shared" si="6"/>
        <v>45108</v>
      </c>
      <c r="C183" s="33">
        <v>7.0</v>
      </c>
      <c r="D183" s="33" t="s">
        <v>47</v>
      </c>
      <c r="E183" s="34"/>
      <c r="F183" s="36"/>
      <c r="H183" s="37"/>
      <c r="J183" s="37"/>
      <c r="L183" s="37"/>
      <c r="N183" s="37"/>
      <c r="P183" s="37"/>
      <c r="Q183" s="26"/>
      <c r="R183" s="38">
        <v>112.0</v>
      </c>
      <c r="T183" s="39">
        <v>108.0</v>
      </c>
      <c r="V183" s="37"/>
      <c r="X183" s="37"/>
      <c r="Z183" s="37"/>
      <c r="AB183" s="37"/>
      <c r="AC183" s="26"/>
      <c r="AD183" s="37"/>
      <c r="AF183" s="39"/>
      <c r="AH183" s="39"/>
      <c r="AJ183" s="59"/>
      <c r="AK183" s="26"/>
      <c r="AL183" s="37"/>
      <c r="AN183" s="37"/>
      <c r="AP183" s="37"/>
      <c r="AR183" s="37"/>
      <c r="AT183" s="37"/>
      <c r="AU183" s="26"/>
      <c r="AV183" s="35">
        <f t="shared" si="1"/>
        <v>2230.8</v>
      </c>
      <c r="AW183" s="33">
        <f t="shared" si="2"/>
        <v>220</v>
      </c>
      <c r="AX183" s="33">
        <f t="shared" si="3"/>
        <v>0</v>
      </c>
      <c r="AY183" s="33">
        <f t="shared" si="4"/>
        <v>220</v>
      </c>
      <c r="AZ183" s="30">
        <f t="shared" si="5"/>
        <v>10.14</v>
      </c>
    </row>
    <row r="184" ht="15.75" customHeight="1">
      <c r="A184" s="44" t="s">
        <v>46</v>
      </c>
      <c r="B184" s="45">
        <f t="shared" si="6"/>
        <v>45109</v>
      </c>
      <c r="C184" s="46">
        <v>7.0</v>
      </c>
      <c r="D184" s="46" t="s">
        <v>47</v>
      </c>
      <c r="E184" s="47"/>
      <c r="F184" s="60"/>
      <c r="G184" s="51"/>
      <c r="H184" s="61"/>
      <c r="I184" s="51"/>
      <c r="J184" s="61"/>
      <c r="K184" s="51"/>
      <c r="L184" s="61"/>
      <c r="M184" s="51"/>
      <c r="N184" s="61"/>
      <c r="O184" s="51"/>
      <c r="P184" s="61"/>
      <c r="Q184" s="53"/>
      <c r="R184" s="62"/>
      <c r="S184" s="51"/>
      <c r="T184" s="63"/>
      <c r="U184" s="51"/>
      <c r="V184" s="61"/>
      <c r="W184" s="51"/>
      <c r="X184" s="61"/>
      <c r="Y184" s="51"/>
      <c r="Z184" s="61"/>
      <c r="AA184" s="51"/>
      <c r="AB184" s="61"/>
      <c r="AC184" s="53"/>
      <c r="AD184" s="61"/>
      <c r="AE184" s="51"/>
      <c r="AF184" s="63"/>
      <c r="AG184" s="51"/>
      <c r="AH184" s="63"/>
      <c r="AI184" s="51"/>
      <c r="AJ184" s="68"/>
      <c r="AK184" s="53"/>
      <c r="AL184" s="61"/>
      <c r="AM184" s="51"/>
      <c r="AN184" s="61"/>
      <c r="AO184" s="51"/>
      <c r="AP184" s="61"/>
      <c r="AQ184" s="51"/>
      <c r="AR184" s="61"/>
      <c r="AS184" s="51"/>
      <c r="AT184" s="61"/>
      <c r="AU184" s="53"/>
      <c r="AV184" s="55">
        <f t="shared" si="1"/>
        <v>0</v>
      </c>
      <c r="AW184" s="46">
        <f t="shared" si="2"/>
        <v>0</v>
      </c>
      <c r="AX184" s="46">
        <f t="shared" si="3"/>
        <v>0</v>
      </c>
      <c r="AY184" s="46">
        <f t="shared" si="4"/>
        <v>0</v>
      </c>
      <c r="AZ184" s="56" t="str">
        <f t="shared" si="5"/>
        <v/>
      </c>
    </row>
    <row r="185" ht="15.75" customHeight="1">
      <c r="A185" s="19" t="s">
        <v>30</v>
      </c>
      <c r="B185" s="57">
        <f t="shared" si="6"/>
        <v>45110</v>
      </c>
      <c r="C185" s="21">
        <v>7.0</v>
      </c>
      <c r="D185" s="21" t="s">
        <v>48</v>
      </c>
      <c r="E185" s="23"/>
      <c r="F185" s="36"/>
      <c r="H185" s="37"/>
      <c r="J185" s="37"/>
      <c r="L185" s="37"/>
      <c r="N185" s="37"/>
      <c r="P185" s="37"/>
      <c r="Q185" s="26"/>
      <c r="R185" s="38">
        <v>139.0</v>
      </c>
      <c r="T185" s="39">
        <v>109.0</v>
      </c>
      <c r="V185" s="37"/>
      <c r="X185" s="37"/>
      <c r="Z185" s="37"/>
      <c r="AB185" s="37"/>
      <c r="AC185" s="26"/>
      <c r="AD185" s="37"/>
      <c r="AF185" s="37"/>
      <c r="AH185" s="37"/>
      <c r="AJ185" s="59"/>
      <c r="AK185" s="26"/>
      <c r="AL185" s="37"/>
      <c r="AN185" s="37"/>
      <c r="AP185" s="37"/>
      <c r="AR185" s="37"/>
      <c r="AT185" s="37"/>
      <c r="AU185" s="26"/>
      <c r="AV185" s="29">
        <f t="shared" si="1"/>
        <v>2514.72</v>
      </c>
      <c r="AW185" s="21">
        <f t="shared" si="2"/>
        <v>248</v>
      </c>
      <c r="AX185" s="21">
        <f t="shared" si="3"/>
        <v>0</v>
      </c>
      <c r="AY185" s="21">
        <f t="shared" si="4"/>
        <v>248</v>
      </c>
      <c r="AZ185" s="58">
        <f t="shared" si="5"/>
        <v>10.14</v>
      </c>
    </row>
    <row r="186" ht="15.75" customHeight="1">
      <c r="A186" s="31" t="s">
        <v>33</v>
      </c>
      <c r="B186" s="32">
        <f t="shared" si="6"/>
        <v>45111</v>
      </c>
      <c r="C186" s="33">
        <v>7.0</v>
      </c>
      <c r="D186" s="33" t="s">
        <v>48</v>
      </c>
      <c r="E186" s="34"/>
      <c r="F186" s="36"/>
      <c r="H186" s="37"/>
      <c r="J186" s="37"/>
      <c r="L186" s="37"/>
      <c r="N186" s="37"/>
      <c r="P186" s="37"/>
      <c r="Q186" s="26"/>
      <c r="R186" s="38">
        <v>114.0</v>
      </c>
      <c r="T186" s="39">
        <v>131.0</v>
      </c>
      <c r="V186" s="37"/>
      <c r="X186" s="37"/>
      <c r="Z186" s="37"/>
      <c r="AB186" s="37"/>
      <c r="AC186" s="26"/>
      <c r="AD186" s="37"/>
      <c r="AF186" s="39">
        <v>50.0</v>
      </c>
      <c r="AH186" s="39">
        <v>50.0</v>
      </c>
      <c r="AJ186" s="59"/>
      <c r="AK186" s="26"/>
      <c r="AL186" s="37"/>
      <c r="AN186" s="37"/>
      <c r="AP186" s="37"/>
      <c r="AR186" s="37"/>
      <c r="AT186" s="37"/>
      <c r="AU186" s="26"/>
      <c r="AV186" s="35">
        <f t="shared" si="1"/>
        <v>3934.3</v>
      </c>
      <c r="AW186" s="33">
        <f t="shared" si="2"/>
        <v>345</v>
      </c>
      <c r="AX186" s="33">
        <f t="shared" si="3"/>
        <v>0</v>
      </c>
      <c r="AY186" s="33">
        <f t="shared" si="4"/>
        <v>345</v>
      </c>
      <c r="AZ186" s="30">
        <f t="shared" si="5"/>
        <v>11.40376812</v>
      </c>
    </row>
    <row r="187" ht="15.75" customHeight="1">
      <c r="A187" s="31" t="s">
        <v>34</v>
      </c>
      <c r="B187" s="32">
        <f t="shared" si="6"/>
        <v>45112</v>
      </c>
      <c r="C187" s="33">
        <v>7.0</v>
      </c>
      <c r="D187" s="33" t="s">
        <v>48</v>
      </c>
      <c r="E187" s="34"/>
      <c r="F187" s="36"/>
      <c r="H187" s="37"/>
      <c r="J187" s="37"/>
      <c r="L187" s="37"/>
      <c r="N187" s="37"/>
      <c r="P187" s="37"/>
      <c r="Q187" s="26"/>
      <c r="R187" s="38">
        <v>123.0</v>
      </c>
      <c r="T187" s="39">
        <v>139.0</v>
      </c>
      <c r="V187" s="37"/>
      <c r="X187" s="37"/>
      <c r="Z187" s="37"/>
      <c r="AB187" s="37"/>
      <c r="AC187" s="26"/>
      <c r="AD187" s="37"/>
      <c r="AF187" s="39">
        <v>50.0</v>
      </c>
      <c r="AH187" s="39">
        <v>50.0</v>
      </c>
      <c r="AJ187" s="59"/>
      <c r="AK187" s="26"/>
      <c r="AL187" s="37"/>
      <c r="AN187" s="37"/>
      <c r="AP187" s="37"/>
      <c r="AR187" s="37"/>
      <c r="AT187" s="37"/>
      <c r="AU187" s="26"/>
      <c r="AV187" s="35">
        <f t="shared" si="1"/>
        <v>4106.68</v>
      </c>
      <c r="AW187" s="33">
        <f t="shared" si="2"/>
        <v>362</v>
      </c>
      <c r="AX187" s="33">
        <f t="shared" si="3"/>
        <v>0</v>
      </c>
      <c r="AY187" s="33">
        <f t="shared" si="4"/>
        <v>362</v>
      </c>
      <c r="AZ187" s="30">
        <f t="shared" si="5"/>
        <v>11.34441989</v>
      </c>
    </row>
    <row r="188" ht="15.75" customHeight="1">
      <c r="A188" s="31" t="s">
        <v>35</v>
      </c>
      <c r="B188" s="32">
        <f t="shared" si="6"/>
        <v>45113</v>
      </c>
      <c r="C188" s="33">
        <v>7.0</v>
      </c>
      <c r="D188" s="33" t="s">
        <v>48</v>
      </c>
      <c r="E188" s="34"/>
      <c r="F188" s="36"/>
      <c r="H188" s="37"/>
      <c r="J188" s="37"/>
      <c r="L188" s="37"/>
      <c r="N188" s="37"/>
      <c r="P188" s="37"/>
      <c r="Q188" s="26"/>
      <c r="R188" s="38">
        <v>121.0</v>
      </c>
      <c r="T188" s="39">
        <v>131.0</v>
      </c>
      <c r="V188" s="37"/>
      <c r="X188" s="37"/>
      <c r="Z188" s="37"/>
      <c r="AB188" s="37"/>
      <c r="AC188" s="26"/>
      <c r="AD188" s="37"/>
      <c r="AF188" s="37"/>
      <c r="AH188" s="39">
        <v>50.0</v>
      </c>
      <c r="AJ188" s="59"/>
      <c r="AK188" s="26"/>
      <c r="AL188" s="37"/>
      <c r="AN188" s="37"/>
      <c r="AP188" s="37"/>
      <c r="AR188" s="37"/>
      <c r="AT188" s="37"/>
      <c r="AU188" s="26"/>
      <c r="AV188" s="35">
        <f t="shared" si="1"/>
        <v>3280.28</v>
      </c>
      <c r="AW188" s="33">
        <f t="shared" si="2"/>
        <v>302</v>
      </c>
      <c r="AX188" s="33">
        <f t="shared" si="3"/>
        <v>0</v>
      </c>
      <c r="AY188" s="33">
        <f t="shared" si="4"/>
        <v>302</v>
      </c>
      <c r="AZ188" s="30">
        <f t="shared" si="5"/>
        <v>10.8618543</v>
      </c>
    </row>
    <row r="189" ht="15.75" customHeight="1">
      <c r="A189" s="31" t="s">
        <v>38</v>
      </c>
      <c r="B189" s="32">
        <f t="shared" si="6"/>
        <v>45114</v>
      </c>
      <c r="C189" s="33">
        <v>7.0</v>
      </c>
      <c r="D189" s="33" t="s">
        <v>48</v>
      </c>
      <c r="E189" s="34"/>
      <c r="F189" s="36"/>
      <c r="H189" s="37"/>
      <c r="J189" s="37"/>
      <c r="L189" s="37"/>
      <c r="N189" s="37"/>
      <c r="P189" s="37"/>
      <c r="Q189" s="26"/>
      <c r="R189" s="38">
        <v>125.0</v>
      </c>
      <c r="T189" s="39">
        <v>95.0</v>
      </c>
      <c r="V189" s="37"/>
      <c r="X189" s="37"/>
      <c r="Z189" s="37"/>
      <c r="AB189" s="37"/>
      <c r="AC189" s="26"/>
      <c r="AD189" s="37"/>
      <c r="AF189" s="39">
        <v>50.0</v>
      </c>
      <c r="AH189" s="39">
        <v>50.0</v>
      </c>
      <c r="AJ189" s="59"/>
      <c r="AK189" s="26"/>
      <c r="AL189" s="37"/>
      <c r="AN189" s="37"/>
      <c r="AP189" s="37"/>
      <c r="AR189" s="37"/>
      <c r="AT189" s="37"/>
      <c r="AU189" s="26"/>
      <c r="AV189" s="35">
        <f t="shared" si="1"/>
        <v>3680.8</v>
      </c>
      <c r="AW189" s="33">
        <f t="shared" si="2"/>
        <v>320</v>
      </c>
      <c r="AX189" s="33">
        <f t="shared" si="3"/>
        <v>0</v>
      </c>
      <c r="AY189" s="33">
        <f t="shared" si="4"/>
        <v>320</v>
      </c>
      <c r="AZ189" s="30">
        <f t="shared" si="5"/>
        <v>11.5025</v>
      </c>
    </row>
    <row r="190" ht="15.75" customHeight="1">
      <c r="A190" s="31" t="s">
        <v>45</v>
      </c>
      <c r="B190" s="32">
        <f t="shared" si="6"/>
        <v>45115</v>
      </c>
      <c r="C190" s="33">
        <v>7.0</v>
      </c>
      <c r="D190" s="33" t="s">
        <v>48</v>
      </c>
      <c r="E190" s="34"/>
      <c r="F190" s="36"/>
      <c r="H190" s="37"/>
      <c r="J190" s="37"/>
      <c r="L190" s="37"/>
      <c r="N190" s="37"/>
      <c r="P190" s="37"/>
      <c r="Q190" s="26"/>
      <c r="R190" s="38">
        <v>101.0</v>
      </c>
      <c r="T190" s="39">
        <v>102.0</v>
      </c>
      <c r="V190" s="37"/>
      <c r="X190" s="37"/>
      <c r="Z190" s="37"/>
      <c r="AB190" s="37"/>
      <c r="AC190" s="26"/>
      <c r="AD190" s="37"/>
      <c r="AF190" s="39">
        <v>50.0</v>
      </c>
      <c r="AH190" s="37"/>
      <c r="AJ190" s="59"/>
      <c r="AK190" s="26"/>
      <c r="AL190" s="37"/>
      <c r="AN190" s="37"/>
      <c r="AP190" s="37"/>
      <c r="AR190" s="37"/>
      <c r="AT190" s="37"/>
      <c r="AU190" s="26"/>
      <c r="AV190" s="35">
        <f t="shared" si="1"/>
        <v>2783.42</v>
      </c>
      <c r="AW190" s="33">
        <f t="shared" si="2"/>
        <v>253</v>
      </c>
      <c r="AX190" s="33">
        <f t="shared" si="3"/>
        <v>0</v>
      </c>
      <c r="AY190" s="33">
        <f t="shared" si="4"/>
        <v>253</v>
      </c>
      <c r="AZ190" s="30">
        <f t="shared" si="5"/>
        <v>11.00166008</v>
      </c>
    </row>
    <row r="191" ht="15.75" customHeight="1">
      <c r="A191" s="44" t="s">
        <v>46</v>
      </c>
      <c r="B191" s="45">
        <f t="shared" si="6"/>
        <v>45116</v>
      </c>
      <c r="C191" s="46">
        <v>7.0</v>
      </c>
      <c r="D191" s="46" t="s">
        <v>48</v>
      </c>
      <c r="E191" s="47"/>
      <c r="F191" s="60"/>
      <c r="G191" s="51"/>
      <c r="H191" s="61"/>
      <c r="I191" s="51"/>
      <c r="J191" s="61"/>
      <c r="K191" s="51"/>
      <c r="L191" s="61"/>
      <c r="M191" s="51"/>
      <c r="N191" s="61"/>
      <c r="O191" s="51"/>
      <c r="P191" s="61"/>
      <c r="Q191" s="53"/>
      <c r="R191" s="62"/>
      <c r="S191" s="51"/>
      <c r="T191" s="63"/>
      <c r="U191" s="51"/>
      <c r="V191" s="61"/>
      <c r="W191" s="51"/>
      <c r="X191" s="61"/>
      <c r="Y191" s="51"/>
      <c r="Z191" s="61"/>
      <c r="AA191" s="51"/>
      <c r="AB191" s="61"/>
      <c r="AC191" s="53"/>
      <c r="AD191" s="61"/>
      <c r="AE191" s="51"/>
      <c r="AF191" s="61"/>
      <c r="AG191" s="51"/>
      <c r="AH191" s="61"/>
      <c r="AI191" s="51"/>
      <c r="AJ191" s="68"/>
      <c r="AK191" s="53"/>
      <c r="AL191" s="61"/>
      <c r="AM191" s="51"/>
      <c r="AN191" s="61"/>
      <c r="AO191" s="51"/>
      <c r="AP191" s="61"/>
      <c r="AQ191" s="51"/>
      <c r="AR191" s="61"/>
      <c r="AS191" s="51"/>
      <c r="AT191" s="61"/>
      <c r="AU191" s="53"/>
      <c r="AV191" s="55">
        <f t="shared" si="1"/>
        <v>0</v>
      </c>
      <c r="AW191" s="46">
        <f t="shared" si="2"/>
        <v>0</v>
      </c>
      <c r="AX191" s="46">
        <f t="shared" si="3"/>
        <v>0</v>
      </c>
      <c r="AY191" s="46">
        <f t="shared" si="4"/>
        <v>0</v>
      </c>
      <c r="AZ191" s="56" t="str">
        <f t="shared" si="5"/>
        <v/>
      </c>
    </row>
    <row r="192" ht="15.75" customHeight="1">
      <c r="A192" s="19" t="s">
        <v>30</v>
      </c>
      <c r="B192" s="57">
        <f t="shared" si="6"/>
        <v>45117</v>
      </c>
      <c r="C192" s="21">
        <v>7.0</v>
      </c>
      <c r="D192" s="21" t="s">
        <v>49</v>
      </c>
      <c r="E192" s="23"/>
      <c r="F192" s="36"/>
      <c r="H192" s="37"/>
      <c r="J192" s="37"/>
      <c r="L192" s="37"/>
      <c r="N192" s="37"/>
      <c r="P192" s="37"/>
      <c r="Q192" s="26"/>
      <c r="R192" s="38">
        <v>0.0</v>
      </c>
      <c r="T192" s="39">
        <v>0.0</v>
      </c>
      <c r="V192" s="37"/>
      <c r="X192" s="37"/>
      <c r="Z192" s="37"/>
      <c r="AB192" s="37"/>
      <c r="AC192" s="26"/>
      <c r="AD192" s="37"/>
      <c r="AF192" s="39"/>
      <c r="AH192" s="39"/>
      <c r="AJ192" s="59"/>
      <c r="AK192" s="26"/>
      <c r="AL192" s="37"/>
      <c r="AN192" s="37"/>
      <c r="AP192" s="37"/>
      <c r="AR192" s="37"/>
      <c r="AT192" s="37"/>
      <c r="AU192" s="26"/>
      <c r="AV192" s="29">
        <f t="shared" si="1"/>
        <v>0</v>
      </c>
      <c r="AW192" s="21">
        <f t="shared" si="2"/>
        <v>0</v>
      </c>
      <c r="AX192" s="21">
        <f t="shared" si="3"/>
        <v>0</v>
      </c>
      <c r="AY192" s="21">
        <f t="shared" si="4"/>
        <v>0</v>
      </c>
      <c r="AZ192" s="58" t="str">
        <f t="shared" si="5"/>
        <v/>
      </c>
    </row>
    <row r="193" ht="15.75" customHeight="1">
      <c r="A193" s="31" t="s">
        <v>33</v>
      </c>
      <c r="B193" s="32">
        <f t="shared" si="6"/>
        <v>45118</v>
      </c>
      <c r="C193" s="33">
        <v>7.0</v>
      </c>
      <c r="D193" s="33" t="s">
        <v>49</v>
      </c>
      <c r="E193" s="34"/>
      <c r="F193" s="36"/>
      <c r="H193" s="37"/>
      <c r="J193" s="37"/>
      <c r="L193" s="37"/>
      <c r="N193" s="37"/>
      <c r="P193" s="37"/>
      <c r="Q193" s="26"/>
      <c r="R193" s="38">
        <v>42.0</v>
      </c>
      <c r="T193" s="39">
        <v>52.0</v>
      </c>
      <c r="V193" s="37"/>
      <c r="X193" s="37"/>
      <c r="Z193" s="37"/>
      <c r="AB193" s="37"/>
      <c r="AC193" s="26"/>
      <c r="AD193" s="37"/>
      <c r="AF193" s="39"/>
      <c r="AH193" s="39"/>
      <c r="AJ193" s="59"/>
      <c r="AK193" s="26"/>
      <c r="AL193" s="37"/>
      <c r="AN193" s="37"/>
      <c r="AP193" s="37"/>
      <c r="AR193" s="37"/>
      <c r="AT193" s="37"/>
      <c r="AU193" s="26"/>
      <c r="AV193" s="35">
        <f t="shared" si="1"/>
        <v>953.16</v>
      </c>
      <c r="AW193" s="33">
        <f t="shared" si="2"/>
        <v>94</v>
      </c>
      <c r="AX193" s="33">
        <f t="shared" si="3"/>
        <v>0</v>
      </c>
      <c r="AY193" s="33">
        <f t="shared" si="4"/>
        <v>94</v>
      </c>
      <c r="AZ193" s="30">
        <f t="shared" si="5"/>
        <v>10.14</v>
      </c>
    </row>
    <row r="194" ht="15.75" customHeight="1">
      <c r="A194" s="31" t="s">
        <v>34</v>
      </c>
      <c r="B194" s="32">
        <f t="shared" si="6"/>
        <v>45119</v>
      </c>
      <c r="C194" s="33">
        <v>7.0</v>
      </c>
      <c r="D194" s="33" t="s">
        <v>49</v>
      </c>
      <c r="E194" s="34"/>
      <c r="F194" s="36"/>
      <c r="H194" s="37"/>
      <c r="J194" s="37"/>
      <c r="L194" s="37"/>
      <c r="N194" s="37"/>
      <c r="P194" s="37"/>
      <c r="Q194" s="26"/>
      <c r="R194" s="38">
        <v>45.0</v>
      </c>
      <c r="T194" s="39">
        <v>65.0</v>
      </c>
      <c r="V194" s="37"/>
      <c r="X194" s="37"/>
      <c r="Z194" s="37"/>
      <c r="AB194" s="37"/>
      <c r="AC194" s="26"/>
      <c r="AD194" s="37"/>
      <c r="AF194" s="39"/>
      <c r="AH194" s="39"/>
      <c r="AJ194" s="59"/>
      <c r="AK194" s="26"/>
      <c r="AL194" s="37"/>
      <c r="AN194" s="37"/>
      <c r="AP194" s="37"/>
      <c r="AR194" s="37"/>
      <c r="AT194" s="37"/>
      <c r="AU194" s="26"/>
      <c r="AV194" s="35">
        <f t="shared" si="1"/>
        <v>1115.4</v>
      </c>
      <c r="AW194" s="33">
        <f t="shared" si="2"/>
        <v>110</v>
      </c>
      <c r="AX194" s="33">
        <f t="shared" si="3"/>
        <v>0</v>
      </c>
      <c r="AY194" s="33">
        <f t="shared" si="4"/>
        <v>110</v>
      </c>
      <c r="AZ194" s="30">
        <f t="shared" si="5"/>
        <v>10.14</v>
      </c>
    </row>
    <row r="195" ht="15.75" customHeight="1">
      <c r="A195" s="31" t="s">
        <v>35</v>
      </c>
      <c r="B195" s="32">
        <f t="shared" si="6"/>
        <v>45120</v>
      </c>
      <c r="C195" s="33">
        <v>7.0</v>
      </c>
      <c r="D195" s="33" t="s">
        <v>49</v>
      </c>
      <c r="E195" s="34"/>
      <c r="F195" s="36"/>
      <c r="H195" s="37"/>
      <c r="J195" s="37"/>
      <c r="L195" s="37"/>
      <c r="N195" s="37"/>
      <c r="P195" s="37"/>
      <c r="Q195" s="26"/>
      <c r="R195" s="38">
        <v>78.0</v>
      </c>
      <c r="T195" s="39">
        <v>122.0</v>
      </c>
      <c r="V195" s="37"/>
      <c r="X195" s="37"/>
      <c r="Z195" s="37"/>
      <c r="AB195" s="37"/>
      <c r="AC195" s="26"/>
      <c r="AD195" s="37"/>
      <c r="AF195" s="39"/>
      <c r="AH195" s="39"/>
      <c r="AJ195" s="59"/>
      <c r="AK195" s="26"/>
      <c r="AL195" s="37"/>
      <c r="AN195" s="37"/>
      <c r="AP195" s="37"/>
      <c r="AR195" s="37"/>
      <c r="AT195" s="37"/>
      <c r="AU195" s="26"/>
      <c r="AV195" s="35">
        <f t="shared" si="1"/>
        <v>2028</v>
      </c>
      <c r="AW195" s="33">
        <f t="shared" si="2"/>
        <v>200</v>
      </c>
      <c r="AX195" s="33">
        <f t="shared" si="3"/>
        <v>0</v>
      </c>
      <c r="AY195" s="33">
        <f t="shared" si="4"/>
        <v>200</v>
      </c>
      <c r="AZ195" s="30">
        <f t="shared" si="5"/>
        <v>10.14</v>
      </c>
    </row>
    <row r="196" ht="15.75" customHeight="1">
      <c r="A196" s="31" t="s">
        <v>38</v>
      </c>
      <c r="B196" s="32">
        <f t="shared" si="6"/>
        <v>45121</v>
      </c>
      <c r="C196" s="33">
        <v>7.0</v>
      </c>
      <c r="D196" s="33" t="s">
        <v>49</v>
      </c>
      <c r="E196" s="34"/>
      <c r="F196" s="36"/>
      <c r="H196" s="37"/>
      <c r="J196" s="37"/>
      <c r="L196" s="37"/>
      <c r="N196" s="37"/>
      <c r="P196" s="37"/>
      <c r="Q196" s="26"/>
      <c r="R196" s="38">
        <v>95.0</v>
      </c>
      <c r="T196" s="39">
        <v>109.0</v>
      </c>
      <c r="V196" s="37"/>
      <c r="X196" s="37"/>
      <c r="Z196" s="37"/>
      <c r="AB196" s="37"/>
      <c r="AC196" s="26"/>
      <c r="AD196" s="37"/>
      <c r="AF196" s="39"/>
      <c r="AH196" s="39"/>
      <c r="AJ196" s="59"/>
      <c r="AK196" s="26"/>
      <c r="AL196" s="37"/>
      <c r="AN196" s="37"/>
      <c r="AP196" s="37"/>
      <c r="AR196" s="37"/>
      <c r="AT196" s="37"/>
      <c r="AU196" s="26"/>
      <c r="AV196" s="35">
        <f t="shared" si="1"/>
        <v>2068.56</v>
      </c>
      <c r="AW196" s="33">
        <f t="shared" si="2"/>
        <v>204</v>
      </c>
      <c r="AX196" s="33">
        <f t="shared" si="3"/>
        <v>0</v>
      </c>
      <c r="AY196" s="33">
        <f t="shared" si="4"/>
        <v>204</v>
      </c>
      <c r="AZ196" s="30">
        <f t="shared" si="5"/>
        <v>10.14</v>
      </c>
    </row>
    <row r="197" ht="15.75" customHeight="1">
      <c r="A197" s="31" t="s">
        <v>45</v>
      </c>
      <c r="B197" s="32">
        <f t="shared" si="6"/>
        <v>45122</v>
      </c>
      <c r="C197" s="33">
        <v>7.0</v>
      </c>
      <c r="D197" s="33" t="s">
        <v>49</v>
      </c>
      <c r="E197" s="34"/>
      <c r="F197" s="36"/>
      <c r="H197" s="37"/>
      <c r="J197" s="37"/>
      <c r="L197" s="37"/>
      <c r="N197" s="37"/>
      <c r="P197" s="37"/>
      <c r="Q197" s="26"/>
      <c r="R197" s="38">
        <v>116.0</v>
      </c>
      <c r="T197" s="39">
        <v>98.0</v>
      </c>
      <c r="V197" s="37"/>
      <c r="X197" s="37"/>
      <c r="Z197" s="37"/>
      <c r="AB197" s="37"/>
      <c r="AC197" s="26"/>
      <c r="AD197" s="37"/>
      <c r="AF197" s="39"/>
      <c r="AH197" s="39"/>
      <c r="AJ197" s="59"/>
      <c r="AK197" s="26"/>
      <c r="AL197" s="37"/>
      <c r="AN197" s="37"/>
      <c r="AP197" s="37"/>
      <c r="AR197" s="37"/>
      <c r="AT197" s="37"/>
      <c r="AU197" s="26"/>
      <c r="AV197" s="35">
        <f t="shared" si="1"/>
        <v>2169.96</v>
      </c>
      <c r="AW197" s="33">
        <f t="shared" si="2"/>
        <v>214</v>
      </c>
      <c r="AX197" s="33">
        <f t="shared" si="3"/>
        <v>0</v>
      </c>
      <c r="AY197" s="33">
        <f t="shared" si="4"/>
        <v>214</v>
      </c>
      <c r="AZ197" s="30">
        <f t="shared" si="5"/>
        <v>10.14</v>
      </c>
    </row>
    <row r="198" ht="15.75" customHeight="1">
      <c r="A198" s="44" t="s">
        <v>46</v>
      </c>
      <c r="B198" s="45">
        <f t="shared" si="6"/>
        <v>45123</v>
      </c>
      <c r="C198" s="46">
        <v>7.0</v>
      </c>
      <c r="D198" s="46" t="s">
        <v>49</v>
      </c>
      <c r="E198" s="47"/>
      <c r="F198" s="60"/>
      <c r="G198" s="51"/>
      <c r="H198" s="61"/>
      <c r="I198" s="51"/>
      <c r="J198" s="61"/>
      <c r="K198" s="51"/>
      <c r="L198" s="61"/>
      <c r="M198" s="51"/>
      <c r="N198" s="61"/>
      <c r="O198" s="51"/>
      <c r="P198" s="61"/>
      <c r="Q198" s="53"/>
      <c r="R198" s="62"/>
      <c r="S198" s="51"/>
      <c r="T198" s="63"/>
      <c r="U198" s="51"/>
      <c r="V198" s="61"/>
      <c r="W198" s="51"/>
      <c r="X198" s="61"/>
      <c r="Y198" s="51"/>
      <c r="Z198" s="61"/>
      <c r="AA198" s="51"/>
      <c r="AB198" s="61"/>
      <c r="AC198" s="53"/>
      <c r="AD198" s="61"/>
      <c r="AE198" s="51"/>
      <c r="AF198" s="63"/>
      <c r="AG198" s="51"/>
      <c r="AH198" s="63"/>
      <c r="AI198" s="51"/>
      <c r="AJ198" s="68"/>
      <c r="AK198" s="53"/>
      <c r="AL198" s="61"/>
      <c r="AM198" s="51"/>
      <c r="AN198" s="61"/>
      <c r="AO198" s="51"/>
      <c r="AP198" s="61"/>
      <c r="AQ198" s="51"/>
      <c r="AR198" s="61"/>
      <c r="AS198" s="51"/>
      <c r="AT198" s="61"/>
      <c r="AU198" s="53"/>
      <c r="AV198" s="55">
        <f t="shared" si="1"/>
        <v>0</v>
      </c>
      <c r="AW198" s="46">
        <f t="shared" si="2"/>
        <v>0</v>
      </c>
      <c r="AX198" s="46">
        <f t="shared" si="3"/>
        <v>0</v>
      </c>
      <c r="AY198" s="46">
        <f t="shared" si="4"/>
        <v>0</v>
      </c>
      <c r="AZ198" s="56" t="str">
        <f t="shared" si="5"/>
        <v/>
      </c>
    </row>
    <row r="199" ht="15.75" customHeight="1">
      <c r="A199" s="19" t="s">
        <v>30</v>
      </c>
      <c r="B199" s="57">
        <f t="shared" si="6"/>
        <v>45124</v>
      </c>
      <c r="C199" s="21">
        <v>8.0</v>
      </c>
      <c r="D199" s="21" t="s">
        <v>31</v>
      </c>
      <c r="E199" s="23"/>
      <c r="F199" s="36"/>
      <c r="H199" s="37"/>
      <c r="J199" s="37"/>
      <c r="L199" s="37"/>
      <c r="N199" s="37"/>
      <c r="P199" s="37"/>
      <c r="Q199" s="26"/>
      <c r="R199" s="38">
        <v>136.0</v>
      </c>
      <c r="T199" s="39">
        <v>140.0</v>
      </c>
      <c r="V199" s="37"/>
      <c r="X199" s="37"/>
      <c r="Z199" s="37"/>
      <c r="AB199" s="37"/>
      <c r="AC199" s="26"/>
      <c r="AD199" s="37"/>
      <c r="AF199" s="37"/>
      <c r="AH199" s="37"/>
      <c r="AJ199" s="59"/>
      <c r="AK199" s="26"/>
      <c r="AL199" s="37"/>
      <c r="AN199" s="37"/>
      <c r="AP199" s="37"/>
      <c r="AR199" s="37"/>
      <c r="AT199" s="37"/>
      <c r="AU199" s="26"/>
      <c r="AV199" s="29">
        <f t="shared" si="1"/>
        <v>2798.64</v>
      </c>
      <c r="AW199" s="21">
        <f t="shared" si="2"/>
        <v>276</v>
      </c>
      <c r="AX199" s="21">
        <f t="shared" si="3"/>
        <v>0</v>
      </c>
      <c r="AY199" s="21">
        <f t="shared" si="4"/>
        <v>276</v>
      </c>
      <c r="AZ199" s="58">
        <f t="shared" si="5"/>
        <v>10.14</v>
      </c>
    </row>
    <row r="200" ht="15.75" customHeight="1">
      <c r="A200" s="31" t="s">
        <v>33</v>
      </c>
      <c r="B200" s="32">
        <f t="shared" si="6"/>
        <v>45125</v>
      </c>
      <c r="C200" s="33">
        <v>8.0</v>
      </c>
      <c r="D200" s="33" t="s">
        <v>31</v>
      </c>
      <c r="E200" s="34"/>
      <c r="F200" s="36"/>
      <c r="H200" s="37"/>
      <c r="J200" s="37"/>
      <c r="L200" s="37"/>
      <c r="N200" s="37"/>
      <c r="P200" s="37"/>
      <c r="Q200" s="26"/>
      <c r="R200" s="38">
        <v>144.0</v>
      </c>
      <c r="T200" s="39">
        <v>155.0</v>
      </c>
      <c r="V200" s="37"/>
      <c r="X200" s="37"/>
      <c r="Z200" s="37"/>
      <c r="AB200" s="37"/>
      <c r="AC200" s="26"/>
      <c r="AD200" s="37"/>
      <c r="AF200" s="39">
        <v>50.0</v>
      </c>
      <c r="AH200" s="39">
        <v>50.0</v>
      </c>
      <c r="AJ200" s="59"/>
      <c r="AK200" s="26"/>
      <c r="AL200" s="37"/>
      <c r="AN200" s="37"/>
      <c r="AP200" s="37"/>
      <c r="AR200" s="37"/>
      <c r="AT200" s="37"/>
      <c r="AU200" s="26"/>
      <c r="AV200" s="35">
        <f t="shared" si="1"/>
        <v>4481.86</v>
      </c>
      <c r="AW200" s="33">
        <f t="shared" si="2"/>
        <v>399</v>
      </c>
      <c r="AX200" s="33">
        <f t="shared" si="3"/>
        <v>0</v>
      </c>
      <c r="AY200" s="33">
        <f t="shared" si="4"/>
        <v>399</v>
      </c>
      <c r="AZ200" s="30">
        <f t="shared" si="5"/>
        <v>11.23273183</v>
      </c>
    </row>
    <row r="201" ht="15.75" customHeight="1">
      <c r="A201" s="31" t="s">
        <v>34</v>
      </c>
      <c r="B201" s="32">
        <f t="shared" si="6"/>
        <v>45126</v>
      </c>
      <c r="C201" s="33">
        <v>8.0</v>
      </c>
      <c r="D201" s="33" t="s">
        <v>31</v>
      </c>
      <c r="E201" s="34"/>
      <c r="F201" s="36"/>
      <c r="H201" s="37"/>
      <c r="J201" s="37"/>
      <c r="L201" s="37"/>
      <c r="N201" s="37"/>
      <c r="P201" s="37"/>
      <c r="Q201" s="26"/>
      <c r="R201" s="38">
        <v>156.0</v>
      </c>
      <c r="T201" s="39">
        <v>177.0</v>
      </c>
      <c r="V201" s="37"/>
      <c r="X201" s="37"/>
      <c r="Z201" s="37"/>
      <c r="AB201" s="37"/>
      <c r="AC201" s="26"/>
      <c r="AD201" s="37"/>
      <c r="AF201" s="39">
        <v>50.0</v>
      </c>
      <c r="AH201" s="39">
        <v>50.0</v>
      </c>
      <c r="AJ201" s="59"/>
      <c r="AK201" s="26"/>
      <c r="AL201" s="37"/>
      <c r="AN201" s="37"/>
      <c r="AP201" s="37"/>
      <c r="AR201" s="37"/>
      <c r="AT201" s="37"/>
      <c r="AU201" s="26"/>
      <c r="AV201" s="35">
        <f t="shared" si="1"/>
        <v>4826.62</v>
      </c>
      <c r="AW201" s="33">
        <f t="shared" si="2"/>
        <v>433</v>
      </c>
      <c r="AX201" s="33">
        <f t="shared" si="3"/>
        <v>0</v>
      </c>
      <c r="AY201" s="33">
        <f t="shared" si="4"/>
        <v>433</v>
      </c>
      <c r="AZ201" s="30">
        <f t="shared" si="5"/>
        <v>11.14692841</v>
      </c>
    </row>
    <row r="202" ht="15.75" customHeight="1">
      <c r="A202" s="31" t="s">
        <v>35</v>
      </c>
      <c r="B202" s="32">
        <f t="shared" si="6"/>
        <v>45127</v>
      </c>
      <c r="C202" s="33">
        <v>8.0</v>
      </c>
      <c r="D202" s="33" t="s">
        <v>31</v>
      </c>
      <c r="E202" s="34"/>
      <c r="F202" s="36"/>
      <c r="H202" s="37"/>
      <c r="J202" s="37"/>
      <c r="L202" s="37"/>
      <c r="N202" s="37"/>
      <c r="P202" s="37"/>
      <c r="Q202" s="26"/>
      <c r="R202" s="38">
        <v>134.0</v>
      </c>
      <c r="T202" s="39">
        <v>162.0</v>
      </c>
      <c r="V202" s="37"/>
      <c r="X202" s="37"/>
      <c r="Z202" s="37"/>
      <c r="AB202" s="37"/>
      <c r="AC202" s="26"/>
      <c r="AD202" s="37"/>
      <c r="AF202" s="37"/>
      <c r="AH202" s="39">
        <v>50.0</v>
      </c>
      <c r="AJ202" s="59"/>
      <c r="AK202" s="26"/>
      <c r="AL202" s="37"/>
      <c r="AN202" s="37"/>
      <c r="AP202" s="37"/>
      <c r="AR202" s="37"/>
      <c r="AT202" s="37"/>
      <c r="AU202" s="26"/>
      <c r="AV202" s="35">
        <f t="shared" si="1"/>
        <v>3726.44</v>
      </c>
      <c r="AW202" s="33">
        <f t="shared" si="2"/>
        <v>346</v>
      </c>
      <c r="AX202" s="33">
        <f t="shared" si="3"/>
        <v>0</v>
      </c>
      <c r="AY202" s="33">
        <f t="shared" si="4"/>
        <v>346</v>
      </c>
      <c r="AZ202" s="30">
        <f t="shared" si="5"/>
        <v>10.7700578</v>
      </c>
    </row>
    <row r="203" ht="15.75" customHeight="1">
      <c r="A203" s="31" t="s">
        <v>38</v>
      </c>
      <c r="B203" s="32">
        <f t="shared" si="6"/>
        <v>45128</v>
      </c>
      <c r="C203" s="33">
        <v>8.0</v>
      </c>
      <c r="D203" s="33" t="s">
        <v>31</v>
      </c>
      <c r="E203" s="34"/>
      <c r="F203" s="36"/>
      <c r="H203" s="37"/>
      <c r="J203" s="37"/>
      <c r="L203" s="37"/>
      <c r="N203" s="37"/>
      <c r="P203" s="37"/>
      <c r="Q203" s="26"/>
      <c r="R203" s="38">
        <v>136.0</v>
      </c>
      <c r="T203" s="39">
        <v>154.0</v>
      </c>
      <c r="V203" s="37"/>
      <c r="X203" s="37"/>
      <c r="Z203" s="37"/>
      <c r="AB203" s="37"/>
      <c r="AC203" s="26"/>
      <c r="AD203" s="37"/>
      <c r="AF203" s="39">
        <v>50.0</v>
      </c>
      <c r="AH203" s="39">
        <v>50.0</v>
      </c>
      <c r="AJ203" s="59"/>
      <c r="AK203" s="26"/>
      <c r="AL203" s="37"/>
      <c r="AN203" s="37"/>
      <c r="AP203" s="37"/>
      <c r="AR203" s="37"/>
      <c r="AT203" s="37"/>
      <c r="AU203" s="26"/>
      <c r="AV203" s="35">
        <f t="shared" si="1"/>
        <v>4390.6</v>
      </c>
      <c r="AW203" s="33">
        <f t="shared" si="2"/>
        <v>390</v>
      </c>
      <c r="AX203" s="33">
        <f t="shared" si="3"/>
        <v>0</v>
      </c>
      <c r="AY203" s="33">
        <f t="shared" si="4"/>
        <v>390</v>
      </c>
      <c r="AZ203" s="30">
        <f t="shared" si="5"/>
        <v>11.25794872</v>
      </c>
    </row>
    <row r="204" ht="15.75" customHeight="1">
      <c r="A204" s="31" t="s">
        <v>45</v>
      </c>
      <c r="B204" s="32">
        <f t="shared" si="6"/>
        <v>45129</v>
      </c>
      <c r="C204" s="33">
        <v>8.0</v>
      </c>
      <c r="D204" s="33" t="s">
        <v>31</v>
      </c>
      <c r="E204" s="34"/>
      <c r="F204" s="36"/>
      <c r="H204" s="37"/>
      <c r="J204" s="37"/>
      <c r="L204" s="37"/>
      <c r="N204" s="37"/>
      <c r="P204" s="37"/>
      <c r="Q204" s="26"/>
      <c r="R204" s="38">
        <v>135.0</v>
      </c>
      <c r="T204" s="39">
        <v>146.0</v>
      </c>
      <c r="V204" s="37"/>
      <c r="X204" s="37"/>
      <c r="Z204" s="37"/>
      <c r="AB204" s="37"/>
      <c r="AC204" s="26"/>
      <c r="AD204" s="37"/>
      <c r="AF204" s="39">
        <v>50.0</v>
      </c>
      <c r="AH204" s="37"/>
      <c r="AJ204" s="59"/>
      <c r="AK204" s="26"/>
      <c r="AL204" s="37"/>
      <c r="AN204" s="37"/>
      <c r="AP204" s="37"/>
      <c r="AR204" s="37"/>
      <c r="AT204" s="37"/>
      <c r="AU204" s="26"/>
      <c r="AV204" s="35">
        <f t="shared" si="1"/>
        <v>3574.34</v>
      </c>
      <c r="AW204" s="33">
        <f t="shared" si="2"/>
        <v>331</v>
      </c>
      <c r="AX204" s="33">
        <f t="shared" si="3"/>
        <v>0</v>
      </c>
      <c r="AY204" s="33">
        <f t="shared" si="4"/>
        <v>331</v>
      </c>
      <c r="AZ204" s="30">
        <f t="shared" si="5"/>
        <v>10.79861027</v>
      </c>
    </row>
    <row r="205" ht="15.75" customHeight="1">
      <c r="A205" s="44" t="s">
        <v>46</v>
      </c>
      <c r="B205" s="45">
        <f t="shared" si="6"/>
        <v>45130</v>
      </c>
      <c r="C205" s="46">
        <v>8.0</v>
      </c>
      <c r="D205" s="46" t="s">
        <v>31</v>
      </c>
      <c r="E205" s="47"/>
      <c r="F205" s="60"/>
      <c r="G205" s="51"/>
      <c r="H205" s="61"/>
      <c r="I205" s="51"/>
      <c r="J205" s="61"/>
      <c r="K205" s="51"/>
      <c r="L205" s="61"/>
      <c r="M205" s="51"/>
      <c r="N205" s="61"/>
      <c r="O205" s="51"/>
      <c r="P205" s="61"/>
      <c r="Q205" s="53"/>
      <c r="R205" s="62"/>
      <c r="S205" s="51"/>
      <c r="T205" s="63"/>
      <c r="U205" s="51"/>
      <c r="V205" s="61"/>
      <c r="W205" s="51"/>
      <c r="X205" s="61"/>
      <c r="Y205" s="51"/>
      <c r="Z205" s="61"/>
      <c r="AA205" s="51"/>
      <c r="AB205" s="61"/>
      <c r="AC205" s="53"/>
      <c r="AD205" s="61"/>
      <c r="AE205" s="51"/>
      <c r="AF205" s="61"/>
      <c r="AG205" s="51"/>
      <c r="AH205" s="61"/>
      <c r="AI205" s="51"/>
      <c r="AJ205" s="68"/>
      <c r="AK205" s="53"/>
      <c r="AL205" s="61"/>
      <c r="AM205" s="51"/>
      <c r="AN205" s="61"/>
      <c r="AO205" s="51"/>
      <c r="AP205" s="61"/>
      <c r="AQ205" s="51"/>
      <c r="AR205" s="61"/>
      <c r="AS205" s="51"/>
      <c r="AT205" s="61"/>
      <c r="AU205" s="53"/>
      <c r="AV205" s="55">
        <f t="shared" si="1"/>
        <v>0</v>
      </c>
      <c r="AW205" s="46">
        <f t="shared" si="2"/>
        <v>0</v>
      </c>
      <c r="AX205" s="46">
        <f t="shared" si="3"/>
        <v>0</v>
      </c>
      <c r="AY205" s="46">
        <f t="shared" si="4"/>
        <v>0</v>
      </c>
      <c r="AZ205" s="56" t="str">
        <f t="shared" si="5"/>
        <v/>
      </c>
    </row>
    <row r="206" ht="15.75" customHeight="1">
      <c r="A206" s="19" t="s">
        <v>30</v>
      </c>
      <c r="B206" s="57">
        <f t="shared" si="6"/>
        <v>45131</v>
      </c>
      <c r="C206" s="21">
        <v>8.0</v>
      </c>
      <c r="D206" s="21" t="s">
        <v>47</v>
      </c>
      <c r="E206" s="23"/>
      <c r="F206" s="36"/>
      <c r="H206" s="37"/>
      <c r="J206" s="37"/>
      <c r="L206" s="37"/>
      <c r="N206" s="37"/>
      <c r="P206" s="37"/>
      <c r="Q206" s="26"/>
      <c r="R206" s="38">
        <v>125.0</v>
      </c>
      <c r="T206" s="39">
        <v>120.0</v>
      </c>
      <c r="V206" s="37"/>
      <c r="X206" s="37"/>
      <c r="Z206" s="37"/>
      <c r="AB206" s="37"/>
      <c r="AC206" s="26"/>
      <c r="AD206" s="37"/>
      <c r="AF206" s="39"/>
      <c r="AH206" s="39"/>
      <c r="AJ206" s="59"/>
      <c r="AK206" s="26"/>
      <c r="AL206" s="37"/>
      <c r="AN206" s="37"/>
      <c r="AP206" s="37"/>
      <c r="AR206" s="37"/>
      <c r="AT206" s="37"/>
      <c r="AU206" s="26"/>
      <c r="AV206" s="29">
        <f t="shared" si="1"/>
        <v>2484.3</v>
      </c>
      <c r="AW206" s="21">
        <f t="shared" si="2"/>
        <v>245</v>
      </c>
      <c r="AX206" s="21">
        <f t="shared" si="3"/>
        <v>0</v>
      </c>
      <c r="AY206" s="21">
        <f t="shared" si="4"/>
        <v>245</v>
      </c>
      <c r="AZ206" s="58">
        <f t="shared" si="5"/>
        <v>10.14</v>
      </c>
    </row>
    <row r="207" ht="15.75" customHeight="1">
      <c r="A207" s="31" t="s">
        <v>33</v>
      </c>
      <c r="B207" s="32">
        <f t="shared" si="6"/>
        <v>45132</v>
      </c>
      <c r="C207" s="33">
        <v>8.0</v>
      </c>
      <c r="D207" s="33" t="s">
        <v>47</v>
      </c>
      <c r="E207" s="34"/>
      <c r="F207" s="36"/>
      <c r="H207" s="37"/>
      <c r="J207" s="37"/>
      <c r="L207" s="37"/>
      <c r="N207" s="37"/>
      <c r="P207" s="37"/>
      <c r="Q207" s="26"/>
      <c r="R207" s="38">
        <v>140.0</v>
      </c>
      <c r="T207" s="39">
        <v>138.0</v>
      </c>
      <c r="V207" s="37"/>
      <c r="X207" s="37"/>
      <c r="Z207" s="37"/>
      <c r="AB207" s="37"/>
      <c r="AC207" s="26"/>
      <c r="AD207" s="37"/>
      <c r="AF207" s="39"/>
      <c r="AH207" s="39"/>
      <c r="AJ207" s="59"/>
      <c r="AK207" s="26"/>
      <c r="AL207" s="37"/>
      <c r="AN207" s="37"/>
      <c r="AP207" s="37"/>
      <c r="AR207" s="37"/>
      <c r="AT207" s="37"/>
      <c r="AU207" s="26"/>
      <c r="AV207" s="35">
        <f t="shared" si="1"/>
        <v>2818.92</v>
      </c>
      <c r="AW207" s="33">
        <f t="shared" si="2"/>
        <v>278</v>
      </c>
      <c r="AX207" s="33">
        <f t="shared" si="3"/>
        <v>0</v>
      </c>
      <c r="AY207" s="33">
        <f t="shared" si="4"/>
        <v>278</v>
      </c>
      <c r="AZ207" s="30">
        <f t="shared" si="5"/>
        <v>10.14</v>
      </c>
    </row>
    <row r="208" ht="15.75" customHeight="1">
      <c r="A208" s="31" t="s">
        <v>34</v>
      </c>
      <c r="B208" s="32">
        <f t="shared" si="6"/>
        <v>45133</v>
      </c>
      <c r="C208" s="33">
        <v>8.0</v>
      </c>
      <c r="D208" s="33" t="s">
        <v>47</v>
      </c>
      <c r="E208" s="34"/>
      <c r="F208" s="36"/>
      <c r="H208" s="37"/>
      <c r="J208" s="37"/>
      <c r="L208" s="37"/>
      <c r="N208" s="37"/>
      <c r="P208" s="37"/>
      <c r="Q208" s="26"/>
      <c r="R208" s="38">
        <v>138.0</v>
      </c>
      <c r="T208" s="39">
        <v>121.0</v>
      </c>
      <c r="V208" s="37"/>
      <c r="X208" s="37"/>
      <c r="Z208" s="37"/>
      <c r="AB208" s="37"/>
      <c r="AC208" s="26"/>
      <c r="AD208" s="37"/>
      <c r="AF208" s="39"/>
      <c r="AH208" s="39"/>
      <c r="AJ208" s="59"/>
      <c r="AK208" s="26"/>
      <c r="AL208" s="37"/>
      <c r="AN208" s="37"/>
      <c r="AP208" s="37"/>
      <c r="AR208" s="37"/>
      <c r="AT208" s="37"/>
      <c r="AU208" s="26"/>
      <c r="AV208" s="35">
        <f t="shared" si="1"/>
        <v>2626.26</v>
      </c>
      <c r="AW208" s="33">
        <f t="shared" si="2"/>
        <v>259</v>
      </c>
      <c r="AX208" s="33">
        <f t="shared" si="3"/>
        <v>0</v>
      </c>
      <c r="AY208" s="33">
        <f t="shared" si="4"/>
        <v>259</v>
      </c>
      <c r="AZ208" s="30">
        <f t="shared" si="5"/>
        <v>10.14</v>
      </c>
    </row>
    <row r="209" ht="15.75" customHeight="1">
      <c r="A209" s="31" t="s">
        <v>35</v>
      </c>
      <c r="B209" s="32">
        <f t="shared" si="6"/>
        <v>45134</v>
      </c>
      <c r="C209" s="33">
        <v>8.0</v>
      </c>
      <c r="D209" s="33" t="s">
        <v>47</v>
      </c>
      <c r="E209" s="34"/>
      <c r="F209" s="36"/>
      <c r="H209" s="37"/>
      <c r="J209" s="37"/>
      <c r="L209" s="37"/>
      <c r="N209" s="37"/>
      <c r="P209" s="37"/>
      <c r="Q209" s="26"/>
      <c r="R209" s="38">
        <v>153.0</v>
      </c>
      <c r="T209" s="39">
        <v>132.0</v>
      </c>
      <c r="V209" s="37"/>
      <c r="X209" s="37"/>
      <c r="Z209" s="37"/>
      <c r="AB209" s="37"/>
      <c r="AC209" s="26"/>
      <c r="AD209" s="37"/>
      <c r="AF209" s="39"/>
      <c r="AH209" s="39"/>
      <c r="AJ209" s="59"/>
      <c r="AK209" s="26"/>
      <c r="AL209" s="37"/>
      <c r="AN209" s="37"/>
      <c r="AP209" s="37"/>
      <c r="AR209" s="37"/>
      <c r="AT209" s="37"/>
      <c r="AU209" s="26"/>
      <c r="AV209" s="35">
        <f t="shared" si="1"/>
        <v>2889.9</v>
      </c>
      <c r="AW209" s="33">
        <f t="shared" si="2"/>
        <v>285</v>
      </c>
      <c r="AX209" s="33">
        <f t="shared" si="3"/>
        <v>0</v>
      </c>
      <c r="AY209" s="33">
        <f t="shared" si="4"/>
        <v>285</v>
      </c>
      <c r="AZ209" s="30">
        <f t="shared" si="5"/>
        <v>10.14</v>
      </c>
    </row>
    <row r="210" ht="15.75" customHeight="1">
      <c r="A210" s="31" t="s">
        <v>38</v>
      </c>
      <c r="B210" s="32">
        <f t="shared" si="6"/>
        <v>45135</v>
      </c>
      <c r="C210" s="33">
        <v>8.0</v>
      </c>
      <c r="D210" s="33" t="s">
        <v>47</v>
      </c>
      <c r="E210" s="34"/>
      <c r="F210" s="36"/>
      <c r="H210" s="37"/>
      <c r="J210" s="37"/>
      <c r="L210" s="37"/>
      <c r="N210" s="37"/>
      <c r="P210" s="37"/>
      <c r="Q210" s="26"/>
      <c r="R210" s="38">
        <v>131.0</v>
      </c>
      <c r="T210" s="39">
        <v>159.0</v>
      </c>
      <c r="V210" s="37"/>
      <c r="X210" s="37"/>
      <c r="Z210" s="37"/>
      <c r="AB210" s="37"/>
      <c r="AC210" s="26"/>
      <c r="AD210" s="37"/>
      <c r="AF210" s="39"/>
      <c r="AH210" s="39"/>
      <c r="AJ210" s="59"/>
      <c r="AK210" s="26"/>
      <c r="AL210" s="37"/>
      <c r="AN210" s="37"/>
      <c r="AP210" s="37"/>
      <c r="AR210" s="37"/>
      <c r="AT210" s="37"/>
      <c r="AU210" s="26"/>
      <c r="AV210" s="35">
        <f t="shared" si="1"/>
        <v>2940.6</v>
      </c>
      <c r="AW210" s="33">
        <f t="shared" si="2"/>
        <v>290</v>
      </c>
      <c r="AX210" s="33">
        <f t="shared" si="3"/>
        <v>0</v>
      </c>
      <c r="AY210" s="33">
        <f t="shared" si="4"/>
        <v>290</v>
      </c>
      <c r="AZ210" s="30">
        <f t="shared" si="5"/>
        <v>10.14</v>
      </c>
    </row>
    <row r="211" ht="15.75" customHeight="1">
      <c r="A211" s="31" t="s">
        <v>45</v>
      </c>
      <c r="B211" s="32">
        <f t="shared" si="6"/>
        <v>45136</v>
      </c>
      <c r="C211" s="33">
        <v>8.0</v>
      </c>
      <c r="D211" s="33" t="s">
        <v>47</v>
      </c>
      <c r="E211" s="34"/>
      <c r="F211" s="36"/>
      <c r="H211" s="37"/>
      <c r="J211" s="37"/>
      <c r="L211" s="37"/>
      <c r="N211" s="37"/>
      <c r="P211" s="37"/>
      <c r="Q211" s="26"/>
      <c r="R211" s="38">
        <v>126.0</v>
      </c>
      <c r="T211" s="39">
        <v>109.0</v>
      </c>
      <c r="V211" s="37"/>
      <c r="X211" s="37"/>
      <c r="Z211" s="37"/>
      <c r="AB211" s="37"/>
      <c r="AC211" s="26"/>
      <c r="AD211" s="37"/>
      <c r="AF211" s="39"/>
      <c r="AH211" s="39"/>
      <c r="AJ211" s="59"/>
      <c r="AK211" s="26"/>
      <c r="AL211" s="37"/>
      <c r="AN211" s="37"/>
      <c r="AP211" s="37"/>
      <c r="AR211" s="37"/>
      <c r="AT211" s="37"/>
      <c r="AU211" s="26"/>
      <c r="AV211" s="35">
        <f t="shared" si="1"/>
        <v>2382.9</v>
      </c>
      <c r="AW211" s="33">
        <f t="shared" si="2"/>
        <v>235</v>
      </c>
      <c r="AX211" s="33">
        <f t="shared" si="3"/>
        <v>0</v>
      </c>
      <c r="AY211" s="33">
        <f t="shared" si="4"/>
        <v>235</v>
      </c>
      <c r="AZ211" s="30">
        <f t="shared" si="5"/>
        <v>10.14</v>
      </c>
    </row>
    <row r="212" ht="15.75" customHeight="1">
      <c r="A212" s="44" t="s">
        <v>46</v>
      </c>
      <c r="B212" s="45">
        <f t="shared" si="6"/>
        <v>45137</v>
      </c>
      <c r="C212" s="46">
        <v>8.0</v>
      </c>
      <c r="D212" s="46" t="s">
        <v>47</v>
      </c>
      <c r="E212" s="47"/>
      <c r="F212" s="60"/>
      <c r="G212" s="51"/>
      <c r="H212" s="61"/>
      <c r="I212" s="51"/>
      <c r="J212" s="61"/>
      <c r="K212" s="51"/>
      <c r="L212" s="61"/>
      <c r="M212" s="51"/>
      <c r="N212" s="61"/>
      <c r="O212" s="51"/>
      <c r="P212" s="61"/>
      <c r="Q212" s="53"/>
      <c r="R212" s="62"/>
      <c r="S212" s="51"/>
      <c r="T212" s="63"/>
      <c r="U212" s="51"/>
      <c r="V212" s="61"/>
      <c r="W212" s="51"/>
      <c r="X212" s="61"/>
      <c r="Y212" s="51"/>
      <c r="Z212" s="61"/>
      <c r="AA212" s="51"/>
      <c r="AB212" s="61"/>
      <c r="AC212" s="53"/>
      <c r="AD212" s="61"/>
      <c r="AE212" s="51"/>
      <c r="AF212" s="63"/>
      <c r="AG212" s="51"/>
      <c r="AH212" s="63"/>
      <c r="AI212" s="51"/>
      <c r="AJ212" s="68"/>
      <c r="AK212" s="53"/>
      <c r="AL212" s="61"/>
      <c r="AM212" s="51"/>
      <c r="AN212" s="61"/>
      <c r="AO212" s="51"/>
      <c r="AP212" s="61"/>
      <c r="AQ212" s="51"/>
      <c r="AR212" s="61"/>
      <c r="AS212" s="51"/>
      <c r="AT212" s="61"/>
      <c r="AU212" s="53"/>
      <c r="AV212" s="55">
        <f t="shared" si="1"/>
        <v>0</v>
      </c>
      <c r="AW212" s="46">
        <f t="shared" si="2"/>
        <v>0</v>
      </c>
      <c r="AX212" s="46">
        <f t="shared" si="3"/>
        <v>0</v>
      </c>
      <c r="AY212" s="46">
        <f t="shared" si="4"/>
        <v>0</v>
      </c>
      <c r="AZ212" s="56" t="str">
        <f t="shared" si="5"/>
        <v/>
      </c>
    </row>
    <row r="213" ht="15.75" customHeight="1">
      <c r="A213" s="19" t="s">
        <v>30</v>
      </c>
      <c r="B213" s="57">
        <f t="shared" si="6"/>
        <v>45138</v>
      </c>
      <c r="C213" s="21">
        <v>8.0</v>
      </c>
      <c r="D213" s="21" t="s">
        <v>48</v>
      </c>
      <c r="E213" s="23"/>
      <c r="F213" s="36"/>
      <c r="H213" s="37"/>
      <c r="J213" s="37"/>
      <c r="L213" s="37"/>
      <c r="N213" s="37"/>
      <c r="P213" s="37"/>
      <c r="Q213" s="26"/>
      <c r="R213" s="38">
        <v>123.0</v>
      </c>
      <c r="T213" s="39">
        <v>168.0</v>
      </c>
      <c r="V213" s="37"/>
      <c r="X213" s="37"/>
      <c r="Z213" s="37"/>
      <c r="AB213" s="37"/>
      <c r="AC213" s="26"/>
      <c r="AD213" s="37"/>
      <c r="AF213" s="37"/>
      <c r="AH213" s="37"/>
      <c r="AJ213" s="59"/>
      <c r="AK213" s="26"/>
      <c r="AL213" s="37"/>
      <c r="AN213" s="37"/>
      <c r="AP213" s="37"/>
      <c r="AR213" s="37"/>
      <c r="AT213" s="37"/>
      <c r="AU213" s="26"/>
      <c r="AV213" s="29">
        <f t="shared" si="1"/>
        <v>2950.74</v>
      </c>
      <c r="AW213" s="21">
        <f t="shared" si="2"/>
        <v>291</v>
      </c>
      <c r="AX213" s="21">
        <f t="shared" si="3"/>
        <v>0</v>
      </c>
      <c r="AY213" s="21">
        <f t="shared" si="4"/>
        <v>291</v>
      </c>
      <c r="AZ213" s="58">
        <f t="shared" si="5"/>
        <v>10.14</v>
      </c>
    </row>
    <row r="214" ht="15.75" customHeight="1">
      <c r="A214" s="31" t="s">
        <v>33</v>
      </c>
      <c r="B214" s="32">
        <f t="shared" si="6"/>
        <v>45139</v>
      </c>
      <c r="C214" s="33">
        <v>8.0</v>
      </c>
      <c r="D214" s="33" t="s">
        <v>48</v>
      </c>
      <c r="E214" s="34"/>
      <c r="F214" s="36"/>
      <c r="H214" s="37"/>
      <c r="J214" s="37"/>
      <c r="L214" s="37"/>
      <c r="N214" s="37"/>
      <c r="P214" s="37"/>
      <c r="Q214" s="26"/>
      <c r="R214" s="38">
        <v>135.0</v>
      </c>
      <c r="T214" s="39">
        <v>130.0</v>
      </c>
      <c r="V214" s="37"/>
      <c r="X214" s="37"/>
      <c r="Z214" s="37"/>
      <c r="AB214" s="37"/>
      <c r="AC214" s="26"/>
      <c r="AD214" s="37"/>
      <c r="AF214" s="39">
        <v>50.0</v>
      </c>
      <c r="AH214" s="39">
        <v>50.0</v>
      </c>
      <c r="AJ214" s="59"/>
      <c r="AK214" s="26"/>
      <c r="AL214" s="37"/>
      <c r="AN214" s="37"/>
      <c r="AP214" s="37"/>
      <c r="AR214" s="37"/>
      <c r="AT214" s="37"/>
      <c r="AU214" s="26"/>
      <c r="AV214" s="35">
        <f t="shared" si="1"/>
        <v>4137.1</v>
      </c>
      <c r="AW214" s="33">
        <f t="shared" si="2"/>
        <v>365</v>
      </c>
      <c r="AX214" s="33">
        <f t="shared" si="3"/>
        <v>0</v>
      </c>
      <c r="AY214" s="33">
        <f t="shared" si="4"/>
        <v>365</v>
      </c>
      <c r="AZ214" s="30">
        <f t="shared" si="5"/>
        <v>11.33452055</v>
      </c>
    </row>
    <row r="215" ht="15.75" customHeight="1">
      <c r="A215" s="31" t="s">
        <v>34</v>
      </c>
      <c r="B215" s="32">
        <f t="shared" si="6"/>
        <v>45140</v>
      </c>
      <c r="C215" s="33">
        <v>8.0</v>
      </c>
      <c r="D215" s="33" t="s">
        <v>48</v>
      </c>
      <c r="E215" s="34"/>
      <c r="F215" s="36"/>
      <c r="H215" s="37"/>
      <c r="J215" s="37"/>
      <c r="L215" s="37"/>
      <c r="N215" s="37"/>
      <c r="P215" s="37"/>
      <c r="Q215" s="26"/>
      <c r="R215" s="38">
        <v>138.0</v>
      </c>
      <c r="T215" s="39">
        <v>130.0</v>
      </c>
      <c r="V215" s="37"/>
      <c r="X215" s="37"/>
      <c r="Z215" s="37"/>
      <c r="AB215" s="37"/>
      <c r="AC215" s="26"/>
      <c r="AD215" s="37"/>
      <c r="AF215" s="39">
        <v>50.0</v>
      </c>
      <c r="AH215" s="39">
        <v>50.0</v>
      </c>
      <c r="AJ215" s="59"/>
      <c r="AK215" s="26"/>
      <c r="AL215" s="37"/>
      <c r="AN215" s="37"/>
      <c r="AP215" s="37"/>
      <c r="AR215" s="37"/>
      <c r="AT215" s="37"/>
      <c r="AU215" s="26"/>
      <c r="AV215" s="35">
        <f t="shared" si="1"/>
        <v>4167.52</v>
      </c>
      <c r="AW215" s="33">
        <f t="shared" si="2"/>
        <v>368</v>
      </c>
      <c r="AX215" s="33">
        <f t="shared" si="3"/>
        <v>0</v>
      </c>
      <c r="AY215" s="33">
        <f t="shared" si="4"/>
        <v>368</v>
      </c>
      <c r="AZ215" s="30">
        <f t="shared" si="5"/>
        <v>11.32478261</v>
      </c>
    </row>
    <row r="216" ht="15.75" customHeight="1">
      <c r="A216" s="31" t="s">
        <v>35</v>
      </c>
      <c r="B216" s="32">
        <f t="shared" si="6"/>
        <v>45141</v>
      </c>
      <c r="C216" s="33">
        <v>8.0</v>
      </c>
      <c r="D216" s="33" t="s">
        <v>48</v>
      </c>
      <c r="E216" s="34"/>
      <c r="F216" s="36"/>
      <c r="H216" s="37"/>
      <c r="J216" s="37"/>
      <c r="L216" s="37"/>
      <c r="N216" s="37"/>
      <c r="P216" s="37"/>
      <c r="Q216" s="26"/>
      <c r="R216" s="38">
        <v>133.0</v>
      </c>
      <c r="T216" s="39">
        <v>137.0</v>
      </c>
      <c r="V216" s="37"/>
      <c r="X216" s="37"/>
      <c r="Z216" s="37"/>
      <c r="AB216" s="37"/>
      <c r="AC216" s="26"/>
      <c r="AD216" s="37"/>
      <c r="AF216" s="37"/>
      <c r="AH216" s="39">
        <v>50.0</v>
      </c>
      <c r="AJ216" s="59"/>
      <c r="AK216" s="26"/>
      <c r="AL216" s="37"/>
      <c r="AN216" s="37"/>
      <c r="AP216" s="37"/>
      <c r="AR216" s="37"/>
      <c r="AT216" s="37"/>
      <c r="AU216" s="26"/>
      <c r="AV216" s="35">
        <f t="shared" si="1"/>
        <v>3462.8</v>
      </c>
      <c r="AW216" s="33">
        <f t="shared" si="2"/>
        <v>320</v>
      </c>
      <c r="AX216" s="33">
        <f t="shared" si="3"/>
        <v>0</v>
      </c>
      <c r="AY216" s="33">
        <f t="shared" si="4"/>
        <v>320</v>
      </c>
      <c r="AZ216" s="30">
        <f t="shared" si="5"/>
        <v>10.82125</v>
      </c>
    </row>
    <row r="217" ht="15.75" customHeight="1">
      <c r="A217" s="31" t="s">
        <v>38</v>
      </c>
      <c r="B217" s="32">
        <f t="shared" si="6"/>
        <v>45142</v>
      </c>
      <c r="C217" s="33">
        <v>8.0</v>
      </c>
      <c r="D217" s="33" t="s">
        <v>48</v>
      </c>
      <c r="E217" s="34"/>
      <c r="F217" s="36"/>
      <c r="H217" s="37"/>
      <c r="J217" s="37"/>
      <c r="L217" s="37"/>
      <c r="N217" s="37"/>
      <c r="P217" s="37"/>
      <c r="Q217" s="26"/>
      <c r="R217" s="38">
        <v>117.0</v>
      </c>
      <c r="T217" s="39">
        <v>129.0</v>
      </c>
      <c r="V217" s="37"/>
      <c r="X217" s="37"/>
      <c r="Z217" s="37"/>
      <c r="AB217" s="37"/>
      <c r="AC217" s="26"/>
      <c r="AD217" s="37"/>
      <c r="AF217" s="39">
        <v>50.0</v>
      </c>
      <c r="AH217" s="39">
        <v>50.0</v>
      </c>
      <c r="AJ217" s="59"/>
      <c r="AK217" s="26"/>
      <c r="AL217" s="37"/>
      <c r="AN217" s="37"/>
      <c r="AP217" s="37"/>
      <c r="AR217" s="37"/>
      <c r="AT217" s="37"/>
      <c r="AU217" s="26"/>
      <c r="AV217" s="35">
        <f t="shared" si="1"/>
        <v>3944.44</v>
      </c>
      <c r="AW217" s="33">
        <f t="shared" si="2"/>
        <v>346</v>
      </c>
      <c r="AX217" s="33">
        <f t="shared" si="3"/>
        <v>0</v>
      </c>
      <c r="AY217" s="33">
        <f t="shared" si="4"/>
        <v>346</v>
      </c>
      <c r="AZ217" s="30">
        <f t="shared" si="5"/>
        <v>11.40011561</v>
      </c>
    </row>
    <row r="218" ht="15.75" customHeight="1">
      <c r="A218" s="31" t="s">
        <v>45</v>
      </c>
      <c r="B218" s="32">
        <f t="shared" si="6"/>
        <v>45143</v>
      </c>
      <c r="C218" s="33">
        <v>8.0</v>
      </c>
      <c r="D218" s="33" t="s">
        <v>48</v>
      </c>
      <c r="E218" s="34"/>
      <c r="F218" s="36"/>
      <c r="H218" s="37"/>
      <c r="J218" s="37"/>
      <c r="L218" s="37"/>
      <c r="N218" s="37"/>
      <c r="P218" s="37"/>
      <c r="Q218" s="26"/>
      <c r="R218" s="38">
        <v>109.0</v>
      </c>
      <c r="T218" s="39">
        <v>97.0</v>
      </c>
      <c r="V218" s="37"/>
      <c r="X218" s="37"/>
      <c r="Z218" s="37"/>
      <c r="AB218" s="37"/>
      <c r="AC218" s="26"/>
      <c r="AD218" s="37"/>
      <c r="AF218" s="39">
        <v>50.0</v>
      </c>
      <c r="AH218" s="37"/>
      <c r="AJ218" s="59"/>
      <c r="AK218" s="26"/>
      <c r="AL218" s="37"/>
      <c r="AN218" s="37"/>
      <c r="AP218" s="37"/>
      <c r="AR218" s="37"/>
      <c r="AT218" s="37"/>
      <c r="AU218" s="26"/>
      <c r="AV218" s="35">
        <f t="shared" si="1"/>
        <v>2813.84</v>
      </c>
      <c r="AW218" s="33">
        <f t="shared" si="2"/>
        <v>256</v>
      </c>
      <c r="AX218" s="33">
        <f t="shared" si="3"/>
        <v>0</v>
      </c>
      <c r="AY218" s="33">
        <f t="shared" si="4"/>
        <v>256</v>
      </c>
      <c r="AZ218" s="30">
        <f t="shared" si="5"/>
        <v>10.9915625</v>
      </c>
    </row>
    <row r="219" ht="15.75" customHeight="1">
      <c r="A219" s="44" t="s">
        <v>46</v>
      </c>
      <c r="B219" s="45">
        <f t="shared" si="6"/>
        <v>45144</v>
      </c>
      <c r="C219" s="46">
        <v>8.0</v>
      </c>
      <c r="D219" s="46" t="s">
        <v>48</v>
      </c>
      <c r="E219" s="47"/>
      <c r="F219" s="60"/>
      <c r="G219" s="51"/>
      <c r="H219" s="61"/>
      <c r="I219" s="51"/>
      <c r="J219" s="61"/>
      <c r="K219" s="51"/>
      <c r="L219" s="61"/>
      <c r="M219" s="51"/>
      <c r="N219" s="61"/>
      <c r="O219" s="51"/>
      <c r="P219" s="61"/>
      <c r="Q219" s="53"/>
      <c r="R219" s="62"/>
      <c r="S219" s="51"/>
      <c r="T219" s="63"/>
      <c r="U219" s="51"/>
      <c r="V219" s="61"/>
      <c r="W219" s="51"/>
      <c r="X219" s="61"/>
      <c r="Y219" s="51"/>
      <c r="Z219" s="61"/>
      <c r="AA219" s="51"/>
      <c r="AB219" s="61"/>
      <c r="AC219" s="53"/>
      <c r="AD219" s="61"/>
      <c r="AE219" s="51"/>
      <c r="AF219" s="61"/>
      <c r="AG219" s="51"/>
      <c r="AH219" s="61"/>
      <c r="AI219" s="51"/>
      <c r="AJ219" s="68"/>
      <c r="AK219" s="53"/>
      <c r="AL219" s="61"/>
      <c r="AM219" s="51"/>
      <c r="AN219" s="61"/>
      <c r="AO219" s="51"/>
      <c r="AP219" s="61"/>
      <c r="AQ219" s="51"/>
      <c r="AR219" s="61"/>
      <c r="AS219" s="51"/>
      <c r="AT219" s="61"/>
      <c r="AU219" s="53"/>
      <c r="AV219" s="55">
        <f t="shared" si="1"/>
        <v>0</v>
      </c>
      <c r="AW219" s="46">
        <f t="shared" si="2"/>
        <v>0</v>
      </c>
      <c r="AX219" s="46">
        <f t="shared" si="3"/>
        <v>0</v>
      </c>
      <c r="AY219" s="46">
        <f t="shared" si="4"/>
        <v>0</v>
      </c>
      <c r="AZ219" s="56" t="str">
        <f t="shared" si="5"/>
        <v/>
      </c>
    </row>
    <row r="220" ht="15.75" customHeight="1">
      <c r="A220" s="19" t="s">
        <v>30</v>
      </c>
      <c r="B220" s="57">
        <f t="shared" si="6"/>
        <v>45145</v>
      </c>
      <c r="C220" s="21">
        <v>8.0</v>
      </c>
      <c r="D220" s="21" t="s">
        <v>49</v>
      </c>
      <c r="E220" s="23"/>
      <c r="F220" s="36"/>
      <c r="H220" s="37"/>
      <c r="J220" s="37"/>
      <c r="L220" s="37"/>
      <c r="N220" s="37"/>
      <c r="P220" s="37"/>
      <c r="Q220" s="26"/>
      <c r="R220" s="38">
        <v>138.0</v>
      </c>
      <c r="T220" s="39">
        <v>148.0</v>
      </c>
      <c r="V220" s="37"/>
      <c r="X220" s="37"/>
      <c r="Z220" s="37"/>
      <c r="AB220" s="37"/>
      <c r="AC220" s="26"/>
      <c r="AD220" s="37"/>
      <c r="AF220" s="39"/>
      <c r="AH220" s="39"/>
      <c r="AJ220" s="59"/>
      <c r="AK220" s="26"/>
      <c r="AL220" s="37"/>
      <c r="AN220" s="37"/>
      <c r="AP220" s="37"/>
      <c r="AR220" s="37"/>
      <c r="AT220" s="37"/>
      <c r="AU220" s="26"/>
      <c r="AV220" s="29">
        <f t="shared" si="1"/>
        <v>2900.04</v>
      </c>
      <c r="AW220" s="21">
        <f t="shared" si="2"/>
        <v>286</v>
      </c>
      <c r="AX220" s="21">
        <f t="shared" si="3"/>
        <v>0</v>
      </c>
      <c r="AY220" s="21">
        <f t="shared" si="4"/>
        <v>286</v>
      </c>
      <c r="AZ220" s="58">
        <f t="shared" si="5"/>
        <v>10.14</v>
      </c>
    </row>
    <row r="221" ht="15.75" customHeight="1">
      <c r="A221" s="31" t="s">
        <v>33</v>
      </c>
      <c r="B221" s="32">
        <f t="shared" si="6"/>
        <v>45146</v>
      </c>
      <c r="C221" s="33">
        <v>8.0</v>
      </c>
      <c r="D221" s="33" t="s">
        <v>49</v>
      </c>
      <c r="E221" s="34"/>
      <c r="F221" s="36"/>
      <c r="H221" s="37"/>
      <c r="J221" s="37"/>
      <c r="L221" s="37"/>
      <c r="N221" s="37"/>
      <c r="P221" s="37"/>
      <c r="Q221" s="26"/>
      <c r="R221" s="38">
        <v>135.0</v>
      </c>
      <c r="T221" s="39">
        <v>109.0</v>
      </c>
      <c r="V221" s="37"/>
      <c r="X221" s="37"/>
      <c r="Z221" s="37"/>
      <c r="AB221" s="37"/>
      <c r="AC221" s="26"/>
      <c r="AD221" s="37"/>
      <c r="AF221" s="39"/>
      <c r="AH221" s="39"/>
      <c r="AJ221" s="59"/>
      <c r="AK221" s="26"/>
      <c r="AL221" s="37"/>
      <c r="AN221" s="37"/>
      <c r="AP221" s="37"/>
      <c r="AR221" s="37"/>
      <c r="AT221" s="37"/>
      <c r="AU221" s="26"/>
      <c r="AV221" s="35">
        <f t="shared" si="1"/>
        <v>2474.16</v>
      </c>
      <c r="AW221" s="33">
        <f t="shared" si="2"/>
        <v>244</v>
      </c>
      <c r="AX221" s="33">
        <f t="shared" si="3"/>
        <v>0</v>
      </c>
      <c r="AY221" s="33">
        <f t="shared" si="4"/>
        <v>244</v>
      </c>
      <c r="AZ221" s="30">
        <f t="shared" si="5"/>
        <v>10.14</v>
      </c>
    </row>
    <row r="222" ht="15.75" customHeight="1">
      <c r="A222" s="31" t="s">
        <v>34</v>
      </c>
      <c r="B222" s="32">
        <f t="shared" si="6"/>
        <v>45147</v>
      </c>
      <c r="C222" s="33">
        <v>8.0</v>
      </c>
      <c r="D222" s="33" t="s">
        <v>49</v>
      </c>
      <c r="E222" s="34"/>
      <c r="F222" s="36"/>
      <c r="H222" s="37"/>
      <c r="J222" s="37"/>
      <c r="L222" s="37"/>
      <c r="N222" s="37"/>
      <c r="P222" s="37"/>
      <c r="Q222" s="26"/>
      <c r="R222" s="38">
        <v>135.0</v>
      </c>
      <c r="T222" s="39">
        <v>145.0</v>
      </c>
      <c r="V222" s="37"/>
      <c r="X222" s="37"/>
      <c r="Z222" s="37"/>
      <c r="AB222" s="37"/>
      <c r="AC222" s="26"/>
      <c r="AD222" s="37"/>
      <c r="AF222" s="39"/>
      <c r="AH222" s="39"/>
      <c r="AJ222" s="59"/>
      <c r="AK222" s="26"/>
      <c r="AL222" s="37"/>
      <c r="AN222" s="37"/>
      <c r="AP222" s="37"/>
      <c r="AR222" s="37"/>
      <c r="AT222" s="37"/>
      <c r="AU222" s="26"/>
      <c r="AV222" s="35">
        <f t="shared" si="1"/>
        <v>2839.2</v>
      </c>
      <c r="AW222" s="33">
        <f t="shared" si="2"/>
        <v>280</v>
      </c>
      <c r="AX222" s="33">
        <f t="shared" si="3"/>
        <v>0</v>
      </c>
      <c r="AY222" s="33">
        <f t="shared" si="4"/>
        <v>280</v>
      </c>
      <c r="AZ222" s="30">
        <f t="shared" si="5"/>
        <v>10.14</v>
      </c>
    </row>
    <row r="223" ht="15.75" customHeight="1">
      <c r="A223" s="31" t="s">
        <v>35</v>
      </c>
      <c r="B223" s="32">
        <f t="shared" si="6"/>
        <v>45148</v>
      </c>
      <c r="C223" s="33">
        <v>8.0</v>
      </c>
      <c r="D223" s="33" t="s">
        <v>49</v>
      </c>
      <c r="E223" s="34"/>
      <c r="F223" s="36"/>
      <c r="H223" s="37"/>
      <c r="J223" s="37"/>
      <c r="L223" s="37"/>
      <c r="N223" s="37"/>
      <c r="P223" s="37"/>
      <c r="Q223" s="26"/>
      <c r="R223" s="38">
        <v>131.0</v>
      </c>
      <c r="T223" s="39">
        <v>159.0</v>
      </c>
      <c r="V223" s="37"/>
      <c r="X223" s="37"/>
      <c r="Z223" s="37"/>
      <c r="AB223" s="37"/>
      <c r="AC223" s="26"/>
      <c r="AD223" s="37"/>
      <c r="AF223" s="39"/>
      <c r="AH223" s="39"/>
      <c r="AJ223" s="59"/>
      <c r="AK223" s="26"/>
      <c r="AL223" s="37"/>
      <c r="AN223" s="37"/>
      <c r="AP223" s="37"/>
      <c r="AR223" s="37"/>
      <c r="AT223" s="37"/>
      <c r="AU223" s="26"/>
      <c r="AV223" s="35">
        <f t="shared" si="1"/>
        <v>2940.6</v>
      </c>
      <c r="AW223" s="33">
        <f t="shared" si="2"/>
        <v>290</v>
      </c>
      <c r="AX223" s="33">
        <f t="shared" si="3"/>
        <v>0</v>
      </c>
      <c r="AY223" s="33">
        <f t="shared" si="4"/>
        <v>290</v>
      </c>
      <c r="AZ223" s="30">
        <f t="shared" si="5"/>
        <v>10.14</v>
      </c>
    </row>
    <row r="224" ht="15.75" customHeight="1">
      <c r="A224" s="31" t="s">
        <v>38</v>
      </c>
      <c r="B224" s="32">
        <f t="shared" si="6"/>
        <v>45149</v>
      </c>
      <c r="C224" s="33">
        <v>8.0</v>
      </c>
      <c r="D224" s="33" t="s">
        <v>49</v>
      </c>
      <c r="E224" s="34"/>
      <c r="F224" s="36"/>
      <c r="H224" s="37"/>
      <c r="J224" s="37"/>
      <c r="L224" s="37"/>
      <c r="N224" s="37"/>
      <c r="P224" s="37"/>
      <c r="Q224" s="26"/>
      <c r="R224" s="38">
        <v>139.0</v>
      </c>
      <c r="T224" s="39">
        <v>149.0</v>
      </c>
      <c r="V224" s="37"/>
      <c r="X224" s="37"/>
      <c r="Z224" s="37"/>
      <c r="AB224" s="37"/>
      <c r="AC224" s="26"/>
      <c r="AD224" s="37"/>
      <c r="AF224" s="39"/>
      <c r="AH224" s="39"/>
      <c r="AJ224" s="59"/>
      <c r="AK224" s="26"/>
      <c r="AL224" s="37"/>
      <c r="AN224" s="37"/>
      <c r="AP224" s="37"/>
      <c r="AR224" s="37"/>
      <c r="AT224" s="37"/>
      <c r="AU224" s="26"/>
      <c r="AV224" s="35">
        <f t="shared" si="1"/>
        <v>2920.32</v>
      </c>
      <c r="AW224" s="33">
        <f t="shared" si="2"/>
        <v>288</v>
      </c>
      <c r="AX224" s="33">
        <f t="shared" si="3"/>
        <v>0</v>
      </c>
      <c r="AY224" s="33">
        <f t="shared" si="4"/>
        <v>288</v>
      </c>
      <c r="AZ224" s="30">
        <f t="shared" si="5"/>
        <v>10.14</v>
      </c>
    </row>
    <row r="225" ht="15.75" customHeight="1">
      <c r="A225" s="31" t="s">
        <v>45</v>
      </c>
      <c r="B225" s="32">
        <f t="shared" si="6"/>
        <v>45150</v>
      </c>
      <c r="C225" s="33">
        <v>8.0</v>
      </c>
      <c r="D225" s="33" t="s">
        <v>49</v>
      </c>
      <c r="E225" s="34"/>
      <c r="F225" s="36"/>
      <c r="H225" s="37"/>
      <c r="J225" s="37"/>
      <c r="L225" s="37"/>
      <c r="N225" s="37"/>
      <c r="P225" s="37"/>
      <c r="Q225" s="26"/>
      <c r="R225" s="38">
        <v>130.0</v>
      </c>
      <c r="T225" s="39">
        <v>108.0</v>
      </c>
      <c r="V225" s="37"/>
      <c r="X225" s="37"/>
      <c r="Z225" s="37"/>
      <c r="AB225" s="37"/>
      <c r="AC225" s="26"/>
      <c r="AD225" s="37"/>
      <c r="AF225" s="39"/>
      <c r="AH225" s="39"/>
      <c r="AJ225" s="59"/>
      <c r="AK225" s="26"/>
      <c r="AL225" s="37"/>
      <c r="AN225" s="37"/>
      <c r="AP225" s="37"/>
      <c r="AR225" s="37"/>
      <c r="AT225" s="37"/>
      <c r="AU225" s="26"/>
      <c r="AV225" s="35">
        <f t="shared" si="1"/>
        <v>2413.32</v>
      </c>
      <c r="AW225" s="33">
        <f t="shared" si="2"/>
        <v>238</v>
      </c>
      <c r="AX225" s="33">
        <f t="shared" si="3"/>
        <v>0</v>
      </c>
      <c r="AY225" s="33">
        <f t="shared" si="4"/>
        <v>238</v>
      </c>
      <c r="AZ225" s="30">
        <f t="shared" si="5"/>
        <v>10.14</v>
      </c>
    </row>
    <row r="226" ht="15.75" customHeight="1">
      <c r="A226" s="44" t="s">
        <v>46</v>
      </c>
      <c r="B226" s="45">
        <f t="shared" si="6"/>
        <v>45151</v>
      </c>
      <c r="C226" s="46">
        <v>8.0</v>
      </c>
      <c r="D226" s="46" t="s">
        <v>49</v>
      </c>
      <c r="E226" s="47"/>
      <c r="F226" s="60"/>
      <c r="G226" s="51"/>
      <c r="H226" s="61"/>
      <c r="I226" s="51"/>
      <c r="J226" s="61"/>
      <c r="K226" s="51"/>
      <c r="L226" s="61"/>
      <c r="M226" s="51"/>
      <c r="N226" s="61"/>
      <c r="O226" s="51"/>
      <c r="P226" s="61"/>
      <c r="Q226" s="53"/>
      <c r="R226" s="62"/>
      <c r="S226" s="51"/>
      <c r="T226" s="63"/>
      <c r="U226" s="51"/>
      <c r="V226" s="61"/>
      <c r="W226" s="51"/>
      <c r="X226" s="61"/>
      <c r="Y226" s="51"/>
      <c r="Z226" s="61"/>
      <c r="AA226" s="51"/>
      <c r="AB226" s="61"/>
      <c r="AC226" s="53"/>
      <c r="AD226" s="61"/>
      <c r="AE226" s="51"/>
      <c r="AF226" s="63"/>
      <c r="AG226" s="51"/>
      <c r="AH226" s="63"/>
      <c r="AI226" s="51"/>
      <c r="AJ226" s="68"/>
      <c r="AK226" s="53"/>
      <c r="AL226" s="61"/>
      <c r="AM226" s="51"/>
      <c r="AN226" s="61"/>
      <c r="AO226" s="51"/>
      <c r="AP226" s="61"/>
      <c r="AQ226" s="51"/>
      <c r="AR226" s="61"/>
      <c r="AS226" s="51"/>
      <c r="AT226" s="61"/>
      <c r="AU226" s="53"/>
      <c r="AV226" s="55">
        <f t="shared" si="1"/>
        <v>0</v>
      </c>
      <c r="AW226" s="46">
        <f t="shared" si="2"/>
        <v>0</v>
      </c>
      <c r="AX226" s="46">
        <f t="shared" si="3"/>
        <v>0</v>
      </c>
      <c r="AY226" s="46">
        <f t="shared" si="4"/>
        <v>0</v>
      </c>
      <c r="AZ226" s="56" t="str">
        <f t="shared" si="5"/>
        <v/>
      </c>
    </row>
    <row r="227" ht="15.75" customHeight="1">
      <c r="A227" s="19" t="s">
        <v>30</v>
      </c>
      <c r="B227" s="57">
        <f t="shared" si="6"/>
        <v>45152</v>
      </c>
      <c r="C227" s="21">
        <v>9.0</v>
      </c>
      <c r="D227" s="21" t="s">
        <v>31</v>
      </c>
      <c r="E227" s="23"/>
      <c r="F227" s="36"/>
      <c r="H227" s="37"/>
      <c r="J227" s="37"/>
      <c r="L227" s="37"/>
      <c r="N227" s="37"/>
      <c r="P227" s="37"/>
      <c r="Q227" s="26"/>
      <c r="R227" s="38">
        <v>136.0</v>
      </c>
      <c r="T227" s="39">
        <v>138.0</v>
      </c>
      <c r="V227" s="37"/>
      <c r="X227" s="37"/>
      <c r="Z227" s="37"/>
      <c r="AB227" s="37"/>
      <c r="AC227" s="26"/>
      <c r="AD227" s="37"/>
      <c r="AF227" s="37"/>
      <c r="AH227" s="37"/>
      <c r="AJ227" s="59"/>
      <c r="AK227" s="26"/>
      <c r="AL227" s="37"/>
      <c r="AN227" s="37"/>
      <c r="AP227" s="37"/>
      <c r="AR227" s="37"/>
      <c r="AT227" s="37"/>
      <c r="AU227" s="26"/>
      <c r="AV227" s="29">
        <f t="shared" si="1"/>
        <v>2778.36</v>
      </c>
      <c r="AW227" s="21">
        <f t="shared" si="2"/>
        <v>274</v>
      </c>
      <c r="AX227" s="21">
        <f t="shared" si="3"/>
        <v>0</v>
      </c>
      <c r="AY227" s="21">
        <f t="shared" si="4"/>
        <v>274</v>
      </c>
      <c r="AZ227" s="58">
        <f t="shared" si="5"/>
        <v>10.14</v>
      </c>
    </row>
    <row r="228" ht="15.75" customHeight="1">
      <c r="A228" s="31" t="s">
        <v>33</v>
      </c>
      <c r="B228" s="32">
        <f t="shared" si="6"/>
        <v>45153</v>
      </c>
      <c r="C228" s="33">
        <v>9.0</v>
      </c>
      <c r="D228" s="33" t="s">
        <v>31</v>
      </c>
      <c r="E228" s="34"/>
      <c r="F228" s="36"/>
      <c r="H228" s="37"/>
      <c r="J228" s="37"/>
      <c r="L228" s="37"/>
      <c r="N228" s="37"/>
      <c r="P228" s="37"/>
      <c r="Q228" s="26"/>
      <c r="R228" s="38">
        <v>125.0</v>
      </c>
      <c r="T228" s="39">
        <v>142.0</v>
      </c>
      <c r="V228" s="37"/>
      <c r="X228" s="37"/>
      <c r="Z228" s="37"/>
      <c r="AB228" s="37"/>
      <c r="AC228" s="26"/>
      <c r="AD228" s="37"/>
      <c r="AF228" s="39"/>
      <c r="AH228" s="39">
        <v>50.0</v>
      </c>
      <c r="AJ228" s="59"/>
      <c r="AK228" s="26"/>
      <c r="AL228" s="37"/>
      <c r="AN228" s="37"/>
      <c r="AP228" s="37"/>
      <c r="AR228" s="37"/>
      <c r="AT228" s="37"/>
      <c r="AU228" s="26"/>
      <c r="AV228" s="35">
        <f t="shared" si="1"/>
        <v>3432.38</v>
      </c>
      <c r="AW228" s="33">
        <f t="shared" si="2"/>
        <v>317</v>
      </c>
      <c r="AX228" s="33">
        <f t="shared" si="3"/>
        <v>0</v>
      </c>
      <c r="AY228" s="33">
        <f t="shared" si="4"/>
        <v>317</v>
      </c>
      <c r="AZ228" s="30">
        <f t="shared" si="5"/>
        <v>10.82769716</v>
      </c>
    </row>
    <row r="229" ht="15.75" customHeight="1">
      <c r="A229" s="31" t="s">
        <v>34</v>
      </c>
      <c r="B229" s="32">
        <f t="shared" si="6"/>
        <v>45154</v>
      </c>
      <c r="C229" s="33">
        <v>9.0</v>
      </c>
      <c r="D229" s="33" t="s">
        <v>31</v>
      </c>
      <c r="E229" s="34"/>
      <c r="F229" s="36"/>
      <c r="H229" s="37"/>
      <c r="J229" s="37"/>
      <c r="L229" s="37"/>
      <c r="N229" s="37"/>
      <c r="P229" s="37"/>
      <c r="Q229" s="26"/>
      <c r="R229" s="38">
        <v>140.0</v>
      </c>
      <c r="T229" s="39">
        <v>141.0</v>
      </c>
      <c r="V229" s="37"/>
      <c r="X229" s="37"/>
      <c r="Z229" s="37"/>
      <c r="AB229" s="37"/>
      <c r="AC229" s="26"/>
      <c r="AD229" s="37"/>
      <c r="AF229" s="39"/>
      <c r="AH229" s="39">
        <v>50.0</v>
      </c>
      <c r="AJ229" s="59"/>
      <c r="AK229" s="26"/>
      <c r="AL229" s="37"/>
      <c r="AN229" s="37"/>
      <c r="AP229" s="37"/>
      <c r="AR229" s="37"/>
      <c r="AT229" s="37"/>
      <c r="AU229" s="26"/>
      <c r="AV229" s="35">
        <f t="shared" si="1"/>
        <v>3574.34</v>
      </c>
      <c r="AW229" s="33">
        <f t="shared" si="2"/>
        <v>331</v>
      </c>
      <c r="AX229" s="33">
        <f t="shared" si="3"/>
        <v>0</v>
      </c>
      <c r="AY229" s="33">
        <f t="shared" si="4"/>
        <v>331</v>
      </c>
      <c r="AZ229" s="30">
        <f t="shared" si="5"/>
        <v>10.79861027</v>
      </c>
    </row>
    <row r="230" ht="15.75" customHeight="1">
      <c r="A230" s="31" t="s">
        <v>35</v>
      </c>
      <c r="B230" s="32">
        <f t="shared" si="6"/>
        <v>45155</v>
      </c>
      <c r="C230" s="33">
        <v>9.0</v>
      </c>
      <c r="D230" s="33" t="s">
        <v>31</v>
      </c>
      <c r="E230" s="34"/>
      <c r="F230" s="36"/>
      <c r="H230" s="37"/>
      <c r="J230" s="37"/>
      <c r="L230" s="37"/>
      <c r="N230" s="37"/>
      <c r="P230" s="37"/>
      <c r="Q230" s="26"/>
      <c r="R230" s="38">
        <v>133.0</v>
      </c>
      <c r="T230" s="39">
        <v>149.0</v>
      </c>
      <c r="V230" s="37"/>
      <c r="X230" s="37"/>
      <c r="Z230" s="37"/>
      <c r="AB230" s="37"/>
      <c r="AC230" s="26"/>
      <c r="AD230" s="37"/>
      <c r="AF230" s="37"/>
      <c r="AH230" s="39">
        <v>50.0</v>
      </c>
      <c r="AJ230" s="59"/>
      <c r="AK230" s="26"/>
      <c r="AL230" s="37"/>
      <c r="AN230" s="37"/>
      <c r="AP230" s="37"/>
      <c r="AR230" s="37"/>
      <c r="AT230" s="37"/>
      <c r="AU230" s="26"/>
      <c r="AV230" s="35">
        <f t="shared" si="1"/>
        <v>3584.48</v>
      </c>
      <c r="AW230" s="33">
        <f t="shared" si="2"/>
        <v>332</v>
      </c>
      <c r="AX230" s="33">
        <f t="shared" si="3"/>
        <v>0</v>
      </c>
      <c r="AY230" s="33">
        <f t="shared" si="4"/>
        <v>332</v>
      </c>
      <c r="AZ230" s="30">
        <f t="shared" si="5"/>
        <v>10.79662651</v>
      </c>
    </row>
    <row r="231" ht="15.75" customHeight="1">
      <c r="A231" s="31" t="s">
        <v>38</v>
      </c>
      <c r="B231" s="32">
        <f t="shared" si="6"/>
        <v>45156</v>
      </c>
      <c r="C231" s="33">
        <v>9.0</v>
      </c>
      <c r="D231" s="33" t="s">
        <v>31</v>
      </c>
      <c r="E231" s="34"/>
      <c r="F231" s="36"/>
      <c r="H231" s="37"/>
      <c r="J231" s="37"/>
      <c r="L231" s="37"/>
      <c r="N231" s="37"/>
      <c r="P231" s="37"/>
      <c r="Q231" s="26"/>
      <c r="R231" s="38">
        <v>111.0</v>
      </c>
      <c r="T231" s="39">
        <v>89.0</v>
      </c>
      <c r="V231" s="37"/>
      <c r="X231" s="37"/>
      <c r="Z231" s="37"/>
      <c r="AB231" s="37"/>
      <c r="AC231" s="26"/>
      <c r="AD231" s="37"/>
      <c r="AF231" s="39"/>
      <c r="AH231" s="39">
        <v>50.0</v>
      </c>
      <c r="AJ231" s="59"/>
      <c r="AK231" s="26"/>
      <c r="AL231" s="37"/>
      <c r="AN231" s="37"/>
      <c r="AP231" s="37"/>
      <c r="AR231" s="37"/>
      <c r="AT231" s="37"/>
      <c r="AU231" s="26"/>
      <c r="AV231" s="35">
        <f t="shared" si="1"/>
        <v>2753</v>
      </c>
      <c r="AW231" s="33">
        <f t="shared" si="2"/>
        <v>250</v>
      </c>
      <c r="AX231" s="33">
        <f t="shared" si="3"/>
        <v>0</v>
      </c>
      <c r="AY231" s="33">
        <f t="shared" si="4"/>
        <v>250</v>
      </c>
      <c r="AZ231" s="30">
        <f t="shared" si="5"/>
        <v>11.012</v>
      </c>
    </row>
    <row r="232" ht="15.75" customHeight="1">
      <c r="A232" s="31" t="s">
        <v>45</v>
      </c>
      <c r="B232" s="32">
        <f t="shared" si="6"/>
        <v>45157</v>
      </c>
      <c r="C232" s="33">
        <v>9.0</v>
      </c>
      <c r="D232" s="33" t="s">
        <v>31</v>
      </c>
      <c r="E232" s="34"/>
      <c r="F232" s="36"/>
      <c r="H232" s="37"/>
      <c r="J232" s="37"/>
      <c r="L232" s="37"/>
      <c r="N232" s="37"/>
      <c r="P232" s="37"/>
      <c r="Q232" s="26"/>
      <c r="R232" s="38">
        <v>98.0</v>
      </c>
      <c r="T232" s="39">
        <v>77.0</v>
      </c>
      <c r="V232" s="37"/>
      <c r="X232" s="37"/>
      <c r="Z232" s="37"/>
      <c r="AB232" s="37"/>
      <c r="AC232" s="26"/>
      <c r="AD232" s="37"/>
      <c r="AF232" s="39"/>
      <c r="AH232" s="39">
        <v>50.0</v>
      </c>
      <c r="AJ232" s="59"/>
      <c r="AK232" s="26"/>
      <c r="AL232" s="37"/>
      <c r="AN232" s="37"/>
      <c r="AP232" s="37"/>
      <c r="AR232" s="37"/>
      <c r="AT232" s="37"/>
      <c r="AU232" s="26"/>
      <c r="AV232" s="35">
        <f t="shared" si="1"/>
        <v>2499.5</v>
      </c>
      <c r="AW232" s="33">
        <f t="shared" si="2"/>
        <v>225</v>
      </c>
      <c r="AX232" s="33">
        <f t="shared" si="3"/>
        <v>0</v>
      </c>
      <c r="AY232" s="33">
        <f t="shared" si="4"/>
        <v>225</v>
      </c>
      <c r="AZ232" s="30">
        <f t="shared" si="5"/>
        <v>11.10888889</v>
      </c>
    </row>
    <row r="233" ht="15.75" customHeight="1">
      <c r="A233" s="44" t="s">
        <v>46</v>
      </c>
      <c r="B233" s="45">
        <f t="shared" si="6"/>
        <v>45158</v>
      </c>
      <c r="C233" s="46">
        <v>9.0</v>
      </c>
      <c r="D233" s="46" t="s">
        <v>31</v>
      </c>
      <c r="E233" s="47"/>
      <c r="F233" s="60"/>
      <c r="G233" s="51"/>
      <c r="H233" s="61"/>
      <c r="I233" s="51"/>
      <c r="J233" s="61"/>
      <c r="K233" s="51"/>
      <c r="L233" s="61"/>
      <c r="M233" s="51"/>
      <c r="N233" s="61"/>
      <c r="O233" s="51"/>
      <c r="P233" s="61"/>
      <c r="Q233" s="53"/>
      <c r="R233" s="62"/>
      <c r="S233" s="51"/>
      <c r="T233" s="63"/>
      <c r="U233" s="51"/>
      <c r="V233" s="61"/>
      <c r="W233" s="51"/>
      <c r="X233" s="61"/>
      <c r="Y233" s="51"/>
      <c r="Z233" s="61"/>
      <c r="AA233" s="51"/>
      <c r="AB233" s="61"/>
      <c r="AC233" s="53"/>
      <c r="AD233" s="61"/>
      <c r="AE233" s="51"/>
      <c r="AF233" s="61"/>
      <c r="AG233" s="51"/>
      <c r="AH233" s="61"/>
      <c r="AI233" s="51"/>
      <c r="AJ233" s="68"/>
      <c r="AK233" s="53"/>
      <c r="AL233" s="61"/>
      <c r="AM233" s="51"/>
      <c r="AN233" s="61"/>
      <c r="AO233" s="51"/>
      <c r="AP233" s="61"/>
      <c r="AQ233" s="51"/>
      <c r="AR233" s="61"/>
      <c r="AS233" s="51"/>
      <c r="AT233" s="61"/>
      <c r="AU233" s="53"/>
      <c r="AV233" s="55">
        <f t="shared" si="1"/>
        <v>0</v>
      </c>
      <c r="AW233" s="46">
        <f t="shared" si="2"/>
        <v>0</v>
      </c>
      <c r="AX233" s="46">
        <f t="shared" si="3"/>
        <v>0</v>
      </c>
      <c r="AY233" s="46">
        <f t="shared" si="4"/>
        <v>0</v>
      </c>
      <c r="AZ233" s="56" t="str">
        <f t="shared" si="5"/>
        <v/>
      </c>
    </row>
    <row r="234" ht="15.75" customHeight="1">
      <c r="A234" s="19" t="s">
        <v>30</v>
      </c>
      <c r="B234" s="57">
        <f t="shared" si="6"/>
        <v>45159</v>
      </c>
      <c r="C234" s="21">
        <v>9.0</v>
      </c>
      <c r="D234" s="21" t="s">
        <v>47</v>
      </c>
      <c r="E234" s="23"/>
      <c r="F234" s="36"/>
      <c r="H234" s="37"/>
      <c r="J234" s="37"/>
      <c r="L234" s="37"/>
      <c r="N234" s="37"/>
      <c r="P234" s="37"/>
      <c r="Q234" s="26"/>
      <c r="R234" s="38">
        <v>127.0</v>
      </c>
      <c r="T234" s="39">
        <v>149.0</v>
      </c>
      <c r="V234" s="37"/>
      <c r="X234" s="37"/>
      <c r="Z234" s="37"/>
      <c r="AB234" s="37"/>
      <c r="AC234" s="26"/>
      <c r="AD234" s="37"/>
      <c r="AF234" s="39"/>
      <c r="AH234" s="39"/>
      <c r="AJ234" s="59"/>
      <c r="AK234" s="26"/>
      <c r="AL234" s="37"/>
      <c r="AN234" s="37"/>
      <c r="AP234" s="37"/>
      <c r="AR234" s="37"/>
      <c r="AT234" s="37"/>
      <c r="AU234" s="26"/>
      <c r="AV234" s="29">
        <f t="shared" si="1"/>
        <v>2798.64</v>
      </c>
      <c r="AW234" s="21">
        <f t="shared" si="2"/>
        <v>276</v>
      </c>
      <c r="AX234" s="21">
        <f t="shared" si="3"/>
        <v>0</v>
      </c>
      <c r="AY234" s="21">
        <f t="shared" si="4"/>
        <v>276</v>
      </c>
      <c r="AZ234" s="58">
        <f t="shared" si="5"/>
        <v>10.14</v>
      </c>
    </row>
    <row r="235" ht="15.75" customHeight="1">
      <c r="A235" s="31" t="s">
        <v>33</v>
      </c>
      <c r="B235" s="32">
        <f t="shared" si="6"/>
        <v>45160</v>
      </c>
      <c r="C235" s="33">
        <v>9.0</v>
      </c>
      <c r="D235" s="33" t="s">
        <v>47</v>
      </c>
      <c r="E235" s="34"/>
      <c r="F235" s="36"/>
      <c r="H235" s="37"/>
      <c r="J235" s="37"/>
      <c r="L235" s="37"/>
      <c r="N235" s="37"/>
      <c r="P235" s="37"/>
      <c r="Q235" s="26"/>
      <c r="R235" s="38">
        <v>125.0</v>
      </c>
      <c r="T235" s="39">
        <v>96.0</v>
      </c>
      <c r="V235" s="37"/>
      <c r="X235" s="37"/>
      <c r="Z235" s="37"/>
      <c r="AB235" s="37"/>
      <c r="AC235" s="26"/>
      <c r="AD235" s="37"/>
      <c r="AF235" s="39">
        <v>50.0</v>
      </c>
      <c r="AH235" s="39">
        <v>50.0</v>
      </c>
      <c r="AJ235" s="59"/>
      <c r="AK235" s="26"/>
      <c r="AL235" s="37"/>
      <c r="AN235" s="37"/>
      <c r="AP235" s="37"/>
      <c r="AR235" s="37"/>
      <c r="AT235" s="37"/>
      <c r="AU235" s="26"/>
      <c r="AV235" s="35">
        <f t="shared" si="1"/>
        <v>3690.94</v>
      </c>
      <c r="AW235" s="33">
        <f t="shared" si="2"/>
        <v>321</v>
      </c>
      <c r="AX235" s="33">
        <f t="shared" si="3"/>
        <v>0</v>
      </c>
      <c r="AY235" s="33">
        <f t="shared" si="4"/>
        <v>321</v>
      </c>
      <c r="AZ235" s="30">
        <f t="shared" si="5"/>
        <v>11.49825545</v>
      </c>
    </row>
    <row r="236" ht="15.75" customHeight="1">
      <c r="A236" s="31" t="s">
        <v>34</v>
      </c>
      <c r="B236" s="32">
        <f t="shared" si="6"/>
        <v>45161</v>
      </c>
      <c r="C236" s="33">
        <v>9.0</v>
      </c>
      <c r="D236" s="33" t="s">
        <v>47</v>
      </c>
      <c r="E236" s="34"/>
      <c r="F236" s="36"/>
      <c r="H236" s="37"/>
      <c r="J236" s="37"/>
      <c r="L236" s="37"/>
      <c r="N236" s="37"/>
      <c r="P236" s="37"/>
      <c r="Q236" s="26"/>
      <c r="R236" s="38">
        <v>48.0</v>
      </c>
      <c r="T236" s="39">
        <v>62.0</v>
      </c>
      <c r="V236" s="37"/>
      <c r="X236" s="37"/>
      <c r="Z236" s="37"/>
      <c r="AB236" s="37"/>
      <c r="AC236" s="26"/>
      <c r="AD236" s="37"/>
      <c r="AF236" s="39">
        <v>50.0</v>
      </c>
      <c r="AH236" s="39">
        <v>50.0</v>
      </c>
      <c r="AJ236" s="59"/>
      <c r="AK236" s="26"/>
      <c r="AL236" s="37"/>
      <c r="AN236" s="37"/>
      <c r="AP236" s="37"/>
      <c r="AR236" s="37"/>
      <c r="AT236" s="37"/>
      <c r="AU236" s="26"/>
      <c r="AV236" s="35">
        <f t="shared" si="1"/>
        <v>2565.4</v>
      </c>
      <c r="AW236" s="33">
        <f t="shared" si="2"/>
        <v>210</v>
      </c>
      <c r="AX236" s="33">
        <f t="shared" si="3"/>
        <v>0</v>
      </c>
      <c r="AY236" s="33">
        <f t="shared" si="4"/>
        <v>210</v>
      </c>
      <c r="AZ236" s="30">
        <f t="shared" si="5"/>
        <v>12.21619048</v>
      </c>
    </row>
    <row r="237" ht="15.75" customHeight="1">
      <c r="A237" s="31" t="s">
        <v>35</v>
      </c>
      <c r="B237" s="32">
        <f t="shared" si="6"/>
        <v>45162</v>
      </c>
      <c r="C237" s="33">
        <v>9.0</v>
      </c>
      <c r="D237" s="33" t="s">
        <v>47</v>
      </c>
      <c r="E237" s="34"/>
      <c r="F237" s="36"/>
      <c r="H237" s="37"/>
      <c r="J237" s="37"/>
      <c r="L237" s="37"/>
      <c r="N237" s="37"/>
      <c r="P237" s="37"/>
      <c r="Q237" s="26"/>
      <c r="R237" s="38">
        <v>50.0</v>
      </c>
      <c r="T237" s="39">
        <v>52.0</v>
      </c>
      <c r="V237" s="37"/>
      <c r="X237" s="37"/>
      <c r="Z237" s="37"/>
      <c r="AB237" s="37"/>
      <c r="AC237" s="26"/>
      <c r="AD237" s="37"/>
      <c r="AF237" s="37"/>
      <c r="AH237" s="39">
        <v>50.0</v>
      </c>
      <c r="AJ237" s="59"/>
      <c r="AK237" s="26"/>
      <c r="AL237" s="37"/>
      <c r="AN237" s="37"/>
      <c r="AP237" s="37"/>
      <c r="AR237" s="37"/>
      <c r="AT237" s="37"/>
      <c r="AU237" s="26"/>
      <c r="AV237" s="35">
        <f t="shared" si="1"/>
        <v>1759.28</v>
      </c>
      <c r="AW237" s="33">
        <f t="shared" si="2"/>
        <v>152</v>
      </c>
      <c r="AX237" s="33">
        <f t="shared" si="3"/>
        <v>0</v>
      </c>
      <c r="AY237" s="33">
        <f t="shared" si="4"/>
        <v>152</v>
      </c>
      <c r="AZ237" s="30">
        <f t="shared" si="5"/>
        <v>11.57421053</v>
      </c>
    </row>
    <row r="238" ht="15.75" customHeight="1">
      <c r="A238" s="31" t="s">
        <v>38</v>
      </c>
      <c r="B238" s="32">
        <f t="shared" si="6"/>
        <v>45163</v>
      </c>
      <c r="C238" s="33">
        <v>9.0</v>
      </c>
      <c r="D238" s="33" t="s">
        <v>47</v>
      </c>
      <c r="E238" s="34"/>
      <c r="F238" s="36"/>
      <c r="H238" s="37"/>
      <c r="J238" s="37"/>
      <c r="L238" s="37"/>
      <c r="N238" s="37"/>
      <c r="P238" s="37"/>
      <c r="Q238" s="26"/>
      <c r="R238" s="38">
        <v>75.0</v>
      </c>
      <c r="T238" s="39">
        <v>82.0</v>
      </c>
      <c r="V238" s="37"/>
      <c r="X238" s="37"/>
      <c r="Z238" s="37"/>
      <c r="AB238" s="37"/>
      <c r="AC238" s="26"/>
      <c r="AD238" s="37"/>
      <c r="AF238" s="39">
        <v>50.0</v>
      </c>
      <c r="AH238" s="39">
        <v>50.0</v>
      </c>
      <c r="AJ238" s="59"/>
      <c r="AK238" s="26"/>
      <c r="AL238" s="37"/>
      <c r="AN238" s="37"/>
      <c r="AP238" s="37"/>
      <c r="AR238" s="37"/>
      <c r="AT238" s="37"/>
      <c r="AU238" s="26"/>
      <c r="AV238" s="35">
        <f t="shared" si="1"/>
        <v>3041.98</v>
      </c>
      <c r="AW238" s="33">
        <f t="shared" si="2"/>
        <v>257</v>
      </c>
      <c r="AX238" s="33">
        <f t="shared" si="3"/>
        <v>0</v>
      </c>
      <c r="AY238" s="33">
        <f t="shared" si="4"/>
        <v>257</v>
      </c>
      <c r="AZ238" s="30">
        <f t="shared" si="5"/>
        <v>11.83649805</v>
      </c>
    </row>
    <row r="239" ht="15.75" customHeight="1">
      <c r="A239" s="31" t="s">
        <v>45</v>
      </c>
      <c r="B239" s="32">
        <f t="shared" si="6"/>
        <v>45164</v>
      </c>
      <c r="C239" s="33">
        <v>9.0</v>
      </c>
      <c r="D239" s="33" t="s">
        <v>47</v>
      </c>
      <c r="E239" s="34"/>
      <c r="F239" s="36"/>
      <c r="H239" s="37"/>
      <c r="J239" s="37"/>
      <c r="L239" s="37"/>
      <c r="N239" s="37"/>
      <c r="P239" s="37"/>
      <c r="Q239" s="26"/>
      <c r="R239" s="38">
        <v>65.0</v>
      </c>
      <c r="T239" s="39">
        <v>69.0</v>
      </c>
      <c r="V239" s="37"/>
      <c r="X239" s="37"/>
      <c r="Z239" s="37"/>
      <c r="AB239" s="37"/>
      <c r="AC239" s="26"/>
      <c r="AD239" s="37"/>
      <c r="AF239" s="39">
        <v>50.0</v>
      </c>
      <c r="AH239" s="37"/>
      <c r="AJ239" s="59"/>
      <c r="AK239" s="26"/>
      <c r="AL239" s="37"/>
      <c r="AN239" s="37"/>
      <c r="AP239" s="37"/>
      <c r="AR239" s="37"/>
      <c r="AT239" s="37"/>
      <c r="AU239" s="26"/>
      <c r="AV239" s="35">
        <f t="shared" si="1"/>
        <v>2083.76</v>
      </c>
      <c r="AW239" s="33">
        <f t="shared" si="2"/>
        <v>184</v>
      </c>
      <c r="AX239" s="33">
        <f t="shared" si="3"/>
        <v>0</v>
      </c>
      <c r="AY239" s="33">
        <f t="shared" si="4"/>
        <v>184</v>
      </c>
      <c r="AZ239" s="30">
        <f t="shared" si="5"/>
        <v>11.32478261</v>
      </c>
    </row>
    <row r="240" ht="15.75" customHeight="1">
      <c r="A240" s="44" t="s">
        <v>46</v>
      </c>
      <c r="B240" s="45">
        <f t="shared" si="6"/>
        <v>45165</v>
      </c>
      <c r="C240" s="46">
        <v>9.0</v>
      </c>
      <c r="D240" s="46" t="s">
        <v>47</v>
      </c>
      <c r="E240" s="47"/>
      <c r="F240" s="60"/>
      <c r="G240" s="51"/>
      <c r="H240" s="61"/>
      <c r="I240" s="51"/>
      <c r="J240" s="61"/>
      <c r="K240" s="51"/>
      <c r="L240" s="61"/>
      <c r="M240" s="51"/>
      <c r="N240" s="61"/>
      <c r="O240" s="51"/>
      <c r="P240" s="61"/>
      <c r="Q240" s="53"/>
      <c r="R240" s="62"/>
      <c r="S240" s="51"/>
      <c r="T240" s="63"/>
      <c r="U240" s="51"/>
      <c r="V240" s="61"/>
      <c r="W240" s="51"/>
      <c r="X240" s="61"/>
      <c r="Y240" s="51"/>
      <c r="Z240" s="61"/>
      <c r="AA240" s="51"/>
      <c r="AB240" s="61"/>
      <c r="AC240" s="53"/>
      <c r="AD240" s="61"/>
      <c r="AE240" s="51"/>
      <c r="AF240" s="63"/>
      <c r="AG240" s="51"/>
      <c r="AH240" s="63"/>
      <c r="AI240" s="51"/>
      <c r="AJ240" s="68"/>
      <c r="AK240" s="53"/>
      <c r="AL240" s="61"/>
      <c r="AM240" s="51"/>
      <c r="AN240" s="61"/>
      <c r="AO240" s="51"/>
      <c r="AP240" s="61"/>
      <c r="AQ240" s="51"/>
      <c r="AR240" s="61"/>
      <c r="AS240" s="51"/>
      <c r="AT240" s="61"/>
      <c r="AU240" s="53"/>
      <c r="AV240" s="55">
        <f t="shared" si="1"/>
        <v>0</v>
      </c>
      <c r="AW240" s="46">
        <f t="shared" si="2"/>
        <v>0</v>
      </c>
      <c r="AX240" s="46">
        <f t="shared" si="3"/>
        <v>0</v>
      </c>
      <c r="AY240" s="46">
        <f t="shared" si="4"/>
        <v>0</v>
      </c>
      <c r="AZ240" s="56" t="str">
        <f t="shared" si="5"/>
        <v/>
      </c>
    </row>
    <row r="241" ht="15.75" customHeight="1">
      <c r="A241" s="19" t="s">
        <v>30</v>
      </c>
      <c r="B241" s="57">
        <f t="shared" si="6"/>
        <v>45166</v>
      </c>
      <c r="C241" s="21">
        <v>9.0</v>
      </c>
      <c r="D241" s="21" t="s">
        <v>48</v>
      </c>
      <c r="E241" s="23"/>
      <c r="F241" s="36"/>
      <c r="H241" s="37"/>
      <c r="J241" s="37"/>
      <c r="L241" s="37"/>
      <c r="N241" s="37"/>
      <c r="P241" s="37"/>
      <c r="Q241" s="26"/>
      <c r="R241" s="38">
        <v>99.0</v>
      </c>
      <c r="T241" s="39">
        <v>99.0</v>
      </c>
      <c r="V241" s="37"/>
      <c r="X241" s="37"/>
      <c r="Z241" s="37"/>
      <c r="AB241" s="37"/>
      <c r="AC241" s="26"/>
      <c r="AD241" s="37"/>
      <c r="AF241" s="37"/>
      <c r="AH241" s="37"/>
      <c r="AJ241" s="59"/>
      <c r="AK241" s="26"/>
      <c r="AL241" s="37"/>
      <c r="AN241" s="37"/>
      <c r="AP241" s="37"/>
      <c r="AR241" s="37"/>
      <c r="AT241" s="37"/>
      <c r="AU241" s="26"/>
      <c r="AV241" s="29">
        <f t="shared" si="1"/>
        <v>2007.72</v>
      </c>
      <c r="AW241" s="21">
        <f t="shared" si="2"/>
        <v>198</v>
      </c>
      <c r="AX241" s="21">
        <f t="shared" si="3"/>
        <v>0</v>
      </c>
      <c r="AY241" s="21">
        <f t="shared" si="4"/>
        <v>198</v>
      </c>
      <c r="AZ241" s="58">
        <f t="shared" si="5"/>
        <v>10.14</v>
      </c>
    </row>
    <row r="242" ht="15.75" customHeight="1">
      <c r="A242" s="31" t="s">
        <v>33</v>
      </c>
      <c r="B242" s="32">
        <f t="shared" si="6"/>
        <v>45167</v>
      </c>
      <c r="C242" s="33">
        <v>9.0</v>
      </c>
      <c r="D242" s="33" t="s">
        <v>48</v>
      </c>
      <c r="E242" s="74" t="s">
        <v>60</v>
      </c>
      <c r="F242" s="36"/>
      <c r="H242" s="37"/>
      <c r="J242" s="37"/>
      <c r="L242" s="37"/>
      <c r="N242" s="37"/>
      <c r="P242" s="37"/>
      <c r="Q242" s="26"/>
      <c r="R242" s="38">
        <v>0.0</v>
      </c>
      <c r="T242" s="39">
        <v>0.0</v>
      </c>
      <c r="V242" s="37"/>
      <c r="X242" s="37"/>
      <c r="Z242" s="37"/>
      <c r="AB242" s="37"/>
      <c r="AC242" s="26"/>
      <c r="AD242" s="37"/>
      <c r="AF242" s="37"/>
      <c r="AH242" s="37"/>
      <c r="AJ242" s="59"/>
      <c r="AK242" s="26"/>
      <c r="AL242" s="37"/>
      <c r="AN242" s="37"/>
      <c r="AP242" s="37"/>
      <c r="AR242" s="37"/>
      <c r="AT242" s="37"/>
      <c r="AU242" s="26"/>
      <c r="AV242" s="35">
        <f t="shared" si="1"/>
        <v>0</v>
      </c>
      <c r="AW242" s="33">
        <f t="shared" si="2"/>
        <v>0</v>
      </c>
      <c r="AX242" s="33">
        <f t="shared" si="3"/>
        <v>0</v>
      </c>
      <c r="AY242" s="33">
        <f t="shared" si="4"/>
        <v>0</v>
      </c>
      <c r="AZ242" s="30" t="str">
        <f t="shared" si="5"/>
        <v/>
      </c>
    </row>
    <row r="243" ht="15.75" customHeight="1">
      <c r="A243" s="31" t="s">
        <v>34</v>
      </c>
      <c r="B243" s="32">
        <f t="shared" si="6"/>
        <v>45168</v>
      </c>
      <c r="C243" s="33">
        <v>9.0</v>
      </c>
      <c r="D243" s="33" t="s">
        <v>48</v>
      </c>
      <c r="E243" s="74" t="s">
        <v>60</v>
      </c>
      <c r="F243" s="36"/>
      <c r="H243" s="37"/>
      <c r="J243" s="37"/>
      <c r="L243" s="37"/>
      <c r="N243" s="37"/>
      <c r="P243" s="37"/>
      <c r="Q243" s="26"/>
      <c r="R243" s="38">
        <v>0.0</v>
      </c>
      <c r="T243" s="39">
        <v>0.0</v>
      </c>
      <c r="V243" s="37"/>
      <c r="X243" s="37"/>
      <c r="Z243" s="37"/>
      <c r="AB243" s="37"/>
      <c r="AC243" s="26"/>
      <c r="AD243" s="37"/>
      <c r="AF243" s="37"/>
      <c r="AH243" s="37"/>
      <c r="AJ243" s="59"/>
      <c r="AK243" s="26"/>
      <c r="AL243" s="37"/>
      <c r="AN243" s="37"/>
      <c r="AP243" s="37"/>
      <c r="AR243" s="37"/>
      <c r="AT243" s="37"/>
      <c r="AU243" s="26"/>
      <c r="AV243" s="35">
        <f t="shared" si="1"/>
        <v>0</v>
      </c>
      <c r="AW243" s="33">
        <f t="shared" si="2"/>
        <v>0</v>
      </c>
      <c r="AX243" s="33">
        <f t="shared" si="3"/>
        <v>0</v>
      </c>
      <c r="AY243" s="33">
        <f t="shared" si="4"/>
        <v>0</v>
      </c>
      <c r="AZ243" s="30" t="str">
        <f t="shared" si="5"/>
        <v/>
      </c>
    </row>
    <row r="244" ht="15.75" customHeight="1">
      <c r="A244" s="31" t="s">
        <v>35</v>
      </c>
      <c r="B244" s="32">
        <f t="shared" si="6"/>
        <v>45169</v>
      </c>
      <c r="C244" s="33">
        <v>9.0</v>
      </c>
      <c r="D244" s="33" t="s">
        <v>48</v>
      </c>
      <c r="E244" s="34"/>
      <c r="F244" s="36"/>
      <c r="H244" s="37"/>
      <c r="J244" s="37"/>
      <c r="L244" s="37"/>
      <c r="N244" s="37"/>
      <c r="P244" s="37"/>
      <c r="Q244" s="26"/>
      <c r="R244" s="38">
        <v>91.0</v>
      </c>
      <c r="T244" s="39">
        <v>90.0</v>
      </c>
      <c r="V244" s="37"/>
      <c r="X244" s="37"/>
      <c r="Z244" s="37"/>
      <c r="AB244" s="37"/>
      <c r="AC244" s="26"/>
      <c r="AD244" s="37"/>
      <c r="AF244" s="37"/>
      <c r="AH244" s="37"/>
      <c r="AJ244" s="59"/>
      <c r="AK244" s="26"/>
      <c r="AL244" s="37"/>
      <c r="AN244" s="37"/>
      <c r="AP244" s="37"/>
      <c r="AR244" s="37"/>
      <c r="AT244" s="37"/>
      <c r="AU244" s="26"/>
      <c r="AV244" s="35">
        <f t="shared" si="1"/>
        <v>1835.34</v>
      </c>
      <c r="AW244" s="33">
        <f t="shared" si="2"/>
        <v>181</v>
      </c>
      <c r="AX244" s="33">
        <f t="shared" si="3"/>
        <v>0</v>
      </c>
      <c r="AY244" s="33">
        <f t="shared" si="4"/>
        <v>181</v>
      </c>
      <c r="AZ244" s="30">
        <f t="shared" si="5"/>
        <v>10.14</v>
      </c>
    </row>
    <row r="245" ht="15.75" customHeight="1">
      <c r="A245" s="31" t="s">
        <v>38</v>
      </c>
      <c r="B245" s="32">
        <f t="shared" si="6"/>
        <v>45170</v>
      </c>
      <c r="C245" s="33">
        <v>9.0</v>
      </c>
      <c r="D245" s="33" t="s">
        <v>48</v>
      </c>
      <c r="E245" s="34"/>
      <c r="F245" s="36"/>
      <c r="H245" s="37"/>
      <c r="J245" s="37"/>
      <c r="L245" s="37"/>
      <c r="N245" s="37"/>
      <c r="P245" s="37"/>
      <c r="Q245" s="26"/>
      <c r="R245" s="38">
        <v>97.0</v>
      </c>
      <c r="T245" s="39">
        <v>103.0</v>
      </c>
      <c r="V245" s="37"/>
      <c r="X245" s="37"/>
      <c r="Z245" s="37"/>
      <c r="AB245" s="37"/>
      <c r="AC245" s="26"/>
      <c r="AD245" s="37"/>
      <c r="AF245" s="37"/>
      <c r="AH245" s="37"/>
      <c r="AJ245" s="59"/>
      <c r="AK245" s="26"/>
      <c r="AL245" s="37"/>
      <c r="AN245" s="37"/>
      <c r="AP245" s="37"/>
      <c r="AR245" s="37"/>
      <c r="AT245" s="37"/>
      <c r="AU245" s="26"/>
      <c r="AV245" s="35">
        <f t="shared" si="1"/>
        <v>2028</v>
      </c>
      <c r="AW245" s="33">
        <f t="shared" si="2"/>
        <v>200</v>
      </c>
      <c r="AX245" s="33">
        <f t="shared" si="3"/>
        <v>0</v>
      </c>
      <c r="AY245" s="33">
        <f t="shared" si="4"/>
        <v>200</v>
      </c>
      <c r="AZ245" s="30">
        <f t="shared" si="5"/>
        <v>10.14</v>
      </c>
    </row>
    <row r="246" ht="15.75" customHeight="1">
      <c r="A246" s="31" t="s">
        <v>45</v>
      </c>
      <c r="B246" s="32">
        <f t="shared" si="6"/>
        <v>45171</v>
      </c>
      <c r="C246" s="33">
        <v>9.0</v>
      </c>
      <c r="D246" s="33" t="s">
        <v>48</v>
      </c>
      <c r="E246" s="34"/>
      <c r="F246" s="36"/>
      <c r="H246" s="37"/>
      <c r="J246" s="37"/>
      <c r="L246" s="37"/>
      <c r="N246" s="37"/>
      <c r="P246" s="37"/>
      <c r="Q246" s="26"/>
      <c r="R246" s="38">
        <v>69.0</v>
      </c>
      <c r="T246" s="39">
        <v>76.0</v>
      </c>
      <c r="V246" s="37"/>
      <c r="X246" s="37"/>
      <c r="Z246" s="37"/>
      <c r="AB246" s="37"/>
      <c r="AC246" s="26"/>
      <c r="AD246" s="37"/>
      <c r="AF246" s="37"/>
      <c r="AH246" s="37"/>
      <c r="AJ246" s="59"/>
      <c r="AK246" s="26"/>
      <c r="AL246" s="37"/>
      <c r="AN246" s="37"/>
      <c r="AP246" s="37"/>
      <c r="AR246" s="37"/>
      <c r="AT246" s="37"/>
      <c r="AU246" s="26"/>
      <c r="AV246" s="35">
        <f t="shared" si="1"/>
        <v>1470.3</v>
      </c>
      <c r="AW246" s="33">
        <f t="shared" si="2"/>
        <v>145</v>
      </c>
      <c r="AX246" s="33">
        <f t="shared" si="3"/>
        <v>0</v>
      </c>
      <c r="AY246" s="33">
        <f t="shared" si="4"/>
        <v>145</v>
      </c>
      <c r="AZ246" s="30">
        <f t="shared" si="5"/>
        <v>10.14</v>
      </c>
    </row>
    <row r="247" ht="15.75" customHeight="1">
      <c r="A247" s="44" t="s">
        <v>46</v>
      </c>
      <c r="B247" s="45">
        <f t="shared" si="6"/>
        <v>45172</v>
      </c>
      <c r="C247" s="46">
        <v>9.0</v>
      </c>
      <c r="D247" s="46" t="s">
        <v>48</v>
      </c>
      <c r="E247" s="47"/>
      <c r="F247" s="60"/>
      <c r="G247" s="51"/>
      <c r="H247" s="61"/>
      <c r="I247" s="51"/>
      <c r="J247" s="61"/>
      <c r="K247" s="51"/>
      <c r="L247" s="61"/>
      <c r="M247" s="51"/>
      <c r="N247" s="61"/>
      <c r="O247" s="51"/>
      <c r="P247" s="61"/>
      <c r="Q247" s="53"/>
      <c r="R247" s="62"/>
      <c r="S247" s="51"/>
      <c r="T247" s="63"/>
      <c r="U247" s="51"/>
      <c r="V247" s="61"/>
      <c r="W247" s="51"/>
      <c r="X247" s="61"/>
      <c r="Y247" s="51"/>
      <c r="Z247" s="61"/>
      <c r="AA247" s="51"/>
      <c r="AB247" s="61"/>
      <c r="AC247" s="53"/>
      <c r="AD247" s="61"/>
      <c r="AE247" s="51"/>
      <c r="AF247" s="61"/>
      <c r="AG247" s="51"/>
      <c r="AH247" s="61"/>
      <c r="AI247" s="51"/>
      <c r="AJ247" s="68"/>
      <c r="AK247" s="53"/>
      <c r="AL247" s="61"/>
      <c r="AM247" s="51"/>
      <c r="AN247" s="61"/>
      <c r="AO247" s="51"/>
      <c r="AP247" s="61"/>
      <c r="AQ247" s="51"/>
      <c r="AR247" s="61"/>
      <c r="AS247" s="51"/>
      <c r="AT247" s="61"/>
      <c r="AU247" s="53"/>
      <c r="AV247" s="55">
        <f t="shared" si="1"/>
        <v>0</v>
      </c>
      <c r="AW247" s="46">
        <f t="shared" si="2"/>
        <v>0</v>
      </c>
      <c r="AX247" s="46">
        <f t="shared" si="3"/>
        <v>0</v>
      </c>
      <c r="AY247" s="46">
        <f t="shared" si="4"/>
        <v>0</v>
      </c>
      <c r="AZ247" s="56" t="str">
        <f t="shared" si="5"/>
        <v/>
      </c>
    </row>
    <row r="248" ht="15.75" customHeight="1">
      <c r="A248" s="19" t="s">
        <v>30</v>
      </c>
      <c r="B248" s="57">
        <f t="shared" si="6"/>
        <v>45173</v>
      </c>
      <c r="C248" s="21">
        <v>9.0</v>
      </c>
      <c r="D248" s="21" t="s">
        <v>49</v>
      </c>
      <c r="E248" s="23"/>
      <c r="F248" s="36"/>
      <c r="H248" s="37"/>
      <c r="J248" s="37"/>
      <c r="L248" s="37"/>
      <c r="N248" s="37"/>
      <c r="P248" s="37"/>
      <c r="Q248" s="26"/>
      <c r="R248" s="38">
        <v>95.0</v>
      </c>
      <c r="T248" s="39">
        <v>90.0</v>
      </c>
      <c r="V248" s="37"/>
      <c r="X248" s="37"/>
      <c r="Z248" s="37"/>
      <c r="AB248" s="37"/>
      <c r="AC248" s="26"/>
      <c r="AD248" s="37"/>
      <c r="AF248" s="39"/>
      <c r="AH248" s="39"/>
      <c r="AJ248" s="59"/>
      <c r="AK248" s="26"/>
      <c r="AL248" s="37"/>
      <c r="AN248" s="37"/>
      <c r="AP248" s="37"/>
      <c r="AR248" s="37"/>
      <c r="AT248" s="37"/>
      <c r="AU248" s="26"/>
      <c r="AV248" s="29">
        <f t="shared" si="1"/>
        <v>1875.9</v>
      </c>
      <c r="AW248" s="21">
        <f t="shared" si="2"/>
        <v>185</v>
      </c>
      <c r="AX248" s="21">
        <f t="shared" si="3"/>
        <v>0</v>
      </c>
      <c r="AY248" s="21">
        <f t="shared" si="4"/>
        <v>185</v>
      </c>
      <c r="AZ248" s="58">
        <f t="shared" si="5"/>
        <v>10.14</v>
      </c>
    </row>
    <row r="249" ht="15.75" customHeight="1">
      <c r="A249" s="31" t="s">
        <v>33</v>
      </c>
      <c r="B249" s="32">
        <f t="shared" si="6"/>
        <v>45174</v>
      </c>
      <c r="C249" s="33">
        <v>9.0</v>
      </c>
      <c r="D249" s="33" t="s">
        <v>49</v>
      </c>
      <c r="E249" s="34"/>
      <c r="F249" s="36"/>
      <c r="H249" s="37"/>
      <c r="J249" s="37"/>
      <c r="L249" s="37"/>
      <c r="N249" s="37"/>
      <c r="P249" s="37"/>
      <c r="Q249" s="26"/>
      <c r="R249" s="38">
        <v>94.0</v>
      </c>
      <c r="T249" s="39">
        <v>102.0</v>
      </c>
      <c r="V249" s="37"/>
      <c r="X249" s="37"/>
      <c r="Z249" s="37"/>
      <c r="AB249" s="37"/>
      <c r="AC249" s="26"/>
      <c r="AD249" s="37"/>
      <c r="AF249" s="39">
        <v>50.0</v>
      </c>
      <c r="AH249" s="39">
        <v>50.0</v>
      </c>
      <c r="AJ249" s="59"/>
      <c r="AK249" s="26"/>
      <c r="AL249" s="37"/>
      <c r="AN249" s="37"/>
      <c r="AP249" s="37"/>
      <c r="AR249" s="37"/>
      <c r="AT249" s="37"/>
      <c r="AU249" s="26"/>
      <c r="AV249" s="35">
        <f t="shared" si="1"/>
        <v>3437.44</v>
      </c>
      <c r="AW249" s="33">
        <f t="shared" si="2"/>
        <v>296</v>
      </c>
      <c r="AX249" s="33">
        <f t="shared" si="3"/>
        <v>0</v>
      </c>
      <c r="AY249" s="33">
        <f t="shared" si="4"/>
        <v>296</v>
      </c>
      <c r="AZ249" s="30">
        <f t="shared" si="5"/>
        <v>11.61297297</v>
      </c>
    </row>
    <row r="250" ht="15.75" customHeight="1">
      <c r="A250" s="31" t="s">
        <v>34</v>
      </c>
      <c r="B250" s="32">
        <f t="shared" si="6"/>
        <v>45175</v>
      </c>
      <c r="C250" s="33">
        <v>9.0</v>
      </c>
      <c r="D250" s="33" t="s">
        <v>49</v>
      </c>
      <c r="E250" s="34"/>
      <c r="F250" s="36"/>
      <c r="H250" s="37"/>
      <c r="J250" s="37"/>
      <c r="L250" s="37"/>
      <c r="N250" s="37"/>
      <c r="P250" s="37"/>
      <c r="Q250" s="26"/>
      <c r="R250" s="38">
        <v>97.0</v>
      </c>
      <c r="T250" s="39">
        <v>103.0</v>
      </c>
      <c r="V250" s="37"/>
      <c r="X250" s="37"/>
      <c r="Z250" s="37"/>
      <c r="AB250" s="37"/>
      <c r="AC250" s="26"/>
      <c r="AD250" s="37"/>
      <c r="AF250" s="39">
        <v>50.0</v>
      </c>
      <c r="AH250" s="39">
        <v>50.0</v>
      </c>
      <c r="AJ250" s="59"/>
      <c r="AK250" s="26"/>
      <c r="AL250" s="37"/>
      <c r="AN250" s="37"/>
      <c r="AP250" s="37"/>
      <c r="AR250" s="37"/>
      <c r="AT250" s="37"/>
      <c r="AU250" s="26"/>
      <c r="AV250" s="35">
        <f t="shared" si="1"/>
        <v>3478</v>
      </c>
      <c r="AW250" s="33">
        <f t="shared" si="2"/>
        <v>300</v>
      </c>
      <c r="AX250" s="33">
        <f t="shared" si="3"/>
        <v>0</v>
      </c>
      <c r="AY250" s="33">
        <f t="shared" si="4"/>
        <v>300</v>
      </c>
      <c r="AZ250" s="30">
        <f t="shared" si="5"/>
        <v>11.59333333</v>
      </c>
    </row>
    <row r="251" ht="15.75" customHeight="1">
      <c r="A251" s="31" t="s">
        <v>35</v>
      </c>
      <c r="B251" s="32">
        <f t="shared" si="6"/>
        <v>45176</v>
      </c>
      <c r="C251" s="33">
        <v>9.0</v>
      </c>
      <c r="D251" s="33" t="s">
        <v>49</v>
      </c>
      <c r="E251" s="34"/>
      <c r="F251" s="36"/>
      <c r="H251" s="37"/>
      <c r="J251" s="37"/>
      <c r="L251" s="37"/>
      <c r="N251" s="37"/>
      <c r="P251" s="37"/>
      <c r="Q251" s="26"/>
      <c r="R251" s="38">
        <v>93.0</v>
      </c>
      <c r="T251" s="39">
        <v>100.0</v>
      </c>
      <c r="V251" s="37"/>
      <c r="X251" s="37"/>
      <c r="Z251" s="37"/>
      <c r="AB251" s="37"/>
      <c r="AC251" s="26"/>
      <c r="AD251" s="37"/>
      <c r="AF251" s="37"/>
      <c r="AH251" s="39">
        <v>50.0</v>
      </c>
      <c r="AJ251" s="59"/>
      <c r="AK251" s="26"/>
      <c r="AL251" s="37"/>
      <c r="AN251" s="37"/>
      <c r="AP251" s="37"/>
      <c r="AR251" s="37"/>
      <c r="AT251" s="37"/>
      <c r="AU251" s="26"/>
      <c r="AV251" s="35">
        <f t="shared" si="1"/>
        <v>2682.02</v>
      </c>
      <c r="AW251" s="33">
        <f t="shared" si="2"/>
        <v>243</v>
      </c>
      <c r="AX251" s="33">
        <f t="shared" si="3"/>
        <v>0</v>
      </c>
      <c r="AY251" s="33">
        <f t="shared" si="4"/>
        <v>243</v>
      </c>
      <c r="AZ251" s="30">
        <f t="shared" si="5"/>
        <v>11.03711934</v>
      </c>
    </row>
    <row r="252" ht="15.75" customHeight="1">
      <c r="A252" s="31" t="s">
        <v>38</v>
      </c>
      <c r="B252" s="32">
        <f t="shared" si="6"/>
        <v>45177</v>
      </c>
      <c r="C252" s="33">
        <v>9.0</v>
      </c>
      <c r="D252" s="33" t="s">
        <v>49</v>
      </c>
      <c r="E252" s="34"/>
      <c r="F252" s="36"/>
      <c r="H252" s="37"/>
      <c r="J252" s="37"/>
      <c r="L252" s="37"/>
      <c r="N252" s="37"/>
      <c r="P252" s="37"/>
      <c r="Q252" s="26"/>
      <c r="R252" s="38">
        <v>78.0</v>
      </c>
      <c r="T252" s="39">
        <v>93.0</v>
      </c>
      <c r="V252" s="37"/>
      <c r="X252" s="37"/>
      <c r="Z252" s="37"/>
      <c r="AB252" s="37"/>
      <c r="AC252" s="26"/>
      <c r="AD252" s="37"/>
      <c r="AF252" s="39">
        <v>50.0</v>
      </c>
      <c r="AH252" s="39">
        <v>50.0</v>
      </c>
      <c r="AJ252" s="59"/>
      <c r="AK252" s="26"/>
      <c r="AL252" s="37"/>
      <c r="AN252" s="37"/>
      <c r="AP252" s="37"/>
      <c r="AR252" s="37"/>
      <c r="AT252" s="37"/>
      <c r="AU252" s="26"/>
      <c r="AV252" s="35">
        <f t="shared" si="1"/>
        <v>3183.94</v>
      </c>
      <c r="AW252" s="33">
        <f t="shared" si="2"/>
        <v>271</v>
      </c>
      <c r="AX252" s="33">
        <f t="shared" si="3"/>
        <v>0</v>
      </c>
      <c r="AY252" s="33">
        <f t="shared" si="4"/>
        <v>271</v>
      </c>
      <c r="AZ252" s="30">
        <f t="shared" si="5"/>
        <v>11.74885609</v>
      </c>
    </row>
    <row r="253" ht="15.75" customHeight="1">
      <c r="A253" s="31" t="s">
        <v>45</v>
      </c>
      <c r="B253" s="32">
        <f t="shared" si="6"/>
        <v>45178</v>
      </c>
      <c r="C253" s="33">
        <v>9.0</v>
      </c>
      <c r="D253" s="33" t="s">
        <v>49</v>
      </c>
      <c r="E253" s="34"/>
      <c r="F253" s="36"/>
      <c r="H253" s="37"/>
      <c r="J253" s="37"/>
      <c r="L253" s="37"/>
      <c r="N253" s="37"/>
      <c r="P253" s="37"/>
      <c r="Q253" s="26"/>
      <c r="R253" s="38">
        <v>84.0</v>
      </c>
      <c r="T253" s="39">
        <v>93.0</v>
      </c>
      <c r="V253" s="37"/>
      <c r="X253" s="37"/>
      <c r="Z253" s="37"/>
      <c r="AB253" s="37"/>
      <c r="AC253" s="26"/>
      <c r="AD253" s="37"/>
      <c r="AF253" s="39">
        <v>50.0</v>
      </c>
      <c r="AH253" s="37"/>
      <c r="AJ253" s="59"/>
      <c r="AK253" s="26"/>
      <c r="AL253" s="37"/>
      <c r="AN253" s="37"/>
      <c r="AP253" s="37"/>
      <c r="AR253" s="37"/>
      <c r="AT253" s="37"/>
      <c r="AU253" s="26"/>
      <c r="AV253" s="35">
        <f t="shared" si="1"/>
        <v>2519.78</v>
      </c>
      <c r="AW253" s="33">
        <f t="shared" si="2"/>
        <v>227</v>
      </c>
      <c r="AX253" s="33">
        <f t="shared" si="3"/>
        <v>0</v>
      </c>
      <c r="AY253" s="33">
        <f t="shared" si="4"/>
        <v>227</v>
      </c>
      <c r="AZ253" s="30">
        <f t="shared" si="5"/>
        <v>11.10035242</v>
      </c>
    </row>
    <row r="254" ht="15.75" customHeight="1">
      <c r="A254" s="44" t="s">
        <v>46</v>
      </c>
      <c r="B254" s="45">
        <f t="shared" si="6"/>
        <v>45179</v>
      </c>
      <c r="C254" s="46">
        <v>9.0</v>
      </c>
      <c r="D254" s="46" t="s">
        <v>49</v>
      </c>
      <c r="E254" s="47"/>
      <c r="F254" s="60"/>
      <c r="G254" s="51"/>
      <c r="H254" s="61"/>
      <c r="I254" s="51"/>
      <c r="J254" s="61"/>
      <c r="K254" s="51"/>
      <c r="L254" s="61"/>
      <c r="M254" s="51"/>
      <c r="N254" s="61"/>
      <c r="O254" s="51"/>
      <c r="P254" s="61"/>
      <c r="Q254" s="53"/>
      <c r="R254" s="62"/>
      <c r="S254" s="51"/>
      <c r="T254" s="63"/>
      <c r="U254" s="51"/>
      <c r="V254" s="61"/>
      <c r="W254" s="51"/>
      <c r="X254" s="61"/>
      <c r="Y254" s="51"/>
      <c r="Z254" s="61"/>
      <c r="AA254" s="51"/>
      <c r="AB254" s="61"/>
      <c r="AC254" s="53"/>
      <c r="AD254" s="61"/>
      <c r="AE254" s="51"/>
      <c r="AF254" s="63"/>
      <c r="AG254" s="51"/>
      <c r="AH254" s="63"/>
      <c r="AI254" s="51"/>
      <c r="AJ254" s="68"/>
      <c r="AK254" s="53"/>
      <c r="AL254" s="61"/>
      <c r="AM254" s="51"/>
      <c r="AN254" s="61"/>
      <c r="AO254" s="51"/>
      <c r="AP254" s="61"/>
      <c r="AQ254" s="51"/>
      <c r="AR254" s="61"/>
      <c r="AS254" s="51"/>
      <c r="AT254" s="61"/>
      <c r="AU254" s="53"/>
      <c r="AV254" s="55">
        <f t="shared" si="1"/>
        <v>0</v>
      </c>
      <c r="AW254" s="46">
        <f t="shared" si="2"/>
        <v>0</v>
      </c>
      <c r="AX254" s="46">
        <f t="shared" si="3"/>
        <v>0</v>
      </c>
      <c r="AY254" s="46">
        <f t="shared" si="4"/>
        <v>0</v>
      </c>
      <c r="AZ254" s="56" t="str">
        <f t="shared" si="5"/>
        <v/>
      </c>
    </row>
    <row r="255" ht="15.75" customHeight="1">
      <c r="A255" s="19" t="s">
        <v>30</v>
      </c>
      <c r="B255" s="57">
        <f t="shared" si="6"/>
        <v>45180</v>
      </c>
      <c r="C255" s="21">
        <v>10.0</v>
      </c>
      <c r="D255" s="21" t="s">
        <v>31</v>
      </c>
      <c r="E255" s="23"/>
      <c r="F255" s="36"/>
      <c r="H255" s="37"/>
      <c r="J255" s="37"/>
      <c r="L255" s="37"/>
      <c r="N255" s="37"/>
      <c r="P255" s="37"/>
      <c r="Q255" s="26"/>
      <c r="R255" s="38">
        <v>92.0</v>
      </c>
      <c r="T255" s="39">
        <v>103.0</v>
      </c>
      <c r="V255" s="37"/>
      <c r="X255" s="37"/>
      <c r="Z255" s="37"/>
      <c r="AB255" s="37"/>
      <c r="AC255" s="26"/>
      <c r="AD255" s="37"/>
      <c r="AF255" s="37"/>
      <c r="AH255" s="37"/>
      <c r="AJ255" s="59"/>
      <c r="AK255" s="26"/>
      <c r="AL255" s="37"/>
      <c r="AN255" s="37"/>
      <c r="AP255" s="37"/>
      <c r="AR255" s="37"/>
      <c r="AT255" s="37"/>
      <c r="AU255" s="26"/>
      <c r="AV255" s="29">
        <f t="shared" si="1"/>
        <v>1977.3</v>
      </c>
      <c r="AW255" s="21">
        <f t="shared" si="2"/>
        <v>195</v>
      </c>
      <c r="AX255" s="21">
        <f t="shared" si="3"/>
        <v>0</v>
      </c>
      <c r="AY255" s="21">
        <f t="shared" si="4"/>
        <v>195</v>
      </c>
      <c r="AZ255" s="58">
        <f t="shared" si="5"/>
        <v>10.14</v>
      </c>
    </row>
    <row r="256" ht="15.75" customHeight="1">
      <c r="A256" s="31" t="s">
        <v>33</v>
      </c>
      <c r="B256" s="32">
        <f t="shared" si="6"/>
        <v>45181</v>
      </c>
      <c r="C256" s="33">
        <v>10.0</v>
      </c>
      <c r="D256" s="33" t="s">
        <v>31</v>
      </c>
      <c r="E256" s="34"/>
      <c r="F256" s="36"/>
      <c r="H256" s="37"/>
      <c r="J256" s="37"/>
      <c r="L256" s="37"/>
      <c r="N256" s="37"/>
      <c r="P256" s="37"/>
      <c r="Q256" s="26"/>
      <c r="R256" s="38">
        <v>92.0</v>
      </c>
      <c r="T256" s="39">
        <v>127.0</v>
      </c>
      <c r="V256" s="37"/>
      <c r="X256" s="37"/>
      <c r="Z256" s="37"/>
      <c r="AB256" s="37"/>
      <c r="AC256" s="26"/>
      <c r="AD256" s="37"/>
      <c r="AF256" s="37"/>
      <c r="AH256" s="37"/>
      <c r="AJ256" s="59"/>
      <c r="AK256" s="26"/>
      <c r="AL256" s="37"/>
      <c r="AN256" s="37"/>
      <c r="AP256" s="37"/>
      <c r="AR256" s="37"/>
      <c r="AT256" s="37"/>
      <c r="AU256" s="26"/>
      <c r="AV256" s="35">
        <f t="shared" si="1"/>
        <v>2220.66</v>
      </c>
      <c r="AW256" s="33">
        <f t="shared" si="2"/>
        <v>219</v>
      </c>
      <c r="AX256" s="33">
        <f t="shared" si="3"/>
        <v>0</v>
      </c>
      <c r="AY256" s="33">
        <f t="shared" si="4"/>
        <v>219</v>
      </c>
      <c r="AZ256" s="30">
        <f t="shared" si="5"/>
        <v>10.14</v>
      </c>
    </row>
    <row r="257" ht="15.75" customHeight="1">
      <c r="A257" s="31" t="s">
        <v>34</v>
      </c>
      <c r="B257" s="32">
        <f t="shared" si="6"/>
        <v>45182</v>
      </c>
      <c r="C257" s="33">
        <v>10.0</v>
      </c>
      <c r="D257" s="33" t="s">
        <v>31</v>
      </c>
      <c r="E257" s="34"/>
      <c r="F257" s="36"/>
      <c r="H257" s="37"/>
      <c r="J257" s="37"/>
      <c r="L257" s="37"/>
      <c r="N257" s="37"/>
      <c r="P257" s="37"/>
      <c r="Q257" s="26"/>
      <c r="R257" s="38">
        <v>95.0</v>
      </c>
      <c r="T257" s="39">
        <v>137.0</v>
      </c>
      <c r="V257" s="37"/>
      <c r="X257" s="37"/>
      <c r="Z257" s="37"/>
      <c r="AB257" s="37"/>
      <c r="AC257" s="26"/>
      <c r="AD257" s="37"/>
      <c r="AF257" s="37"/>
      <c r="AH257" s="37"/>
      <c r="AJ257" s="59"/>
      <c r="AK257" s="26"/>
      <c r="AL257" s="37"/>
      <c r="AN257" s="37"/>
      <c r="AP257" s="37"/>
      <c r="AR257" s="37"/>
      <c r="AT257" s="37"/>
      <c r="AU257" s="26"/>
      <c r="AV257" s="35">
        <f t="shared" si="1"/>
        <v>2352.48</v>
      </c>
      <c r="AW257" s="33">
        <f t="shared" si="2"/>
        <v>232</v>
      </c>
      <c r="AX257" s="33">
        <f t="shared" si="3"/>
        <v>0</v>
      </c>
      <c r="AY257" s="33">
        <f t="shared" si="4"/>
        <v>232</v>
      </c>
      <c r="AZ257" s="30">
        <f t="shared" si="5"/>
        <v>10.14</v>
      </c>
    </row>
    <row r="258" ht="15.75" customHeight="1">
      <c r="A258" s="31" t="s">
        <v>35</v>
      </c>
      <c r="B258" s="32">
        <f t="shared" si="6"/>
        <v>45183</v>
      </c>
      <c r="C258" s="33">
        <v>10.0</v>
      </c>
      <c r="D258" s="33" t="s">
        <v>31</v>
      </c>
      <c r="E258" s="34"/>
      <c r="F258" s="36"/>
      <c r="H258" s="37"/>
      <c r="J258" s="37"/>
      <c r="L258" s="37"/>
      <c r="N258" s="37"/>
      <c r="P258" s="37"/>
      <c r="Q258" s="26"/>
      <c r="R258" s="38">
        <v>81.0</v>
      </c>
      <c r="T258" s="39">
        <v>92.0</v>
      </c>
      <c r="V258" s="37"/>
      <c r="X258" s="37"/>
      <c r="Z258" s="37"/>
      <c r="AB258" s="37"/>
      <c r="AC258" s="26"/>
      <c r="AD258" s="37"/>
      <c r="AF258" s="37"/>
      <c r="AH258" s="37"/>
      <c r="AJ258" s="59"/>
      <c r="AK258" s="26"/>
      <c r="AL258" s="37"/>
      <c r="AN258" s="37"/>
      <c r="AP258" s="37"/>
      <c r="AR258" s="37"/>
      <c r="AT258" s="37"/>
      <c r="AU258" s="26"/>
      <c r="AV258" s="35">
        <f t="shared" si="1"/>
        <v>1754.22</v>
      </c>
      <c r="AW258" s="33">
        <f t="shared" si="2"/>
        <v>173</v>
      </c>
      <c r="AX258" s="33">
        <f t="shared" si="3"/>
        <v>0</v>
      </c>
      <c r="AY258" s="33">
        <f t="shared" si="4"/>
        <v>173</v>
      </c>
      <c r="AZ258" s="30">
        <f t="shared" si="5"/>
        <v>10.14</v>
      </c>
    </row>
    <row r="259" ht="15.75" customHeight="1">
      <c r="A259" s="31" t="s">
        <v>38</v>
      </c>
      <c r="B259" s="32">
        <f t="shared" si="6"/>
        <v>45184</v>
      </c>
      <c r="C259" s="33">
        <v>10.0</v>
      </c>
      <c r="D259" s="33" t="s">
        <v>31</v>
      </c>
      <c r="E259" s="34"/>
      <c r="F259" s="36"/>
      <c r="H259" s="37"/>
      <c r="J259" s="37"/>
      <c r="L259" s="37"/>
      <c r="N259" s="37"/>
      <c r="P259" s="37"/>
      <c r="Q259" s="26"/>
      <c r="R259" s="38">
        <v>93.0</v>
      </c>
      <c r="T259" s="39">
        <v>97.0</v>
      </c>
      <c r="V259" s="37"/>
      <c r="X259" s="37"/>
      <c r="Z259" s="37"/>
      <c r="AB259" s="37"/>
      <c r="AC259" s="26"/>
      <c r="AD259" s="37"/>
      <c r="AF259" s="37"/>
      <c r="AH259" s="37"/>
      <c r="AJ259" s="59"/>
      <c r="AK259" s="26"/>
      <c r="AL259" s="37"/>
      <c r="AN259" s="37"/>
      <c r="AP259" s="37"/>
      <c r="AR259" s="37"/>
      <c r="AT259" s="37"/>
      <c r="AU259" s="26"/>
      <c r="AV259" s="35">
        <f t="shared" si="1"/>
        <v>1926.6</v>
      </c>
      <c r="AW259" s="33">
        <f t="shared" si="2"/>
        <v>190</v>
      </c>
      <c r="AX259" s="33">
        <f t="shared" si="3"/>
        <v>0</v>
      </c>
      <c r="AY259" s="33">
        <f t="shared" si="4"/>
        <v>190</v>
      </c>
      <c r="AZ259" s="30">
        <f t="shared" si="5"/>
        <v>10.14</v>
      </c>
    </row>
    <row r="260" ht="15.75" customHeight="1">
      <c r="A260" s="31" t="s">
        <v>45</v>
      </c>
      <c r="B260" s="32">
        <f t="shared" si="6"/>
        <v>45185</v>
      </c>
      <c r="C260" s="33">
        <v>10.0</v>
      </c>
      <c r="D260" s="33" t="s">
        <v>31</v>
      </c>
      <c r="E260" s="34"/>
      <c r="F260" s="36"/>
      <c r="H260" s="37"/>
      <c r="J260" s="37"/>
      <c r="L260" s="37"/>
      <c r="N260" s="37"/>
      <c r="P260" s="37"/>
      <c r="Q260" s="26"/>
      <c r="R260" s="38">
        <v>96.0</v>
      </c>
      <c r="T260" s="39">
        <v>94.0</v>
      </c>
      <c r="V260" s="37"/>
      <c r="X260" s="37"/>
      <c r="Z260" s="37"/>
      <c r="AB260" s="37"/>
      <c r="AC260" s="26"/>
      <c r="AD260" s="37"/>
      <c r="AF260" s="37"/>
      <c r="AH260" s="37"/>
      <c r="AJ260" s="59"/>
      <c r="AK260" s="26"/>
      <c r="AL260" s="37"/>
      <c r="AN260" s="37"/>
      <c r="AP260" s="37"/>
      <c r="AR260" s="37"/>
      <c r="AT260" s="37"/>
      <c r="AU260" s="26"/>
      <c r="AV260" s="35">
        <f t="shared" si="1"/>
        <v>1926.6</v>
      </c>
      <c r="AW260" s="33">
        <f t="shared" si="2"/>
        <v>190</v>
      </c>
      <c r="AX260" s="33">
        <f t="shared" si="3"/>
        <v>0</v>
      </c>
      <c r="AY260" s="33">
        <f t="shared" si="4"/>
        <v>190</v>
      </c>
      <c r="AZ260" s="30">
        <f t="shared" si="5"/>
        <v>10.14</v>
      </c>
    </row>
    <row r="261" ht="15.75" customHeight="1">
      <c r="A261" s="44" t="s">
        <v>46</v>
      </c>
      <c r="B261" s="45">
        <f t="shared" si="6"/>
        <v>45186</v>
      </c>
      <c r="C261" s="46">
        <v>10.0</v>
      </c>
      <c r="D261" s="46" t="s">
        <v>31</v>
      </c>
      <c r="E261" s="47"/>
      <c r="F261" s="60"/>
      <c r="G261" s="51"/>
      <c r="H261" s="61"/>
      <c r="I261" s="51"/>
      <c r="J261" s="61"/>
      <c r="K261" s="51"/>
      <c r="L261" s="61"/>
      <c r="M261" s="51"/>
      <c r="N261" s="61"/>
      <c r="O261" s="51"/>
      <c r="P261" s="61"/>
      <c r="Q261" s="53"/>
      <c r="R261" s="62"/>
      <c r="S261" s="51"/>
      <c r="T261" s="63"/>
      <c r="U261" s="51"/>
      <c r="V261" s="61"/>
      <c r="W261" s="51"/>
      <c r="X261" s="61"/>
      <c r="Y261" s="51"/>
      <c r="Z261" s="61"/>
      <c r="AA261" s="51"/>
      <c r="AB261" s="61"/>
      <c r="AC261" s="53"/>
      <c r="AD261" s="61"/>
      <c r="AE261" s="51"/>
      <c r="AF261" s="61"/>
      <c r="AG261" s="51"/>
      <c r="AH261" s="61"/>
      <c r="AI261" s="51"/>
      <c r="AJ261" s="68"/>
      <c r="AK261" s="53"/>
      <c r="AL261" s="61"/>
      <c r="AM261" s="51"/>
      <c r="AN261" s="61"/>
      <c r="AO261" s="51"/>
      <c r="AP261" s="61"/>
      <c r="AQ261" s="51"/>
      <c r="AR261" s="61"/>
      <c r="AS261" s="51"/>
      <c r="AT261" s="61"/>
      <c r="AU261" s="53"/>
      <c r="AV261" s="55">
        <f t="shared" si="1"/>
        <v>0</v>
      </c>
      <c r="AW261" s="46">
        <f t="shared" si="2"/>
        <v>0</v>
      </c>
      <c r="AX261" s="46">
        <f t="shared" si="3"/>
        <v>0</v>
      </c>
      <c r="AY261" s="46">
        <f t="shared" si="4"/>
        <v>0</v>
      </c>
      <c r="AZ261" s="56" t="str">
        <f t="shared" si="5"/>
        <v/>
      </c>
    </row>
    <row r="262" ht="15.75" customHeight="1">
      <c r="A262" s="19" t="s">
        <v>30</v>
      </c>
      <c r="B262" s="57">
        <f t="shared" si="6"/>
        <v>45187</v>
      </c>
      <c r="C262" s="21">
        <v>10.0</v>
      </c>
      <c r="D262" s="21" t="s">
        <v>47</v>
      </c>
      <c r="E262" s="23"/>
      <c r="F262" s="36"/>
      <c r="H262" s="37"/>
      <c r="J262" s="37"/>
      <c r="L262" s="37"/>
      <c r="N262" s="37"/>
      <c r="P262" s="37"/>
      <c r="Q262" s="26"/>
      <c r="R262" s="38">
        <v>91.0</v>
      </c>
      <c r="T262" s="39">
        <v>96.0</v>
      </c>
      <c r="V262" s="37"/>
      <c r="X262" s="37"/>
      <c r="Z262" s="37"/>
      <c r="AB262" s="37"/>
      <c r="AC262" s="26"/>
      <c r="AD262" s="37"/>
      <c r="AF262" s="37"/>
      <c r="AH262" s="37"/>
      <c r="AJ262" s="59"/>
      <c r="AK262" s="26"/>
      <c r="AL262" s="37"/>
      <c r="AN262" s="37"/>
      <c r="AP262" s="37"/>
      <c r="AR262" s="37"/>
      <c r="AT262" s="37"/>
      <c r="AU262" s="26"/>
      <c r="AV262" s="29">
        <f t="shared" si="1"/>
        <v>1896.18</v>
      </c>
      <c r="AW262" s="21">
        <f t="shared" si="2"/>
        <v>187</v>
      </c>
      <c r="AX262" s="21">
        <f t="shared" si="3"/>
        <v>0</v>
      </c>
      <c r="AY262" s="21">
        <f t="shared" si="4"/>
        <v>187</v>
      </c>
      <c r="AZ262" s="58">
        <f t="shared" si="5"/>
        <v>10.14</v>
      </c>
    </row>
    <row r="263" ht="15.75" customHeight="1">
      <c r="A263" s="31" t="s">
        <v>33</v>
      </c>
      <c r="B263" s="32">
        <f t="shared" si="6"/>
        <v>45188</v>
      </c>
      <c r="C263" s="33">
        <v>10.0</v>
      </c>
      <c r="D263" s="33" t="s">
        <v>47</v>
      </c>
      <c r="E263" s="34"/>
      <c r="F263" s="36"/>
      <c r="H263" s="37"/>
      <c r="J263" s="37"/>
      <c r="L263" s="37"/>
      <c r="N263" s="37"/>
      <c r="P263" s="37"/>
      <c r="Q263" s="26"/>
      <c r="R263" s="38">
        <v>107.0</v>
      </c>
      <c r="T263" s="39">
        <v>143.0</v>
      </c>
      <c r="V263" s="37"/>
      <c r="X263" s="37"/>
      <c r="Z263" s="37"/>
      <c r="AB263" s="37"/>
      <c r="AC263" s="26"/>
      <c r="AD263" s="37"/>
      <c r="AF263" s="37"/>
      <c r="AH263" s="37"/>
      <c r="AJ263" s="59"/>
      <c r="AK263" s="26"/>
      <c r="AL263" s="37"/>
      <c r="AN263" s="37"/>
      <c r="AP263" s="37"/>
      <c r="AR263" s="37"/>
      <c r="AT263" s="37"/>
      <c r="AU263" s="26"/>
      <c r="AV263" s="35">
        <f t="shared" si="1"/>
        <v>2535</v>
      </c>
      <c r="AW263" s="33">
        <f t="shared" si="2"/>
        <v>250</v>
      </c>
      <c r="AX263" s="33">
        <f t="shared" si="3"/>
        <v>0</v>
      </c>
      <c r="AY263" s="33">
        <f t="shared" si="4"/>
        <v>250</v>
      </c>
      <c r="AZ263" s="30">
        <f t="shared" si="5"/>
        <v>10.14</v>
      </c>
    </row>
    <row r="264" ht="15.75" customHeight="1">
      <c r="A264" s="31" t="s">
        <v>34</v>
      </c>
      <c r="B264" s="32">
        <f t="shared" si="6"/>
        <v>45189</v>
      </c>
      <c r="C264" s="33">
        <v>10.0</v>
      </c>
      <c r="D264" s="33" t="s">
        <v>47</v>
      </c>
      <c r="E264" s="34"/>
      <c r="F264" s="36"/>
      <c r="H264" s="37"/>
      <c r="J264" s="37"/>
      <c r="L264" s="37"/>
      <c r="N264" s="37"/>
      <c r="P264" s="37"/>
      <c r="Q264" s="26"/>
      <c r="R264" s="38">
        <v>120.0</v>
      </c>
      <c r="T264" s="39">
        <v>135.0</v>
      </c>
      <c r="V264" s="37"/>
      <c r="X264" s="37"/>
      <c r="Z264" s="37"/>
      <c r="AB264" s="37"/>
      <c r="AC264" s="26"/>
      <c r="AD264" s="37"/>
      <c r="AF264" s="37"/>
      <c r="AH264" s="37"/>
      <c r="AJ264" s="59"/>
      <c r="AK264" s="26"/>
      <c r="AL264" s="37"/>
      <c r="AN264" s="37"/>
      <c r="AP264" s="37"/>
      <c r="AR264" s="37"/>
      <c r="AT264" s="37"/>
      <c r="AU264" s="26"/>
      <c r="AV264" s="35">
        <f t="shared" si="1"/>
        <v>2585.7</v>
      </c>
      <c r="AW264" s="33">
        <f t="shared" si="2"/>
        <v>255</v>
      </c>
      <c r="AX264" s="33">
        <f t="shared" si="3"/>
        <v>0</v>
      </c>
      <c r="AY264" s="33">
        <f t="shared" si="4"/>
        <v>255</v>
      </c>
      <c r="AZ264" s="30">
        <f t="shared" si="5"/>
        <v>10.14</v>
      </c>
    </row>
    <row r="265" ht="15.75" customHeight="1">
      <c r="A265" s="31" t="s">
        <v>35</v>
      </c>
      <c r="B265" s="32">
        <f t="shared" si="6"/>
        <v>45190</v>
      </c>
      <c r="C265" s="33">
        <v>10.0</v>
      </c>
      <c r="D265" s="33" t="s">
        <v>47</v>
      </c>
      <c r="E265" s="34"/>
      <c r="F265" s="36"/>
      <c r="H265" s="37"/>
      <c r="J265" s="37"/>
      <c r="L265" s="37"/>
      <c r="N265" s="37"/>
      <c r="P265" s="37"/>
      <c r="Q265" s="26"/>
      <c r="R265" s="38">
        <v>118.0</v>
      </c>
      <c r="T265" s="39">
        <v>129.0</v>
      </c>
      <c r="V265" s="37"/>
      <c r="X265" s="37"/>
      <c r="Z265" s="37"/>
      <c r="AB265" s="37"/>
      <c r="AC265" s="26"/>
      <c r="AD265" s="37"/>
      <c r="AF265" s="37"/>
      <c r="AH265" s="37"/>
      <c r="AJ265" s="59"/>
      <c r="AK265" s="26"/>
      <c r="AL265" s="37"/>
      <c r="AN265" s="37"/>
      <c r="AP265" s="37"/>
      <c r="AR265" s="37"/>
      <c r="AT265" s="37"/>
      <c r="AU265" s="26"/>
      <c r="AV265" s="35">
        <f t="shared" si="1"/>
        <v>2504.58</v>
      </c>
      <c r="AW265" s="33">
        <f t="shared" si="2"/>
        <v>247</v>
      </c>
      <c r="AX265" s="33">
        <f t="shared" si="3"/>
        <v>0</v>
      </c>
      <c r="AY265" s="33">
        <f t="shared" si="4"/>
        <v>247</v>
      </c>
      <c r="AZ265" s="30">
        <f t="shared" si="5"/>
        <v>10.14</v>
      </c>
    </row>
    <row r="266" ht="15.75" customHeight="1">
      <c r="A266" s="31" t="s">
        <v>38</v>
      </c>
      <c r="B266" s="32">
        <f t="shared" si="6"/>
        <v>45191</v>
      </c>
      <c r="C266" s="33">
        <v>10.0</v>
      </c>
      <c r="D266" s="33" t="s">
        <v>47</v>
      </c>
      <c r="E266" s="34"/>
      <c r="F266" s="36"/>
      <c r="H266" s="37"/>
      <c r="J266" s="37"/>
      <c r="L266" s="37"/>
      <c r="N266" s="37"/>
      <c r="P266" s="37"/>
      <c r="Q266" s="26"/>
      <c r="R266" s="38">
        <v>114.0</v>
      </c>
      <c r="T266" s="39">
        <v>127.0</v>
      </c>
      <c r="V266" s="37"/>
      <c r="X266" s="37"/>
      <c r="Z266" s="37"/>
      <c r="AB266" s="37"/>
      <c r="AC266" s="26"/>
      <c r="AD266" s="37"/>
      <c r="AF266" s="37"/>
      <c r="AH266" s="37"/>
      <c r="AJ266" s="59"/>
      <c r="AK266" s="26"/>
      <c r="AL266" s="37"/>
      <c r="AN266" s="37"/>
      <c r="AP266" s="37"/>
      <c r="AR266" s="37"/>
      <c r="AT266" s="37"/>
      <c r="AU266" s="26"/>
      <c r="AV266" s="35">
        <f t="shared" si="1"/>
        <v>2443.74</v>
      </c>
      <c r="AW266" s="33">
        <f t="shared" si="2"/>
        <v>241</v>
      </c>
      <c r="AX266" s="33">
        <f t="shared" si="3"/>
        <v>0</v>
      </c>
      <c r="AY266" s="33">
        <f t="shared" si="4"/>
        <v>241</v>
      </c>
      <c r="AZ266" s="30">
        <f t="shared" si="5"/>
        <v>10.14</v>
      </c>
    </row>
    <row r="267" ht="15.75" customHeight="1">
      <c r="A267" s="31" t="s">
        <v>45</v>
      </c>
      <c r="B267" s="32">
        <f t="shared" si="6"/>
        <v>45192</v>
      </c>
      <c r="C267" s="33">
        <v>10.0</v>
      </c>
      <c r="D267" s="33" t="s">
        <v>47</v>
      </c>
      <c r="E267" s="34"/>
      <c r="F267" s="36"/>
      <c r="H267" s="37"/>
      <c r="J267" s="37"/>
      <c r="L267" s="37"/>
      <c r="N267" s="37"/>
      <c r="P267" s="37"/>
      <c r="Q267" s="26"/>
      <c r="R267" s="38">
        <v>105.0</v>
      </c>
      <c r="T267" s="39">
        <v>115.0</v>
      </c>
      <c r="V267" s="37"/>
      <c r="X267" s="37"/>
      <c r="Z267" s="37"/>
      <c r="AB267" s="37"/>
      <c r="AC267" s="26"/>
      <c r="AD267" s="37"/>
      <c r="AF267" s="37"/>
      <c r="AH267" s="37"/>
      <c r="AJ267" s="59"/>
      <c r="AK267" s="26"/>
      <c r="AL267" s="37"/>
      <c r="AN267" s="37"/>
      <c r="AP267" s="37"/>
      <c r="AR267" s="37"/>
      <c r="AT267" s="37"/>
      <c r="AU267" s="26"/>
      <c r="AV267" s="35">
        <f t="shared" si="1"/>
        <v>2230.8</v>
      </c>
      <c r="AW267" s="33">
        <f t="shared" si="2"/>
        <v>220</v>
      </c>
      <c r="AX267" s="33">
        <f t="shared" si="3"/>
        <v>0</v>
      </c>
      <c r="AY267" s="33">
        <f t="shared" si="4"/>
        <v>220</v>
      </c>
      <c r="AZ267" s="30">
        <f t="shared" si="5"/>
        <v>10.14</v>
      </c>
    </row>
    <row r="268" ht="15.75" customHeight="1">
      <c r="A268" s="44" t="s">
        <v>46</v>
      </c>
      <c r="B268" s="45">
        <f t="shared" si="6"/>
        <v>45193</v>
      </c>
      <c r="C268" s="46">
        <v>10.0</v>
      </c>
      <c r="D268" s="46" t="s">
        <v>47</v>
      </c>
      <c r="E268" s="47"/>
      <c r="F268" s="60"/>
      <c r="G268" s="51"/>
      <c r="H268" s="61"/>
      <c r="I268" s="51"/>
      <c r="J268" s="61"/>
      <c r="K268" s="51"/>
      <c r="L268" s="61"/>
      <c r="M268" s="51"/>
      <c r="N268" s="61"/>
      <c r="O268" s="51"/>
      <c r="P268" s="61"/>
      <c r="Q268" s="53"/>
      <c r="R268" s="62"/>
      <c r="S268" s="51"/>
      <c r="T268" s="63"/>
      <c r="U268" s="51"/>
      <c r="V268" s="61"/>
      <c r="W268" s="51"/>
      <c r="X268" s="61"/>
      <c r="Y268" s="51"/>
      <c r="Z268" s="61"/>
      <c r="AA268" s="51"/>
      <c r="AB268" s="61"/>
      <c r="AC268" s="53"/>
      <c r="AD268" s="61"/>
      <c r="AE268" s="51"/>
      <c r="AF268" s="61"/>
      <c r="AG268" s="51"/>
      <c r="AH268" s="61"/>
      <c r="AI268" s="51"/>
      <c r="AJ268" s="68"/>
      <c r="AK268" s="53"/>
      <c r="AL268" s="61"/>
      <c r="AM268" s="51"/>
      <c r="AN268" s="61"/>
      <c r="AO268" s="51"/>
      <c r="AP268" s="61"/>
      <c r="AQ268" s="51"/>
      <c r="AR268" s="61"/>
      <c r="AS268" s="51"/>
      <c r="AT268" s="61"/>
      <c r="AU268" s="53"/>
      <c r="AV268" s="55">
        <f t="shared" si="1"/>
        <v>0</v>
      </c>
      <c r="AW268" s="46">
        <f t="shared" si="2"/>
        <v>0</v>
      </c>
      <c r="AX268" s="46">
        <f t="shared" si="3"/>
        <v>0</v>
      </c>
      <c r="AY268" s="46">
        <f t="shared" si="4"/>
        <v>0</v>
      </c>
      <c r="AZ268" s="56" t="str">
        <f t="shared" si="5"/>
        <v/>
      </c>
    </row>
    <row r="269" ht="15.75" customHeight="1">
      <c r="A269" s="19" t="s">
        <v>30</v>
      </c>
      <c r="B269" s="57">
        <f t="shared" si="6"/>
        <v>45194</v>
      </c>
      <c r="C269" s="21">
        <v>10.0</v>
      </c>
      <c r="D269" s="21" t="s">
        <v>48</v>
      </c>
      <c r="E269" s="23"/>
      <c r="F269" s="36"/>
      <c r="H269" s="37"/>
      <c r="J269" s="37"/>
      <c r="L269" s="37"/>
      <c r="N269" s="37"/>
      <c r="P269" s="37"/>
      <c r="Q269" s="26"/>
      <c r="R269" s="38">
        <v>180.0</v>
      </c>
      <c r="T269" s="39">
        <v>188.0</v>
      </c>
      <c r="V269" s="37"/>
      <c r="X269" s="37"/>
      <c r="Z269" s="37"/>
      <c r="AB269" s="37"/>
      <c r="AC269" s="26"/>
      <c r="AD269" s="37"/>
      <c r="AF269" s="37"/>
      <c r="AH269" s="37"/>
      <c r="AJ269" s="59"/>
      <c r="AK269" s="26"/>
      <c r="AL269" s="37"/>
      <c r="AN269" s="37"/>
      <c r="AP269" s="37"/>
      <c r="AR269" s="37"/>
      <c r="AT269" s="37"/>
      <c r="AU269" s="26"/>
      <c r="AV269" s="29">
        <f t="shared" si="1"/>
        <v>3731.52</v>
      </c>
      <c r="AW269" s="21">
        <f t="shared" si="2"/>
        <v>368</v>
      </c>
      <c r="AX269" s="21">
        <f t="shared" si="3"/>
        <v>0</v>
      </c>
      <c r="AY269" s="21">
        <f t="shared" si="4"/>
        <v>368</v>
      </c>
      <c r="AZ269" s="58">
        <f t="shared" si="5"/>
        <v>10.14</v>
      </c>
    </row>
    <row r="270" ht="15.75" customHeight="1">
      <c r="A270" s="31" t="s">
        <v>33</v>
      </c>
      <c r="B270" s="32">
        <f t="shared" si="6"/>
        <v>45195</v>
      </c>
      <c r="C270" s="33">
        <v>10.0</v>
      </c>
      <c r="D270" s="33" t="s">
        <v>48</v>
      </c>
      <c r="E270" s="34"/>
      <c r="F270" s="36"/>
      <c r="H270" s="37"/>
      <c r="J270" s="37"/>
      <c r="L270" s="37"/>
      <c r="N270" s="37"/>
      <c r="P270" s="37"/>
      <c r="Q270" s="26"/>
      <c r="R270" s="38">
        <v>172.0</v>
      </c>
      <c r="T270" s="39">
        <v>193.0</v>
      </c>
      <c r="V270" s="37"/>
      <c r="X270" s="37"/>
      <c r="Z270" s="37"/>
      <c r="AB270" s="37"/>
      <c r="AC270" s="26"/>
      <c r="AD270" s="37"/>
      <c r="AF270" s="37"/>
      <c r="AH270" s="37"/>
      <c r="AJ270" s="59"/>
      <c r="AK270" s="26"/>
      <c r="AL270" s="37"/>
      <c r="AN270" s="37"/>
      <c r="AP270" s="37"/>
      <c r="AR270" s="37"/>
      <c r="AT270" s="37"/>
      <c r="AU270" s="26"/>
      <c r="AV270" s="35">
        <f t="shared" si="1"/>
        <v>3701.1</v>
      </c>
      <c r="AW270" s="33">
        <f t="shared" si="2"/>
        <v>365</v>
      </c>
      <c r="AX270" s="33">
        <f t="shared" si="3"/>
        <v>0</v>
      </c>
      <c r="AY270" s="33">
        <f t="shared" si="4"/>
        <v>365</v>
      </c>
      <c r="AZ270" s="30">
        <f t="shared" si="5"/>
        <v>10.14</v>
      </c>
    </row>
    <row r="271" ht="15.75" customHeight="1">
      <c r="A271" s="31" t="s">
        <v>34</v>
      </c>
      <c r="B271" s="32">
        <f t="shared" si="6"/>
        <v>45196</v>
      </c>
      <c r="C271" s="33">
        <v>10.0</v>
      </c>
      <c r="D271" s="33" t="s">
        <v>48</v>
      </c>
      <c r="E271" s="34"/>
      <c r="F271" s="36"/>
      <c r="H271" s="37"/>
      <c r="J271" s="37"/>
      <c r="L271" s="37"/>
      <c r="N271" s="37"/>
      <c r="P271" s="37"/>
      <c r="Q271" s="26"/>
      <c r="R271" s="38">
        <v>140.0</v>
      </c>
      <c r="T271" s="39">
        <v>140.0</v>
      </c>
      <c r="V271" s="37"/>
      <c r="X271" s="37"/>
      <c r="Z271" s="37"/>
      <c r="AB271" s="37"/>
      <c r="AC271" s="26"/>
      <c r="AD271" s="37"/>
      <c r="AF271" s="37"/>
      <c r="AH271" s="37"/>
      <c r="AJ271" s="59"/>
      <c r="AK271" s="26"/>
      <c r="AL271" s="37"/>
      <c r="AN271" s="37"/>
      <c r="AP271" s="37"/>
      <c r="AR271" s="37"/>
      <c r="AT271" s="37"/>
      <c r="AU271" s="26"/>
      <c r="AV271" s="35">
        <f t="shared" si="1"/>
        <v>2839.2</v>
      </c>
      <c r="AW271" s="33">
        <f t="shared" si="2"/>
        <v>280</v>
      </c>
      <c r="AX271" s="33">
        <f t="shared" si="3"/>
        <v>0</v>
      </c>
      <c r="AY271" s="33">
        <f t="shared" si="4"/>
        <v>280</v>
      </c>
      <c r="AZ271" s="30">
        <f t="shared" si="5"/>
        <v>10.14</v>
      </c>
    </row>
    <row r="272" ht="15.75" customHeight="1">
      <c r="A272" s="31" t="s">
        <v>35</v>
      </c>
      <c r="B272" s="32">
        <f t="shared" si="6"/>
        <v>45197</v>
      </c>
      <c r="C272" s="33">
        <v>10.0</v>
      </c>
      <c r="D272" s="33" t="s">
        <v>48</v>
      </c>
      <c r="E272" s="34"/>
      <c r="F272" s="36"/>
      <c r="H272" s="37"/>
      <c r="J272" s="37"/>
      <c r="L272" s="37"/>
      <c r="N272" s="37"/>
      <c r="P272" s="37"/>
      <c r="Q272" s="26"/>
      <c r="R272" s="38">
        <v>140.0</v>
      </c>
      <c r="T272" s="39">
        <v>145.0</v>
      </c>
      <c r="V272" s="37"/>
      <c r="X272" s="37"/>
      <c r="Z272" s="37"/>
      <c r="AB272" s="37"/>
      <c r="AC272" s="26"/>
      <c r="AD272" s="37"/>
      <c r="AF272" s="37"/>
      <c r="AH272" s="37"/>
      <c r="AJ272" s="59"/>
      <c r="AK272" s="26"/>
      <c r="AL272" s="37"/>
      <c r="AN272" s="37"/>
      <c r="AP272" s="37"/>
      <c r="AR272" s="37"/>
      <c r="AT272" s="37"/>
      <c r="AU272" s="26"/>
      <c r="AV272" s="35">
        <f t="shared" si="1"/>
        <v>2889.9</v>
      </c>
      <c r="AW272" s="33">
        <f t="shared" si="2"/>
        <v>285</v>
      </c>
      <c r="AX272" s="33">
        <f t="shared" si="3"/>
        <v>0</v>
      </c>
      <c r="AY272" s="33">
        <f t="shared" si="4"/>
        <v>285</v>
      </c>
      <c r="AZ272" s="30">
        <f t="shared" si="5"/>
        <v>10.14</v>
      </c>
    </row>
    <row r="273" ht="15.75" customHeight="1">
      <c r="A273" s="31" t="s">
        <v>38</v>
      </c>
      <c r="B273" s="32">
        <f t="shared" si="6"/>
        <v>45198</v>
      </c>
      <c r="C273" s="33">
        <v>10.0</v>
      </c>
      <c r="D273" s="33" t="s">
        <v>48</v>
      </c>
      <c r="E273" s="34"/>
      <c r="F273" s="36"/>
      <c r="H273" s="37"/>
      <c r="J273" s="37"/>
      <c r="L273" s="37"/>
      <c r="N273" s="37"/>
      <c r="P273" s="37"/>
      <c r="Q273" s="26"/>
      <c r="R273" s="38">
        <v>146.0</v>
      </c>
      <c r="T273" s="39">
        <v>167.0</v>
      </c>
      <c r="V273" s="37"/>
      <c r="X273" s="37"/>
      <c r="Z273" s="37"/>
      <c r="AB273" s="37"/>
      <c r="AC273" s="26"/>
      <c r="AD273" s="37"/>
      <c r="AF273" s="37"/>
      <c r="AH273" s="37"/>
      <c r="AJ273" s="59"/>
      <c r="AK273" s="26"/>
      <c r="AL273" s="37"/>
      <c r="AN273" s="37"/>
      <c r="AP273" s="37"/>
      <c r="AR273" s="37"/>
      <c r="AT273" s="37"/>
      <c r="AU273" s="26"/>
      <c r="AV273" s="35">
        <f t="shared" si="1"/>
        <v>3173.82</v>
      </c>
      <c r="AW273" s="33">
        <f t="shared" si="2"/>
        <v>313</v>
      </c>
      <c r="AX273" s="33">
        <f t="shared" si="3"/>
        <v>0</v>
      </c>
      <c r="AY273" s="33">
        <f t="shared" si="4"/>
        <v>313</v>
      </c>
      <c r="AZ273" s="30">
        <f t="shared" si="5"/>
        <v>10.14</v>
      </c>
    </row>
    <row r="274" ht="15.75" customHeight="1">
      <c r="A274" s="31" t="s">
        <v>45</v>
      </c>
      <c r="B274" s="32">
        <f t="shared" si="6"/>
        <v>45199</v>
      </c>
      <c r="C274" s="33">
        <v>10.0</v>
      </c>
      <c r="D274" s="33" t="s">
        <v>48</v>
      </c>
      <c r="E274" s="34"/>
      <c r="F274" s="36"/>
      <c r="H274" s="37"/>
      <c r="J274" s="37"/>
      <c r="L274" s="37"/>
      <c r="N274" s="37"/>
      <c r="P274" s="37"/>
      <c r="Q274" s="26"/>
      <c r="R274" s="38">
        <v>96.0</v>
      </c>
      <c r="T274" s="39">
        <v>94.0</v>
      </c>
      <c r="V274" s="37"/>
      <c r="X274" s="37"/>
      <c r="Z274" s="37"/>
      <c r="AB274" s="37"/>
      <c r="AC274" s="26"/>
      <c r="AD274" s="37"/>
      <c r="AF274" s="37"/>
      <c r="AH274" s="37"/>
      <c r="AJ274" s="59"/>
      <c r="AK274" s="26"/>
      <c r="AL274" s="37"/>
      <c r="AN274" s="37"/>
      <c r="AP274" s="37"/>
      <c r="AR274" s="37"/>
      <c r="AT274" s="37"/>
      <c r="AU274" s="26"/>
      <c r="AV274" s="35">
        <f t="shared" si="1"/>
        <v>1926.6</v>
      </c>
      <c r="AW274" s="33">
        <f t="shared" si="2"/>
        <v>190</v>
      </c>
      <c r="AX274" s="33">
        <f t="shared" si="3"/>
        <v>0</v>
      </c>
      <c r="AY274" s="33">
        <f t="shared" si="4"/>
        <v>190</v>
      </c>
      <c r="AZ274" s="30">
        <f t="shared" si="5"/>
        <v>10.14</v>
      </c>
    </row>
    <row r="275" ht="15.75" customHeight="1">
      <c r="A275" s="44" t="s">
        <v>46</v>
      </c>
      <c r="B275" s="45">
        <f t="shared" si="6"/>
        <v>45200</v>
      </c>
      <c r="C275" s="46">
        <v>10.0</v>
      </c>
      <c r="D275" s="46" t="s">
        <v>48</v>
      </c>
      <c r="E275" s="47"/>
      <c r="F275" s="60"/>
      <c r="G275" s="51"/>
      <c r="H275" s="61"/>
      <c r="I275" s="51"/>
      <c r="J275" s="61"/>
      <c r="K275" s="51"/>
      <c r="L275" s="61"/>
      <c r="M275" s="51"/>
      <c r="N275" s="61"/>
      <c r="O275" s="51"/>
      <c r="P275" s="61"/>
      <c r="Q275" s="53"/>
      <c r="R275" s="62"/>
      <c r="S275" s="51"/>
      <c r="T275" s="63"/>
      <c r="U275" s="51"/>
      <c r="V275" s="61"/>
      <c r="W275" s="51"/>
      <c r="X275" s="61"/>
      <c r="Y275" s="51"/>
      <c r="Z275" s="61"/>
      <c r="AA275" s="51"/>
      <c r="AB275" s="61"/>
      <c r="AC275" s="53"/>
      <c r="AD275" s="61"/>
      <c r="AE275" s="51"/>
      <c r="AF275" s="61"/>
      <c r="AG275" s="51"/>
      <c r="AH275" s="61"/>
      <c r="AI275" s="51"/>
      <c r="AJ275" s="68"/>
      <c r="AK275" s="53"/>
      <c r="AL275" s="61"/>
      <c r="AM275" s="51"/>
      <c r="AN275" s="61"/>
      <c r="AO275" s="51"/>
      <c r="AP275" s="61"/>
      <c r="AQ275" s="51"/>
      <c r="AR275" s="61"/>
      <c r="AS275" s="51"/>
      <c r="AT275" s="61"/>
      <c r="AU275" s="53"/>
      <c r="AV275" s="55">
        <f t="shared" si="1"/>
        <v>0</v>
      </c>
      <c r="AW275" s="46">
        <f t="shared" si="2"/>
        <v>0</v>
      </c>
      <c r="AX275" s="46">
        <f t="shared" si="3"/>
        <v>0</v>
      </c>
      <c r="AY275" s="46">
        <f t="shared" si="4"/>
        <v>0</v>
      </c>
      <c r="AZ275" s="56" t="str">
        <f t="shared" si="5"/>
        <v/>
      </c>
    </row>
    <row r="276" ht="15.75" customHeight="1">
      <c r="A276" s="19" t="s">
        <v>30</v>
      </c>
      <c r="B276" s="57">
        <f t="shared" si="6"/>
        <v>45201</v>
      </c>
      <c r="C276" s="21">
        <v>10.0</v>
      </c>
      <c r="D276" s="21" t="s">
        <v>49</v>
      </c>
      <c r="E276" s="23"/>
      <c r="F276" s="36"/>
      <c r="H276" s="37"/>
      <c r="J276" s="37"/>
      <c r="L276" s="37"/>
      <c r="N276" s="37"/>
      <c r="P276" s="37"/>
      <c r="Q276" s="26"/>
      <c r="R276" s="38">
        <v>168.0</v>
      </c>
      <c r="T276" s="39">
        <v>169.0</v>
      </c>
      <c r="V276" s="37"/>
      <c r="X276" s="37"/>
      <c r="Z276" s="37"/>
      <c r="AB276" s="37"/>
      <c r="AC276" s="26"/>
      <c r="AD276" s="37"/>
      <c r="AF276" s="37"/>
      <c r="AH276" s="37"/>
      <c r="AJ276" s="59"/>
      <c r="AK276" s="26"/>
      <c r="AL276" s="37"/>
      <c r="AN276" s="37"/>
      <c r="AP276" s="37"/>
      <c r="AR276" s="37"/>
      <c r="AT276" s="37"/>
      <c r="AU276" s="26"/>
      <c r="AV276" s="29">
        <f t="shared" si="1"/>
        <v>3417.18</v>
      </c>
      <c r="AW276" s="21">
        <f t="shared" si="2"/>
        <v>337</v>
      </c>
      <c r="AX276" s="21">
        <f t="shared" si="3"/>
        <v>0</v>
      </c>
      <c r="AY276" s="21">
        <f t="shared" si="4"/>
        <v>337</v>
      </c>
      <c r="AZ276" s="58">
        <f t="shared" si="5"/>
        <v>10.14</v>
      </c>
    </row>
    <row r="277" ht="15.75" customHeight="1">
      <c r="A277" s="31" t="s">
        <v>33</v>
      </c>
      <c r="B277" s="32">
        <f t="shared" si="6"/>
        <v>45202</v>
      </c>
      <c r="C277" s="33">
        <v>10.0</v>
      </c>
      <c r="D277" s="33" t="s">
        <v>49</v>
      </c>
      <c r="E277" s="34"/>
      <c r="F277" s="36"/>
      <c r="H277" s="37"/>
      <c r="J277" s="37"/>
      <c r="L277" s="37"/>
      <c r="N277" s="37"/>
      <c r="P277" s="37"/>
      <c r="Q277" s="26"/>
      <c r="R277" s="38">
        <v>163.0</v>
      </c>
      <c r="T277" s="39">
        <v>167.0</v>
      </c>
      <c r="V277" s="37"/>
      <c r="X277" s="37"/>
      <c r="Z277" s="37"/>
      <c r="AB277" s="37"/>
      <c r="AC277" s="26"/>
      <c r="AD277" s="37"/>
      <c r="AF277" s="37"/>
      <c r="AH277" s="37"/>
      <c r="AJ277" s="59"/>
      <c r="AK277" s="26"/>
      <c r="AL277" s="37"/>
      <c r="AN277" s="37"/>
      <c r="AP277" s="37"/>
      <c r="AR277" s="37"/>
      <c r="AT277" s="37"/>
      <c r="AU277" s="26"/>
      <c r="AV277" s="35">
        <f t="shared" si="1"/>
        <v>3346.2</v>
      </c>
      <c r="AW277" s="33">
        <f t="shared" si="2"/>
        <v>330</v>
      </c>
      <c r="AX277" s="33">
        <f t="shared" si="3"/>
        <v>0</v>
      </c>
      <c r="AY277" s="33">
        <f t="shared" si="4"/>
        <v>330</v>
      </c>
      <c r="AZ277" s="30">
        <f t="shared" si="5"/>
        <v>10.14</v>
      </c>
    </row>
    <row r="278" ht="15.75" customHeight="1">
      <c r="A278" s="31" t="s">
        <v>34</v>
      </c>
      <c r="B278" s="32">
        <f t="shared" si="6"/>
        <v>45203</v>
      </c>
      <c r="C278" s="33">
        <v>10.0</v>
      </c>
      <c r="D278" s="33" t="s">
        <v>49</v>
      </c>
      <c r="E278" s="34"/>
      <c r="F278" s="36"/>
      <c r="H278" s="37"/>
      <c r="J278" s="37"/>
      <c r="L278" s="37"/>
      <c r="N278" s="37"/>
      <c r="P278" s="37"/>
      <c r="Q278" s="26"/>
      <c r="R278" s="38">
        <v>161.0</v>
      </c>
      <c r="T278" s="39">
        <v>187.0</v>
      </c>
      <c r="V278" s="37"/>
      <c r="X278" s="37"/>
      <c r="Z278" s="37"/>
      <c r="AB278" s="37"/>
      <c r="AC278" s="26"/>
      <c r="AD278" s="37"/>
      <c r="AF278" s="37"/>
      <c r="AH278" s="37"/>
      <c r="AJ278" s="59"/>
      <c r="AK278" s="26"/>
      <c r="AL278" s="37"/>
      <c r="AN278" s="37"/>
      <c r="AP278" s="37"/>
      <c r="AR278" s="37"/>
      <c r="AT278" s="37"/>
      <c r="AU278" s="26"/>
      <c r="AV278" s="35">
        <f t="shared" si="1"/>
        <v>3528.72</v>
      </c>
      <c r="AW278" s="33">
        <f t="shared" si="2"/>
        <v>348</v>
      </c>
      <c r="AX278" s="33">
        <f t="shared" si="3"/>
        <v>0</v>
      </c>
      <c r="AY278" s="33">
        <f t="shared" si="4"/>
        <v>348</v>
      </c>
      <c r="AZ278" s="30">
        <f t="shared" si="5"/>
        <v>10.14</v>
      </c>
    </row>
    <row r="279" ht="15.75" customHeight="1">
      <c r="A279" s="31" t="s">
        <v>35</v>
      </c>
      <c r="B279" s="32">
        <f t="shared" si="6"/>
        <v>45204</v>
      </c>
      <c r="C279" s="33">
        <v>10.0</v>
      </c>
      <c r="D279" s="33" t="s">
        <v>49</v>
      </c>
      <c r="E279" s="34"/>
      <c r="F279" s="36"/>
      <c r="H279" s="37"/>
      <c r="J279" s="37"/>
      <c r="L279" s="37"/>
      <c r="N279" s="37"/>
      <c r="P279" s="37"/>
      <c r="Q279" s="26"/>
      <c r="R279" s="38">
        <v>146.0</v>
      </c>
      <c r="T279" s="39">
        <v>153.0</v>
      </c>
      <c r="V279" s="37"/>
      <c r="X279" s="37"/>
      <c r="Z279" s="37"/>
      <c r="AB279" s="37"/>
      <c r="AC279" s="26"/>
      <c r="AD279" s="37"/>
      <c r="AF279" s="37"/>
      <c r="AH279" s="37"/>
      <c r="AJ279" s="59"/>
      <c r="AK279" s="26"/>
      <c r="AL279" s="37"/>
      <c r="AN279" s="37"/>
      <c r="AP279" s="37"/>
      <c r="AR279" s="37"/>
      <c r="AT279" s="37"/>
      <c r="AU279" s="26"/>
      <c r="AV279" s="35">
        <f t="shared" si="1"/>
        <v>3031.86</v>
      </c>
      <c r="AW279" s="33">
        <f t="shared" si="2"/>
        <v>299</v>
      </c>
      <c r="AX279" s="33">
        <f t="shared" si="3"/>
        <v>0</v>
      </c>
      <c r="AY279" s="33">
        <f t="shared" si="4"/>
        <v>299</v>
      </c>
      <c r="AZ279" s="30">
        <f t="shared" si="5"/>
        <v>10.14</v>
      </c>
    </row>
    <row r="280" ht="15.75" customHeight="1">
      <c r="A280" s="31" t="s">
        <v>38</v>
      </c>
      <c r="B280" s="32">
        <f t="shared" si="6"/>
        <v>45205</v>
      </c>
      <c r="C280" s="33">
        <v>10.0</v>
      </c>
      <c r="D280" s="33" t="s">
        <v>49</v>
      </c>
      <c r="E280" s="74" t="s">
        <v>63</v>
      </c>
      <c r="F280" s="36"/>
      <c r="H280" s="37"/>
      <c r="J280" s="37"/>
      <c r="L280" s="37"/>
      <c r="N280" s="37"/>
      <c r="P280" s="37"/>
      <c r="Q280" s="26"/>
      <c r="R280" s="38">
        <v>107.0</v>
      </c>
      <c r="T280" s="39">
        <v>170.0</v>
      </c>
      <c r="V280" s="37"/>
      <c r="X280" s="37"/>
      <c r="Z280" s="37"/>
      <c r="AB280" s="37"/>
      <c r="AC280" s="26"/>
      <c r="AD280" s="37"/>
      <c r="AF280" s="37"/>
      <c r="AH280" s="37"/>
      <c r="AJ280" s="59"/>
      <c r="AK280" s="26"/>
      <c r="AL280" s="37"/>
      <c r="AN280" s="37"/>
      <c r="AP280" s="37"/>
      <c r="AR280" s="37"/>
      <c r="AT280" s="37"/>
      <c r="AU280" s="26"/>
      <c r="AV280" s="35">
        <f t="shared" si="1"/>
        <v>2808.78</v>
      </c>
      <c r="AW280" s="33">
        <f t="shared" si="2"/>
        <v>277</v>
      </c>
      <c r="AX280" s="33">
        <f t="shared" si="3"/>
        <v>0</v>
      </c>
      <c r="AY280" s="33">
        <f t="shared" si="4"/>
        <v>277</v>
      </c>
      <c r="AZ280" s="30">
        <f t="shared" si="5"/>
        <v>10.14</v>
      </c>
    </row>
    <row r="281" ht="15.75" customHeight="1">
      <c r="A281" s="31" t="s">
        <v>45</v>
      </c>
      <c r="B281" s="32">
        <f t="shared" si="6"/>
        <v>45206</v>
      </c>
      <c r="C281" s="33">
        <v>10.0</v>
      </c>
      <c r="D281" s="33" t="s">
        <v>49</v>
      </c>
      <c r="E281" s="34"/>
      <c r="F281" s="36"/>
      <c r="H281" s="37"/>
      <c r="J281" s="37"/>
      <c r="L281" s="37"/>
      <c r="N281" s="37"/>
      <c r="P281" s="37"/>
      <c r="Q281" s="26"/>
      <c r="R281" s="38">
        <v>61.0</v>
      </c>
      <c r="T281" s="39">
        <v>61.0</v>
      </c>
      <c r="V281" s="37"/>
      <c r="X281" s="37"/>
      <c r="Z281" s="37"/>
      <c r="AB281" s="37"/>
      <c r="AC281" s="26"/>
      <c r="AD281" s="37"/>
      <c r="AF281" s="37"/>
      <c r="AH281" s="37"/>
      <c r="AJ281" s="59"/>
      <c r="AK281" s="26"/>
      <c r="AL281" s="37"/>
      <c r="AN281" s="37"/>
      <c r="AP281" s="37"/>
      <c r="AR281" s="37"/>
      <c r="AT281" s="37"/>
      <c r="AU281" s="26"/>
      <c r="AV281" s="35">
        <f t="shared" si="1"/>
        <v>1237.08</v>
      </c>
      <c r="AW281" s="33">
        <f t="shared" si="2"/>
        <v>122</v>
      </c>
      <c r="AX281" s="33">
        <f t="shared" si="3"/>
        <v>0</v>
      </c>
      <c r="AY281" s="33">
        <f t="shared" si="4"/>
        <v>122</v>
      </c>
      <c r="AZ281" s="30">
        <f t="shared" si="5"/>
        <v>10.14</v>
      </c>
    </row>
    <row r="282" ht="15.75" customHeight="1">
      <c r="A282" s="44" t="s">
        <v>46</v>
      </c>
      <c r="B282" s="45">
        <f t="shared" si="6"/>
        <v>45207</v>
      </c>
      <c r="C282" s="46">
        <v>10.0</v>
      </c>
      <c r="D282" s="46" t="s">
        <v>49</v>
      </c>
      <c r="E282" s="47"/>
      <c r="F282" s="60"/>
      <c r="G282" s="51"/>
      <c r="H282" s="61"/>
      <c r="I282" s="51"/>
      <c r="J282" s="61"/>
      <c r="K282" s="51"/>
      <c r="L282" s="61"/>
      <c r="M282" s="51"/>
      <c r="N282" s="61"/>
      <c r="O282" s="51"/>
      <c r="P282" s="61"/>
      <c r="Q282" s="53"/>
      <c r="R282" s="62"/>
      <c r="S282" s="51"/>
      <c r="T282" s="63"/>
      <c r="U282" s="51"/>
      <c r="V282" s="61"/>
      <c r="W282" s="51"/>
      <c r="X282" s="61"/>
      <c r="Y282" s="51"/>
      <c r="Z282" s="61"/>
      <c r="AA282" s="51"/>
      <c r="AB282" s="61"/>
      <c r="AC282" s="53"/>
      <c r="AD282" s="61"/>
      <c r="AE282" s="51"/>
      <c r="AF282" s="61"/>
      <c r="AG282" s="51"/>
      <c r="AH282" s="61"/>
      <c r="AI282" s="51"/>
      <c r="AJ282" s="68"/>
      <c r="AK282" s="53"/>
      <c r="AL282" s="61"/>
      <c r="AM282" s="51"/>
      <c r="AN282" s="61"/>
      <c r="AO282" s="51"/>
      <c r="AP282" s="61"/>
      <c r="AQ282" s="51"/>
      <c r="AR282" s="61"/>
      <c r="AS282" s="51"/>
      <c r="AT282" s="61"/>
      <c r="AU282" s="53"/>
      <c r="AV282" s="55">
        <f t="shared" si="1"/>
        <v>0</v>
      </c>
      <c r="AW282" s="46">
        <f t="shared" si="2"/>
        <v>0</v>
      </c>
      <c r="AX282" s="46">
        <f t="shared" si="3"/>
        <v>0</v>
      </c>
      <c r="AY282" s="46">
        <f t="shared" si="4"/>
        <v>0</v>
      </c>
      <c r="AZ282" s="56" t="str">
        <f t="shared" si="5"/>
        <v/>
      </c>
    </row>
    <row r="283" ht="15.75" customHeight="1">
      <c r="A283" s="19" t="s">
        <v>30</v>
      </c>
      <c r="B283" s="57">
        <f t="shared" si="6"/>
        <v>45208</v>
      </c>
      <c r="C283" s="21">
        <v>11.0</v>
      </c>
      <c r="D283" s="21" t="s">
        <v>31</v>
      </c>
      <c r="E283" s="23"/>
      <c r="F283" s="36"/>
      <c r="H283" s="37"/>
      <c r="J283" s="37"/>
      <c r="L283" s="37"/>
      <c r="N283" s="37"/>
      <c r="P283" s="37"/>
      <c r="Q283" s="26"/>
      <c r="R283" s="38">
        <v>72.0</v>
      </c>
      <c r="T283" s="39">
        <v>87.0</v>
      </c>
      <c r="V283" s="37"/>
      <c r="X283" s="37"/>
      <c r="Z283" s="37"/>
      <c r="AB283" s="37"/>
      <c r="AC283" s="26"/>
      <c r="AD283" s="37"/>
      <c r="AF283" s="37"/>
      <c r="AH283" s="37"/>
      <c r="AJ283" s="59"/>
      <c r="AK283" s="26"/>
      <c r="AL283" s="37"/>
      <c r="AN283" s="37"/>
      <c r="AP283" s="37"/>
      <c r="AR283" s="37"/>
      <c r="AT283" s="37"/>
      <c r="AU283" s="26"/>
      <c r="AV283" s="29">
        <f t="shared" si="1"/>
        <v>1612.26</v>
      </c>
      <c r="AW283" s="21">
        <f t="shared" si="2"/>
        <v>159</v>
      </c>
      <c r="AX283" s="21">
        <f t="shared" si="3"/>
        <v>0</v>
      </c>
      <c r="AY283" s="21">
        <f t="shared" si="4"/>
        <v>159</v>
      </c>
      <c r="AZ283" s="58">
        <f t="shared" si="5"/>
        <v>10.14</v>
      </c>
    </row>
    <row r="284" ht="15.75" customHeight="1">
      <c r="A284" s="31" t="s">
        <v>33</v>
      </c>
      <c r="B284" s="32">
        <f t="shared" si="6"/>
        <v>45209</v>
      </c>
      <c r="C284" s="33">
        <v>11.0</v>
      </c>
      <c r="D284" s="33" t="s">
        <v>31</v>
      </c>
      <c r="E284" s="34"/>
      <c r="F284" s="36"/>
      <c r="H284" s="37"/>
      <c r="J284" s="37"/>
      <c r="L284" s="37"/>
      <c r="N284" s="37"/>
      <c r="P284" s="37"/>
      <c r="Q284" s="26"/>
      <c r="R284" s="38">
        <v>87.0</v>
      </c>
      <c r="T284" s="39">
        <v>74.0</v>
      </c>
      <c r="V284" s="37"/>
      <c r="X284" s="37"/>
      <c r="Z284" s="37"/>
      <c r="AB284" s="37"/>
      <c r="AC284" s="26"/>
      <c r="AD284" s="37"/>
      <c r="AF284" s="37"/>
      <c r="AH284" s="37"/>
      <c r="AJ284" s="59"/>
      <c r="AK284" s="26"/>
      <c r="AL284" s="37"/>
      <c r="AN284" s="37"/>
      <c r="AP284" s="37"/>
      <c r="AR284" s="37"/>
      <c r="AT284" s="37"/>
      <c r="AU284" s="26"/>
      <c r="AV284" s="35">
        <f t="shared" si="1"/>
        <v>1632.54</v>
      </c>
      <c r="AW284" s="33">
        <f t="shared" si="2"/>
        <v>161</v>
      </c>
      <c r="AX284" s="33">
        <f t="shared" si="3"/>
        <v>0</v>
      </c>
      <c r="AY284" s="33">
        <f t="shared" si="4"/>
        <v>161</v>
      </c>
      <c r="AZ284" s="30">
        <f t="shared" si="5"/>
        <v>10.14</v>
      </c>
    </row>
    <row r="285" ht="15.75" customHeight="1">
      <c r="A285" s="31" t="s">
        <v>34</v>
      </c>
      <c r="B285" s="32">
        <f t="shared" si="6"/>
        <v>45210</v>
      </c>
      <c r="C285" s="33">
        <v>11.0</v>
      </c>
      <c r="D285" s="33" t="s">
        <v>31</v>
      </c>
      <c r="E285" s="34"/>
      <c r="F285" s="36"/>
      <c r="H285" s="37"/>
      <c r="J285" s="37"/>
      <c r="L285" s="37"/>
      <c r="N285" s="37"/>
      <c r="P285" s="37"/>
      <c r="Q285" s="26"/>
      <c r="R285" s="38">
        <v>84.0</v>
      </c>
      <c r="T285" s="39">
        <v>102.0</v>
      </c>
      <c r="V285" s="37"/>
      <c r="X285" s="37"/>
      <c r="Z285" s="37"/>
      <c r="AB285" s="37"/>
      <c r="AC285" s="26"/>
      <c r="AD285" s="37"/>
      <c r="AF285" s="37"/>
      <c r="AH285" s="37"/>
      <c r="AJ285" s="59"/>
      <c r="AK285" s="26"/>
      <c r="AL285" s="37"/>
      <c r="AN285" s="37"/>
      <c r="AP285" s="37"/>
      <c r="AR285" s="37"/>
      <c r="AT285" s="37"/>
      <c r="AU285" s="26"/>
      <c r="AV285" s="35">
        <f t="shared" si="1"/>
        <v>1886.04</v>
      </c>
      <c r="AW285" s="33">
        <f t="shared" si="2"/>
        <v>186</v>
      </c>
      <c r="AX285" s="33">
        <f t="shared" si="3"/>
        <v>0</v>
      </c>
      <c r="AY285" s="33">
        <f t="shared" si="4"/>
        <v>186</v>
      </c>
      <c r="AZ285" s="30">
        <f t="shared" si="5"/>
        <v>10.14</v>
      </c>
    </row>
    <row r="286" ht="15.75" customHeight="1">
      <c r="A286" s="31" t="s">
        <v>35</v>
      </c>
      <c r="B286" s="32">
        <f t="shared" si="6"/>
        <v>45211</v>
      </c>
      <c r="C286" s="33">
        <v>11.0</v>
      </c>
      <c r="D286" s="33" t="s">
        <v>31</v>
      </c>
      <c r="E286" s="34"/>
      <c r="F286" s="36"/>
      <c r="H286" s="37"/>
      <c r="J286" s="37"/>
      <c r="L286" s="37"/>
      <c r="N286" s="37"/>
      <c r="P286" s="37"/>
      <c r="Q286" s="26"/>
      <c r="R286" s="38">
        <v>65.0</v>
      </c>
      <c r="T286" s="39">
        <v>85.0</v>
      </c>
      <c r="V286" s="37"/>
      <c r="X286" s="37"/>
      <c r="Z286" s="37"/>
      <c r="AB286" s="37"/>
      <c r="AC286" s="26"/>
      <c r="AD286" s="37"/>
      <c r="AF286" s="37"/>
      <c r="AH286" s="37"/>
      <c r="AJ286" s="59"/>
      <c r="AK286" s="26"/>
      <c r="AL286" s="37"/>
      <c r="AN286" s="37"/>
      <c r="AP286" s="37"/>
      <c r="AR286" s="37"/>
      <c r="AT286" s="37"/>
      <c r="AU286" s="26"/>
      <c r="AV286" s="35">
        <f t="shared" si="1"/>
        <v>1521</v>
      </c>
      <c r="AW286" s="33">
        <f t="shared" si="2"/>
        <v>150</v>
      </c>
      <c r="AX286" s="33">
        <f t="shared" si="3"/>
        <v>0</v>
      </c>
      <c r="AY286" s="33">
        <f t="shared" si="4"/>
        <v>150</v>
      </c>
      <c r="AZ286" s="30">
        <f t="shared" si="5"/>
        <v>10.14</v>
      </c>
    </row>
    <row r="287" ht="15.75" customHeight="1">
      <c r="A287" s="31" t="s">
        <v>38</v>
      </c>
      <c r="B287" s="32">
        <f t="shared" si="6"/>
        <v>45212</v>
      </c>
      <c r="C287" s="33">
        <v>11.0</v>
      </c>
      <c r="D287" s="33" t="s">
        <v>31</v>
      </c>
      <c r="E287" s="34"/>
      <c r="F287" s="36"/>
      <c r="H287" s="37"/>
      <c r="J287" s="37"/>
      <c r="L287" s="37"/>
      <c r="N287" s="37"/>
      <c r="P287" s="37"/>
      <c r="Q287" s="26"/>
      <c r="R287" s="38">
        <v>75.0</v>
      </c>
      <c r="T287" s="39">
        <v>65.0</v>
      </c>
      <c r="V287" s="37"/>
      <c r="X287" s="37"/>
      <c r="Z287" s="37"/>
      <c r="AB287" s="37"/>
      <c r="AC287" s="26"/>
      <c r="AD287" s="37"/>
      <c r="AF287" s="37"/>
      <c r="AH287" s="37"/>
      <c r="AJ287" s="59"/>
      <c r="AK287" s="26"/>
      <c r="AL287" s="37"/>
      <c r="AN287" s="37"/>
      <c r="AP287" s="37"/>
      <c r="AR287" s="37"/>
      <c r="AT287" s="37"/>
      <c r="AU287" s="26"/>
      <c r="AV287" s="35">
        <f t="shared" si="1"/>
        <v>1419.6</v>
      </c>
      <c r="AW287" s="33">
        <f t="shared" si="2"/>
        <v>140</v>
      </c>
      <c r="AX287" s="33">
        <f t="shared" si="3"/>
        <v>0</v>
      </c>
      <c r="AY287" s="33">
        <f t="shared" si="4"/>
        <v>140</v>
      </c>
      <c r="AZ287" s="30">
        <f t="shared" si="5"/>
        <v>10.14</v>
      </c>
    </row>
    <row r="288" ht="15.75" customHeight="1">
      <c r="A288" s="31" t="s">
        <v>45</v>
      </c>
      <c r="B288" s="32">
        <f t="shared" si="6"/>
        <v>45213</v>
      </c>
      <c r="C288" s="33">
        <v>11.0</v>
      </c>
      <c r="D288" s="33" t="s">
        <v>31</v>
      </c>
      <c r="E288" s="34"/>
      <c r="F288" s="36"/>
      <c r="H288" s="37"/>
      <c r="J288" s="37"/>
      <c r="L288" s="37"/>
      <c r="N288" s="37"/>
      <c r="P288" s="37"/>
      <c r="Q288" s="26"/>
      <c r="R288" s="38"/>
      <c r="T288" s="39"/>
      <c r="V288" s="37"/>
      <c r="X288" s="37"/>
      <c r="Z288" s="37"/>
      <c r="AB288" s="37"/>
      <c r="AC288" s="26"/>
      <c r="AD288" s="37"/>
      <c r="AF288" s="37"/>
      <c r="AH288" s="37"/>
      <c r="AJ288" s="59"/>
      <c r="AK288" s="26"/>
      <c r="AL288" s="37"/>
      <c r="AN288" s="37"/>
      <c r="AP288" s="37"/>
      <c r="AR288" s="37"/>
      <c r="AT288" s="37"/>
      <c r="AU288" s="26"/>
      <c r="AV288" s="35">
        <f t="shared" si="1"/>
        <v>0</v>
      </c>
      <c r="AW288" s="33">
        <f t="shared" si="2"/>
        <v>0</v>
      </c>
      <c r="AX288" s="33">
        <f t="shared" si="3"/>
        <v>0</v>
      </c>
      <c r="AY288" s="33">
        <f t="shared" si="4"/>
        <v>0</v>
      </c>
      <c r="AZ288" s="30" t="str">
        <f t="shared" si="5"/>
        <v/>
      </c>
    </row>
    <row r="289" ht="15.75" customHeight="1">
      <c r="A289" s="44" t="s">
        <v>46</v>
      </c>
      <c r="B289" s="45">
        <f t="shared" si="6"/>
        <v>45214</v>
      </c>
      <c r="C289" s="46">
        <v>11.0</v>
      </c>
      <c r="D289" s="46" t="s">
        <v>31</v>
      </c>
      <c r="E289" s="47"/>
      <c r="F289" s="60"/>
      <c r="G289" s="51"/>
      <c r="H289" s="61"/>
      <c r="I289" s="51"/>
      <c r="J289" s="61"/>
      <c r="K289" s="51"/>
      <c r="L289" s="61"/>
      <c r="M289" s="51"/>
      <c r="N289" s="61"/>
      <c r="O289" s="51"/>
      <c r="P289" s="61"/>
      <c r="Q289" s="53"/>
      <c r="R289" s="62"/>
      <c r="S289" s="51"/>
      <c r="T289" s="63"/>
      <c r="U289" s="51"/>
      <c r="V289" s="61"/>
      <c r="W289" s="51"/>
      <c r="X289" s="61"/>
      <c r="Y289" s="51"/>
      <c r="Z289" s="61"/>
      <c r="AA289" s="51"/>
      <c r="AB289" s="61"/>
      <c r="AC289" s="53"/>
      <c r="AD289" s="61"/>
      <c r="AE289" s="51"/>
      <c r="AF289" s="61"/>
      <c r="AG289" s="51"/>
      <c r="AH289" s="61"/>
      <c r="AI289" s="51"/>
      <c r="AJ289" s="68"/>
      <c r="AK289" s="53"/>
      <c r="AL289" s="61"/>
      <c r="AM289" s="51"/>
      <c r="AN289" s="61"/>
      <c r="AO289" s="51"/>
      <c r="AP289" s="61"/>
      <c r="AQ289" s="51"/>
      <c r="AR289" s="61"/>
      <c r="AS289" s="51"/>
      <c r="AT289" s="61"/>
      <c r="AU289" s="53"/>
      <c r="AV289" s="55">
        <f t="shared" si="1"/>
        <v>0</v>
      </c>
      <c r="AW289" s="46">
        <f t="shared" si="2"/>
        <v>0</v>
      </c>
      <c r="AX289" s="46">
        <f t="shared" si="3"/>
        <v>0</v>
      </c>
      <c r="AY289" s="46">
        <f t="shared" si="4"/>
        <v>0</v>
      </c>
      <c r="AZ289" s="56" t="str">
        <f t="shared" si="5"/>
        <v/>
      </c>
    </row>
    <row r="290" ht="15.75" customHeight="1">
      <c r="A290" s="19" t="s">
        <v>30</v>
      </c>
      <c r="B290" s="57">
        <f t="shared" si="6"/>
        <v>45215</v>
      </c>
      <c r="C290" s="21">
        <v>11.0</v>
      </c>
      <c r="D290" s="21" t="s">
        <v>47</v>
      </c>
      <c r="E290" s="23"/>
      <c r="F290" s="36"/>
      <c r="H290" s="37"/>
      <c r="J290" s="37"/>
      <c r="L290" s="37"/>
      <c r="N290" s="37"/>
      <c r="P290" s="37"/>
      <c r="Q290" s="26"/>
      <c r="R290" s="38">
        <v>67.0</v>
      </c>
      <c r="T290" s="39">
        <v>86.0</v>
      </c>
      <c r="V290" s="37"/>
      <c r="X290" s="37"/>
      <c r="Z290" s="37"/>
      <c r="AB290" s="37"/>
      <c r="AC290" s="26"/>
      <c r="AD290" s="37"/>
      <c r="AF290" s="37"/>
      <c r="AH290" s="37"/>
      <c r="AJ290" s="59"/>
      <c r="AK290" s="26"/>
      <c r="AL290" s="37"/>
      <c r="AN290" s="37"/>
      <c r="AP290" s="37"/>
      <c r="AR290" s="37"/>
      <c r="AT290" s="37"/>
      <c r="AU290" s="26"/>
      <c r="AV290" s="29">
        <f t="shared" si="1"/>
        <v>1551.42</v>
      </c>
      <c r="AW290" s="21">
        <f t="shared" si="2"/>
        <v>153</v>
      </c>
      <c r="AX290" s="21">
        <f t="shared" si="3"/>
        <v>0</v>
      </c>
      <c r="AY290" s="21">
        <f t="shared" si="4"/>
        <v>153</v>
      </c>
      <c r="AZ290" s="58">
        <f t="shared" si="5"/>
        <v>10.14</v>
      </c>
    </row>
    <row r="291" ht="15.75" customHeight="1">
      <c r="A291" s="31" t="s">
        <v>33</v>
      </c>
      <c r="B291" s="32">
        <f t="shared" si="6"/>
        <v>45216</v>
      </c>
      <c r="C291" s="33">
        <v>11.0</v>
      </c>
      <c r="D291" s="33" t="s">
        <v>47</v>
      </c>
      <c r="E291" s="34"/>
      <c r="F291" s="36"/>
      <c r="H291" s="37"/>
      <c r="J291" s="37"/>
      <c r="L291" s="37"/>
      <c r="N291" s="37"/>
      <c r="P291" s="37"/>
      <c r="Q291" s="26"/>
      <c r="R291" s="38">
        <v>77.0</v>
      </c>
      <c r="T291" s="39">
        <v>87.0</v>
      </c>
      <c r="V291" s="37"/>
      <c r="X291" s="37"/>
      <c r="Z291" s="37"/>
      <c r="AB291" s="37"/>
      <c r="AC291" s="26"/>
      <c r="AD291" s="37"/>
      <c r="AF291" s="37"/>
      <c r="AH291" s="37"/>
      <c r="AJ291" s="59"/>
      <c r="AK291" s="26"/>
      <c r="AL291" s="37"/>
      <c r="AN291" s="37"/>
      <c r="AP291" s="37"/>
      <c r="AR291" s="37"/>
      <c r="AT291" s="37"/>
      <c r="AU291" s="26"/>
      <c r="AV291" s="35">
        <f t="shared" si="1"/>
        <v>1662.96</v>
      </c>
      <c r="AW291" s="33">
        <f t="shared" si="2"/>
        <v>164</v>
      </c>
      <c r="AX291" s="33">
        <f t="shared" si="3"/>
        <v>0</v>
      </c>
      <c r="AY291" s="33">
        <f t="shared" si="4"/>
        <v>164</v>
      </c>
      <c r="AZ291" s="30">
        <f t="shared" si="5"/>
        <v>10.14</v>
      </c>
    </row>
    <row r="292" ht="15.75" customHeight="1">
      <c r="A292" s="31" t="s">
        <v>34</v>
      </c>
      <c r="B292" s="32">
        <f t="shared" si="6"/>
        <v>45217</v>
      </c>
      <c r="C292" s="33">
        <v>11.0</v>
      </c>
      <c r="D292" s="33" t="s">
        <v>47</v>
      </c>
      <c r="E292" s="34"/>
      <c r="F292" s="36"/>
      <c r="H292" s="37"/>
      <c r="J292" s="37"/>
      <c r="L292" s="37"/>
      <c r="N292" s="37"/>
      <c r="P292" s="37"/>
      <c r="Q292" s="26"/>
      <c r="R292" s="38">
        <v>69.0</v>
      </c>
      <c r="T292" s="39">
        <v>97.0</v>
      </c>
      <c r="V292" s="37"/>
      <c r="X292" s="37"/>
      <c r="Z292" s="37"/>
      <c r="AB292" s="37"/>
      <c r="AC292" s="26"/>
      <c r="AD292" s="37"/>
      <c r="AF292" s="37"/>
      <c r="AH292" s="37"/>
      <c r="AJ292" s="59"/>
      <c r="AK292" s="26"/>
      <c r="AL292" s="37"/>
      <c r="AN292" s="37"/>
      <c r="AP292" s="37"/>
      <c r="AR292" s="37"/>
      <c r="AT292" s="37"/>
      <c r="AU292" s="26"/>
      <c r="AV292" s="35">
        <f t="shared" si="1"/>
        <v>1683.24</v>
      </c>
      <c r="AW292" s="33">
        <f t="shared" si="2"/>
        <v>166</v>
      </c>
      <c r="AX292" s="33">
        <f t="shared" si="3"/>
        <v>0</v>
      </c>
      <c r="AY292" s="33">
        <f t="shared" si="4"/>
        <v>166</v>
      </c>
      <c r="AZ292" s="30">
        <f t="shared" si="5"/>
        <v>10.14</v>
      </c>
    </row>
    <row r="293" ht="15.75" customHeight="1">
      <c r="A293" s="31" t="s">
        <v>35</v>
      </c>
      <c r="B293" s="32">
        <f t="shared" si="6"/>
        <v>45218</v>
      </c>
      <c r="C293" s="33">
        <v>11.0</v>
      </c>
      <c r="D293" s="33" t="s">
        <v>47</v>
      </c>
      <c r="E293" s="34"/>
      <c r="F293" s="36"/>
      <c r="H293" s="37"/>
      <c r="J293" s="37"/>
      <c r="L293" s="37"/>
      <c r="N293" s="37"/>
      <c r="P293" s="37"/>
      <c r="Q293" s="26"/>
      <c r="R293" s="38">
        <v>80.0</v>
      </c>
      <c r="T293" s="39">
        <v>84.0</v>
      </c>
      <c r="V293" s="37"/>
      <c r="X293" s="37"/>
      <c r="Z293" s="37"/>
      <c r="AB293" s="37"/>
      <c r="AC293" s="26"/>
      <c r="AD293" s="37"/>
      <c r="AF293" s="37"/>
      <c r="AH293" s="37"/>
      <c r="AJ293" s="59"/>
      <c r="AK293" s="26"/>
      <c r="AL293" s="37"/>
      <c r="AN293" s="37"/>
      <c r="AP293" s="37"/>
      <c r="AR293" s="37"/>
      <c r="AT293" s="37"/>
      <c r="AU293" s="26"/>
      <c r="AV293" s="35">
        <f t="shared" si="1"/>
        <v>1662.96</v>
      </c>
      <c r="AW293" s="33">
        <f t="shared" si="2"/>
        <v>164</v>
      </c>
      <c r="AX293" s="33">
        <f t="shared" si="3"/>
        <v>0</v>
      </c>
      <c r="AY293" s="33">
        <f t="shared" si="4"/>
        <v>164</v>
      </c>
      <c r="AZ293" s="30">
        <f t="shared" si="5"/>
        <v>10.14</v>
      </c>
    </row>
    <row r="294" ht="15.75" customHeight="1">
      <c r="A294" s="31" t="s">
        <v>38</v>
      </c>
      <c r="B294" s="32">
        <f t="shared" si="6"/>
        <v>45219</v>
      </c>
      <c r="C294" s="33">
        <v>11.0</v>
      </c>
      <c r="D294" s="33" t="s">
        <v>47</v>
      </c>
      <c r="E294" s="34"/>
      <c r="F294" s="36"/>
      <c r="H294" s="37"/>
      <c r="J294" s="37"/>
      <c r="L294" s="37"/>
      <c r="N294" s="37"/>
      <c r="P294" s="37"/>
      <c r="Q294" s="26"/>
      <c r="R294" s="38">
        <v>81.0</v>
      </c>
      <c r="T294" s="39">
        <v>86.0</v>
      </c>
      <c r="V294" s="37"/>
      <c r="X294" s="37"/>
      <c r="Z294" s="37"/>
      <c r="AB294" s="37"/>
      <c r="AC294" s="26"/>
      <c r="AD294" s="37"/>
      <c r="AF294" s="37"/>
      <c r="AH294" s="37"/>
      <c r="AJ294" s="59"/>
      <c r="AK294" s="26"/>
      <c r="AL294" s="37"/>
      <c r="AN294" s="37"/>
      <c r="AP294" s="37"/>
      <c r="AR294" s="37"/>
      <c r="AT294" s="37"/>
      <c r="AU294" s="26"/>
      <c r="AV294" s="35">
        <f t="shared" si="1"/>
        <v>1693.38</v>
      </c>
      <c r="AW294" s="33">
        <f t="shared" si="2"/>
        <v>167</v>
      </c>
      <c r="AX294" s="33">
        <f t="shared" si="3"/>
        <v>0</v>
      </c>
      <c r="AY294" s="33">
        <f t="shared" si="4"/>
        <v>167</v>
      </c>
      <c r="AZ294" s="30">
        <f t="shared" si="5"/>
        <v>10.14</v>
      </c>
    </row>
    <row r="295" ht="15.75" customHeight="1">
      <c r="A295" s="31" t="s">
        <v>45</v>
      </c>
      <c r="B295" s="32">
        <f t="shared" si="6"/>
        <v>45220</v>
      </c>
      <c r="C295" s="33">
        <v>11.0</v>
      </c>
      <c r="D295" s="33" t="s">
        <v>47</v>
      </c>
      <c r="E295" s="34"/>
      <c r="F295" s="36"/>
      <c r="H295" s="37"/>
      <c r="J295" s="37"/>
      <c r="L295" s="37"/>
      <c r="N295" s="37"/>
      <c r="P295" s="37"/>
      <c r="Q295" s="26"/>
      <c r="R295" s="38"/>
      <c r="T295" s="39"/>
      <c r="V295" s="37"/>
      <c r="X295" s="37"/>
      <c r="Z295" s="37"/>
      <c r="AB295" s="37"/>
      <c r="AC295" s="26"/>
      <c r="AD295" s="37"/>
      <c r="AF295" s="37"/>
      <c r="AH295" s="37"/>
      <c r="AJ295" s="59"/>
      <c r="AK295" s="26"/>
      <c r="AL295" s="37"/>
      <c r="AN295" s="37"/>
      <c r="AP295" s="37"/>
      <c r="AR295" s="37"/>
      <c r="AT295" s="37"/>
      <c r="AU295" s="26"/>
      <c r="AV295" s="35">
        <f t="shared" si="1"/>
        <v>0</v>
      </c>
      <c r="AW295" s="33">
        <f t="shared" si="2"/>
        <v>0</v>
      </c>
      <c r="AX295" s="33">
        <f t="shared" si="3"/>
        <v>0</v>
      </c>
      <c r="AY295" s="33">
        <f t="shared" si="4"/>
        <v>0</v>
      </c>
      <c r="AZ295" s="30" t="str">
        <f t="shared" si="5"/>
        <v/>
      </c>
    </row>
    <row r="296" ht="15.75" customHeight="1">
      <c r="A296" s="44" t="s">
        <v>46</v>
      </c>
      <c r="B296" s="45">
        <f t="shared" si="6"/>
        <v>45221</v>
      </c>
      <c r="C296" s="46">
        <v>11.0</v>
      </c>
      <c r="D296" s="46" t="s">
        <v>47</v>
      </c>
      <c r="E296" s="47"/>
      <c r="F296" s="60"/>
      <c r="G296" s="51"/>
      <c r="H296" s="61"/>
      <c r="I296" s="51"/>
      <c r="J296" s="61"/>
      <c r="K296" s="51"/>
      <c r="L296" s="61"/>
      <c r="M296" s="51"/>
      <c r="N296" s="61"/>
      <c r="O296" s="51"/>
      <c r="P296" s="61"/>
      <c r="Q296" s="53"/>
      <c r="R296" s="62"/>
      <c r="S296" s="51"/>
      <c r="T296" s="63"/>
      <c r="U296" s="51"/>
      <c r="V296" s="61"/>
      <c r="W296" s="51"/>
      <c r="X296" s="61"/>
      <c r="Y296" s="51"/>
      <c r="Z296" s="61"/>
      <c r="AA296" s="51"/>
      <c r="AB296" s="61"/>
      <c r="AC296" s="53"/>
      <c r="AD296" s="61"/>
      <c r="AE296" s="51"/>
      <c r="AF296" s="61"/>
      <c r="AG296" s="51"/>
      <c r="AH296" s="61"/>
      <c r="AI296" s="51"/>
      <c r="AJ296" s="68"/>
      <c r="AK296" s="53"/>
      <c r="AL296" s="61"/>
      <c r="AM296" s="51"/>
      <c r="AN296" s="61"/>
      <c r="AO296" s="51"/>
      <c r="AP296" s="61"/>
      <c r="AQ296" s="51"/>
      <c r="AR296" s="61"/>
      <c r="AS296" s="51"/>
      <c r="AT296" s="61"/>
      <c r="AU296" s="53"/>
      <c r="AV296" s="55">
        <f t="shared" si="1"/>
        <v>0</v>
      </c>
      <c r="AW296" s="46">
        <f t="shared" si="2"/>
        <v>0</v>
      </c>
      <c r="AX296" s="46">
        <f t="shared" si="3"/>
        <v>0</v>
      </c>
      <c r="AY296" s="46">
        <f t="shared" si="4"/>
        <v>0</v>
      </c>
      <c r="AZ296" s="56" t="str">
        <f t="shared" si="5"/>
        <v/>
      </c>
    </row>
    <row r="297" ht="15.75" customHeight="1">
      <c r="A297" s="19" t="s">
        <v>30</v>
      </c>
      <c r="B297" s="57">
        <f t="shared" si="6"/>
        <v>45222</v>
      </c>
      <c r="C297" s="21">
        <v>11.0</v>
      </c>
      <c r="D297" s="21" t="s">
        <v>48</v>
      </c>
      <c r="E297" s="23"/>
      <c r="F297" s="36"/>
      <c r="H297" s="37"/>
      <c r="J297" s="37"/>
      <c r="L297" s="37"/>
      <c r="N297" s="37"/>
      <c r="P297" s="37"/>
      <c r="Q297" s="26"/>
      <c r="R297" s="38">
        <v>106.0</v>
      </c>
      <c r="T297" s="39">
        <v>125.0</v>
      </c>
      <c r="V297" s="37"/>
      <c r="X297" s="37"/>
      <c r="Z297" s="37"/>
      <c r="AB297" s="37"/>
      <c r="AC297" s="26"/>
      <c r="AD297" s="37"/>
      <c r="AF297" s="37"/>
      <c r="AH297" s="37"/>
      <c r="AJ297" s="59"/>
      <c r="AK297" s="26"/>
      <c r="AL297" s="37"/>
      <c r="AN297" s="37"/>
      <c r="AP297" s="37"/>
      <c r="AR297" s="37"/>
      <c r="AT297" s="37"/>
      <c r="AU297" s="26"/>
      <c r="AV297" s="29">
        <f t="shared" si="1"/>
        <v>2342.34</v>
      </c>
      <c r="AW297" s="21">
        <f t="shared" si="2"/>
        <v>231</v>
      </c>
      <c r="AX297" s="21">
        <f t="shared" si="3"/>
        <v>0</v>
      </c>
      <c r="AY297" s="21">
        <f t="shared" si="4"/>
        <v>231</v>
      </c>
      <c r="AZ297" s="58">
        <f t="shared" si="5"/>
        <v>10.14</v>
      </c>
    </row>
    <row r="298" ht="15.75" customHeight="1">
      <c r="A298" s="31" t="s">
        <v>33</v>
      </c>
      <c r="B298" s="32">
        <f t="shared" si="6"/>
        <v>45223</v>
      </c>
      <c r="C298" s="33">
        <v>11.0</v>
      </c>
      <c r="D298" s="33" t="s">
        <v>48</v>
      </c>
      <c r="E298" s="34"/>
      <c r="F298" s="36"/>
      <c r="H298" s="37"/>
      <c r="J298" s="37"/>
      <c r="L298" s="37"/>
      <c r="N298" s="37"/>
      <c r="P298" s="37"/>
      <c r="Q298" s="26"/>
      <c r="R298" s="38">
        <v>108.0</v>
      </c>
      <c r="T298" s="39">
        <v>126.0</v>
      </c>
      <c r="V298" s="37"/>
      <c r="X298" s="37"/>
      <c r="Z298" s="37"/>
      <c r="AB298" s="37"/>
      <c r="AC298" s="26"/>
      <c r="AD298" s="37"/>
      <c r="AF298" s="37"/>
      <c r="AH298" s="37"/>
      <c r="AJ298" s="59"/>
      <c r="AK298" s="26"/>
      <c r="AL298" s="37"/>
      <c r="AN298" s="37"/>
      <c r="AP298" s="37"/>
      <c r="AR298" s="37"/>
      <c r="AT298" s="37"/>
      <c r="AU298" s="26"/>
      <c r="AV298" s="35">
        <f t="shared" si="1"/>
        <v>2372.76</v>
      </c>
      <c r="AW298" s="33">
        <f t="shared" si="2"/>
        <v>234</v>
      </c>
      <c r="AX298" s="33">
        <f t="shared" si="3"/>
        <v>0</v>
      </c>
      <c r="AY298" s="33">
        <f t="shared" si="4"/>
        <v>234</v>
      </c>
      <c r="AZ298" s="30">
        <f t="shared" si="5"/>
        <v>10.14</v>
      </c>
    </row>
    <row r="299" ht="15.75" customHeight="1">
      <c r="A299" s="31" t="s">
        <v>34</v>
      </c>
      <c r="B299" s="32">
        <f t="shared" si="6"/>
        <v>45224</v>
      </c>
      <c r="C299" s="33">
        <v>11.0</v>
      </c>
      <c r="D299" s="33" t="s">
        <v>48</v>
      </c>
      <c r="E299" s="34"/>
      <c r="F299" s="36"/>
      <c r="H299" s="37"/>
      <c r="J299" s="37"/>
      <c r="L299" s="37"/>
      <c r="N299" s="37"/>
      <c r="P299" s="37"/>
      <c r="Q299" s="26"/>
      <c r="R299" s="38">
        <v>104.0</v>
      </c>
      <c r="T299" s="39">
        <v>131.0</v>
      </c>
      <c r="V299" s="37"/>
      <c r="X299" s="37"/>
      <c r="Z299" s="37"/>
      <c r="AB299" s="37"/>
      <c r="AC299" s="26"/>
      <c r="AD299" s="37"/>
      <c r="AF299" s="37"/>
      <c r="AH299" s="37"/>
      <c r="AJ299" s="59"/>
      <c r="AK299" s="26"/>
      <c r="AL299" s="37"/>
      <c r="AN299" s="37"/>
      <c r="AP299" s="37"/>
      <c r="AR299" s="37"/>
      <c r="AT299" s="37"/>
      <c r="AU299" s="26"/>
      <c r="AV299" s="35">
        <f t="shared" si="1"/>
        <v>2382.9</v>
      </c>
      <c r="AW299" s="33">
        <f t="shared" si="2"/>
        <v>235</v>
      </c>
      <c r="AX299" s="33">
        <f t="shared" si="3"/>
        <v>0</v>
      </c>
      <c r="AY299" s="33">
        <f t="shared" si="4"/>
        <v>235</v>
      </c>
      <c r="AZ299" s="30">
        <f t="shared" si="5"/>
        <v>10.14</v>
      </c>
    </row>
    <row r="300" ht="15.75" customHeight="1">
      <c r="A300" s="31" t="s">
        <v>35</v>
      </c>
      <c r="B300" s="32">
        <f t="shared" si="6"/>
        <v>45225</v>
      </c>
      <c r="C300" s="33">
        <v>11.0</v>
      </c>
      <c r="D300" s="33" t="s">
        <v>48</v>
      </c>
      <c r="E300" s="34"/>
      <c r="F300" s="36"/>
      <c r="H300" s="37"/>
      <c r="J300" s="37"/>
      <c r="L300" s="37"/>
      <c r="N300" s="37"/>
      <c r="P300" s="37"/>
      <c r="Q300" s="26"/>
      <c r="R300" s="38">
        <v>105.0</v>
      </c>
      <c r="T300" s="39">
        <v>148.0</v>
      </c>
      <c r="V300" s="37"/>
      <c r="X300" s="37"/>
      <c r="Z300" s="37"/>
      <c r="AB300" s="37"/>
      <c r="AC300" s="26"/>
      <c r="AD300" s="37"/>
      <c r="AF300" s="37"/>
      <c r="AH300" s="37"/>
      <c r="AJ300" s="59"/>
      <c r="AK300" s="26"/>
      <c r="AL300" s="37"/>
      <c r="AN300" s="37"/>
      <c r="AP300" s="37"/>
      <c r="AR300" s="37"/>
      <c r="AT300" s="37"/>
      <c r="AU300" s="26"/>
      <c r="AV300" s="35">
        <f t="shared" si="1"/>
        <v>2565.42</v>
      </c>
      <c r="AW300" s="33">
        <f t="shared" si="2"/>
        <v>253</v>
      </c>
      <c r="AX300" s="33">
        <f t="shared" si="3"/>
        <v>0</v>
      </c>
      <c r="AY300" s="33">
        <f t="shared" si="4"/>
        <v>253</v>
      </c>
      <c r="AZ300" s="30">
        <f t="shared" si="5"/>
        <v>10.14</v>
      </c>
    </row>
    <row r="301" ht="15.75" customHeight="1">
      <c r="A301" s="31" t="s">
        <v>38</v>
      </c>
      <c r="B301" s="32">
        <f t="shared" si="6"/>
        <v>45226</v>
      </c>
      <c r="C301" s="33">
        <v>11.0</v>
      </c>
      <c r="D301" s="33" t="s">
        <v>48</v>
      </c>
      <c r="E301" s="34"/>
      <c r="F301" s="36"/>
      <c r="H301" s="37"/>
      <c r="J301" s="37"/>
      <c r="L301" s="37"/>
      <c r="N301" s="37"/>
      <c r="P301" s="37"/>
      <c r="Q301" s="26"/>
      <c r="R301" s="38">
        <v>108.0</v>
      </c>
      <c r="T301" s="39">
        <v>134.0</v>
      </c>
      <c r="V301" s="37"/>
      <c r="X301" s="37"/>
      <c r="Z301" s="37"/>
      <c r="AB301" s="37"/>
      <c r="AC301" s="26"/>
      <c r="AD301" s="37"/>
      <c r="AF301" s="37"/>
      <c r="AH301" s="37"/>
      <c r="AJ301" s="59"/>
      <c r="AK301" s="26"/>
      <c r="AL301" s="37"/>
      <c r="AN301" s="37"/>
      <c r="AP301" s="37"/>
      <c r="AR301" s="37"/>
      <c r="AT301" s="37"/>
      <c r="AU301" s="26"/>
      <c r="AV301" s="35">
        <f t="shared" si="1"/>
        <v>2453.88</v>
      </c>
      <c r="AW301" s="33">
        <f t="shared" si="2"/>
        <v>242</v>
      </c>
      <c r="AX301" s="33">
        <f t="shared" si="3"/>
        <v>0</v>
      </c>
      <c r="AY301" s="33">
        <f t="shared" si="4"/>
        <v>242</v>
      </c>
      <c r="AZ301" s="30">
        <f t="shared" si="5"/>
        <v>10.14</v>
      </c>
    </row>
    <row r="302" ht="15.75" customHeight="1">
      <c r="A302" s="31" t="s">
        <v>45</v>
      </c>
      <c r="B302" s="32">
        <f t="shared" si="6"/>
        <v>45227</v>
      </c>
      <c r="C302" s="33">
        <v>11.0</v>
      </c>
      <c r="D302" s="33" t="s">
        <v>48</v>
      </c>
      <c r="E302" s="34"/>
      <c r="F302" s="36"/>
      <c r="H302" s="37"/>
      <c r="J302" s="37"/>
      <c r="L302" s="37"/>
      <c r="N302" s="37"/>
      <c r="P302" s="37"/>
      <c r="Q302" s="26"/>
      <c r="R302" s="38"/>
      <c r="T302" s="39"/>
      <c r="V302" s="37"/>
      <c r="X302" s="37"/>
      <c r="Z302" s="37"/>
      <c r="AB302" s="37"/>
      <c r="AC302" s="26"/>
      <c r="AD302" s="37"/>
      <c r="AF302" s="37"/>
      <c r="AH302" s="37"/>
      <c r="AJ302" s="59"/>
      <c r="AK302" s="26"/>
      <c r="AL302" s="37"/>
      <c r="AN302" s="37"/>
      <c r="AP302" s="37"/>
      <c r="AR302" s="37"/>
      <c r="AT302" s="37"/>
      <c r="AU302" s="26"/>
      <c r="AV302" s="35">
        <f t="shared" si="1"/>
        <v>0</v>
      </c>
      <c r="AW302" s="33">
        <f t="shared" si="2"/>
        <v>0</v>
      </c>
      <c r="AX302" s="33">
        <f t="shared" si="3"/>
        <v>0</v>
      </c>
      <c r="AY302" s="33">
        <f t="shared" si="4"/>
        <v>0</v>
      </c>
      <c r="AZ302" s="30" t="str">
        <f t="shared" si="5"/>
        <v/>
      </c>
    </row>
    <row r="303" ht="15.75" customHeight="1">
      <c r="A303" s="44" t="s">
        <v>46</v>
      </c>
      <c r="B303" s="45">
        <f t="shared" si="6"/>
        <v>45228</v>
      </c>
      <c r="C303" s="46">
        <v>11.0</v>
      </c>
      <c r="D303" s="46" t="s">
        <v>48</v>
      </c>
      <c r="E303" s="47"/>
      <c r="F303" s="60"/>
      <c r="G303" s="51"/>
      <c r="H303" s="61"/>
      <c r="I303" s="51"/>
      <c r="J303" s="61"/>
      <c r="K303" s="51"/>
      <c r="L303" s="61"/>
      <c r="M303" s="51"/>
      <c r="N303" s="61"/>
      <c r="O303" s="51"/>
      <c r="P303" s="61"/>
      <c r="Q303" s="53"/>
      <c r="R303" s="62"/>
      <c r="S303" s="51"/>
      <c r="T303" s="63"/>
      <c r="U303" s="51"/>
      <c r="V303" s="61"/>
      <c r="W303" s="51"/>
      <c r="X303" s="61"/>
      <c r="Y303" s="51"/>
      <c r="Z303" s="61"/>
      <c r="AA303" s="51"/>
      <c r="AB303" s="61"/>
      <c r="AC303" s="53"/>
      <c r="AD303" s="61"/>
      <c r="AE303" s="51"/>
      <c r="AF303" s="61"/>
      <c r="AG303" s="51"/>
      <c r="AH303" s="61"/>
      <c r="AI303" s="51"/>
      <c r="AJ303" s="68"/>
      <c r="AK303" s="53"/>
      <c r="AL303" s="61"/>
      <c r="AM303" s="51"/>
      <c r="AN303" s="61"/>
      <c r="AO303" s="51"/>
      <c r="AP303" s="61"/>
      <c r="AQ303" s="51"/>
      <c r="AR303" s="61"/>
      <c r="AS303" s="51"/>
      <c r="AT303" s="61"/>
      <c r="AU303" s="53"/>
      <c r="AV303" s="55">
        <f t="shared" si="1"/>
        <v>0</v>
      </c>
      <c r="AW303" s="46">
        <f t="shared" si="2"/>
        <v>0</v>
      </c>
      <c r="AX303" s="46">
        <f t="shared" si="3"/>
        <v>0</v>
      </c>
      <c r="AY303" s="46">
        <f t="shared" si="4"/>
        <v>0</v>
      </c>
      <c r="AZ303" s="56" t="str">
        <f t="shared" si="5"/>
        <v/>
      </c>
    </row>
    <row r="304" ht="15.75" customHeight="1">
      <c r="A304" s="19" t="s">
        <v>30</v>
      </c>
      <c r="B304" s="57">
        <f t="shared" si="6"/>
        <v>45229</v>
      </c>
      <c r="C304" s="21">
        <v>11.0</v>
      </c>
      <c r="D304" s="21" t="s">
        <v>49</v>
      </c>
      <c r="E304" s="23"/>
      <c r="F304" s="36"/>
      <c r="H304" s="37"/>
      <c r="J304" s="37"/>
      <c r="L304" s="37"/>
      <c r="N304" s="37"/>
      <c r="P304" s="37"/>
      <c r="Q304" s="26"/>
      <c r="R304" s="38">
        <v>106.0</v>
      </c>
      <c r="T304" s="39">
        <v>125.0</v>
      </c>
      <c r="V304" s="37"/>
      <c r="X304" s="37"/>
      <c r="Z304" s="37"/>
      <c r="AB304" s="37"/>
      <c r="AC304" s="26"/>
      <c r="AD304" s="37"/>
      <c r="AF304" s="37"/>
      <c r="AH304" s="37"/>
      <c r="AJ304" s="59"/>
      <c r="AK304" s="26"/>
      <c r="AL304" s="37"/>
      <c r="AN304" s="37"/>
      <c r="AP304" s="37"/>
      <c r="AR304" s="37"/>
      <c r="AT304" s="37"/>
      <c r="AU304" s="26"/>
      <c r="AV304" s="29">
        <f t="shared" si="1"/>
        <v>2342.34</v>
      </c>
      <c r="AW304" s="21">
        <f t="shared" si="2"/>
        <v>231</v>
      </c>
      <c r="AX304" s="21">
        <f t="shared" si="3"/>
        <v>0</v>
      </c>
      <c r="AY304" s="21">
        <f t="shared" si="4"/>
        <v>231</v>
      </c>
      <c r="AZ304" s="58">
        <f t="shared" si="5"/>
        <v>10.14</v>
      </c>
    </row>
    <row r="305" ht="15.75" customHeight="1">
      <c r="A305" s="31" t="s">
        <v>33</v>
      </c>
      <c r="B305" s="32">
        <f t="shared" si="6"/>
        <v>45230</v>
      </c>
      <c r="C305" s="33">
        <v>11.0</v>
      </c>
      <c r="D305" s="33" t="s">
        <v>49</v>
      </c>
      <c r="E305" s="34"/>
      <c r="F305" s="36"/>
      <c r="H305" s="37"/>
      <c r="J305" s="37"/>
      <c r="L305" s="37"/>
      <c r="N305" s="37"/>
      <c r="P305" s="37"/>
      <c r="Q305" s="26"/>
      <c r="R305" s="38">
        <v>106.0</v>
      </c>
      <c r="T305" s="39">
        <v>126.0</v>
      </c>
      <c r="V305" s="37"/>
      <c r="X305" s="37"/>
      <c r="Z305" s="37"/>
      <c r="AB305" s="37"/>
      <c r="AC305" s="26"/>
      <c r="AD305" s="37"/>
      <c r="AF305" s="37"/>
      <c r="AH305" s="37"/>
      <c r="AJ305" s="59"/>
      <c r="AK305" s="26"/>
      <c r="AL305" s="37"/>
      <c r="AN305" s="37"/>
      <c r="AP305" s="37"/>
      <c r="AR305" s="37"/>
      <c r="AT305" s="37"/>
      <c r="AU305" s="26"/>
      <c r="AV305" s="35">
        <f t="shared" si="1"/>
        <v>2352.48</v>
      </c>
      <c r="AW305" s="33">
        <f t="shared" si="2"/>
        <v>232</v>
      </c>
      <c r="AX305" s="33">
        <f t="shared" si="3"/>
        <v>0</v>
      </c>
      <c r="AY305" s="33">
        <f t="shared" si="4"/>
        <v>232</v>
      </c>
      <c r="AZ305" s="30">
        <f t="shared" si="5"/>
        <v>10.14</v>
      </c>
    </row>
    <row r="306" ht="15.75" customHeight="1">
      <c r="A306" s="31" t="s">
        <v>34</v>
      </c>
      <c r="B306" s="32">
        <f t="shared" si="6"/>
        <v>45231</v>
      </c>
      <c r="C306" s="33">
        <v>11.0</v>
      </c>
      <c r="D306" s="33" t="s">
        <v>49</v>
      </c>
      <c r="E306" s="34"/>
      <c r="F306" s="36"/>
      <c r="H306" s="37"/>
      <c r="J306" s="37"/>
      <c r="L306" s="37"/>
      <c r="N306" s="37"/>
      <c r="P306" s="37"/>
      <c r="Q306" s="26"/>
      <c r="R306" s="38">
        <v>118.0</v>
      </c>
      <c r="T306" s="39">
        <v>121.0</v>
      </c>
      <c r="V306" s="37"/>
      <c r="X306" s="37"/>
      <c r="Z306" s="37"/>
      <c r="AB306" s="37"/>
      <c r="AC306" s="26"/>
      <c r="AD306" s="37"/>
      <c r="AF306" s="37"/>
      <c r="AH306" s="37"/>
      <c r="AJ306" s="59"/>
      <c r="AK306" s="26"/>
      <c r="AL306" s="37"/>
      <c r="AN306" s="37"/>
      <c r="AP306" s="37"/>
      <c r="AR306" s="37"/>
      <c r="AT306" s="37"/>
      <c r="AU306" s="26"/>
      <c r="AV306" s="35">
        <f t="shared" si="1"/>
        <v>2423.46</v>
      </c>
      <c r="AW306" s="33">
        <f t="shared" si="2"/>
        <v>239</v>
      </c>
      <c r="AX306" s="33">
        <f t="shared" si="3"/>
        <v>0</v>
      </c>
      <c r="AY306" s="33">
        <f t="shared" si="4"/>
        <v>239</v>
      </c>
      <c r="AZ306" s="30">
        <f t="shared" si="5"/>
        <v>10.14</v>
      </c>
    </row>
    <row r="307" ht="15.75" customHeight="1">
      <c r="A307" s="31" t="s">
        <v>35</v>
      </c>
      <c r="B307" s="32">
        <f t="shared" si="6"/>
        <v>45232</v>
      </c>
      <c r="C307" s="33">
        <v>11.0</v>
      </c>
      <c r="D307" s="33" t="s">
        <v>49</v>
      </c>
      <c r="E307" s="34"/>
      <c r="F307" s="36"/>
      <c r="H307" s="37"/>
      <c r="J307" s="37"/>
      <c r="L307" s="37"/>
      <c r="N307" s="37"/>
      <c r="P307" s="37"/>
      <c r="Q307" s="26"/>
      <c r="R307" s="38">
        <v>119.0</v>
      </c>
      <c r="T307" s="39">
        <v>148.0</v>
      </c>
      <c r="V307" s="37"/>
      <c r="X307" s="37"/>
      <c r="Z307" s="37"/>
      <c r="AB307" s="37"/>
      <c r="AC307" s="26"/>
      <c r="AD307" s="37"/>
      <c r="AF307" s="37"/>
      <c r="AH307" s="37"/>
      <c r="AJ307" s="59"/>
      <c r="AK307" s="26"/>
      <c r="AL307" s="37"/>
      <c r="AN307" s="37"/>
      <c r="AP307" s="37"/>
      <c r="AR307" s="37"/>
      <c r="AT307" s="37"/>
      <c r="AU307" s="26"/>
      <c r="AV307" s="35">
        <f t="shared" si="1"/>
        <v>2707.38</v>
      </c>
      <c r="AW307" s="33">
        <f t="shared" si="2"/>
        <v>267</v>
      </c>
      <c r="AX307" s="33">
        <f t="shared" si="3"/>
        <v>0</v>
      </c>
      <c r="AY307" s="33">
        <f t="shared" si="4"/>
        <v>267</v>
      </c>
      <c r="AZ307" s="30">
        <f t="shared" si="5"/>
        <v>10.14</v>
      </c>
    </row>
    <row r="308" ht="15.75" customHeight="1">
      <c r="A308" s="31" t="s">
        <v>38</v>
      </c>
      <c r="B308" s="32">
        <f t="shared" si="6"/>
        <v>45233</v>
      </c>
      <c r="C308" s="33">
        <v>11.0</v>
      </c>
      <c r="D308" s="33" t="s">
        <v>49</v>
      </c>
      <c r="E308" s="34"/>
      <c r="F308" s="36"/>
      <c r="H308" s="37"/>
      <c r="J308" s="37"/>
      <c r="L308" s="37"/>
      <c r="N308" s="37"/>
      <c r="P308" s="37"/>
      <c r="Q308" s="26"/>
      <c r="R308" s="38">
        <v>116.0</v>
      </c>
      <c r="T308" s="39">
        <v>134.0</v>
      </c>
      <c r="V308" s="37"/>
      <c r="X308" s="37"/>
      <c r="Z308" s="37"/>
      <c r="AB308" s="37"/>
      <c r="AC308" s="26"/>
      <c r="AD308" s="37"/>
      <c r="AF308" s="37"/>
      <c r="AH308" s="37"/>
      <c r="AJ308" s="59"/>
      <c r="AK308" s="26"/>
      <c r="AL308" s="37"/>
      <c r="AN308" s="37"/>
      <c r="AP308" s="37"/>
      <c r="AR308" s="37"/>
      <c r="AT308" s="37"/>
      <c r="AU308" s="26"/>
      <c r="AV308" s="35">
        <f t="shared" si="1"/>
        <v>2535</v>
      </c>
      <c r="AW308" s="33">
        <f t="shared" si="2"/>
        <v>250</v>
      </c>
      <c r="AX308" s="33">
        <f t="shared" si="3"/>
        <v>0</v>
      </c>
      <c r="AY308" s="33">
        <f t="shared" si="4"/>
        <v>250</v>
      </c>
      <c r="AZ308" s="30">
        <f t="shared" si="5"/>
        <v>10.14</v>
      </c>
    </row>
    <row r="309" ht="15.75" customHeight="1">
      <c r="A309" s="31" t="s">
        <v>45</v>
      </c>
      <c r="B309" s="32">
        <f t="shared" si="6"/>
        <v>45234</v>
      </c>
      <c r="C309" s="33">
        <v>11.0</v>
      </c>
      <c r="D309" s="33" t="s">
        <v>49</v>
      </c>
      <c r="E309" s="34"/>
      <c r="F309" s="36"/>
      <c r="H309" s="37"/>
      <c r="J309" s="37"/>
      <c r="L309" s="37"/>
      <c r="N309" s="37"/>
      <c r="P309" s="37"/>
      <c r="Q309" s="26"/>
      <c r="R309" s="38"/>
      <c r="T309" s="39"/>
      <c r="V309" s="37"/>
      <c r="X309" s="37"/>
      <c r="Z309" s="37"/>
      <c r="AB309" s="37"/>
      <c r="AC309" s="26"/>
      <c r="AD309" s="37"/>
      <c r="AF309" s="37"/>
      <c r="AH309" s="37"/>
      <c r="AJ309" s="59"/>
      <c r="AK309" s="26"/>
      <c r="AL309" s="37"/>
      <c r="AN309" s="37"/>
      <c r="AP309" s="37"/>
      <c r="AR309" s="37"/>
      <c r="AT309" s="37"/>
      <c r="AU309" s="26"/>
      <c r="AV309" s="35">
        <f t="shared" si="1"/>
        <v>0</v>
      </c>
      <c r="AW309" s="33">
        <f t="shared" si="2"/>
        <v>0</v>
      </c>
      <c r="AX309" s="33">
        <f t="shared" si="3"/>
        <v>0</v>
      </c>
      <c r="AY309" s="33">
        <f t="shared" si="4"/>
        <v>0</v>
      </c>
      <c r="AZ309" s="30" t="str">
        <f t="shared" si="5"/>
        <v/>
      </c>
    </row>
    <row r="310" ht="15.75" customHeight="1">
      <c r="A310" s="44" t="s">
        <v>46</v>
      </c>
      <c r="B310" s="45">
        <f t="shared" si="6"/>
        <v>45235</v>
      </c>
      <c r="C310" s="46">
        <v>11.0</v>
      </c>
      <c r="D310" s="46" t="s">
        <v>49</v>
      </c>
      <c r="E310" s="47"/>
      <c r="F310" s="60"/>
      <c r="G310" s="51"/>
      <c r="H310" s="61"/>
      <c r="I310" s="51"/>
      <c r="J310" s="61"/>
      <c r="K310" s="51"/>
      <c r="L310" s="61"/>
      <c r="M310" s="51"/>
      <c r="N310" s="61"/>
      <c r="O310" s="51"/>
      <c r="P310" s="61"/>
      <c r="Q310" s="53"/>
      <c r="R310" s="62"/>
      <c r="S310" s="51"/>
      <c r="T310" s="63"/>
      <c r="U310" s="51"/>
      <c r="V310" s="61"/>
      <c r="W310" s="51"/>
      <c r="X310" s="61"/>
      <c r="Y310" s="51"/>
      <c r="Z310" s="61"/>
      <c r="AA310" s="51"/>
      <c r="AB310" s="61"/>
      <c r="AC310" s="53"/>
      <c r="AD310" s="61"/>
      <c r="AE310" s="51"/>
      <c r="AF310" s="61"/>
      <c r="AG310" s="51"/>
      <c r="AH310" s="61"/>
      <c r="AI310" s="51"/>
      <c r="AJ310" s="68"/>
      <c r="AK310" s="53"/>
      <c r="AL310" s="61"/>
      <c r="AM310" s="51"/>
      <c r="AN310" s="61"/>
      <c r="AO310" s="51"/>
      <c r="AP310" s="61"/>
      <c r="AQ310" s="51"/>
      <c r="AR310" s="61"/>
      <c r="AS310" s="51"/>
      <c r="AT310" s="61"/>
      <c r="AU310" s="53"/>
      <c r="AV310" s="55">
        <f t="shared" si="1"/>
        <v>0</v>
      </c>
      <c r="AW310" s="46">
        <f t="shared" si="2"/>
        <v>0</v>
      </c>
      <c r="AX310" s="46">
        <f t="shared" si="3"/>
        <v>0</v>
      </c>
      <c r="AY310" s="46">
        <f t="shared" si="4"/>
        <v>0</v>
      </c>
      <c r="AZ310" s="56" t="str">
        <f t="shared" si="5"/>
        <v/>
      </c>
    </row>
    <row r="311" ht="15.75" customHeight="1">
      <c r="A311" s="19" t="s">
        <v>30</v>
      </c>
      <c r="B311" s="57">
        <f t="shared" si="6"/>
        <v>45236</v>
      </c>
      <c r="C311" s="21">
        <v>12.0</v>
      </c>
      <c r="D311" s="21" t="s">
        <v>31</v>
      </c>
      <c r="E311" s="23"/>
      <c r="F311" s="36"/>
      <c r="H311" s="37"/>
      <c r="J311" s="37"/>
      <c r="L311" s="37"/>
      <c r="N311" s="37"/>
      <c r="P311" s="37"/>
      <c r="Q311" s="26"/>
      <c r="R311" s="38">
        <v>104.0</v>
      </c>
      <c r="T311" s="39">
        <v>129.0</v>
      </c>
      <c r="V311" s="37"/>
      <c r="X311" s="37"/>
      <c r="Z311" s="37"/>
      <c r="AB311" s="37"/>
      <c r="AC311" s="26"/>
      <c r="AD311" s="37"/>
      <c r="AF311" s="37"/>
      <c r="AH311" s="37"/>
      <c r="AJ311" s="59"/>
      <c r="AK311" s="26"/>
      <c r="AL311" s="37"/>
      <c r="AN311" s="37"/>
      <c r="AP311" s="37"/>
      <c r="AR311" s="37"/>
      <c r="AT311" s="37"/>
      <c r="AU311" s="26"/>
      <c r="AV311" s="29">
        <f t="shared" si="1"/>
        <v>2362.62</v>
      </c>
      <c r="AW311" s="21">
        <f t="shared" si="2"/>
        <v>233</v>
      </c>
      <c r="AX311" s="21">
        <f t="shared" si="3"/>
        <v>0</v>
      </c>
      <c r="AY311" s="21">
        <f t="shared" si="4"/>
        <v>233</v>
      </c>
      <c r="AZ311" s="58">
        <f t="shared" si="5"/>
        <v>10.14</v>
      </c>
    </row>
    <row r="312" ht="15.75" customHeight="1">
      <c r="A312" s="31" t="s">
        <v>33</v>
      </c>
      <c r="B312" s="32">
        <f t="shared" si="6"/>
        <v>45237</v>
      </c>
      <c r="C312" s="33">
        <v>12.0</v>
      </c>
      <c r="D312" s="33" t="s">
        <v>31</v>
      </c>
      <c r="E312" s="34"/>
      <c r="F312" s="36"/>
      <c r="H312" s="37"/>
      <c r="J312" s="37"/>
      <c r="L312" s="37"/>
      <c r="N312" s="37"/>
      <c r="P312" s="37"/>
      <c r="Q312" s="26"/>
      <c r="R312" s="38">
        <v>111.0</v>
      </c>
      <c r="T312" s="39">
        <v>111.0</v>
      </c>
      <c r="V312" s="37"/>
      <c r="X312" s="37"/>
      <c r="Z312" s="37"/>
      <c r="AB312" s="37"/>
      <c r="AC312" s="26"/>
      <c r="AD312" s="37"/>
      <c r="AF312" s="37"/>
      <c r="AH312" s="37"/>
      <c r="AJ312" s="59"/>
      <c r="AK312" s="26"/>
      <c r="AL312" s="37"/>
      <c r="AN312" s="37"/>
      <c r="AP312" s="37"/>
      <c r="AR312" s="37"/>
      <c r="AT312" s="37"/>
      <c r="AU312" s="26"/>
      <c r="AV312" s="35">
        <f t="shared" si="1"/>
        <v>2251.08</v>
      </c>
      <c r="AW312" s="33">
        <f t="shared" si="2"/>
        <v>222</v>
      </c>
      <c r="AX312" s="33">
        <f t="shared" si="3"/>
        <v>0</v>
      </c>
      <c r="AY312" s="33">
        <f t="shared" si="4"/>
        <v>222</v>
      </c>
      <c r="AZ312" s="30">
        <f t="shared" si="5"/>
        <v>10.14</v>
      </c>
    </row>
    <row r="313" ht="15.75" customHeight="1">
      <c r="A313" s="31" t="s">
        <v>34</v>
      </c>
      <c r="B313" s="32">
        <f t="shared" si="6"/>
        <v>45238</v>
      </c>
      <c r="C313" s="33">
        <v>12.0</v>
      </c>
      <c r="D313" s="33" t="s">
        <v>31</v>
      </c>
      <c r="E313" s="34"/>
      <c r="F313" s="36"/>
      <c r="H313" s="37"/>
      <c r="J313" s="37"/>
      <c r="L313" s="37"/>
      <c r="N313" s="37"/>
      <c r="P313" s="37"/>
      <c r="Q313" s="26"/>
      <c r="R313" s="38">
        <v>108.0</v>
      </c>
      <c r="T313" s="39">
        <v>121.0</v>
      </c>
      <c r="V313" s="37"/>
      <c r="X313" s="37"/>
      <c r="Z313" s="37"/>
      <c r="AB313" s="37"/>
      <c r="AC313" s="26"/>
      <c r="AD313" s="37"/>
      <c r="AF313" s="37"/>
      <c r="AH313" s="37"/>
      <c r="AJ313" s="59"/>
      <c r="AK313" s="26"/>
      <c r="AL313" s="37"/>
      <c r="AN313" s="37"/>
      <c r="AP313" s="37"/>
      <c r="AR313" s="37"/>
      <c r="AT313" s="37"/>
      <c r="AU313" s="26"/>
      <c r="AV313" s="35">
        <f t="shared" si="1"/>
        <v>2322.06</v>
      </c>
      <c r="AW313" s="33">
        <f t="shared" si="2"/>
        <v>229</v>
      </c>
      <c r="AX313" s="33">
        <f t="shared" si="3"/>
        <v>0</v>
      </c>
      <c r="AY313" s="33">
        <f t="shared" si="4"/>
        <v>229</v>
      </c>
      <c r="AZ313" s="30">
        <f t="shared" si="5"/>
        <v>10.14</v>
      </c>
    </row>
    <row r="314" ht="15.75" customHeight="1">
      <c r="A314" s="31" t="s">
        <v>35</v>
      </c>
      <c r="B314" s="32">
        <f t="shared" si="6"/>
        <v>45239</v>
      </c>
      <c r="C314" s="33">
        <v>12.0</v>
      </c>
      <c r="D314" s="33" t="s">
        <v>31</v>
      </c>
      <c r="E314" s="34"/>
      <c r="F314" s="36"/>
      <c r="H314" s="37"/>
      <c r="J314" s="37"/>
      <c r="L314" s="37"/>
      <c r="N314" s="37"/>
      <c r="P314" s="37"/>
      <c r="Q314" s="26"/>
      <c r="R314" s="38">
        <v>105.0</v>
      </c>
      <c r="T314" s="39">
        <v>105.0</v>
      </c>
      <c r="V314" s="37"/>
      <c r="X314" s="37"/>
      <c r="Z314" s="37"/>
      <c r="AB314" s="37"/>
      <c r="AC314" s="26"/>
      <c r="AD314" s="37"/>
      <c r="AF314" s="37"/>
      <c r="AH314" s="37"/>
      <c r="AJ314" s="59"/>
      <c r="AK314" s="26"/>
      <c r="AL314" s="37"/>
      <c r="AN314" s="37"/>
      <c r="AP314" s="37"/>
      <c r="AR314" s="37"/>
      <c r="AT314" s="37"/>
      <c r="AU314" s="26"/>
      <c r="AV314" s="35">
        <f t="shared" si="1"/>
        <v>2129.4</v>
      </c>
      <c r="AW314" s="33">
        <f t="shared" si="2"/>
        <v>210</v>
      </c>
      <c r="AX314" s="33">
        <f t="shared" si="3"/>
        <v>0</v>
      </c>
      <c r="AY314" s="33">
        <f t="shared" si="4"/>
        <v>210</v>
      </c>
      <c r="AZ314" s="30">
        <f t="shared" si="5"/>
        <v>10.14</v>
      </c>
    </row>
    <row r="315" ht="15.75" customHeight="1">
      <c r="A315" s="31" t="s">
        <v>38</v>
      </c>
      <c r="B315" s="32">
        <f t="shared" si="6"/>
        <v>45240</v>
      </c>
      <c r="C315" s="33">
        <v>12.0</v>
      </c>
      <c r="D315" s="33" t="s">
        <v>31</v>
      </c>
      <c r="E315" s="34"/>
      <c r="F315" s="36"/>
      <c r="H315" s="37"/>
      <c r="J315" s="37"/>
      <c r="L315" s="37"/>
      <c r="N315" s="37"/>
      <c r="P315" s="37"/>
      <c r="Q315" s="26"/>
      <c r="R315" s="38">
        <v>91.0</v>
      </c>
      <c r="T315" s="39">
        <v>104.0</v>
      </c>
      <c r="V315" s="37"/>
      <c r="X315" s="37"/>
      <c r="Z315" s="37"/>
      <c r="AB315" s="37"/>
      <c r="AC315" s="26"/>
      <c r="AD315" s="37"/>
      <c r="AF315" s="37"/>
      <c r="AH315" s="37"/>
      <c r="AJ315" s="59"/>
      <c r="AK315" s="26"/>
      <c r="AL315" s="37"/>
      <c r="AN315" s="37"/>
      <c r="AP315" s="37"/>
      <c r="AR315" s="37"/>
      <c r="AT315" s="37"/>
      <c r="AU315" s="26"/>
      <c r="AV315" s="35">
        <f t="shared" si="1"/>
        <v>1977.3</v>
      </c>
      <c r="AW315" s="33">
        <f t="shared" si="2"/>
        <v>195</v>
      </c>
      <c r="AX315" s="33">
        <f t="shared" si="3"/>
        <v>0</v>
      </c>
      <c r="AY315" s="33">
        <f t="shared" si="4"/>
        <v>195</v>
      </c>
      <c r="AZ315" s="30">
        <f t="shared" si="5"/>
        <v>10.14</v>
      </c>
    </row>
    <row r="316" ht="15.75" customHeight="1">
      <c r="A316" s="31" t="s">
        <v>45</v>
      </c>
      <c r="B316" s="32">
        <f t="shared" si="6"/>
        <v>45241</v>
      </c>
      <c r="C316" s="33">
        <v>12.0</v>
      </c>
      <c r="D316" s="33" t="s">
        <v>31</v>
      </c>
      <c r="E316" s="34"/>
      <c r="F316" s="36"/>
      <c r="H316" s="37"/>
      <c r="J316" s="37"/>
      <c r="L316" s="37"/>
      <c r="N316" s="37"/>
      <c r="P316" s="37"/>
      <c r="Q316" s="26"/>
      <c r="R316" s="38"/>
      <c r="T316" s="39"/>
      <c r="V316" s="37"/>
      <c r="X316" s="37"/>
      <c r="Z316" s="37"/>
      <c r="AB316" s="37"/>
      <c r="AC316" s="26"/>
      <c r="AD316" s="37"/>
      <c r="AF316" s="37"/>
      <c r="AH316" s="37"/>
      <c r="AJ316" s="59"/>
      <c r="AK316" s="26"/>
      <c r="AL316" s="37"/>
      <c r="AN316" s="37"/>
      <c r="AP316" s="37"/>
      <c r="AR316" s="37"/>
      <c r="AT316" s="37"/>
      <c r="AU316" s="26"/>
      <c r="AV316" s="35">
        <f t="shared" si="1"/>
        <v>0</v>
      </c>
      <c r="AW316" s="33">
        <f t="shared" si="2"/>
        <v>0</v>
      </c>
      <c r="AX316" s="33">
        <f t="shared" si="3"/>
        <v>0</v>
      </c>
      <c r="AY316" s="33">
        <f t="shared" si="4"/>
        <v>0</v>
      </c>
      <c r="AZ316" s="30" t="str">
        <f t="shared" si="5"/>
        <v/>
      </c>
    </row>
    <row r="317" ht="15.75" customHeight="1">
      <c r="A317" s="44" t="s">
        <v>46</v>
      </c>
      <c r="B317" s="45">
        <f t="shared" si="6"/>
        <v>45242</v>
      </c>
      <c r="C317" s="46">
        <v>12.0</v>
      </c>
      <c r="D317" s="46" t="s">
        <v>31</v>
      </c>
      <c r="E317" s="47"/>
      <c r="F317" s="60"/>
      <c r="G317" s="51"/>
      <c r="H317" s="61"/>
      <c r="I317" s="51"/>
      <c r="J317" s="61"/>
      <c r="K317" s="51"/>
      <c r="L317" s="61"/>
      <c r="M317" s="51"/>
      <c r="N317" s="61"/>
      <c r="O317" s="51"/>
      <c r="P317" s="61"/>
      <c r="Q317" s="53"/>
      <c r="R317" s="62"/>
      <c r="S317" s="51"/>
      <c r="T317" s="63"/>
      <c r="U317" s="51"/>
      <c r="V317" s="61"/>
      <c r="W317" s="51"/>
      <c r="X317" s="61"/>
      <c r="Y317" s="51"/>
      <c r="Z317" s="61"/>
      <c r="AA317" s="51"/>
      <c r="AB317" s="61"/>
      <c r="AC317" s="53"/>
      <c r="AD317" s="61"/>
      <c r="AE317" s="51"/>
      <c r="AF317" s="61"/>
      <c r="AG317" s="51"/>
      <c r="AH317" s="61"/>
      <c r="AI317" s="51"/>
      <c r="AJ317" s="68"/>
      <c r="AK317" s="53"/>
      <c r="AL317" s="61"/>
      <c r="AM317" s="51"/>
      <c r="AN317" s="61"/>
      <c r="AO317" s="51"/>
      <c r="AP317" s="61"/>
      <c r="AQ317" s="51"/>
      <c r="AR317" s="61"/>
      <c r="AS317" s="51"/>
      <c r="AT317" s="61"/>
      <c r="AU317" s="53"/>
      <c r="AV317" s="55">
        <f t="shared" si="1"/>
        <v>0</v>
      </c>
      <c r="AW317" s="46">
        <f t="shared" si="2"/>
        <v>0</v>
      </c>
      <c r="AX317" s="46">
        <f t="shared" si="3"/>
        <v>0</v>
      </c>
      <c r="AY317" s="46">
        <f t="shared" si="4"/>
        <v>0</v>
      </c>
      <c r="AZ317" s="56" t="str">
        <f t="shared" si="5"/>
        <v/>
      </c>
    </row>
    <row r="318" ht="15.75" customHeight="1">
      <c r="A318" s="19" t="s">
        <v>30</v>
      </c>
      <c r="B318" s="57">
        <f t="shared" si="6"/>
        <v>45243</v>
      </c>
      <c r="C318" s="21">
        <v>12.0</v>
      </c>
      <c r="D318" s="21" t="s">
        <v>47</v>
      </c>
      <c r="E318" s="23"/>
      <c r="F318" s="36"/>
      <c r="H318" s="37"/>
      <c r="J318" s="37"/>
      <c r="L318" s="37"/>
      <c r="N318" s="37"/>
      <c r="P318" s="37"/>
      <c r="Q318" s="26"/>
      <c r="R318" s="38">
        <v>95.0</v>
      </c>
      <c r="T318" s="39">
        <v>102.0</v>
      </c>
      <c r="V318" s="37"/>
      <c r="X318" s="37"/>
      <c r="Z318" s="37"/>
      <c r="AB318" s="37"/>
      <c r="AC318" s="26"/>
      <c r="AD318" s="37"/>
      <c r="AF318" s="37"/>
      <c r="AH318" s="37"/>
      <c r="AJ318" s="59"/>
      <c r="AK318" s="26"/>
      <c r="AL318" s="37"/>
      <c r="AN318" s="37"/>
      <c r="AP318" s="37"/>
      <c r="AR318" s="37"/>
      <c r="AT318" s="37"/>
      <c r="AU318" s="26"/>
      <c r="AV318" s="29">
        <f t="shared" si="1"/>
        <v>1997.58</v>
      </c>
      <c r="AW318" s="21">
        <f t="shared" si="2"/>
        <v>197</v>
      </c>
      <c r="AX318" s="21">
        <f t="shared" si="3"/>
        <v>0</v>
      </c>
      <c r="AY318" s="21">
        <f t="shared" si="4"/>
        <v>197</v>
      </c>
      <c r="AZ318" s="58">
        <f t="shared" si="5"/>
        <v>10.14</v>
      </c>
    </row>
    <row r="319" ht="15.75" customHeight="1">
      <c r="A319" s="31" t="s">
        <v>33</v>
      </c>
      <c r="B319" s="32">
        <f t="shared" si="6"/>
        <v>45244</v>
      </c>
      <c r="C319" s="33">
        <v>12.0</v>
      </c>
      <c r="D319" s="33" t="s">
        <v>47</v>
      </c>
      <c r="E319" s="34"/>
      <c r="F319" s="36"/>
      <c r="H319" s="37"/>
      <c r="J319" s="37"/>
      <c r="L319" s="37"/>
      <c r="N319" s="37"/>
      <c r="P319" s="37"/>
      <c r="Q319" s="26"/>
      <c r="R319" s="38">
        <v>98.0</v>
      </c>
      <c r="T319" s="39">
        <v>108.0</v>
      </c>
      <c r="V319" s="37"/>
      <c r="X319" s="37"/>
      <c r="Z319" s="37"/>
      <c r="AB319" s="37"/>
      <c r="AC319" s="26"/>
      <c r="AD319" s="37"/>
      <c r="AF319" s="37"/>
      <c r="AH319" s="37"/>
      <c r="AJ319" s="59"/>
      <c r="AK319" s="26"/>
      <c r="AL319" s="37"/>
      <c r="AN319" s="37"/>
      <c r="AP319" s="37"/>
      <c r="AR319" s="37"/>
      <c r="AT319" s="37"/>
      <c r="AU319" s="26"/>
      <c r="AV319" s="35">
        <f t="shared" si="1"/>
        <v>2088.84</v>
      </c>
      <c r="AW319" s="33">
        <f t="shared" si="2"/>
        <v>206</v>
      </c>
      <c r="AX319" s="33">
        <f t="shared" si="3"/>
        <v>0</v>
      </c>
      <c r="AY319" s="33">
        <f t="shared" si="4"/>
        <v>206</v>
      </c>
      <c r="AZ319" s="30">
        <f t="shared" si="5"/>
        <v>10.14</v>
      </c>
    </row>
    <row r="320" ht="15.75" customHeight="1">
      <c r="A320" s="31" t="s">
        <v>34</v>
      </c>
      <c r="B320" s="32">
        <f t="shared" si="6"/>
        <v>45245</v>
      </c>
      <c r="C320" s="33">
        <v>12.0</v>
      </c>
      <c r="D320" s="33" t="s">
        <v>47</v>
      </c>
      <c r="E320" s="34"/>
      <c r="F320" s="36"/>
      <c r="H320" s="37"/>
      <c r="J320" s="37"/>
      <c r="L320" s="37"/>
      <c r="N320" s="37"/>
      <c r="P320" s="37"/>
      <c r="Q320" s="26"/>
      <c r="R320" s="38">
        <v>101.0</v>
      </c>
      <c r="T320" s="39">
        <v>114.0</v>
      </c>
      <c r="V320" s="37"/>
      <c r="X320" s="37"/>
      <c r="Z320" s="37"/>
      <c r="AB320" s="37"/>
      <c r="AC320" s="26"/>
      <c r="AD320" s="37"/>
      <c r="AF320" s="37"/>
      <c r="AH320" s="37"/>
      <c r="AJ320" s="59"/>
      <c r="AK320" s="26"/>
      <c r="AL320" s="37"/>
      <c r="AN320" s="37"/>
      <c r="AP320" s="37"/>
      <c r="AR320" s="37"/>
      <c r="AT320" s="37"/>
      <c r="AU320" s="26"/>
      <c r="AV320" s="35">
        <f t="shared" si="1"/>
        <v>2180.1</v>
      </c>
      <c r="AW320" s="33">
        <f t="shared" si="2"/>
        <v>215</v>
      </c>
      <c r="AX320" s="33">
        <f t="shared" si="3"/>
        <v>0</v>
      </c>
      <c r="AY320" s="33">
        <f t="shared" si="4"/>
        <v>215</v>
      </c>
      <c r="AZ320" s="30">
        <f t="shared" si="5"/>
        <v>10.14</v>
      </c>
    </row>
    <row r="321" ht="15.75" customHeight="1">
      <c r="A321" s="31" t="s">
        <v>35</v>
      </c>
      <c r="B321" s="32">
        <f t="shared" si="6"/>
        <v>45246</v>
      </c>
      <c r="C321" s="33">
        <v>12.0</v>
      </c>
      <c r="D321" s="33" t="s">
        <v>47</v>
      </c>
      <c r="E321" s="34"/>
      <c r="F321" s="36"/>
      <c r="H321" s="37"/>
      <c r="J321" s="37"/>
      <c r="L321" s="37"/>
      <c r="N321" s="37"/>
      <c r="P321" s="37"/>
      <c r="Q321" s="26"/>
      <c r="R321" s="38">
        <v>92.0</v>
      </c>
      <c r="T321" s="39">
        <v>100.0</v>
      </c>
      <c r="V321" s="37"/>
      <c r="X321" s="37"/>
      <c r="Z321" s="37"/>
      <c r="AB321" s="37"/>
      <c r="AC321" s="26"/>
      <c r="AD321" s="37"/>
      <c r="AF321" s="37"/>
      <c r="AH321" s="37"/>
      <c r="AJ321" s="59"/>
      <c r="AK321" s="26"/>
      <c r="AL321" s="37"/>
      <c r="AN321" s="37"/>
      <c r="AP321" s="37"/>
      <c r="AR321" s="37"/>
      <c r="AT321" s="37"/>
      <c r="AU321" s="26"/>
      <c r="AV321" s="35">
        <f t="shared" si="1"/>
        <v>1946.88</v>
      </c>
      <c r="AW321" s="33">
        <f t="shared" si="2"/>
        <v>192</v>
      </c>
      <c r="AX321" s="33">
        <f t="shared" si="3"/>
        <v>0</v>
      </c>
      <c r="AY321" s="33">
        <f t="shared" si="4"/>
        <v>192</v>
      </c>
      <c r="AZ321" s="30">
        <f t="shared" si="5"/>
        <v>10.14</v>
      </c>
    </row>
    <row r="322" ht="15.75" customHeight="1">
      <c r="A322" s="31" t="s">
        <v>38</v>
      </c>
      <c r="B322" s="32">
        <f t="shared" si="6"/>
        <v>45247</v>
      </c>
      <c r="C322" s="33">
        <v>12.0</v>
      </c>
      <c r="D322" s="33" t="s">
        <v>47</v>
      </c>
      <c r="E322" s="34"/>
      <c r="F322" s="36"/>
      <c r="H322" s="37"/>
      <c r="J322" s="37"/>
      <c r="L322" s="37"/>
      <c r="N322" s="37"/>
      <c r="P322" s="37"/>
      <c r="Q322" s="26"/>
      <c r="R322" s="38">
        <v>79.0</v>
      </c>
      <c r="T322" s="39">
        <v>77.0</v>
      </c>
      <c r="V322" s="37"/>
      <c r="X322" s="37"/>
      <c r="Z322" s="37"/>
      <c r="AB322" s="37"/>
      <c r="AC322" s="26"/>
      <c r="AD322" s="37"/>
      <c r="AF322" s="37"/>
      <c r="AH322" s="37"/>
      <c r="AJ322" s="59"/>
      <c r="AK322" s="26"/>
      <c r="AL322" s="37"/>
      <c r="AN322" s="37"/>
      <c r="AP322" s="37"/>
      <c r="AR322" s="37"/>
      <c r="AT322" s="37"/>
      <c r="AU322" s="26"/>
      <c r="AV322" s="35">
        <f t="shared" si="1"/>
        <v>1581.84</v>
      </c>
      <c r="AW322" s="33">
        <f t="shared" si="2"/>
        <v>156</v>
      </c>
      <c r="AX322" s="33">
        <f t="shared" si="3"/>
        <v>0</v>
      </c>
      <c r="AY322" s="33">
        <f t="shared" si="4"/>
        <v>156</v>
      </c>
      <c r="AZ322" s="30">
        <f t="shared" si="5"/>
        <v>10.14</v>
      </c>
    </row>
    <row r="323" ht="15.75" customHeight="1">
      <c r="A323" s="31" t="s">
        <v>45</v>
      </c>
      <c r="B323" s="32">
        <f t="shared" si="6"/>
        <v>45248</v>
      </c>
      <c r="C323" s="33">
        <v>12.0</v>
      </c>
      <c r="D323" s="33" t="s">
        <v>47</v>
      </c>
      <c r="E323" s="34"/>
      <c r="F323" s="36"/>
      <c r="H323" s="37"/>
      <c r="J323" s="37"/>
      <c r="L323" s="37"/>
      <c r="N323" s="37"/>
      <c r="P323" s="37"/>
      <c r="Q323" s="26"/>
      <c r="R323" s="38"/>
      <c r="T323" s="39"/>
      <c r="V323" s="37"/>
      <c r="X323" s="37"/>
      <c r="Z323" s="37"/>
      <c r="AB323" s="37"/>
      <c r="AC323" s="26"/>
      <c r="AD323" s="37"/>
      <c r="AF323" s="37"/>
      <c r="AH323" s="37"/>
      <c r="AJ323" s="59"/>
      <c r="AK323" s="26"/>
      <c r="AL323" s="37"/>
      <c r="AN323" s="37"/>
      <c r="AP323" s="37"/>
      <c r="AR323" s="37"/>
      <c r="AT323" s="37"/>
      <c r="AU323" s="26"/>
      <c r="AV323" s="35">
        <f t="shared" si="1"/>
        <v>0</v>
      </c>
      <c r="AW323" s="33">
        <f t="shared" si="2"/>
        <v>0</v>
      </c>
      <c r="AX323" s="33">
        <f t="shared" si="3"/>
        <v>0</v>
      </c>
      <c r="AY323" s="33">
        <f t="shared" si="4"/>
        <v>0</v>
      </c>
      <c r="AZ323" s="30" t="str">
        <f t="shared" si="5"/>
        <v/>
      </c>
    </row>
    <row r="324" ht="15.75" customHeight="1">
      <c r="A324" s="44" t="s">
        <v>46</v>
      </c>
      <c r="B324" s="45">
        <f t="shared" si="6"/>
        <v>45249</v>
      </c>
      <c r="C324" s="46">
        <v>12.0</v>
      </c>
      <c r="D324" s="46" t="s">
        <v>47</v>
      </c>
      <c r="E324" s="47"/>
      <c r="F324" s="60"/>
      <c r="G324" s="51"/>
      <c r="H324" s="61"/>
      <c r="I324" s="51"/>
      <c r="J324" s="61"/>
      <c r="K324" s="51"/>
      <c r="L324" s="61"/>
      <c r="M324" s="51"/>
      <c r="N324" s="61"/>
      <c r="O324" s="51"/>
      <c r="P324" s="61"/>
      <c r="Q324" s="53"/>
      <c r="R324" s="62"/>
      <c r="S324" s="51"/>
      <c r="T324" s="63"/>
      <c r="U324" s="51"/>
      <c r="V324" s="61"/>
      <c r="W324" s="51"/>
      <c r="X324" s="61"/>
      <c r="Y324" s="51"/>
      <c r="Z324" s="61"/>
      <c r="AA324" s="51"/>
      <c r="AB324" s="61"/>
      <c r="AC324" s="53"/>
      <c r="AD324" s="61"/>
      <c r="AE324" s="51"/>
      <c r="AF324" s="61"/>
      <c r="AG324" s="51"/>
      <c r="AH324" s="61"/>
      <c r="AI324" s="51"/>
      <c r="AJ324" s="68"/>
      <c r="AK324" s="53"/>
      <c r="AL324" s="61"/>
      <c r="AM324" s="51"/>
      <c r="AN324" s="61"/>
      <c r="AO324" s="51"/>
      <c r="AP324" s="61"/>
      <c r="AQ324" s="51"/>
      <c r="AR324" s="61"/>
      <c r="AS324" s="51"/>
      <c r="AT324" s="61"/>
      <c r="AU324" s="53"/>
      <c r="AV324" s="55">
        <f t="shared" si="1"/>
        <v>0</v>
      </c>
      <c r="AW324" s="46">
        <f t="shared" si="2"/>
        <v>0</v>
      </c>
      <c r="AX324" s="46">
        <f t="shared" si="3"/>
        <v>0</v>
      </c>
      <c r="AY324" s="46">
        <f t="shared" si="4"/>
        <v>0</v>
      </c>
      <c r="AZ324" s="56" t="str">
        <f t="shared" si="5"/>
        <v/>
      </c>
    </row>
    <row r="325" ht="15.75" customHeight="1">
      <c r="A325" s="19" t="s">
        <v>30</v>
      </c>
      <c r="B325" s="57">
        <f t="shared" si="6"/>
        <v>45250</v>
      </c>
      <c r="C325" s="21">
        <v>12.0</v>
      </c>
      <c r="D325" s="21" t="s">
        <v>48</v>
      </c>
      <c r="E325" s="72" t="s">
        <v>65</v>
      </c>
      <c r="F325" s="36"/>
      <c r="H325" s="37"/>
      <c r="J325" s="37"/>
      <c r="L325" s="37"/>
      <c r="N325" s="37"/>
      <c r="P325" s="37"/>
      <c r="Q325" s="26"/>
      <c r="R325" s="38"/>
      <c r="T325" s="39"/>
      <c r="V325" s="37"/>
      <c r="X325" s="37"/>
      <c r="Z325" s="37"/>
      <c r="AB325" s="37"/>
      <c r="AC325" s="26"/>
      <c r="AD325" s="37"/>
      <c r="AF325" s="37"/>
      <c r="AH325" s="37"/>
      <c r="AJ325" s="59"/>
      <c r="AK325" s="26"/>
      <c r="AL325" s="37"/>
      <c r="AN325" s="37"/>
      <c r="AP325" s="37"/>
      <c r="AR325" s="37"/>
      <c r="AT325" s="37"/>
      <c r="AU325" s="26"/>
      <c r="AV325" s="29">
        <f t="shared" si="1"/>
        <v>0</v>
      </c>
      <c r="AW325" s="21">
        <f t="shared" si="2"/>
        <v>0</v>
      </c>
      <c r="AX325" s="21">
        <f t="shared" si="3"/>
        <v>0</v>
      </c>
      <c r="AY325" s="21">
        <f t="shared" si="4"/>
        <v>0</v>
      </c>
      <c r="AZ325" s="58" t="str">
        <f t="shared" si="5"/>
        <v/>
      </c>
    </row>
    <row r="326" ht="15.75" customHeight="1">
      <c r="A326" s="31" t="s">
        <v>33</v>
      </c>
      <c r="B326" s="32">
        <f t="shared" si="6"/>
        <v>45251</v>
      </c>
      <c r="C326" s="33">
        <v>12.0</v>
      </c>
      <c r="D326" s="33" t="s">
        <v>48</v>
      </c>
      <c r="E326" s="74" t="s">
        <v>66</v>
      </c>
      <c r="F326" s="36"/>
      <c r="H326" s="37"/>
      <c r="J326" s="37"/>
      <c r="L326" s="37"/>
      <c r="N326" s="37"/>
      <c r="P326" s="37"/>
      <c r="Q326" s="26"/>
      <c r="R326" s="38"/>
      <c r="T326" s="39"/>
      <c r="V326" s="37"/>
      <c r="X326" s="37"/>
      <c r="Z326" s="37"/>
      <c r="AB326" s="37"/>
      <c r="AC326" s="26"/>
      <c r="AD326" s="37"/>
      <c r="AF326" s="37"/>
      <c r="AH326" s="37"/>
      <c r="AJ326" s="59"/>
      <c r="AK326" s="26"/>
      <c r="AL326" s="37"/>
      <c r="AN326" s="37"/>
      <c r="AP326" s="37"/>
      <c r="AR326" s="37"/>
      <c r="AT326" s="37"/>
      <c r="AU326" s="26"/>
      <c r="AV326" s="35">
        <f t="shared" si="1"/>
        <v>0</v>
      </c>
      <c r="AW326" s="33">
        <f t="shared" si="2"/>
        <v>0</v>
      </c>
      <c r="AX326" s="33">
        <f t="shared" si="3"/>
        <v>0</v>
      </c>
      <c r="AY326" s="33">
        <f t="shared" si="4"/>
        <v>0</v>
      </c>
      <c r="AZ326" s="30" t="str">
        <f t="shared" si="5"/>
        <v/>
      </c>
    </row>
    <row r="327" ht="15.75" customHeight="1">
      <c r="A327" s="31" t="s">
        <v>34</v>
      </c>
      <c r="B327" s="32">
        <f t="shared" si="6"/>
        <v>45252</v>
      </c>
      <c r="C327" s="33">
        <v>12.0</v>
      </c>
      <c r="D327" s="33" t="s">
        <v>48</v>
      </c>
      <c r="E327" s="74" t="s">
        <v>67</v>
      </c>
      <c r="F327" s="36"/>
      <c r="H327" s="37"/>
      <c r="J327" s="37"/>
      <c r="L327" s="37"/>
      <c r="N327" s="37"/>
      <c r="P327" s="37"/>
      <c r="Q327" s="26"/>
      <c r="R327" s="38"/>
      <c r="T327" s="39"/>
      <c r="V327" s="37"/>
      <c r="X327" s="37"/>
      <c r="Z327" s="37"/>
      <c r="AB327" s="37"/>
      <c r="AC327" s="26"/>
      <c r="AD327" s="37"/>
      <c r="AF327" s="37"/>
      <c r="AH327" s="37"/>
      <c r="AJ327" s="59"/>
      <c r="AK327" s="26"/>
      <c r="AL327" s="37"/>
      <c r="AN327" s="37"/>
      <c r="AP327" s="37"/>
      <c r="AR327" s="37"/>
      <c r="AT327" s="37"/>
      <c r="AU327" s="26"/>
      <c r="AV327" s="35">
        <f t="shared" si="1"/>
        <v>0</v>
      </c>
      <c r="AW327" s="33">
        <f t="shared" si="2"/>
        <v>0</v>
      </c>
      <c r="AX327" s="33">
        <f t="shared" si="3"/>
        <v>0</v>
      </c>
      <c r="AY327" s="33">
        <f t="shared" si="4"/>
        <v>0</v>
      </c>
      <c r="AZ327" s="30" t="str">
        <f t="shared" si="5"/>
        <v/>
      </c>
    </row>
    <row r="328" ht="15.75" customHeight="1">
      <c r="A328" s="31" t="s">
        <v>35</v>
      </c>
      <c r="B328" s="32">
        <f t="shared" si="6"/>
        <v>45253</v>
      </c>
      <c r="C328" s="33">
        <v>12.0</v>
      </c>
      <c r="D328" s="33" t="s">
        <v>48</v>
      </c>
      <c r="E328" s="34"/>
      <c r="F328" s="36"/>
      <c r="H328" s="37"/>
      <c r="J328" s="37"/>
      <c r="L328" s="37"/>
      <c r="N328" s="37"/>
      <c r="P328" s="37"/>
      <c r="Q328" s="26"/>
      <c r="R328" s="38"/>
      <c r="T328" s="39"/>
      <c r="V328" s="37"/>
      <c r="X328" s="37"/>
      <c r="Z328" s="37"/>
      <c r="AB328" s="37"/>
      <c r="AC328" s="26"/>
      <c r="AD328" s="37"/>
      <c r="AF328" s="37"/>
      <c r="AH328" s="37"/>
      <c r="AJ328" s="59"/>
      <c r="AK328" s="26"/>
      <c r="AL328" s="37"/>
      <c r="AN328" s="37"/>
      <c r="AP328" s="37"/>
      <c r="AR328" s="37"/>
      <c r="AT328" s="37"/>
      <c r="AU328" s="26"/>
      <c r="AV328" s="35">
        <f t="shared" si="1"/>
        <v>0</v>
      </c>
      <c r="AW328" s="33">
        <f t="shared" si="2"/>
        <v>0</v>
      </c>
      <c r="AX328" s="33">
        <f t="shared" si="3"/>
        <v>0</v>
      </c>
      <c r="AY328" s="33">
        <f t="shared" si="4"/>
        <v>0</v>
      </c>
      <c r="AZ328" s="30" t="str">
        <f t="shared" si="5"/>
        <v/>
      </c>
    </row>
    <row r="329" ht="15.75" customHeight="1">
      <c r="A329" s="31" t="s">
        <v>38</v>
      </c>
      <c r="B329" s="32">
        <f t="shared" si="6"/>
        <v>45254</v>
      </c>
      <c r="C329" s="33">
        <v>12.0</v>
      </c>
      <c r="D329" s="33" t="s">
        <v>48</v>
      </c>
      <c r="E329" s="34"/>
      <c r="F329" s="36"/>
      <c r="H329" s="37"/>
      <c r="J329" s="37"/>
      <c r="L329" s="37"/>
      <c r="N329" s="37"/>
      <c r="P329" s="37"/>
      <c r="Q329" s="26"/>
      <c r="R329" s="38"/>
      <c r="T329" s="39"/>
      <c r="V329" s="37"/>
      <c r="X329" s="37"/>
      <c r="Z329" s="37"/>
      <c r="AB329" s="37"/>
      <c r="AC329" s="26"/>
      <c r="AD329" s="37"/>
      <c r="AF329" s="37"/>
      <c r="AH329" s="37"/>
      <c r="AJ329" s="59"/>
      <c r="AK329" s="26"/>
      <c r="AL329" s="37"/>
      <c r="AN329" s="37"/>
      <c r="AP329" s="37"/>
      <c r="AR329" s="37"/>
      <c r="AT329" s="37"/>
      <c r="AU329" s="26"/>
      <c r="AV329" s="35">
        <f t="shared" si="1"/>
        <v>0</v>
      </c>
      <c r="AW329" s="33">
        <f t="shared" si="2"/>
        <v>0</v>
      </c>
      <c r="AX329" s="33">
        <f t="shared" si="3"/>
        <v>0</v>
      </c>
      <c r="AY329" s="33">
        <f t="shared" si="4"/>
        <v>0</v>
      </c>
      <c r="AZ329" s="30" t="str">
        <f t="shared" si="5"/>
        <v/>
      </c>
    </row>
    <row r="330" ht="15.75" customHeight="1">
      <c r="A330" s="31" t="s">
        <v>45</v>
      </c>
      <c r="B330" s="32">
        <f t="shared" si="6"/>
        <v>45255</v>
      </c>
      <c r="C330" s="33">
        <v>12.0</v>
      </c>
      <c r="D330" s="33" t="s">
        <v>48</v>
      </c>
      <c r="E330" s="34"/>
      <c r="F330" s="36"/>
      <c r="H330" s="37"/>
      <c r="J330" s="37"/>
      <c r="L330" s="37"/>
      <c r="N330" s="37"/>
      <c r="P330" s="37"/>
      <c r="Q330" s="26"/>
      <c r="R330" s="38"/>
      <c r="T330" s="39"/>
      <c r="V330" s="37"/>
      <c r="X330" s="37"/>
      <c r="Z330" s="37"/>
      <c r="AB330" s="37"/>
      <c r="AC330" s="26"/>
      <c r="AD330" s="37"/>
      <c r="AF330" s="37"/>
      <c r="AH330" s="37"/>
      <c r="AJ330" s="59"/>
      <c r="AK330" s="26"/>
      <c r="AL330" s="37"/>
      <c r="AN330" s="37"/>
      <c r="AP330" s="37"/>
      <c r="AR330" s="37"/>
      <c r="AT330" s="37"/>
      <c r="AU330" s="26"/>
      <c r="AV330" s="35">
        <f t="shared" si="1"/>
        <v>0</v>
      </c>
      <c r="AW330" s="33">
        <f t="shared" si="2"/>
        <v>0</v>
      </c>
      <c r="AX330" s="33">
        <f t="shared" si="3"/>
        <v>0</v>
      </c>
      <c r="AY330" s="33">
        <f t="shared" si="4"/>
        <v>0</v>
      </c>
      <c r="AZ330" s="30" t="str">
        <f t="shared" si="5"/>
        <v/>
      </c>
    </row>
    <row r="331" ht="15.75" customHeight="1">
      <c r="A331" s="44" t="s">
        <v>46</v>
      </c>
      <c r="B331" s="45">
        <f t="shared" si="6"/>
        <v>45256</v>
      </c>
      <c r="C331" s="46">
        <v>12.0</v>
      </c>
      <c r="D331" s="46" t="s">
        <v>48</v>
      </c>
      <c r="E331" s="47"/>
      <c r="F331" s="60"/>
      <c r="G331" s="51"/>
      <c r="H331" s="61"/>
      <c r="I331" s="51"/>
      <c r="J331" s="61"/>
      <c r="K331" s="51"/>
      <c r="L331" s="61"/>
      <c r="M331" s="51"/>
      <c r="N331" s="61"/>
      <c r="O331" s="51"/>
      <c r="P331" s="61"/>
      <c r="Q331" s="53"/>
      <c r="R331" s="62"/>
      <c r="S331" s="51"/>
      <c r="T331" s="63"/>
      <c r="U331" s="51"/>
      <c r="V331" s="61"/>
      <c r="W331" s="51"/>
      <c r="X331" s="61"/>
      <c r="Y331" s="51"/>
      <c r="Z331" s="61"/>
      <c r="AA331" s="51"/>
      <c r="AB331" s="61"/>
      <c r="AC331" s="53"/>
      <c r="AD331" s="61"/>
      <c r="AE331" s="51"/>
      <c r="AF331" s="61"/>
      <c r="AG331" s="51"/>
      <c r="AH331" s="61"/>
      <c r="AI331" s="51"/>
      <c r="AJ331" s="68"/>
      <c r="AK331" s="53"/>
      <c r="AL331" s="61"/>
      <c r="AM331" s="51"/>
      <c r="AN331" s="61"/>
      <c r="AO331" s="51"/>
      <c r="AP331" s="61"/>
      <c r="AQ331" s="51"/>
      <c r="AR331" s="61"/>
      <c r="AS331" s="51"/>
      <c r="AT331" s="61"/>
      <c r="AU331" s="53"/>
      <c r="AV331" s="55">
        <f t="shared" si="1"/>
        <v>0</v>
      </c>
      <c r="AW331" s="46">
        <f t="shared" si="2"/>
        <v>0</v>
      </c>
      <c r="AX331" s="46">
        <f t="shared" si="3"/>
        <v>0</v>
      </c>
      <c r="AY331" s="46">
        <f t="shared" si="4"/>
        <v>0</v>
      </c>
      <c r="AZ331" s="56" t="str">
        <f t="shared" si="5"/>
        <v/>
      </c>
    </row>
    <row r="332" ht="15.75" customHeight="1">
      <c r="A332" s="19" t="s">
        <v>30</v>
      </c>
      <c r="B332" s="57">
        <f t="shared" si="6"/>
        <v>45257</v>
      </c>
      <c r="C332" s="21">
        <v>12.0</v>
      </c>
      <c r="D332" s="21" t="s">
        <v>49</v>
      </c>
      <c r="E332" s="23"/>
      <c r="F332" s="36"/>
      <c r="H332" s="37"/>
      <c r="J332" s="37"/>
      <c r="L332" s="37"/>
      <c r="N332" s="37"/>
      <c r="P332" s="37"/>
      <c r="Q332" s="26"/>
      <c r="R332" s="38">
        <v>33.0</v>
      </c>
      <c r="T332" s="39">
        <v>47.0</v>
      </c>
      <c r="V332" s="37"/>
      <c r="X332" s="37"/>
      <c r="Z332" s="37"/>
      <c r="AB332" s="37"/>
      <c r="AC332" s="26"/>
      <c r="AD332" s="37"/>
      <c r="AF332" s="37"/>
      <c r="AH332" s="37"/>
      <c r="AJ332" s="59"/>
      <c r="AK332" s="26"/>
      <c r="AL332" s="37"/>
      <c r="AN332" s="37"/>
      <c r="AP332" s="37"/>
      <c r="AR332" s="37"/>
      <c r="AT332" s="37"/>
      <c r="AU332" s="26"/>
      <c r="AV332" s="29">
        <f t="shared" si="1"/>
        <v>811.2</v>
      </c>
      <c r="AW332" s="21">
        <f t="shared" si="2"/>
        <v>80</v>
      </c>
      <c r="AX332" s="21">
        <f t="shared" si="3"/>
        <v>0</v>
      </c>
      <c r="AY332" s="21">
        <f t="shared" si="4"/>
        <v>80</v>
      </c>
      <c r="AZ332" s="58">
        <f t="shared" si="5"/>
        <v>10.14</v>
      </c>
    </row>
    <row r="333" ht="15.75" customHeight="1">
      <c r="A333" s="31" t="s">
        <v>33</v>
      </c>
      <c r="B333" s="32">
        <f t="shared" si="6"/>
        <v>45258</v>
      </c>
      <c r="C333" s="33">
        <v>12.0</v>
      </c>
      <c r="D333" s="33" t="s">
        <v>49</v>
      </c>
      <c r="E333" s="34"/>
      <c r="F333" s="36"/>
      <c r="H333" s="37"/>
      <c r="J333" s="37"/>
      <c r="L333" s="37"/>
      <c r="N333" s="37"/>
      <c r="P333" s="37"/>
      <c r="Q333" s="26"/>
      <c r="R333" s="38">
        <v>43.0</v>
      </c>
      <c r="T333" s="39">
        <v>60.0</v>
      </c>
      <c r="V333" s="37"/>
      <c r="X333" s="37"/>
      <c r="Z333" s="37"/>
      <c r="AB333" s="37"/>
      <c r="AC333" s="26"/>
      <c r="AD333" s="37"/>
      <c r="AF333" s="37"/>
      <c r="AH333" s="37"/>
      <c r="AJ333" s="59"/>
      <c r="AK333" s="26"/>
      <c r="AL333" s="37"/>
      <c r="AN333" s="37"/>
      <c r="AP333" s="37"/>
      <c r="AR333" s="37"/>
      <c r="AT333" s="37"/>
      <c r="AU333" s="26"/>
      <c r="AV333" s="35">
        <f t="shared" si="1"/>
        <v>1044.42</v>
      </c>
      <c r="AW333" s="33">
        <f t="shared" si="2"/>
        <v>103</v>
      </c>
      <c r="AX333" s="33">
        <f t="shared" si="3"/>
        <v>0</v>
      </c>
      <c r="AY333" s="33">
        <f t="shared" si="4"/>
        <v>103</v>
      </c>
      <c r="AZ333" s="30">
        <f t="shared" si="5"/>
        <v>10.14</v>
      </c>
    </row>
    <row r="334" ht="15.75" customHeight="1">
      <c r="A334" s="31" t="s">
        <v>34</v>
      </c>
      <c r="B334" s="32">
        <f t="shared" si="6"/>
        <v>45259</v>
      </c>
      <c r="C334" s="33">
        <v>12.0</v>
      </c>
      <c r="D334" s="33" t="s">
        <v>49</v>
      </c>
      <c r="E334" s="34"/>
      <c r="F334" s="36"/>
      <c r="H334" s="37"/>
      <c r="J334" s="37"/>
      <c r="L334" s="37"/>
      <c r="N334" s="37"/>
      <c r="P334" s="37"/>
      <c r="Q334" s="26"/>
      <c r="R334" s="38">
        <v>61.0</v>
      </c>
      <c r="T334" s="39">
        <v>101.0</v>
      </c>
      <c r="V334" s="37"/>
      <c r="X334" s="37"/>
      <c r="Z334" s="37"/>
      <c r="AB334" s="37"/>
      <c r="AC334" s="26"/>
      <c r="AD334" s="37"/>
      <c r="AF334" s="37"/>
      <c r="AH334" s="37"/>
      <c r="AJ334" s="59"/>
      <c r="AK334" s="26"/>
      <c r="AL334" s="37"/>
      <c r="AN334" s="37"/>
      <c r="AP334" s="37"/>
      <c r="AR334" s="37"/>
      <c r="AT334" s="37"/>
      <c r="AU334" s="26"/>
      <c r="AV334" s="35">
        <f t="shared" si="1"/>
        <v>1642.68</v>
      </c>
      <c r="AW334" s="33">
        <f t="shared" si="2"/>
        <v>162</v>
      </c>
      <c r="AX334" s="33">
        <f t="shared" si="3"/>
        <v>0</v>
      </c>
      <c r="AY334" s="33">
        <f t="shared" si="4"/>
        <v>162</v>
      </c>
      <c r="AZ334" s="30">
        <f t="shared" si="5"/>
        <v>10.14</v>
      </c>
    </row>
    <row r="335" ht="15.75" customHeight="1">
      <c r="A335" s="31" t="s">
        <v>35</v>
      </c>
      <c r="B335" s="32">
        <f t="shared" si="6"/>
        <v>45260</v>
      </c>
      <c r="C335" s="33">
        <v>12.0</v>
      </c>
      <c r="D335" s="33" t="s">
        <v>49</v>
      </c>
      <c r="E335" s="34"/>
      <c r="F335" s="36"/>
      <c r="H335" s="37"/>
      <c r="J335" s="37"/>
      <c r="L335" s="37"/>
      <c r="N335" s="37"/>
      <c r="P335" s="37"/>
      <c r="Q335" s="26"/>
      <c r="R335" s="38">
        <v>55.0</v>
      </c>
      <c r="T335" s="39">
        <v>79.0</v>
      </c>
      <c r="V335" s="37"/>
      <c r="X335" s="37"/>
      <c r="Z335" s="37"/>
      <c r="AB335" s="37"/>
      <c r="AC335" s="26"/>
      <c r="AD335" s="37"/>
      <c r="AF335" s="37"/>
      <c r="AH335" s="37"/>
      <c r="AJ335" s="59"/>
      <c r="AK335" s="26"/>
      <c r="AL335" s="37"/>
      <c r="AN335" s="37"/>
      <c r="AP335" s="37"/>
      <c r="AR335" s="37"/>
      <c r="AT335" s="37"/>
      <c r="AU335" s="26"/>
      <c r="AV335" s="35">
        <f t="shared" si="1"/>
        <v>1358.76</v>
      </c>
      <c r="AW335" s="33">
        <f t="shared" si="2"/>
        <v>134</v>
      </c>
      <c r="AX335" s="33">
        <f t="shared" si="3"/>
        <v>0</v>
      </c>
      <c r="AY335" s="33">
        <f t="shared" si="4"/>
        <v>134</v>
      </c>
      <c r="AZ335" s="30">
        <f t="shared" si="5"/>
        <v>10.14</v>
      </c>
    </row>
    <row r="336" ht="15.75" customHeight="1">
      <c r="A336" s="31" t="s">
        <v>38</v>
      </c>
      <c r="B336" s="32">
        <f t="shared" si="6"/>
        <v>45261</v>
      </c>
      <c r="C336" s="33">
        <v>12.0</v>
      </c>
      <c r="D336" s="33" t="s">
        <v>49</v>
      </c>
      <c r="E336" s="34"/>
      <c r="F336" s="36"/>
      <c r="H336" s="37"/>
      <c r="J336" s="37"/>
      <c r="L336" s="37"/>
      <c r="N336" s="37"/>
      <c r="P336" s="37"/>
      <c r="Q336" s="26"/>
      <c r="R336" s="38">
        <v>40.0</v>
      </c>
      <c r="T336" s="39">
        <v>47.0</v>
      </c>
      <c r="V336" s="37"/>
      <c r="X336" s="37"/>
      <c r="Z336" s="37"/>
      <c r="AB336" s="37"/>
      <c r="AC336" s="26"/>
      <c r="AD336" s="37"/>
      <c r="AF336" s="37"/>
      <c r="AH336" s="37"/>
      <c r="AJ336" s="59"/>
      <c r="AK336" s="26"/>
      <c r="AL336" s="37"/>
      <c r="AN336" s="37"/>
      <c r="AP336" s="37"/>
      <c r="AR336" s="37"/>
      <c r="AT336" s="37"/>
      <c r="AU336" s="26"/>
      <c r="AV336" s="35">
        <f t="shared" si="1"/>
        <v>882.18</v>
      </c>
      <c r="AW336" s="33">
        <f t="shared" si="2"/>
        <v>87</v>
      </c>
      <c r="AX336" s="33">
        <f t="shared" si="3"/>
        <v>0</v>
      </c>
      <c r="AY336" s="33">
        <f t="shared" si="4"/>
        <v>87</v>
      </c>
      <c r="AZ336" s="30">
        <f t="shared" si="5"/>
        <v>10.14</v>
      </c>
    </row>
    <row r="337" ht="15.75" customHeight="1">
      <c r="A337" s="31" t="s">
        <v>45</v>
      </c>
      <c r="B337" s="32">
        <f t="shared" si="6"/>
        <v>45262</v>
      </c>
      <c r="C337" s="33">
        <v>12.0</v>
      </c>
      <c r="D337" s="33" t="s">
        <v>49</v>
      </c>
      <c r="E337" s="34"/>
      <c r="F337" s="36"/>
      <c r="H337" s="37"/>
      <c r="J337" s="37"/>
      <c r="L337" s="37"/>
      <c r="N337" s="37"/>
      <c r="P337" s="37"/>
      <c r="Q337" s="26"/>
      <c r="R337" s="38"/>
      <c r="T337" s="39"/>
      <c r="V337" s="37"/>
      <c r="X337" s="37"/>
      <c r="Z337" s="37"/>
      <c r="AB337" s="37"/>
      <c r="AC337" s="26"/>
      <c r="AD337" s="37"/>
      <c r="AF337" s="37"/>
      <c r="AH337" s="37"/>
      <c r="AJ337" s="59"/>
      <c r="AK337" s="26"/>
      <c r="AL337" s="37"/>
      <c r="AN337" s="37"/>
      <c r="AP337" s="37"/>
      <c r="AR337" s="37"/>
      <c r="AT337" s="37"/>
      <c r="AU337" s="26"/>
      <c r="AV337" s="35">
        <f t="shared" si="1"/>
        <v>0</v>
      </c>
      <c r="AW337" s="33">
        <f t="shared" si="2"/>
        <v>0</v>
      </c>
      <c r="AX337" s="33">
        <f t="shared" si="3"/>
        <v>0</v>
      </c>
      <c r="AY337" s="33">
        <f t="shared" si="4"/>
        <v>0</v>
      </c>
      <c r="AZ337" s="30" t="str">
        <f t="shared" si="5"/>
        <v/>
      </c>
    </row>
    <row r="338" ht="15.75" customHeight="1">
      <c r="A338" s="44" t="s">
        <v>46</v>
      </c>
      <c r="B338" s="45">
        <f t="shared" si="6"/>
        <v>45263</v>
      </c>
      <c r="C338" s="46">
        <v>12.0</v>
      </c>
      <c r="D338" s="46" t="s">
        <v>49</v>
      </c>
      <c r="E338" s="47"/>
      <c r="F338" s="60"/>
      <c r="G338" s="51"/>
      <c r="H338" s="61"/>
      <c r="I338" s="51"/>
      <c r="J338" s="61"/>
      <c r="K338" s="51"/>
      <c r="L338" s="61"/>
      <c r="M338" s="51"/>
      <c r="N338" s="61"/>
      <c r="O338" s="51"/>
      <c r="P338" s="61"/>
      <c r="Q338" s="53"/>
      <c r="R338" s="62"/>
      <c r="S338" s="51"/>
      <c r="T338" s="63"/>
      <c r="U338" s="51"/>
      <c r="V338" s="61"/>
      <c r="W338" s="51"/>
      <c r="X338" s="61"/>
      <c r="Y338" s="51"/>
      <c r="Z338" s="61"/>
      <c r="AA338" s="51"/>
      <c r="AB338" s="61"/>
      <c r="AC338" s="53"/>
      <c r="AD338" s="61"/>
      <c r="AE338" s="51"/>
      <c r="AF338" s="61"/>
      <c r="AG338" s="51"/>
      <c r="AH338" s="61"/>
      <c r="AI338" s="51"/>
      <c r="AJ338" s="68"/>
      <c r="AK338" s="53"/>
      <c r="AL338" s="61"/>
      <c r="AM338" s="51"/>
      <c r="AN338" s="61"/>
      <c r="AO338" s="51"/>
      <c r="AP338" s="61"/>
      <c r="AQ338" s="51"/>
      <c r="AR338" s="61"/>
      <c r="AS338" s="51"/>
      <c r="AT338" s="61"/>
      <c r="AU338" s="53"/>
      <c r="AV338" s="55">
        <f t="shared" si="1"/>
        <v>0</v>
      </c>
      <c r="AW338" s="46">
        <f t="shared" si="2"/>
        <v>0</v>
      </c>
      <c r="AX338" s="46">
        <f t="shared" si="3"/>
        <v>0</v>
      </c>
      <c r="AY338" s="46">
        <f t="shared" si="4"/>
        <v>0</v>
      </c>
      <c r="AZ338" s="56" t="str">
        <f t="shared" si="5"/>
        <v/>
      </c>
    </row>
    <row r="339" ht="15.75" customHeight="1">
      <c r="A339" s="19" t="s">
        <v>30</v>
      </c>
      <c r="B339" s="57">
        <f t="shared" si="6"/>
        <v>45264</v>
      </c>
      <c r="C339" s="21">
        <v>13.0</v>
      </c>
      <c r="D339" s="21" t="s">
        <v>47</v>
      </c>
      <c r="E339" s="23"/>
      <c r="F339" s="36"/>
      <c r="H339" s="37"/>
      <c r="J339" s="37"/>
      <c r="L339" s="37"/>
      <c r="N339" s="37"/>
      <c r="P339" s="37"/>
      <c r="Q339" s="26"/>
      <c r="R339" s="38"/>
      <c r="T339" s="39"/>
      <c r="V339" s="37"/>
      <c r="X339" s="37"/>
      <c r="Z339" s="37"/>
      <c r="AB339" s="37"/>
      <c r="AC339" s="26"/>
      <c r="AD339" s="37"/>
      <c r="AF339" s="37"/>
      <c r="AH339" s="37"/>
      <c r="AJ339" s="59"/>
      <c r="AK339" s="26"/>
      <c r="AL339" s="37"/>
      <c r="AN339" s="37"/>
      <c r="AP339" s="37"/>
      <c r="AR339" s="37"/>
      <c r="AT339" s="37"/>
      <c r="AU339" s="26"/>
      <c r="AV339" s="29">
        <f t="shared" si="1"/>
        <v>0</v>
      </c>
      <c r="AW339" s="21">
        <f t="shared" si="2"/>
        <v>0</v>
      </c>
      <c r="AX339" s="21">
        <f t="shared" si="3"/>
        <v>0</v>
      </c>
      <c r="AY339" s="21">
        <f t="shared" si="4"/>
        <v>0</v>
      </c>
      <c r="AZ339" s="58" t="str">
        <f t="shared" si="5"/>
        <v/>
      </c>
    </row>
    <row r="340" ht="15.75" customHeight="1">
      <c r="A340" s="31" t="s">
        <v>33</v>
      </c>
      <c r="B340" s="32">
        <f t="shared" si="6"/>
        <v>45265</v>
      </c>
      <c r="C340" s="33">
        <v>13.0</v>
      </c>
      <c r="D340" s="33" t="s">
        <v>47</v>
      </c>
      <c r="E340" s="34"/>
      <c r="F340" s="36"/>
      <c r="H340" s="37"/>
      <c r="J340" s="37"/>
      <c r="L340" s="37"/>
      <c r="N340" s="37"/>
      <c r="P340" s="37"/>
      <c r="Q340" s="26"/>
      <c r="R340" s="38">
        <v>45.0</v>
      </c>
      <c r="T340" s="39">
        <v>47.0</v>
      </c>
      <c r="V340" s="37"/>
      <c r="X340" s="37"/>
      <c r="Z340" s="37"/>
      <c r="AB340" s="37"/>
      <c r="AC340" s="26"/>
      <c r="AD340" s="37"/>
      <c r="AF340" s="37"/>
      <c r="AH340" s="37"/>
      <c r="AJ340" s="59"/>
      <c r="AK340" s="26"/>
      <c r="AL340" s="37"/>
      <c r="AN340" s="37"/>
      <c r="AP340" s="37"/>
      <c r="AR340" s="37"/>
      <c r="AT340" s="37"/>
      <c r="AU340" s="26"/>
      <c r="AV340" s="35">
        <f t="shared" si="1"/>
        <v>932.88</v>
      </c>
      <c r="AW340" s="33">
        <f t="shared" si="2"/>
        <v>92</v>
      </c>
      <c r="AX340" s="33">
        <f t="shared" si="3"/>
        <v>0</v>
      </c>
      <c r="AY340" s="33">
        <f t="shared" si="4"/>
        <v>92</v>
      </c>
      <c r="AZ340" s="30">
        <f t="shared" si="5"/>
        <v>10.14</v>
      </c>
    </row>
    <row r="341" ht="15.75" customHeight="1">
      <c r="A341" s="31" t="s">
        <v>34</v>
      </c>
      <c r="B341" s="32">
        <f t="shared" si="6"/>
        <v>45266</v>
      </c>
      <c r="C341" s="33">
        <v>13.0</v>
      </c>
      <c r="D341" s="33" t="s">
        <v>47</v>
      </c>
      <c r="E341" s="34"/>
      <c r="F341" s="36"/>
      <c r="H341" s="37"/>
      <c r="J341" s="37"/>
      <c r="L341" s="37"/>
      <c r="N341" s="37"/>
      <c r="P341" s="37"/>
      <c r="Q341" s="26"/>
      <c r="R341" s="38">
        <v>50.0</v>
      </c>
      <c r="T341" s="39">
        <v>60.0</v>
      </c>
      <c r="V341" s="37"/>
      <c r="X341" s="37"/>
      <c r="Z341" s="37"/>
      <c r="AB341" s="37"/>
      <c r="AC341" s="26"/>
      <c r="AD341" s="37"/>
      <c r="AF341" s="37"/>
      <c r="AH341" s="37"/>
      <c r="AJ341" s="59"/>
      <c r="AK341" s="26"/>
      <c r="AL341" s="37"/>
      <c r="AN341" s="37"/>
      <c r="AP341" s="37"/>
      <c r="AR341" s="37"/>
      <c r="AT341" s="37"/>
      <c r="AU341" s="26"/>
      <c r="AV341" s="35">
        <f t="shared" si="1"/>
        <v>1115.4</v>
      </c>
      <c r="AW341" s="33">
        <f t="shared" si="2"/>
        <v>110</v>
      </c>
      <c r="AX341" s="33">
        <f t="shared" si="3"/>
        <v>0</v>
      </c>
      <c r="AY341" s="33">
        <f t="shared" si="4"/>
        <v>110</v>
      </c>
      <c r="AZ341" s="30">
        <f t="shared" si="5"/>
        <v>10.14</v>
      </c>
    </row>
    <row r="342" ht="15.75" customHeight="1">
      <c r="A342" s="31" t="s">
        <v>35</v>
      </c>
      <c r="B342" s="32">
        <f t="shared" si="6"/>
        <v>45267</v>
      </c>
      <c r="C342" s="33">
        <v>13.0</v>
      </c>
      <c r="D342" s="33" t="s">
        <v>47</v>
      </c>
      <c r="E342" s="34"/>
      <c r="F342" s="36"/>
      <c r="H342" s="37"/>
      <c r="J342" s="37"/>
      <c r="L342" s="37"/>
      <c r="N342" s="37"/>
      <c r="P342" s="37"/>
      <c r="Q342" s="26"/>
      <c r="R342" s="38">
        <v>40.0</v>
      </c>
      <c r="T342" s="39">
        <v>52.0</v>
      </c>
      <c r="V342" s="37"/>
      <c r="X342" s="37"/>
      <c r="Z342" s="37"/>
      <c r="AB342" s="37"/>
      <c r="AC342" s="26"/>
      <c r="AD342" s="37"/>
      <c r="AF342" s="37"/>
      <c r="AH342" s="37"/>
      <c r="AJ342" s="59"/>
      <c r="AK342" s="26"/>
      <c r="AL342" s="37"/>
      <c r="AN342" s="37"/>
      <c r="AP342" s="37"/>
      <c r="AR342" s="37"/>
      <c r="AT342" s="37"/>
      <c r="AU342" s="26"/>
      <c r="AV342" s="35">
        <f t="shared" si="1"/>
        <v>932.88</v>
      </c>
      <c r="AW342" s="33">
        <f t="shared" si="2"/>
        <v>92</v>
      </c>
      <c r="AX342" s="33">
        <f t="shared" si="3"/>
        <v>0</v>
      </c>
      <c r="AY342" s="33">
        <f t="shared" si="4"/>
        <v>92</v>
      </c>
      <c r="AZ342" s="30">
        <f t="shared" si="5"/>
        <v>10.14</v>
      </c>
    </row>
    <row r="343" ht="15.75" customHeight="1">
      <c r="A343" s="31" t="s">
        <v>38</v>
      </c>
      <c r="B343" s="32">
        <f t="shared" si="6"/>
        <v>45268</v>
      </c>
      <c r="C343" s="33">
        <v>13.0</v>
      </c>
      <c r="D343" s="33" t="s">
        <v>47</v>
      </c>
      <c r="E343" s="34"/>
      <c r="F343" s="36"/>
      <c r="H343" s="37"/>
      <c r="J343" s="37"/>
      <c r="L343" s="37"/>
      <c r="N343" s="37"/>
      <c r="P343" s="37"/>
      <c r="Q343" s="26"/>
      <c r="R343" s="38">
        <v>45.0</v>
      </c>
      <c r="T343" s="39">
        <v>52.0</v>
      </c>
      <c r="V343" s="37"/>
      <c r="X343" s="37"/>
      <c r="Z343" s="37"/>
      <c r="AB343" s="37"/>
      <c r="AC343" s="26"/>
      <c r="AD343" s="37"/>
      <c r="AF343" s="37"/>
      <c r="AH343" s="37"/>
      <c r="AJ343" s="59"/>
      <c r="AK343" s="26"/>
      <c r="AL343" s="37"/>
      <c r="AN343" s="37"/>
      <c r="AP343" s="37"/>
      <c r="AR343" s="37"/>
      <c r="AT343" s="37"/>
      <c r="AU343" s="26"/>
      <c r="AV343" s="35">
        <f t="shared" si="1"/>
        <v>983.58</v>
      </c>
      <c r="AW343" s="33">
        <f t="shared" si="2"/>
        <v>97</v>
      </c>
      <c r="AX343" s="33">
        <f t="shared" si="3"/>
        <v>0</v>
      </c>
      <c r="AY343" s="33">
        <f t="shared" si="4"/>
        <v>97</v>
      </c>
      <c r="AZ343" s="30">
        <f t="shared" si="5"/>
        <v>10.14</v>
      </c>
    </row>
    <row r="344" ht="15.75" customHeight="1">
      <c r="A344" s="31" t="s">
        <v>45</v>
      </c>
      <c r="B344" s="32">
        <f t="shared" si="6"/>
        <v>45269</v>
      </c>
      <c r="C344" s="33">
        <v>13.0</v>
      </c>
      <c r="D344" s="33" t="s">
        <v>47</v>
      </c>
      <c r="E344" s="34"/>
      <c r="F344" s="36"/>
      <c r="H344" s="37"/>
      <c r="J344" s="37"/>
      <c r="L344" s="37"/>
      <c r="N344" s="37"/>
      <c r="P344" s="37"/>
      <c r="Q344" s="26"/>
      <c r="R344" s="38"/>
      <c r="T344" s="39"/>
      <c r="V344" s="37"/>
      <c r="X344" s="37"/>
      <c r="Z344" s="37"/>
      <c r="AB344" s="37"/>
      <c r="AC344" s="26"/>
      <c r="AD344" s="37"/>
      <c r="AF344" s="37"/>
      <c r="AH344" s="37"/>
      <c r="AJ344" s="59"/>
      <c r="AK344" s="26"/>
      <c r="AL344" s="37"/>
      <c r="AN344" s="37"/>
      <c r="AP344" s="37"/>
      <c r="AR344" s="37"/>
      <c r="AT344" s="37"/>
      <c r="AU344" s="26"/>
      <c r="AV344" s="35">
        <f t="shared" si="1"/>
        <v>0</v>
      </c>
      <c r="AW344" s="33">
        <f t="shared" si="2"/>
        <v>0</v>
      </c>
      <c r="AX344" s="33">
        <f t="shared" si="3"/>
        <v>0</v>
      </c>
      <c r="AY344" s="33">
        <f t="shared" si="4"/>
        <v>0</v>
      </c>
      <c r="AZ344" s="30" t="str">
        <f t="shared" si="5"/>
        <v/>
      </c>
    </row>
    <row r="345" ht="15.75" customHeight="1">
      <c r="A345" s="44" t="s">
        <v>46</v>
      </c>
      <c r="B345" s="45">
        <f t="shared" si="6"/>
        <v>45270</v>
      </c>
      <c r="C345" s="46">
        <v>13.0</v>
      </c>
      <c r="D345" s="46" t="s">
        <v>47</v>
      </c>
      <c r="E345" s="47"/>
      <c r="F345" s="60"/>
      <c r="G345" s="51"/>
      <c r="H345" s="61"/>
      <c r="I345" s="51"/>
      <c r="J345" s="61"/>
      <c r="K345" s="51"/>
      <c r="L345" s="61"/>
      <c r="M345" s="51"/>
      <c r="N345" s="61"/>
      <c r="O345" s="51"/>
      <c r="P345" s="61"/>
      <c r="Q345" s="53"/>
      <c r="R345" s="62"/>
      <c r="S345" s="51"/>
      <c r="T345" s="63"/>
      <c r="U345" s="51"/>
      <c r="V345" s="61"/>
      <c r="W345" s="51"/>
      <c r="X345" s="61"/>
      <c r="Y345" s="51"/>
      <c r="Z345" s="61"/>
      <c r="AA345" s="51"/>
      <c r="AB345" s="61"/>
      <c r="AC345" s="53"/>
      <c r="AD345" s="61"/>
      <c r="AE345" s="51"/>
      <c r="AF345" s="61"/>
      <c r="AG345" s="51"/>
      <c r="AH345" s="61"/>
      <c r="AI345" s="51"/>
      <c r="AJ345" s="68"/>
      <c r="AK345" s="53"/>
      <c r="AL345" s="61"/>
      <c r="AM345" s="51"/>
      <c r="AN345" s="61"/>
      <c r="AO345" s="51"/>
      <c r="AP345" s="61"/>
      <c r="AQ345" s="51"/>
      <c r="AR345" s="61"/>
      <c r="AS345" s="51"/>
      <c r="AT345" s="61"/>
      <c r="AU345" s="53"/>
      <c r="AV345" s="55">
        <f t="shared" si="1"/>
        <v>0</v>
      </c>
      <c r="AW345" s="46">
        <f t="shared" si="2"/>
        <v>0</v>
      </c>
      <c r="AX345" s="46">
        <f t="shared" si="3"/>
        <v>0</v>
      </c>
      <c r="AY345" s="46">
        <f t="shared" si="4"/>
        <v>0</v>
      </c>
      <c r="AZ345" s="56" t="str">
        <f t="shared" si="5"/>
        <v/>
      </c>
    </row>
    <row r="346" ht="15.75" customHeight="1">
      <c r="A346" s="19" t="s">
        <v>30</v>
      </c>
      <c r="B346" s="57">
        <f t="shared" si="6"/>
        <v>45271</v>
      </c>
      <c r="C346" s="21">
        <v>13.0</v>
      </c>
      <c r="D346" s="21" t="s">
        <v>48</v>
      </c>
      <c r="E346" s="23"/>
      <c r="F346" s="36"/>
      <c r="H346" s="37"/>
      <c r="J346" s="37"/>
      <c r="L346" s="37"/>
      <c r="N346" s="37"/>
      <c r="P346" s="37"/>
      <c r="Q346" s="26"/>
      <c r="R346" s="38">
        <v>47.0</v>
      </c>
      <c r="T346" s="39">
        <v>74.0</v>
      </c>
      <c r="V346" s="37"/>
      <c r="X346" s="37"/>
      <c r="Z346" s="37"/>
      <c r="AB346" s="37"/>
      <c r="AC346" s="26"/>
      <c r="AD346" s="37"/>
      <c r="AF346" s="37"/>
      <c r="AH346" s="37"/>
      <c r="AJ346" s="59"/>
      <c r="AK346" s="26"/>
      <c r="AL346" s="37"/>
      <c r="AN346" s="37"/>
      <c r="AP346" s="37"/>
      <c r="AR346" s="37"/>
      <c r="AT346" s="37"/>
      <c r="AU346" s="26"/>
      <c r="AV346" s="29">
        <f t="shared" si="1"/>
        <v>1226.94</v>
      </c>
      <c r="AW346" s="21">
        <f t="shared" si="2"/>
        <v>121</v>
      </c>
      <c r="AX346" s="21">
        <f t="shared" si="3"/>
        <v>0</v>
      </c>
      <c r="AY346" s="21">
        <f t="shared" si="4"/>
        <v>121</v>
      </c>
      <c r="AZ346" s="58">
        <f t="shared" si="5"/>
        <v>10.14</v>
      </c>
    </row>
    <row r="347" ht="15.75" customHeight="1">
      <c r="A347" s="31" t="s">
        <v>33</v>
      </c>
      <c r="B347" s="32">
        <f t="shared" si="6"/>
        <v>45272</v>
      </c>
      <c r="C347" s="33">
        <v>13.0</v>
      </c>
      <c r="D347" s="33" t="s">
        <v>48</v>
      </c>
      <c r="E347" s="34"/>
      <c r="F347" s="36"/>
      <c r="H347" s="37"/>
      <c r="J347" s="37"/>
      <c r="L347" s="37"/>
      <c r="N347" s="37"/>
      <c r="P347" s="37"/>
      <c r="Q347" s="26"/>
      <c r="R347" s="38">
        <v>49.0</v>
      </c>
      <c r="T347" s="39">
        <v>64.0</v>
      </c>
      <c r="V347" s="37"/>
      <c r="X347" s="37"/>
      <c r="Z347" s="37"/>
      <c r="AB347" s="37"/>
      <c r="AC347" s="26"/>
      <c r="AD347" s="37"/>
      <c r="AF347" s="37"/>
      <c r="AH347" s="37"/>
      <c r="AJ347" s="59"/>
      <c r="AK347" s="26"/>
      <c r="AL347" s="37"/>
      <c r="AN347" s="37"/>
      <c r="AP347" s="37"/>
      <c r="AR347" s="37"/>
      <c r="AT347" s="37"/>
      <c r="AU347" s="26"/>
      <c r="AV347" s="35">
        <f t="shared" si="1"/>
        <v>1145.82</v>
      </c>
      <c r="AW347" s="33">
        <f t="shared" si="2"/>
        <v>113</v>
      </c>
      <c r="AX347" s="33">
        <f t="shared" si="3"/>
        <v>0</v>
      </c>
      <c r="AY347" s="33">
        <f t="shared" si="4"/>
        <v>113</v>
      </c>
      <c r="AZ347" s="30">
        <f t="shared" si="5"/>
        <v>10.14</v>
      </c>
    </row>
    <row r="348" ht="15.75" customHeight="1">
      <c r="A348" s="31" t="s">
        <v>34</v>
      </c>
      <c r="B348" s="32">
        <f t="shared" si="6"/>
        <v>45273</v>
      </c>
      <c r="C348" s="33">
        <v>13.0</v>
      </c>
      <c r="D348" s="33" t="s">
        <v>48</v>
      </c>
      <c r="E348" s="34"/>
      <c r="F348" s="36"/>
      <c r="H348" s="37"/>
      <c r="J348" s="37"/>
      <c r="L348" s="37"/>
      <c r="N348" s="37"/>
      <c r="P348" s="37"/>
      <c r="Q348" s="26"/>
      <c r="R348" s="38">
        <v>49.0</v>
      </c>
      <c r="T348" s="39">
        <v>66.0</v>
      </c>
      <c r="V348" s="37"/>
      <c r="X348" s="37"/>
      <c r="Z348" s="37"/>
      <c r="AB348" s="37"/>
      <c r="AC348" s="26"/>
      <c r="AD348" s="37"/>
      <c r="AF348" s="37"/>
      <c r="AH348" s="37"/>
      <c r="AJ348" s="59"/>
      <c r="AK348" s="26"/>
      <c r="AL348" s="37"/>
      <c r="AN348" s="37"/>
      <c r="AP348" s="37"/>
      <c r="AR348" s="37"/>
      <c r="AT348" s="37"/>
      <c r="AU348" s="26"/>
      <c r="AV348" s="35">
        <f t="shared" si="1"/>
        <v>1166.1</v>
      </c>
      <c r="AW348" s="33">
        <f t="shared" si="2"/>
        <v>115</v>
      </c>
      <c r="AX348" s="33">
        <f t="shared" si="3"/>
        <v>0</v>
      </c>
      <c r="AY348" s="33">
        <f t="shared" si="4"/>
        <v>115</v>
      </c>
      <c r="AZ348" s="30">
        <f t="shared" si="5"/>
        <v>10.14</v>
      </c>
    </row>
    <row r="349" ht="15.75" customHeight="1">
      <c r="A349" s="31" t="s">
        <v>35</v>
      </c>
      <c r="B349" s="32">
        <f t="shared" si="6"/>
        <v>45274</v>
      </c>
      <c r="C349" s="33">
        <v>13.0</v>
      </c>
      <c r="D349" s="33" t="s">
        <v>48</v>
      </c>
      <c r="E349" s="34"/>
      <c r="F349" s="36"/>
      <c r="H349" s="37"/>
      <c r="J349" s="37"/>
      <c r="L349" s="37"/>
      <c r="N349" s="37"/>
      <c r="P349" s="37"/>
      <c r="Q349" s="26"/>
      <c r="R349" s="38">
        <v>22.0</v>
      </c>
      <c r="T349" s="39">
        <v>33.0</v>
      </c>
      <c r="V349" s="37"/>
      <c r="X349" s="37"/>
      <c r="Z349" s="37"/>
      <c r="AB349" s="37"/>
      <c r="AC349" s="26"/>
      <c r="AD349" s="37"/>
      <c r="AF349" s="37"/>
      <c r="AH349" s="37"/>
      <c r="AJ349" s="59"/>
      <c r="AK349" s="26"/>
      <c r="AL349" s="37"/>
      <c r="AN349" s="37"/>
      <c r="AP349" s="37"/>
      <c r="AR349" s="37"/>
      <c r="AT349" s="37"/>
      <c r="AU349" s="26"/>
      <c r="AV349" s="35">
        <f t="shared" si="1"/>
        <v>557.7</v>
      </c>
      <c r="AW349" s="33">
        <f t="shared" si="2"/>
        <v>55</v>
      </c>
      <c r="AX349" s="33">
        <f t="shared" si="3"/>
        <v>0</v>
      </c>
      <c r="AY349" s="33">
        <f t="shared" si="4"/>
        <v>55</v>
      </c>
      <c r="AZ349" s="30">
        <f t="shared" si="5"/>
        <v>10.14</v>
      </c>
    </row>
    <row r="350" ht="15.75" customHeight="1">
      <c r="A350" s="31" t="s">
        <v>38</v>
      </c>
      <c r="B350" s="32">
        <f t="shared" si="6"/>
        <v>45275</v>
      </c>
      <c r="C350" s="33">
        <v>13.0</v>
      </c>
      <c r="D350" s="33" t="s">
        <v>48</v>
      </c>
      <c r="E350" s="34"/>
      <c r="F350" s="36"/>
      <c r="H350" s="37"/>
      <c r="J350" s="37"/>
      <c r="L350" s="37"/>
      <c r="N350" s="37"/>
      <c r="P350" s="37"/>
      <c r="Q350" s="26"/>
      <c r="R350" s="38"/>
      <c r="T350" s="39"/>
      <c r="V350" s="37"/>
      <c r="X350" s="37"/>
      <c r="Z350" s="37"/>
      <c r="AB350" s="37"/>
      <c r="AC350" s="26"/>
      <c r="AD350" s="37"/>
      <c r="AF350" s="37"/>
      <c r="AH350" s="37"/>
      <c r="AJ350" s="59"/>
      <c r="AK350" s="26"/>
      <c r="AL350" s="37"/>
      <c r="AN350" s="37"/>
      <c r="AP350" s="37"/>
      <c r="AR350" s="37"/>
      <c r="AT350" s="37"/>
      <c r="AU350" s="26"/>
      <c r="AV350" s="35">
        <f t="shared" si="1"/>
        <v>0</v>
      </c>
      <c r="AW350" s="33">
        <f t="shared" si="2"/>
        <v>0</v>
      </c>
      <c r="AX350" s="33">
        <f t="shared" si="3"/>
        <v>0</v>
      </c>
      <c r="AY350" s="33">
        <f t="shared" si="4"/>
        <v>0</v>
      </c>
      <c r="AZ350" s="30" t="str">
        <f t="shared" si="5"/>
        <v/>
      </c>
    </row>
    <row r="351" ht="15.75" customHeight="1">
      <c r="A351" s="31" t="s">
        <v>45</v>
      </c>
      <c r="B351" s="32">
        <f t="shared" si="6"/>
        <v>45276</v>
      </c>
      <c r="C351" s="33">
        <v>13.0</v>
      </c>
      <c r="D351" s="33" t="s">
        <v>48</v>
      </c>
      <c r="E351" s="34"/>
      <c r="F351" s="36"/>
      <c r="H351" s="37"/>
      <c r="J351" s="37"/>
      <c r="L351" s="37"/>
      <c r="N351" s="37"/>
      <c r="P351" s="37"/>
      <c r="Q351" s="26"/>
      <c r="R351" s="38"/>
      <c r="T351" s="39"/>
      <c r="V351" s="37"/>
      <c r="X351" s="37"/>
      <c r="Z351" s="37"/>
      <c r="AB351" s="37"/>
      <c r="AC351" s="26"/>
      <c r="AD351" s="37"/>
      <c r="AF351" s="37"/>
      <c r="AH351" s="37"/>
      <c r="AJ351" s="59"/>
      <c r="AK351" s="26"/>
      <c r="AL351" s="37"/>
      <c r="AN351" s="37"/>
      <c r="AP351" s="37"/>
      <c r="AR351" s="37"/>
      <c r="AT351" s="37"/>
      <c r="AU351" s="26"/>
      <c r="AV351" s="35">
        <f t="shared" si="1"/>
        <v>0</v>
      </c>
      <c r="AW351" s="33">
        <f t="shared" si="2"/>
        <v>0</v>
      </c>
      <c r="AX351" s="33">
        <f t="shared" si="3"/>
        <v>0</v>
      </c>
      <c r="AY351" s="33">
        <f t="shared" si="4"/>
        <v>0</v>
      </c>
      <c r="AZ351" s="30" t="str">
        <f t="shared" si="5"/>
        <v/>
      </c>
    </row>
    <row r="352" ht="15.75" customHeight="1">
      <c r="A352" s="44" t="s">
        <v>46</v>
      </c>
      <c r="B352" s="45">
        <f t="shared" si="6"/>
        <v>45277</v>
      </c>
      <c r="C352" s="46">
        <v>13.0</v>
      </c>
      <c r="D352" s="46" t="s">
        <v>48</v>
      </c>
      <c r="E352" s="47"/>
      <c r="F352" s="60"/>
      <c r="G352" s="51"/>
      <c r="H352" s="61"/>
      <c r="I352" s="51"/>
      <c r="J352" s="61"/>
      <c r="K352" s="51"/>
      <c r="L352" s="61"/>
      <c r="M352" s="51"/>
      <c r="N352" s="61"/>
      <c r="O352" s="51"/>
      <c r="P352" s="61"/>
      <c r="Q352" s="53"/>
      <c r="R352" s="62"/>
      <c r="S352" s="51"/>
      <c r="T352" s="63"/>
      <c r="U352" s="51"/>
      <c r="V352" s="61"/>
      <c r="W352" s="51"/>
      <c r="X352" s="61"/>
      <c r="Y352" s="51"/>
      <c r="Z352" s="61"/>
      <c r="AA352" s="51"/>
      <c r="AB352" s="61"/>
      <c r="AC352" s="53"/>
      <c r="AD352" s="61"/>
      <c r="AE352" s="51"/>
      <c r="AF352" s="61"/>
      <c r="AG352" s="51"/>
      <c r="AH352" s="61"/>
      <c r="AI352" s="51"/>
      <c r="AJ352" s="68"/>
      <c r="AK352" s="53"/>
      <c r="AL352" s="61"/>
      <c r="AM352" s="51"/>
      <c r="AN352" s="61"/>
      <c r="AO352" s="51"/>
      <c r="AP352" s="61"/>
      <c r="AQ352" s="51"/>
      <c r="AR352" s="61"/>
      <c r="AS352" s="51"/>
      <c r="AT352" s="61"/>
      <c r="AU352" s="53"/>
      <c r="AV352" s="55">
        <f t="shared" si="1"/>
        <v>0</v>
      </c>
      <c r="AW352" s="46">
        <f t="shared" si="2"/>
        <v>0</v>
      </c>
      <c r="AX352" s="46">
        <f t="shared" si="3"/>
        <v>0</v>
      </c>
      <c r="AY352" s="46">
        <f t="shared" si="4"/>
        <v>0</v>
      </c>
      <c r="AZ352" s="56" t="str">
        <f t="shared" si="5"/>
        <v/>
      </c>
    </row>
    <row r="353" ht="15.75" customHeight="1">
      <c r="A353" s="19" t="s">
        <v>30</v>
      </c>
      <c r="B353" s="57">
        <f t="shared" si="6"/>
        <v>45278</v>
      </c>
      <c r="C353" s="21">
        <v>13.0</v>
      </c>
      <c r="D353" s="21" t="s">
        <v>49</v>
      </c>
      <c r="E353" s="23"/>
      <c r="F353" s="36"/>
      <c r="H353" s="37"/>
      <c r="J353" s="37"/>
      <c r="L353" s="37"/>
      <c r="N353" s="37"/>
      <c r="P353" s="37"/>
      <c r="Q353" s="26"/>
      <c r="R353" s="36"/>
      <c r="T353" s="37"/>
      <c r="V353" s="37"/>
      <c r="X353" s="37"/>
      <c r="Z353" s="37"/>
      <c r="AB353" s="37"/>
      <c r="AC353" s="26"/>
      <c r="AD353" s="37"/>
      <c r="AF353" s="37"/>
      <c r="AH353" s="37"/>
      <c r="AJ353" s="59"/>
      <c r="AK353" s="26"/>
      <c r="AL353" s="37"/>
      <c r="AN353" s="37"/>
      <c r="AP353" s="37"/>
      <c r="AR353" s="37"/>
      <c r="AT353" s="37"/>
      <c r="AU353" s="26"/>
      <c r="AV353" s="29">
        <f t="shared" si="1"/>
        <v>0</v>
      </c>
      <c r="AW353" s="21">
        <f t="shared" si="2"/>
        <v>0</v>
      </c>
      <c r="AX353" s="21">
        <f t="shared" si="3"/>
        <v>0</v>
      </c>
      <c r="AY353" s="21">
        <f t="shared" si="4"/>
        <v>0</v>
      </c>
      <c r="AZ353" s="58" t="str">
        <f t="shared" si="5"/>
        <v/>
      </c>
    </row>
    <row r="354" ht="15.75" customHeight="1">
      <c r="A354" s="31" t="s">
        <v>33</v>
      </c>
      <c r="B354" s="32">
        <f t="shared" si="6"/>
        <v>45279</v>
      </c>
      <c r="C354" s="33">
        <v>13.0</v>
      </c>
      <c r="D354" s="33" t="s">
        <v>49</v>
      </c>
      <c r="E354" s="34"/>
      <c r="F354" s="36"/>
      <c r="H354" s="37"/>
      <c r="J354" s="37"/>
      <c r="L354" s="37"/>
      <c r="N354" s="37"/>
      <c r="P354" s="37"/>
      <c r="Q354" s="26"/>
      <c r="R354" s="36"/>
      <c r="T354" s="37"/>
      <c r="V354" s="37"/>
      <c r="X354" s="37"/>
      <c r="Z354" s="37"/>
      <c r="AB354" s="37"/>
      <c r="AC354" s="26"/>
      <c r="AD354" s="37"/>
      <c r="AF354" s="37"/>
      <c r="AH354" s="37"/>
      <c r="AJ354" s="59"/>
      <c r="AK354" s="26"/>
      <c r="AL354" s="37"/>
      <c r="AN354" s="37"/>
      <c r="AP354" s="37"/>
      <c r="AR354" s="37"/>
      <c r="AT354" s="37"/>
      <c r="AU354" s="26"/>
      <c r="AV354" s="35">
        <f t="shared" si="1"/>
        <v>0</v>
      </c>
      <c r="AW354" s="33">
        <f t="shared" si="2"/>
        <v>0</v>
      </c>
      <c r="AX354" s="33">
        <f t="shared" si="3"/>
        <v>0</v>
      </c>
      <c r="AY354" s="33">
        <f t="shared" si="4"/>
        <v>0</v>
      </c>
      <c r="AZ354" s="30" t="str">
        <f t="shared" si="5"/>
        <v/>
      </c>
    </row>
    <row r="355" ht="15.75" customHeight="1">
      <c r="A355" s="31" t="s">
        <v>34</v>
      </c>
      <c r="B355" s="32">
        <f t="shared" si="6"/>
        <v>45280</v>
      </c>
      <c r="C355" s="33">
        <v>13.0</v>
      </c>
      <c r="D355" s="33" t="s">
        <v>49</v>
      </c>
      <c r="E355" s="34"/>
      <c r="F355" s="36"/>
      <c r="H355" s="37"/>
      <c r="J355" s="37"/>
      <c r="L355" s="37"/>
      <c r="N355" s="37"/>
      <c r="P355" s="37"/>
      <c r="Q355" s="26"/>
      <c r="R355" s="36"/>
      <c r="T355" s="37"/>
      <c r="V355" s="37"/>
      <c r="X355" s="37"/>
      <c r="Z355" s="37"/>
      <c r="AB355" s="37"/>
      <c r="AC355" s="26"/>
      <c r="AD355" s="37"/>
      <c r="AF355" s="37"/>
      <c r="AH355" s="37"/>
      <c r="AJ355" s="59"/>
      <c r="AK355" s="26"/>
      <c r="AL355" s="37"/>
      <c r="AN355" s="37"/>
      <c r="AP355" s="37"/>
      <c r="AR355" s="37"/>
      <c r="AT355" s="37"/>
      <c r="AU355" s="26"/>
      <c r="AV355" s="35">
        <f t="shared" si="1"/>
        <v>0</v>
      </c>
      <c r="AW355" s="33">
        <f t="shared" si="2"/>
        <v>0</v>
      </c>
      <c r="AX355" s="33">
        <f t="shared" si="3"/>
        <v>0</v>
      </c>
      <c r="AY355" s="33">
        <f t="shared" si="4"/>
        <v>0</v>
      </c>
      <c r="AZ355" s="30" t="str">
        <f t="shared" si="5"/>
        <v/>
      </c>
    </row>
    <row r="356" ht="15.75" customHeight="1">
      <c r="A356" s="31" t="s">
        <v>35</v>
      </c>
      <c r="B356" s="32">
        <f t="shared" si="6"/>
        <v>45281</v>
      </c>
      <c r="C356" s="33">
        <v>13.0</v>
      </c>
      <c r="D356" s="33" t="s">
        <v>49</v>
      </c>
      <c r="E356" s="34"/>
      <c r="F356" s="36"/>
      <c r="H356" s="37"/>
      <c r="J356" s="37"/>
      <c r="L356" s="37"/>
      <c r="N356" s="37"/>
      <c r="P356" s="37"/>
      <c r="Q356" s="26"/>
      <c r="R356" s="36"/>
      <c r="T356" s="37"/>
      <c r="V356" s="37"/>
      <c r="X356" s="37"/>
      <c r="Z356" s="37"/>
      <c r="AB356" s="37"/>
      <c r="AC356" s="26"/>
      <c r="AD356" s="37"/>
      <c r="AF356" s="37"/>
      <c r="AH356" s="37"/>
      <c r="AJ356" s="59"/>
      <c r="AK356" s="26"/>
      <c r="AL356" s="37"/>
      <c r="AN356" s="37"/>
      <c r="AP356" s="37"/>
      <c r="AR356" s="37"/>
      <c r="AT356" s="37"/>
      <c r="AU356" s="26"/>
      <c r="AV356" s="35">
        <f t="shared" si="1"/>
        <v>0</v>
      </c>
      <c r="AW356" s="33">
        <f t="shared" si="2"/>
        <v>0</v>
      </c>
      <c r="AX356" s="33">
        <f t="shared" si="3"/>
        <v>0</v>
      </c>
      <c r="AY356" s="33">
        <f t="shared" si="4"/>
        <v>0</v>
      </c>
      <c r="AZ356" s="30" t="str">
        <f t="shared" si="5"/>
        <v/>
      </c>
    </row>
    <row r="357" ht="15.75" customHeight="1">
      <c r="A357" s="31" t="s">
        <v>38</v>
      </c>
      <c r="B357" s="32">
        <f t="shared" si="6"/>
        <v>45282</v>
      </c>
      <c r="C357" s="33">
        <v>13.0</v>
      </c>
      <c r="D357" s="33" t="s">
        <v>49</v>
      </c>
      <c r="E357" s="34"/>
      <c r="F357" s="36"/>
      <c r="H357" s="37"/>
      <c r="J357" s="37"/>
      <c r="L357" s="37"/>
      <c r="N357" s="37"/>
      <c r="P357" s="37"/>
      <c r="Q357" s="26"/>
      <c r="R357" s="36"/>
      <c r="T357" s="37"/>
      <c r="V357" s="37"/>
      <c r="X357" s="37"/>
      <c r="Z357" s="37"/>
      <c r="AB357" s="37"/>
      <c r="AC357" s="26"/>
      <c r="AD357" s="37"/>
      <c r="AF357" s="37"/>
      <c r="AH357" s="37"/>
      <c r="AJ357" s="59"/>
      <c r="AK357" s="26"/>
      <c r="AL357" s="37"/>
      <c r="AN357" s="37"/>
      <c r="AP357" s="37"/>
      <c r="AR357" s="37"/>
      <c r="AT357" s="37"/>
      <c r="AU357" s="26"/>
      <c r="AV357" s="35">
        <f t="shared" si="1"/>
        <v>0</v>
      </c>
      <c r="AW357" s="33">
        <f t="shared" si="2"/>
        <v>0</v>
      </c>
      <c r="AX357" s="33">
        <f t="shared" si="3"/>
        <v>0</v>
      </c>
      <c r="AY357" s="33">
        <f t="shared" si="4"/>
        <v>0</v>
      </c>
      <c r="AZ357" s="30" t="str">
        <f t="shared" si="5"/>
        <v/>
      </c>
    </row>
    <row r="358" ht="15.75" customHeight="1">
      <c r="A358" s="31" t="s">
        <v>45</v>
      </c>
      <c r="B358" s="32">
        <f t="shared" si="6"/>
        <v>45283</v>
      </c>
      <c r="C358" s="33">
        <v>13.0</v>
      </c>
      <c r="D358" s="33" t="s">
        <v>49</v>
      </c>
      <c r="E358" s="34"/>
      <c r="F358" s="36"/>
      <c r="H358" s="37"/>
      <c r="J358" s="37"/>
      <c r="L358" s="37"/>
      <c r="N358" s="37"/>
      <c r="P358" s="37"/>
      <c r="Q358" s="26"/>
      <c r="R358" s="36"/>
      <c r="T358" s="37"/>
      <c r="V358" s="37"/>
      <c r="X358" s="37"/>
      <c r="Z358" s="37"/>
      <c r="AB358" s="37"/>
      <c r="AC358" s="26"/>
      <c r="AD358" s="37"/>
      <c r="AF358" s="37"/>
      <c r="AH358" s="37"/>
      <c r="AJ358" s="59"/>
      <c r="AK358" s="26"/>
      <c r="AL358" s="37"/>
      <c r="AN358" s="37"/>
      <c r="AP358" s="37"/>
      <c r="AR358" s="37"/>
      <c r="AT358" s="37"/>
      <c r="AU358" s="26"/>
      <c r="AV358" s="35">
        <f t="shared" si="1"/>
        <v>0</v>
      </c>
      <c r="AW358" s="33">
        <f t="shared" si="2"/>
        <v>0</v>
      </c>
      <c r="AX358" s="33">
        <f t="shared" si="3"/>
        <v>0</v>
      </c>
      <c r="AY358" s="33">
        <f t="shared" si="4"/>
        <v>0</v>
      </c>
      <c r="AZ358" s="30" t="str">
        <f t="shared" si="5"/>
        <v/>
      </c>
    </row>
    <row r="359" ht="15.75" customHeight="1">
      <c r="A359" s="44" t="s">
        <v>46</v>
      </c>
      <c r="B359" s="45">
        <f t="shared" si="6"/>
        <v>45284</v>
      </c>
      <c r="C359" s="46">
        <v>13.0</v>
      </c>
      <c r="D359" s="46" t="s">
        <v>49</v>
      </c>
      <c r="E359" s="47"/>
      <c r="F359" s="60"/>
      <c r="G359" s="51"/>
      <c r="H359" s="61"/>
      <c r="I359" s="51"/>
      <c r="J359" s="61"/>
      <c r="K359" s="51"/>
      <c r="L359" s="61"/>
      <c r="M359" s="51"/>
      <c r="N359" s="61"/>
      <c r="O359" s="51"/>
      <c r="P359" s="61"/>
      <c r="Q359" s="53"/>
      <c r="R359" s="60"/>
      <c r="S359" s="51"/>
      <c r="T359" s="61"/>
      <c r="U359" s="51"/>
      <c r="V359" s="61"/>
      <c r="W359" s="51"/>
      <c r="X359" s="61"/>
      <c r="Y359" s="51"/>
      <c r="Z359" s="61"/>
      <c r="AA359" s="51"/>
      <c r="AB359" s="61"/>
      <c r="AC359" s="53"/>
      <c r="AD359" s="61"/>
      <c r="AE359" s="51"/>
      <c r="AF359" s="61"/>
      <c r="AG359" s="51"/>
      <c r="AH359" s="61"/>
      <c r="AI359" s="51"/>
      <c r="AJ359" s="68"/>
      <c r="AK359" s="53"/>
      <c r="AL359" s="61"/>
      <c r="AM359" s="51"/>
      <c r="AN359" s="61"/>
      <c r="AO359" s="51"/>
      <c r="AP359" s="61"/>
      <c r="AQ359" s="51"/>
      <c r="AR359" s="61"/>
      <c r="AS359" s="51"/>
      <c r="AT359" s="61"/>
      <c r="AU359" s="53"/>
      <c r="AV359" s="55">
        <f t="shared" si="1"/>
        <v>0</v>
      </c>
      <c r="AW359" s="46">
        <f t="shared" si="2"/>
        <v>0</v>
      </c>
      <c r="AX359" s="46">
        <f t="shared" si="3"/>
        <v>0</v>
      </c>
      <c r="AY359" s="46">
        <f t="shared" si="4"/>
        <v>0</v>
      </c>
      <c r="AZ359" s="56" t="str">
        <f t="shared" si="5"/>
        <v/>
      </c>
    </row>
    <row r="360" ht="15.75" customHeight="1">
      <c r="A360" s="82"/>
      <c r="B360" s="83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5"/>
      <c r="AK360" s="85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</row>
    <row r="361" ht="15.75" customHeight="1">
      <c r="A361" s="82"/>
      <c r="B361" s="83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5"/>
      <c r="AK361" s="85"/>
      <c r="AL361" s="84"/>
      <c r="AM361" s="84"/>
      <c r="AN361" s="84"/>
      <c r="AO361" s="84"/>
      <c r="AP361" s="84"/>
      <c r="AQ361" s="86"/>
      <c r="AR361" s="86"/>
      <c r="AS361" s="86"/>
      <c r="AT361" s="86"/>
      <c r="AU361" s="86"/>
      <c r="AV361" s="87">
        <f>SUM(AV3:AV359)</f>
        <v>989599.5</v>
      </c>
      <c r="AW361" s="88" t="s">
        <v>71</v>
      </c>
      <c r="AX361" s="86"/>
      <c r="AY361" s="89">
        <f>SUM(AY3:AY359)</f>
        <v>87240</v>
      </c>
      <c r="AZ361" s="84"/>
    </row>
    <row r="362" ht="15.75" customHeight="1">
      <c r="A362" s="82"/>
      <c r="B362" s="83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5"/>
      <c r="AK362" s="85"/>
      <c r="AL362" s="84"/>
      <c r="AM362" s="84"/>
      <c r="AN362" s="84"/>
      <c r="AO362" s="84"/>
      <c r="AP362" s="84"/>
      <c r="AQ362" s="86"/>
      <c r="AR362" s="86"/>
      <c r="AS362" s="86"/>
      <c r="AT362" s="86"/>
      <c r="AU362" s="86"/>
      <c r="AV362" s="90">
        <v>452812.0</v>
      </c>
      <c r="AW362" s="88" t="s">
        <v>72</v>
      </c>
      <c r="AX362" s="86"/>
      <c r="AY362" s="86"/>
      <c r="AZ362" s="84"/>
    </row>
    <row r="363" ht="15.75" customHeight="1">
      <c r="A363" s="82"/>
      <c r="B363" s="83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5"/>
      <c r="AK363" s="85"/>
      <c r="AL363" s="84"/>
      <c r="AM363" s="84"/>
      <c r="AN363" s="84"/>
      <c r="AO363" s="84"/>
      <c r="AP363" s="84"/>
      <c r="AQ363" s="86"/>
      <c r="AR363" s="86"/>
      <c r="AS363" s="86"/>
      <c r="AT363" s="86"/>
      <c r="AU363" s="86"/>
      <c r="AV363" s="87">
        <f>sum(AV361:AV362)</f>
        <v>1442411.5</v>
      </c>
      <c r="AW363" s="88" t="s">
        <v>73</v>
      </c>
      <c r="AX363" s="86"/>
      <c r="AY363" s="86"/>
      <c r="AZ363" s="84"/>
    </row>
    <row r="364" ht="15.75" customHeight="1">
      <c r="A364" s="82"/>
      <c r="B364" s="83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5"/>
      <c r="AK364" s="85"/>
      <c r="AL364" s="84"/>
      <c r="AM364" s="84"/>
      <c r="AN364" s="84"/>
      <c r="AO364" s="84"/>
      <c r="AP364" s="84"/>
      <c r="AQ364" s="86"/>
      <c r="AR364" s="86"/>
      <c r="AS364" s="86"/>
      <c r="AT364" s="86"/>
      <c r="AU364" s="86"/>
      <c r="AV364" s="86"/>
      <c r="AW364" s="86"/>
      <c r="AX364" s="86"/>
      <c r="AY364" s="86"/>
      <c r="AZ364" s="84"/>
    </row>
    <row r="365" ht="15.75" customHeight="1">
      <c r="A365" s="82"/>
      <c r="B365" s="83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5"/>
      <c r="AK365" s="85"/>
      <c r="AL365" s="84"/>
      <c r="AM365" s="84"/>
      <c r="AN365" s="84"/>
      <c r="AO365" s="84"/>
      <c r="AP365" s="84"/>
      <c r="AQ365" s="86"/>
      <c r="AR365" s="86"/>
      <c r="AS365" s="86"/>
      <c r="AT365" s="86"/>
      <c r="AU365" s="91" t="s">
        <v>74</v>
      </c>
      <c r="AV365" s="92" t="s">
        <v>75</v>
      </c>
      <c r="AW365" s="92" t="s">
        <v>76</v>
      </c>
      <c r="AX365" s="92" t="s">
        <v>77</v>
      </c>
      <c r="AY365" s="88" t="s">
        <v>78</v>
      </c>
      <c r="AZ365" s="84"/>
    </row>
    <row r="366" ht="15.75" customHeight="1">
      <c r="A366" s="82"/>
      <c r="B366" s="83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5"/>
      <c r="AK366" s="85"/>
      <c r="AL366" s="84"/>
      <c r="AM366" s="84"/>
      <c r="AN366" s="84"/>
      <c r="AO366" s="84"/>
      <c r="AP366" s="84"/>
      <c r="AQ366" s="86"/>
      <c r="AR366" s="86"/>
      <c r="AS366" s="86"/>
      <c r="AT366" s="86"/>
      <c r="AU366" s="91">
        <v>1.0</v>
      </c>
      <c r="AV366" s="93">
        <f t="shared" ref="AV366:AV378" si="7">SUMIF($C$3:$C$359, AU366, $AV$3:$AV$359)</f>
        <v>37294.92</v>
      </c>
      <c r="AW366" s="91">
        <f>sum(R3:AC30)</f>
        <v>3678</v>
      </c>
      <c r="AX366" s="92">
        <v>0.0</v>
      </c>
      <c r="AY366" s="88">
        <v>0.0</v>
      </c>
      <c r="AZ366" s="84"/>
    </row>
    <row r="367" ht="15.75" customHeight="1">
      <c r="A367" s="82"/>
      <c r="B367" s="83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5"/>
      <c r="AK367" s="85"/>
      <c r="AL367" s="84"/>
      <c r="AM367" s="84"/>
      <c r="AN367" s="84"/>
      <c r="AO367" s="84"/>
      <c r="AP367" s="84"/>
      <c r="AQ367" s="86"/>
      <c r="AR367" s="86"/>
      <c r="AS367" s="86"/>
      <c r="AT367" s="86"/>
      <c r="AU367" s="91">
        <v>2.0</v>
      </c>
      <c r="AV367" s="93">
        <f t="shared" si="7"/>
        <v>161026.06</v>
      </c>
      <c r="AW367" s="91">
        <f>sum(R31:AC58)</f>
        <v>9221</v>
      </c>
      <c r="AX367" s="91">
        <f>sum(F31:Q58)</f>
        <v>3328</v>
      </c>
      <c r="AY367" s="88">
        <v>0.0</v>
      </c>
      <c r="AZ367" s="84"/>
    </row>
    <row r="368" ht="15.75" customHeight="1">
      <c r="A368" s="9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5"/>
      <c r="AK368" s="85"/>
      <c r="AL368" s="84"/>
      <c r="AM368" s="84"/>
      <c r="AN368" s="84"/>
      <c r="AO368" s="84"/>
      <c r="AP368" s="84"/>
      <c r="AQ368" s="86"/>
      <c r="AR368" s="86"/>
      <c r="AS368" s="86"/>
      <c r="AT368" s="86"/>
      <c r="AU368" s="91">
        <v>3.0</v>
      </c>
      <c r="AV368" s="93">
        <f t="shared" si="7"/>
        <v>230975.69</v>
      </c>
      <c r="AW368" s="91">
        <f>sum(R59:AC86)</f>
        <v>13308</v>
      </c>
      <c r="AX368" s="91">
        <f>sum(F59:Q86)</f>
        <v>4733</v>
      </c>
      <c r="AY368" s="88">
        <v>0.0</v>
      </c>
      <c r="AZ368" s="84"/>
    </row>
    <row r="369" ht="15.75" customHeight="1">
      <c r="A369" s="9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5"/>
      <c r="AK369" s="85"/>
      <c r="AL369" s="84"/>
      <c r="AM369" s="84"/>
      <c r="AN369" s="84"/>
      <c r="AO369" s="84"/>
      <c r="AP369" s="84"/>
      <c r="AQ369" s="86"/>
      <c r="AR369" s="86"/>
      <c r="AS369" s="86"/>
      <c r="AT369" s="86"/>
      <c r="AU369" s="91">
        <v>4.0</v>
      </c>
      <c r="AV369" s="93">
        <f t="shared" si="7"/>
        <v>79926.25</v>
      </c>
      <c r="AW369" s="91">
        <f>sum(R87:AC114)</f>
        <v>6740</v>
      </c>
      <c r="AX369" s="91">
        <v>0.0</v>
      </c>
      <c r="AY369" s="86">
        <f>sum(AD87:AI114)</f>
        <v>400</v>
      </c>
      <c r="AZ369" s="84"/>
    </row>
    <row r="370" ht="15.75" customHeight="1">
      <c r="A370" s="9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5"/>
      <c r="AK370" s="85"/>
      <c r="AL370" s="84"/>
      <c r="AM370" s="84"/>
      <c r="AN370" s="84"/>
      <c r="AO370" s="84"/>
      <c r="AP370" s="84"/>
      <c r="AQ370" s="86"/>
      <c r="AR370" s="86"/>
      <c r="AS370" s="86"/>
      <c r="AT370" s="86"/>
      <c r="AU370" s="91">
        <v>5.0</v>
      </c>
      <c r="AV370" s="93">
        <f t="shared" si="7"/>
        <v>73291.76</v>
      </c>
      <c r="AW370" s="91">
        <f>sum(R115:AC142)</f>
        <v>6084</v>
      </c>
      <c r="AX370" s="91">
        <v>0.0</v>
      </c>
      <c r="AY370" s="86">
        <f>sum(AD115:AI142)</f>
        <v>800</v>
      </c>
      <c r="AZ370" s="84"/>
    </row>
    <row r="371" ht="15.75" customHeight="1">
      <c r="A371" s="9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5"/>
      <c r="AK371" s="85"/>
      <c r="AL371" s="84"/>
      <c r="AM371" s="84"/>
      <c r="AN371" s="84"/>
      <c r="AO371" s="84"/>
      <c r="AP371" s="84"/>
      <c r="AQ371" s="86"/>
      <c r="AR371" s="86"/>
      <c r="AS371" s="86"/>
      <c r="AT371" s="86"/>
      <c r="AU371" s="91">
        <v>6.0</v>
      </c>
      <c r="AV371" s="93">
        <f t="shared" si="7"/>
        <v>69692.06</v>
      </c>
      <c r="AW371" s="91">
        <f>sum(R143:AC170)</f>
        <v>5729</v>
      </c>
      <c r="AX371" s="91">
        <v>0.0</v>
      </c>
      <c r="AY371" s="86">
        <f>sum(AD143:AI170)</f>
        <v>800</v>
      </c>
      <c r="AZ371" s="84"/>
    </row>
    <row r="372" ht="15.75" customHeight="1">
      <c r="A372" s="9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5"/>
      <c r="AK372" s="85"/>
      <c r="AL372" s="84"/>
      <c r="AM372" s="84"/>
      <c r="AN372" s="84"/>
      <c r="AO372" s="84"/>
      <c r="AP372" s="84"/>
      <c r="AQ372" s="86"/>
      <c r="AR372" s="86"/>
      <c r="AS372" s="86"/>
      <c r="AT372" s="86"/>
      <c r="AU372" s="91">
        <v>7.0</v>
      </c>
      <c r="AV372" s="93">
        <f t="shared" si="7"/>
        <v>62979.38</v>
      </c>
      <c r="AW372" s="91">
        <f>sum(R171:AC198)</f>
        <v>5067</v>
      </c>
      <c r="AX372" s="91">
        <v>0.0</v>
      </c>
      <c r="AY372" s="86">
        <f>sum(AD171:AI198)</f>
        <v>800</v>
      </c>
      <c r="AZ372" s="84"/>
    </row>
    <row r="373" ht="15.75" customHeight="1">
      <c r="A373" s="9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5"/>
      <c r="AK373" s="85"/>
      <c r="AL373" s="84"/>
      <c r="AM373" s="84"/>
      <c r="AN373" s="84"/>
      <c r="AO373" s="84"/>
      <c r="AP373" s="84"/>
      <c r="AQ373" s="86"/>
      <c r="AR373" s="86"/>
      <c r="AS373" s="86"/>
      <c r="AT373" s="86"/>
      <c r="AU373" s="91">
        <v>8.0</v>
      </c>
      <c r="AV373" s="93">
        <f t="shared" si="7"/>
        <v>77905.46</v>
      </c>
      <c r="AW373" s="91">
        <f>sum(R199:AC226)</f>
        <v>6539</v>
      </c>
      <c r="AX373" s="91">
        <v>0.0</v>
      </c>
      <c r="AY373" s="86">
        <f>sum(AD199:AI226)</f>
        <v>800</v>
      </c>
      <c r="AZ373" s="84"/>
    </row>
    <row r="374" ht="15.75" customHeight="1">
      <c r="A374" s="9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5"/>
      <c r="AK374" s="85"/>
      <c r="AL374" s="84"/>
      <c r="AM374" s="84"/>
      <c r="AN374" s="84"/>
      <c r="AO374" s="84"/>
      <c r="AP374" s="84"/>
      <c r="AQ374" s="86"/>
      <c r="AR374" s="86"/>
      <c r="AS374" s="86"/>
      <c r="AT374" s="86"/>
      <c r="AU374" s="91">
        <v>9.0</v>
      </c>
      <c r="AV374" s="93">
        <f t="shared" si="7"/>
        <v>59080.5</v>
      </c>
      <c r="AW374" s="91">
        <f>sum(R227:AC254)</f>
        <v>4325</v>
      </c>
      <c r="AX374" s="91">
        <v>0.0</v>
      </c>
      <c r="AY374" s="86">
        <f>sum(AD227:AI254)</f>
        <v>1050</v>
      </c>
      <c r="AZ374" s="84"/>
    </row>
    <row r="375" ht="15.75" customHeight="1">
      <c r="A375" s="9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5"/>
      <c r="AK375" s="85"/>
      <c r="AL375" s="84"/>
      <c r="AM375" s="84"/>
      <c r="AN375" s="84"/>
      <c r="AO375" s="84"/>
      <c r="AP375" s="84"/>
      <c r="AQ375" s="86"/>
      <c r="AR375" s="86"/>
      <c r="AS375" s="86"/>
      <c r="AT375" s="86"/>
      <c r="AU375" s="91">
        <v>10.0</v>
      </c>
      <c r="AV375" s="93">
        <f t="shared" si="7"/>
        <v>61985.82</v>
      </c>
      <c r="AW375" s="91">
        <f>sum(R255:AC282)</f>
        <v>6113</v>
      </c>
      <c r="AX375" s="91">
        <v>0.0</v>
      </c>
      <c r="AY375" s="86">
        <f>sum(AD255:AI282)</f>
        <v>0</v>
      </c>
      <c r="AZ375" s="84"/>
    </row>
    <row r="376" ht="15.75" customHeight="1">
      <c r="A376" s="9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5"/>
      <c r="AK376" s="85"/>
      <c r="AL376" s="84"/>
      <c r="AM376" s="84"/>
      <c r="AN376" s="84"/>
      <c r="AO376" s="84"/>
      <c r="AP376" s="84"/>
      <c r="AQ376" s="86"/>
      <c r="AR376" s="86"/>
      <c r="AS376" s="86"/>
      <c r="AT376" s="86"/>
      <c r="AU376" s="91">
        <v>11.0</v>
      </c>
      <c r="AV376" s="93">
        <f t="shared" si="7"/>
        <v>40803.36</v>
      </c>
      <c r="AW376" s="91">
        <f>sum(R283:AC310)</f>
        <v>4024</v>
      </c>
      <c r="AX376" s="91">
        <v>0.0</v>
      </c>
      <c r="AY376" s="88">
        <v>0.0</v>
      </c>
      <c r="AZ376" s="84"/>
    </row>
    <row r="377" ht="15.75" customHeight="1">
      <c r="A377" s="9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5"/>
      <c r="AK377" s="85"/>
      <c r="AL377" s="84"/>
      <c r="AM377" s="84"/>
      <c r="AN377" s="84"/>
      <c r="AO377" s="84"/>
      <c r="AP377" s="84"/>
      <c r="AQ377" s="86"/>
      <c r="AR377" s="86"/>
      <c r="AS377" s="86"/>
      <c r="AT377" s="86"/>
      <c r="AU377" s="91">
        <v>12.0</v>
      </c>
      <c r="AV377" s="93">
        <f t="shared" si="7"/>
        <v>26576.94</v>
      </c>
      <c r="AW377" s="91">
        <f>sum(R311:AC338)</f>
        <v>2621</v>
      </c>
      <c r="AX377" s="91">
        <v>0.0</v>
      </c>
      <c r="AY377" s="88">
        <v>0.0</v>
      </c>
      <c r="AZ377" s="84"/>
    </row>
    <row r="378" ht="15.75" customHeight="1">
      <c r="A378" s="9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5"/>
      <c r="AK378" s="85"/>
      <c r="AL378" s="84"/>
      <c r="AM378" s="84"/>
      <c r="AN378" s="84"/>
      <c r="AO378" s="84"/>
      <c r="AP378" s="84"/>
      <c r="AQ378" s="86"/>
      <c r="AR378" s="86"/>
      <c r="AS378" s="86"/>
      <c r="AT378" s="86"/>
      <c r="AU378" s="91">
        <v>13.0</v>
      </c>
      <c r="AV378" s="93">
        <f t="shared" si="7"/>
        <v>8061.3</v>
      </c>
      <c r="AW378" s="91">
        <f>sum(R339:AC359)</f>
        <v>795</v>
      </c>
      <c r="AX378" s="91">
        <v>0.0</v>
      </c>
      <c r="AY378" s="88">
        <v>0.0</v>
      </c>
      <c r="AZ378" s="84"/>
    </row>
    <row r="379" ht="15.75" customHeight="1">
      <c r="A379" s="9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5"/>
      <c r="AK379" s="85"/>
      <c r="AL379" s="84"/>
      <c r="AM379" s="84"/>
      <c r="AN379" s="84"/>
      <c r="AO379" s="84"/>
      <c r="AP379" s="84"/>
      <c r="AQ379" s="86"/>
      <c r="AR379" s="86"/>
      <c r="AS379" s="86"/>
      <c r="AT379" s="86"/>
      <c r="AU379" s="86"/>
      <c r="AV379" s="86"/>
      <c r="AW379" s="86"/>
      <c r="AX379" s="86"/>
      <c r="AY379" s="86"/>
      <c r="AZ379" s="84"/>
    </row>
    <row r="380" ht="15.75" customHeight="1">
      <c r="A380" s="9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5"/>
      <c r="AK380" s="85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</row>
    <row r="381" ht="15.75" customHeight="1">
      <c r="A381" s="9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5"/>
      <c r="AK381" s="85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</row>
    <row r="382" ht="15.75" customHeight="1">
      <c r="A382" s="9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5"/>
      <c r="AK382" s="85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</row>
    <row r="383" ht="15.75" customHeight="1">
      <c r="A383" s="9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5"/>
      <c r="AK383" s="85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</row>
    <row r="384" ht="15.75" customHeight="1">
      <c r="A384" s="9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5"/>
      <c r="AK384" s="85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</row>
    <row r="385" ht="15.75" customHeight="1">
      <c r="A385" s="9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5"/>
      <c r="AK385" s="85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</row>
    <row r="386" ht="15.75" customHeight="1">
      <c r="A386" s="9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5"/>
      <c r="AK386" s="85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</row>
    <row r="387" ht="15.75" customHeight="1">
      <c r="A387" s="9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5"/>
      <c r="AK387" s="85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</row>
    <row r="388" ht="15.75" customHeight="1">
      <c r="A388" s="9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5"/>
      <c r="AK388" s="85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</row>
    <row r="389" ht="15.75" customHeight="1">
      <c r="A389" s="9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5"/>
      <c r="AK389" s="85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</row>
    <row r="390" ht="15.75" customHeight="1">
      <c r="A390" s="9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5"/>
      <c r="AK390" s="85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</row>
    <row r="391" ht="15.75" customHeight="1">
      <c r="A391" s="9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5"/>
      <c r="AK391" s="85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</row>
    <row r="392" ht="15.75" customHeight="1">
      <c r="A392" s="9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5"/>
      <c r="AK392" s="85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</row>
    <row r="393" ht="15.75" customHeight="1">
      <c r="A393" s="9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5"/>
      <c r="AK393" s="85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</row>
    <row r="394" ht="15.75" customHeight="1">
      <c r="A394" s="9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5"/>
      <c r="AK394" s="85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</row>
    <row r="395" ht="15.75" customHeight="1">
      <c r="A395" s="9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5"/>
      <c r="AK395" s="85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</row>
    <row r="396" ht="15.75" customHeight="1">
      <c r="A396" s="9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5"/>
      <c r="AK396" s="85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</row>
    <row r="397" ht="15.75" customHeight="1">
      <c r="A397" s="9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5"/>
      <c r="AK397" s="85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</row>
    <row r="398" ht="15.75" customHeight="1">
      <c r="A398" s="9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5"/>
      <c r="AK398" s="85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</row>
    <row r="399" ht="15.75" customHeight="1">
      <c r="A399" s="9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5"/>
      <c r="AK399" s="85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</row>
    <row r="400" ht="15.75" customHeight="1">
      <c r="A400" s="9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5"/>
      <c r="AK400" s="85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</row>
    <row r="401" ht="15.75" customHeight="1">
      <c r="A401" s="9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5"/>
      <c r="AK401" s="85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</row>
    <row r="402" ht="15.75" customHeight="1">
      <c r="A402" s="9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5"/>
      <c r="AK402" s="85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</row>
    <row r="403" ht="15.75" customHeight="1">
      <c r="A403" s="9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5"/>
      <c r="AK403" s="85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</row>
    <row r="404" ht="15.75" customHeight="1">
      <c r="A404" s="9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5"/>
      <c r="AK404" s="85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</row>
    <row r="405" ht="15.75" customHeight="1">
      <c r="A405" s="9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5"/>
      <c r="AK405" s="85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</row>
    <row r="406" ht="15.75" customHeight="1">
      <c r="A406" s="9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5"/>
      <c r="AK406" s="85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</row>
    <row r="407" ht="15.75" customHeight="1">
      <c r="A407" s="9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5"/>
      <c r="AK407" s="85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</row>
    <row r="408" ht="15.75" customHeight="1">
      <c r="A408" s="9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5"/>
      <c r="AK408" s="85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</row>
    <row r="409" ht="15.75" customHeight="1">
      <c r="A409" s="9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5"/>
      <c r="AK409" s="85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</row>
    <row r="410" ht="15.75" customHeight="1">
      <c r="A410" s="9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5"/>
      <c r="AK410" s="85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</row>
    <row r="411" ht="15.75" customHeight="1">
      <c r="A411" s="9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5"/>
      <c r="AK411" s="85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</row>
    <row r="412" ht="15.75" customHeight="1">
      <c r="A412" s="9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5"/>
      <c r="AK412" s="85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</row>
    <row r="413" ht="15.75" customHeight="1">
      <c r="A413" s="9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5"/>
      <c r="AK413" s="85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</row>
    <row r="414" ht="15.75" customHeight="1">
      <c r="A414" s="9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5"/>
      <c r="AK414" s="85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</row>
    <row r="415" ht="15.75" customHeight="1">
      <c r="A415" s="9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5"/>
      <c r="AK415" s="85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</row>
    <row r="416" ht="15.75" customHeight="1">
      <c r="A416" s="9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5"/>
      <c r="AK416" s="85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</row>
    <row r="417" ht="15.75" customHeight="1">
      <c r="A417" s="9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5"/>
      <c r="AK417" s="85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</row>
    <row r="418" ht="15.75" customHeight="1">
      <c r="A418" s="9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5"/>
      <c r="AK418" s="85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</row>
    <row r="419" ht="15.75" customHeight="1">
      <c r="A419" s="9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5"/>
      <c r="AK419" s="85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</row>
    <row r="420" ht="15.75" customHeight="1">
      <c r="A420" s="9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5"/>
      <c r="AK420" s="85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</row>
    <row r="421" ht="15.75" customHeight="1">
      <c r="A421" s="9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5"/>
      <c r="AK421" s="85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</row>
    <row r="422" ht="15.75" customHeight="1">
      <c r="A422" s="9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5"/>
      <c r="AK422" s="85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</row>
    <row r="423" ht="15.75" customHeight="1">
      <c r="A423" s="9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5"/>
      <c r="AK423" s="85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</row>
    <row r="424" ht="15.75" customHeight="1">
      <c r="A424" s="9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5"/>
      <c r="AK424" s="85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</row>
    <row r="425" ht="15.75" customHeight="1">
      <c r="A425" s="9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5"/>
      <c r="AK425" s="85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</row>
    <row r="426" ht="15.75" customHeight="1">
      <c r="A426" s="9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5"/>
      <c r="AK426" s="85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</row>
    <row r="427" ht="15.75" customHeight="1">
      <c r="A427" s="9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5"/>
      <c r="AK427" s="85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</row>
    <row r="428" ht="15.75" customHeight="1">
      <c r="A428" s="9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5"/>
      <c r="AK428" s="85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</row>
    <row r="429" ht="15.75" customHeight="1">
      <c r="A429" s="9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5"/>
      <c r="AK429" s="85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</row>
    <row r="430" ht="15.75" customHeight="1">
      <c r="A430" s="9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5"/>
      <c r="AK430" s="85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</row>
    <row r="431" ht="15.75" customHeight="1">
      <c r="A431" s="9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5"/>
      <c r="AK431" s="85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</row>
    <row r="432" ht="15.75" customHeight="1">
      <c r="A432" s="9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5"/>
      <c r="AK432" s="85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</row>
    <row r="433" ht="15.75" customHeight="1">
      <c r="A433" s="9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5"/>
      <c r="AK433" s="85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</row>
    <row r="434" ht="15.75" customHeight="1">
      <c r="A434" s="9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5"/>
      <c r="AK434" s="85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</row>
    <row r="435" ht="15.75" customHeight="1">
      <c r="A435" s="9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5"/>
      <c r="AK435" s="85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</row>
    <row r="436" ht="15.75" customHeight="1">
      <c r="A436" s="9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5"/>
      <c r="AK436" s="85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</row>
    <row r="437" ht="15.75" customHeight="1">
      <c r="A437" s="9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5"/>
      <c r="AK437" s="85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</row>
    <row r="438" ht="15.75" customHeight="1">
      <c r="A438" s="9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5"/>
      <c r="AK438" s="85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</row>
    <row r="439" ht="15.75" customHeight="1">
      <c r="A439" s="9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5"/>
      <c r="AK439" s="85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</row>
    <row r="440" ht="15.75" customHeight="1">
      <c r="A440" s="9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5"/>
      <c r="AK440" s="85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</row>
    <row r="441" ht="15.75" customHeight="1">
      <c r="A441" s="9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5"/>
      <c r="AK441" s="85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</row>
    <row r="442" ht="15.75" customHeight="1">
      <c r="A442" s="9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5"/>
      <c r="AK442" s="85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</row>
    <row r="443" ht="15.75" customHeight="1">
      <c r="A443" s="9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5"/>
      <c r="AK443" s="85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</row>
    <row r="444" ht="15.75" customHeight="1">
      <c r="A444" s="9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5"/>
      <c r="AK444" s="85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</row>
    <row r="445" ht="15.75" customHeight="1">
      <c r="A445" s="9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5"/>
      <c r="AK445" s="85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</row>
    <row r="446" ht="15.75" customHeight="1">
      <c r="A446" s="9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5"/>
      <c r="AK446" s="85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</row>
    <row r="447" ht="15.75" customHeight="1">
      <c r="A447" s="9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5"/>
      <c r="AK447" s="85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</row>
    <row r="448" ht="15.75" customHeight="1">
      <c r="A448" s="9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5"/>
      <c r="AK448" s="85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</row>
    <row r="449" ht="15.75" customHeight="1">
      <c r="A449" s="9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5"/>
      <c r="AK449" s="85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</row>
    <row r="450" ht="15.75" customHeight="1">
      <c r="A450" s="9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5"/>
      <c r="AK450" s="85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</row>
    <row r="451" ht="15.75" customHeight="1">
      <c r="A451" s="9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5"/>
      <c r="AK451" s="85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</row>
    <row r="452" ht="15.75" customHeight="1">
      <c r="A452" s="9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5"/>
      <c r="AK452" s="85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</row>
    <row r="453" ht="15.75" customHeight="1">
      <c r="A453" s="9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5"/>
      <c r="AK453" s="85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</row>
    <row r="454" ht="15.75" customHeight="1">
      <c r="A454" s="9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5"/>
      <c r="AK454" s="85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</row>
    <row r="455" ht="15.75" customHeight="1">
      <c r="A455" s="9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5"/>
      <c r="AK455" s="85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</row>
    <row r="456" ht="15.75" customHeight="1">
      <c r="A456" s="9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5"/>
      <c r="AK456" s="85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</row>
    <row r="457" ht="15.75" customHeight="1">
      <c r="A457" s="9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5"/>
      <c r="AK457" s="85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</row>
    <row r="458" ht="15.75" customHeight="1">
      <c r="A458" s="9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5"/>
      <c r="AK458" s="85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</row>
    <row r="459" ht="15.75" customHeight="1">
      <c r="A459" s="9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5"/>
      <c r="AK459" s="85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</row>
    <row r="460" ht="15.75" customHeight="1">
      <c r="A460" s="9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5"/>
      <c r="AK460" s="85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</row>
    <row r="461" ht="15.75" customHeight="1">
      <c r="A461" s="9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5"/>
      <c r="AK461" s="85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</row>
    <row r="462" ht="15.75" customHeight="1">
      <c r="A462" s="9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5"/>
      <c r="AK462" s="85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</row>
    <row r="463" ht="15.75" customHeight="1">
      <c r="A463" s="9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5"/>
      <c r="AK463" s="85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</row>
    <row r="464" ht="15.75" customHeight="1">
      <c r="A464" s="9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5"/>
      <c r="AK464" s="85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</row>
    <row r="465" ht="15.75" customHeight="1">
      <c r="A465" s="9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5"/>
      <c r="AK465" s="85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</row>
    <row r="466" ht="15.75" customHeight="1">
      <c r="A466" s="9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5"/>
      <c r="AK466" s="85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</row>
    <row r="467" ht="15.75" customHeight="1">
      <c r="A467" s="9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5"/>
      <c r="AK467" s="85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</row>
    <row r="468" ht="15.75" customHeight="1">
      <c r="A468" s="9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5"/>
      <c r="AK468" s="85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</row>
    <row r="469" ht="15.75" customHeight="1">
      <c r="A469" s="9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5"/>
      <c r="AK469" s="85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</row>
    <row r="470" ht="15.75" customHeight="1">
      <c r="A470" s="9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5"/>
      <c r="AK470" s="85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</row>
    <row r="471" ht="15.75" customHeight="1">
      <c r="A471" s="9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5"/>
      <c r="AK471" s="85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</row>
    <row r="472" ht="15.75" customHeight="1">
      <c r="A472" s="9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5"/>
      <c r="AK472" s="85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</row>
    <row r="473" ht="15.75" customHeight="1">
      <c r="A473" s="9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5"/>
      <c r="AK473" s="85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</row>
    <row r="474" ht="15.75" customHeight="1">
      <c r="A474" s="9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5"/>
      <c r="AK474" s="85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</row>
    <row r="475" ht="15.75" customHeight="1">
      <c r="A475" s="9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5"/>
      <c r="AK475" s="85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</row>
    <row r="476" ht="15.75" customHeight="1">
      <c r="A476" s="9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5"/>
      <c r="AK476" s="85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</row>
    <row r="477" ht="15.75" customHeight="1">
      <c r="A477" s="9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5"/>
      <c r="AK477" s="85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</row>
    <row r="478" ht="15.75" customHeight="1">
      <c r="A478" s="9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5"/>
      <c r="AK478" s="85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</row>
    <row r="479" ht="15.75" customHeight="1">
      <c r="A479" s="9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5"/>
      <c r="AK479" s="85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</row>
    <row r="480" ht="15.75" customHeight="1">
      <c r="A480" s="9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5"/>
      <c r="AK480" s="85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</row>
    <row r="481" ht="15.75" customHeight="1">
      <c r="A481" s="9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5"/>
      <c r="AK481" s="85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</row>
    <row r="482" ht="15.75" customHeight="1">
      <c r="A482" s="9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5"/>
      <c r="AK482" s="85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</row>
    <row r="483" ht="15.75" customHeight="1">
      <c r="A483" s="9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5"/>
      <c r="AK483" s="85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</row>
    <row r="484" ht="15.75" customHeight="1">
      <c r="A484" s="9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5"/>
      <c r="AK484" s="85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</row>
    <row r="485" ht="15.75" customHeight="1">
      <c r="A485" s="9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5"/>
      <c r="AK485" s="85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</row>
    <row r="486" ht="15.75" customHeight="1">
      <c r="A486" s="9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5"/>
      <c r="AK486" s="85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</row>
    <row r="487" ht="15.75" customHeight="1">
      <c r="A487" s="9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5"/>
      <c r="AK487" s="85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</row>
    <row r="488" ht="15.75" customHeight="1">
      <c r="A488" s="9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5"/>
      <c r="AK488" s="85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</row>
    <row r="489" ht="15.75" customHeight="1">
      <c r="A489" s="9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5"/>
      <c r="AK489" s="85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</row>
    <row r="490" ht="15.75" customHeight="1">
      <c r="A490" s="9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5"/>
      <c r="AK490" s="85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</row>
    <row r="491" ht="15.75" customHeight="1">
      <c r="A491" s="9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5"/>
      <c r="AK491" s="85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</row>
    <row r="492" ht="15.75" customHeight="1">
      <c r="A492" s="9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5"/>
      <c r="AK492" s="85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</row>
    <row r="493" ht="15.75" customHeight="1">
      <c r="A493" s="9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5"/>
      <c r="AK493" s="85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</row>
    <row r="494" ht="15.75" customHeight="1">
      <c r="A494" s="9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5"/>
      <c r="AK494" s="85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</row>
    <row r="495" ht="15.75" customHeight="1">
      <c r="A495" s="9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5"/>
      <c r="AK495" s="85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</row>
    <row r="496" ht="15.75" customHeight="1">
      <c r="A496" s="9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5"/>
      <c r="AK496" s="85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</row>
    <row r="497" ht="15.75" customHeight="1">
      <c r="A497" s="9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5"/>
      <c r="AK497" s="85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</row>
    <row r="498" ht="15.75" customHeight="1">
      <c r="A498" s="9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5"/>
      <c r="AK498" s="85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</row>
    <row r="499" ht="15.75" customHeight="1">
      <c r="A499" s="9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5"/>
      <c r="AK499" s="85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</row>
    <row r="500" ht="15.75" customHeight="1">
      <c r="A500" s="9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5"/>
      <c r="AK500" s="85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</row>
    <row r="501" ht="15.75" customHeight="1">
      <c r="A501" s="9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5"/>
      <c r="AK501" s="85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</row>
    <row r="502" ht="15.75" customHeight="1">
      <c r="A502" s="9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5"/>
      <c r="AK502" s="85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</row>
    <row r="503" ht="15.75" customHeight="1">
      <c r="A503" s="9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5"/>
      <c r="AK503" s="85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</row>
    <row r="504" ht="15.75" customHeight="1">
      <c r="A504" s="9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5"/>
      <c r="AK504" s="85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</row>
    <row r="505" ht="15.75" customHeight="1">
      <c r="A505" s="9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5"/>
      <c r="AK505" s="85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</row>
    <row r="506" ht="15.75" customHeight="1">
      <c r="A506" s="9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5"/>
      <c r="AK506" s="85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</row>
    <row r="507" ht="15.75" customHeight="1">
      <c r="A507" s="9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5"/>
      <c r="AK507" s="85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</row>
    <row r="508" ht="15.75" customHeight="1">
      <c r="A508" s="9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5"/>
      <c r="AK508" s="85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</row>
    <row r="509" ht="15.75" customHeight="1">
      <c r="A509" s="9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5"/>
      <c r="AK509" s="85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</row>
    <row r="510" ht="15.75" customHeight="1">
      <c r="A510" s="9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5"/>
      <c r="AK510" s="85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</row>
    <row r="511" ht="15.75" customHeight="1">
      <c r="A511" s="9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5"/>
      <c r="AK511" s="85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</row>
    <row r="512" ht="15.75" customHeight="1">
      <c r="A512" s="9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5"/>
      <c r="AK512" s="85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</row>
    <row r="513" ht="15.75" customHeight="1">
      <c r="A513" s="9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5"/>
      <c r="AK513" s="85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</row>
    <row r="514" ht="15.75" customHeight="1">
      <c r="A514" s="9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5"/>
      <c r="AK514" s="85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</row>
    <row r="515" ht="15.75" customHeight="1">
      <c r="A515" s="9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5"/>
      <c r="AK515" s="85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</row>
    <row r="516" ht="15.75" customHeight="1">
      <c r="A516" s="9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5"/>
      <c r="AK516" s="85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</row>
    <row r="517" ht="15.75" customHeight="1">
      <c r="A517" s="9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5"/>
      <c r="AK517" s="85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</row>
    <row r="518" ht="15.75" customHeight="1">
      <c r="A518" s="9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5"/>
      <c r="AK518" s="85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</row>
    <row r="519" ht="15.75" customHeight="1">
      <c r="A519" s="9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5"/>
      <c r="AK519" s="85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</row>
    <row r="520" ht="15.75" customHeight="1">
      <c r="A520" s="9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5"/>
      <c r="AK520" s="85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</row>
    <row r="521" ht="15.75" customHeight="1">
      <c r="A521" s="9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5"/>
      <c r="AK521" s="85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</row>
    <row r="522" ht="15.75" customHeight="1">
      <c r="A522" s="9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5"/>
      <c r="AK522" s="85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</row>
    <row r="523" ht="15.75" customHeight="1">
      <c r="A523" s="9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5"/>
      <c r="AK523" s="85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</row>
    <row r="524" ht="15.75" customHeight="1">
      <c r="A524" s="9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5"/>
      <c r="AK524" s="85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</row>
    <row r="525" ht="15.75" customHeight="1">
      <c r="A525" s="9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5"/>
      <c r="AK525" s="85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</row>
    <row r="526" ht="15.75" customHeight="1">
      <c r="A526" s="9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5"/>
      <c r="AK526" s="85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</row>
    <row r="527" ht="15.75" customHeight="1">
      <c r="A527" s="9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5"/>
      <c r="AK527" s="85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</row>
    <row r="528" ht="15.75" customHeight="1">
      <c r="A528" s="9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5"/>
      <c r="AK528" s="85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</row>
    <row r="529" ht="15.75" customHeight="1">
      <c r="A529" s="9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5"/>
      <c r="AK529" s="85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</row>
    <row r="530" ht="15.75" customHeight="1">
      <c r="A530" s="9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5"/>
      <c r="AK530" s="85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</row>
    <row r="531" ht="15.75" customHeight="1">
      <c r="A531" s="9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5"/>
      <c r="AK531" s="85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</row>
    <row r="532" ht="15.75" customHeight="1">
      <c r="A532" s="9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5"/>
      <c r="AK532" s="85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</row>
    <row r="533" ht="15.75" customHeight="1">
      <c r="A533" s="9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5"/>
      <c r="AK533" s="85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</row>
    <row r="534" ht="15.75" customHeight="1">
      <c r="A534" s="9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5"/>
      <c r="AK534" s="85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</row>
    <row r="535" ht="15.75" customHeight="1">
      <c r="A535" s="9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5"/>
      <c r="AK535" s="85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</row>
    <row r="536" ht="15.75" customHeight="1">
      <c r="A536" s="9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5"/>
      <c r="AK536" s="85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</row>
    <row r="537" ht="15.75" customHeight="1">
      <c r="A537" s="9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5"/>
      <c r="AK537" s="85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</row>
    <row r="538" ht="15.75" customHeight="1">
      <c r="A538" s="9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5"/>
      <c r="AK538" s="85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</row>
    <row r="539" ht="15.75" customHeight="1">
      <c r="A539" s="9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5"/>
      <c r="AK539" s="85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</row>
    <row r="540" ht="15.75" customHeight="1">
      <c r="A540" s="9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5"/>
      <c r="AK540" s="85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</row>
    <row r="541" ht="15.75" customHeight="1">
      <c r="A541" s="9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5"/>
      <c r="AK541" s="85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</row>
    <row r="542" ht="15.75" customHeight="1">
      <c r="A542" s="9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5"/>
      <c r="AK542" s="85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</row>
    <row r="543" ht="15.75" customHeight="1">
      <c r="A543" s="9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5"/>
      <c r="AK543" s="85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</row>
    <row r="544" ht="15.75" customHeight="1">
      <c r="A544" s="9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5"/>
      <c r="AK544" s="85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</row>
    <row r="545" ht="15.75" customHeight="1">
      <c r="A545" s="9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5"/>
      <c r="AK545" s="85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</row>
    <row r="546" ht="15.75" customHeight="1">
      <c r="A546" s="9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5"/>
      <c r="AK546" s="85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</row>
    <row r="547" ht="15.75" customHeight="1">
      <c r="A547" s="9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5"/>
      <c r="AK547" s="85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</row>
    <row r="548" ht="15.75" customHeight="1">
      <c r="A548" s="9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5"/>
      <c r="AK548" s="85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</row>
    <row r="549" ht="15.75" customHeight="1">
      <c r="A549" s="9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5"/>
      <c r="AK549" s="85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</row>
    <row r="550" ht="15.75" customHeight="1">
      <c r="A550" s="9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5"/>
      <c r="AK550" s="85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</row>
    <row r="551" ht="15.75" customHeight="1">
      <c r="A551" s="9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5"/>
      <c r="AK551" s="85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</row>
    <row r="552" ht="15.75" customHeight="1">
      <c r="A552" s="9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5"/>
      <c r="AK552" s="85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</row>
    <row r="553" ht="15.75" customHeight="1">
      <c r="A553" s="9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5"/>
      <c r="AK553" s="85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</row>
    <row r="554" ht="15.75" customHeight="1">
      <c r="A554" s="9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5"/>
      <c r="AK554" s="85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</row>
    <row r="555" ht="15.75" customHeight="1">
      <c r="A555" s="9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5"/>
      <c r="AK555" s="85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</row>
    <row r="556" ht="15.75" customHeight="1">
      <c r="A556" s="9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5"/>
      <c r="AK556" s="85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</row>
    <row r="557" ht="15.75" customHeight="1">
      <c r="A557" s="9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5"/>
      <c r="AK557" s="85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</row>
    <row r="558" ht="15.75" customHeight="1">
      <c r="A558" s="9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5"/>
      <c r="AK558" s="85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</row>
    <row r="559" ht="15.75" customHeight="1">
      <c r="A559" s="9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5"/>
      <c r="AK559" s="85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</row>
    <row r="560" ht="15.75" customHeight="1">
      <c r="A560" s="9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5"/>
      <c r="AK560" s="85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</row>
    <row r="561" ht="15.75" customHeight="1">
      <c r="A561" s="9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5"/>
      <c r="AK561" s="85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</row>
    <row r="562" ht="15.75" customHeight="1">
      <c r="A562" s="9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5"/>
      <c r="AK562" s="85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</row>
    <row r="563" ht="15.75" customHeight="1">
      <c r="A563" s="9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5"/>
      <c r="AK563" s="85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</row>
    <row r="564" ht="15.75" customHeight="1">
      <c r="A564" s="9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5"/>
      <c r="AK564" s="85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</row>
    <row r="565" ht="15.75" customHeight="1">
      <c r="A565" s="9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5"/>
      <c r="AK565" s="85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</row>
    <row r="566" ht="15.75" customHeight="1">
      <c r="A566" s="9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5"/>
      <c r="AK566" s="85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</row>
    <row r="567" ht="15.75" customHeight="1">
      <c r="A567" s="9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5"/>
      <c r="AK567" s="85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</row>
    <row r="568" ht="15.75" customHeight="1">
      <c r="A568" s="9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5"/>
      <c r="AK568" s="85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</row>
    <row r="569" ht="15.75" customHeight="1">
      <c r="A569" s="9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5"/>
      <c r="AK569" s="85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</row>
    <row r="570" ht="15.75" customHeight="1">
      <c r="A570" s="9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5"/>
      <c r="AK570" s="85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</row>
    <row r="571" ht="15.75" customHeight="1">
      <c r="A571" s="9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5"/>
      <c r="AK571" s="85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</row>
    <row r="572" ht="15.75" customHeight="1">
      <c r="A572" s="9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5"/>
      <c r="AK572" s="85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</row>
    <row r="573" ht="15.75" customHeight="1">
      <c r="A573" s="9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5"/>
      <c r="AK573" s="85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</row>
    <row r="574" ht="15.75" customHeight="1">
      <c r="A574" s="9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5"/>
      <c r="AK574" s="85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</row>
    <row r="575" ht="15.75" customHeight="1">
      <c r="A575" s="9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5"/>
      <c r="AK575" s="85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</row>
    <row r="576" ht="15.75" customHeight="1">
      <c r="A576" s="9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5"/>
      <c r="AK576" s="85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</row>
    <row r="577" ht="15.75" customHeight="1">
      <c r="A577" s="9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5"/>
      <c r="AK577" s="85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</row>
    <row r="578" ht="15.75" customHeight="1">
      <c r="A578" s="9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5"/>
      <c r="AK578" s="85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</row>
    <row r="579" ht="15.75" customHeight="1">
      <c r="A579" s="9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5"/>
      <c r="AK579" s="85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</row>
    <row r="580" ht="15.75" customHeight="1">
      <c r="A580" s="9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5"/>
      <c r="AK580" s="85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</row>
    <row r="581" ht="15.75" customHeight="1">
      <c r="A581" s="9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5"/>
      <c r="AK581" s="85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</row>
    <row r="582" ht="15.75" customHeight="1">
      <c r="A582" s="9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5"/>
      <c r="AK582" s="85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</row>
    <row r="583" ht="15.75" customHeight="1">
      <c r="A583" s="9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5"/>
      <c r="AK583" s="85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</row>
    <row r="584" ht="15.75" customHeight="1">
      <c r="A584" s="9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5"/>
      <c r="AK584" s="85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</row>
    <row r="585" ht="15.75" customHeight="1">
      <c r="A585" s="9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5"/>
      <c r="AK585" s="85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</row>
    <row r="586" ht="15.75" customHeight="1">
      <c r="A586" s="9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5"/>
      <c r="AK586" s="85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</row>
    <row r="587" ht="15.75" customHeight="1">
      <c r="A587" s="9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5"/>
      <c r="AK587" s="85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</row>
    <row r="588" ht="15.75" customHeight="1">
      <c r="A588" s="9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5"/>
      <c r="AK588" s="85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</row>
    <row r="589" ht="15.75" customHeight="1">
      <c r="A589" s="9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5"/>
      <c r="AK589" s="85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</row>
    <row r="590" ht="15.75" customHeight="1">
      <c r="A590" s="9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5"/>
      <c r="AK590" s="85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</row>
    <row r="591" ht="15.75" customHeight="1">
      <c r="A591" s="9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5"/>
      <c r="AK591" s="85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</row>
    <row r="592" ht="15.75" customHeight="1">
      <c r="A592" s="9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5"/>
      <c r="AK592" s="85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</row>
    <row r="593" ht="15.75" customHeight="1">
      <c r="A593" s="9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5"/>
      <c r="AK593" s="85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</row>
    <row r="594" ht="15.75" customHeight="1">
      <c r="A594" s="9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5"/>
      <c r="AK594" s="85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</row>
    <row r="595" ht="15.75" customHeight="1">
      <c r="A595" s="9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5"/>
      <c r="AK595" s="85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</row>
    <row r="596" ht="15.75" customHeight="1">
      <c r="A596" s="9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5"/>
      <c r="AK596" s="85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</row>
    <row r="597" ht="15.75" customHeight="1">
      <c r="A597" s="9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5"/>
      <c r="AK597" s="85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</row>
    <row r="598" ht="15.75" customHeight="1">
      <c r="A598" s="9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5"/>
      <c r="AK598" s="85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</row>
    <row r="599" ht="15.75" customHeight="1">
      <c r="A599" s="9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5"/>
      <c r="AK599" s="85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</row>
    <row r="600" ht="15.75" customHeight="1">
      <c r="A600" s="9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5"/>
      <c r="AK600" s="85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</row>
    <row r="601" ht="15.75" customHeight="1">
      <c r="A601" s="9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5"/>
      <c r="AK601" s="85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</row>
    <row r="602" ht="15.75" customHeight="1">
      <c r="A602" s="9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5"/>
      <c r="AK602" s="85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</row>
    <row r="603" ht="15.75" customHeight="1">
      <c r="A603" s="9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5"/>
      <c r="AK603" s="85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</row>
    <row r="604" ht="15.75" customHeight="1">
      <c r="A604" s="9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5"/>
      <c r="AK604" s="85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</row>
    <row r="605" ht="15.75" customHeight="1">
      <c r="A605" s="9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5"/>
      <c r="AK605" s="85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</row>
    <row r="606" ht="15.75" customHeight="1">
      <c r="A606" s="9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5"/>
      <c r="AK606" s="85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</row>
    <row r="607" ht="15.75" customHeight="1">
      <c r="A607" s="9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5"/>
      <c r="AK607" s="85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</row>
    <row r="608" ht="15.75" customHeight="1">
      <c r="A608" s="9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5"/>
      <c r="AK608" s="85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</row>
    <row r="609" ht="15.75" customHeight="1">
      <c r="A609" s="9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5"/>
      <c r="AK609" s="85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</row>
    <row r="610" ht="15.75" customHeight="1">
      <c r="A610" s="9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5"/>
      <c r="AK610" s="85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</row>
    <row r="611" ht="15.75" customHeight="1">
      <c r="A611" s="9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5"/>
      <c r="AK611" s="85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</row>
    <row r="612" ht="15.75" customHeight="1">
      <c r="A612" s="9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5"/>
      <c r="AK612" s="85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</row>
    <row r="613" ht="15.75" customHeight="1">
      <c r="A613" s="9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5"/>
      <c r="AK613" s="85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</row>
    <row r="614" ht="15.75" customHeight="1">
      <c r="A614" s="9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5"/>
      <c r="AK614" s="85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</row>
    <row r="615" ht="15.75" customHeight="1">
      <c r="A615" s="9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5"/>
      <c r="AK615" s="85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</row>
    <row r="616" ht="15.75" customHeight="1">
      <c r="A616" s="9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5"/>
      <c r="AK616" s="85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</row>
    <row r="617" ht="15.75" customHeight="1">
      <c r="A617" s="9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5"/>
      <c r="AK617" s="85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</row>
    <row r="618" ht="15.75" customHeight="1">
      <c r="A618" s="9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5"/>
      <c r="AK618" s="85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</row>
    <row r="619" ht="15.75" customHeight="1">
      <c r="A619" s="9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5"/>
      <c r="AK619" s="85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</row>
    <row r="620" ht="15.75" customHeight="1">
      <c r="A620" s="9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5"/>
      <c r="AK620" s="85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</row>
    <row r="621" ht="15.75" customHeight="1">
      <c r="A621" s="9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5"/>
      <c r="AK621" s="85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</row>
    <row r="622" ht="15.75" customHeight="1">
      <c r="A622" s="9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5"/>
      <c r="AK622" s="85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</row>
    <row r="623" ht="15.75" customHeight="1">
      <c r="A623" s="9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5"/>
      <c r="AK623" s="85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</row>
    <row r="624" ht="15.75" customHeight="1">
      <c r="A624" s="9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5"/>
      <c r="AK624" s="85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</row>
    <row r="625" ht="15.75" customHeight="1">
      <c r="A625" s="9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5"/>
      <c r="AK625" s="85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</row>
    <row r="626" ht="15.75" customHeight="1">
      <c r="A626" s="9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5"/>
      <c r="AK626" s="85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</row>
    <row r="627" ht="15.75" customHeight="1">
      <c r="A627" s="9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5"/>
      <c r="AK627" s="85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</row>
    <row r="628" ht="15.75" customHeight="1">
      <c r="A628" s="9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5"/>
      <c r="AK628" s="85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</row>
    <row r="629" ht="15.75" customHeight="1">
      <c r="A629" s="9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5"/>
      <c r="AK629" s="85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</row>
    <row r="630" ht="15.75" customHeight="1">
      <c r="A630" s="9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5"/>
      <c r="AK630" s="85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</row>
    <row r="631" ht="15.75" customHeight="1">
      <c r="A631" s="9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5"/>
      <c r="AK631" s="85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</row>
    <row r="632" ht="15.75" customHeight="1">
      <c r="A632" s="9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5"/>
      <c r="AK632" s="85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</row>
    <row r="633" ht="15.75" customHeight="1">
      <c r="A633" s="9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5"/>
      <c r="AK633" s="85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</row>
    <row r="634" ht="15.75" customHeight="1">
      <c r="A634" s="9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5"/>
      <c r="AK634" s="85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</row>
    <row r="635" ht="15.75" customHeight="1">
      <c r="A635" s="9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5"/>
      <c r="AK635" s="85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</row>
    <row r="636" ht="15.75" customHeight="1">
      <c r="A636" s="9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5"/>
      <c r="AK636" s="85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</row>
    <row r="637" ht="15.75" customHeight="1">
      <c r="A637" s="9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5"/>
      <c r="AK637" s="85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</row>
    <row r="638" ht="15.75" customHeight="1">
      <c r="A638" s="9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5"/>
      <c r="AK638" s="85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</row>
    <row r="639" ht="15.75" customHeight="1">
      <c r="A639" s="9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5"/>
      <c r="AK639" s="85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</row>
    <row r="640" ht="15.75" customHeight="1">
      <c r="A640" s="9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5"/>
      <c r="AK640" s="85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</row>
    <row r="641" ht="15.75" customHeight="1">
      <c r="A641" s="9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5"/>
      <c r="AK641" s="85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</row>
    <row r="642" ht="15.75" customHeight="1">
      <c r="A642" s="9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5"/>
      <c r="AK642" s="85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</row>
    <row r="643" ht="15.75" customHeight="1">
      <c r="A643" s="9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5"/>
      <c r="AK643" s="85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</row>
    <row r="644" ht="15.75" customHeight="1">
      <c r="A644" s="9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5"/>
      <c r="AK644" s="85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</row>
    <row r="645" ht="15.75" customHeight="1">
      <c r="A645" s="9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5"/>
      <c r="AK645" s="85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</row>
    <row r="646" ht="15.75" customHeight="1">
      <c r="A646" s="9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5"/>
      <c r="AK646" s="85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</row>
    <row r="647" ht="15.75" customHeight="1">
      <c r="A647" s="9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5"/>
      <c r="AK647" s="85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</row>
    <row r="648" ht="15.75" customHeight="1">
      <c r="A648" s="9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5"/>
      <c r="AK648" s="85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</row>
    <row r="649" ht="15.75" customHeight="1">
      <c r="A649" s="9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5"/>
      <c r="AK649" s="85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</row>
    <row r="650" ht="15.75" customHeight="1">
      <c r="A650" s="9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5"/>
      <c r="AK650" s="85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</row>
    <row r="651" ht="15.75" customHeight="1">
      <c r="A651" s="9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5"/>
      <c r="AK651" s="85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</row>
    <row r="652" ht="15.75" customHeight="1">
      <c r="A652" s="9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5"/>
      <c r="AK652" s="85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</row>
    <row r="653" ht="15.75" customHeight="1">
      <c r="A653" s="9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5"/>
      <c r="AK653" s="85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</row>
    <row r="654" ht="15.75" customHeight="1">
      <c r="A654" s="9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5"/>
      <c r="AK654" s="85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</row>
    <row r="655" ht="15.75" customHeight="1">
      <c r="A655" s="9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5"/>
      <c r="AK655" s="85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</row>
    <row r="656" ht="15.75" customHeight="1">
      <c r="A656" s="9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5"/>
      <c r="AK656" s="85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</row>
    <row r="657" ht="15.75" customHeight="1">
      <c r="A657" s="9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5"/>
      <c r="AK657" s="85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</row>
    <row r="658" ht="15.75" customHeight="1">
      <c r="A658" s="9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5"/>
      <c r="AK658" s="85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</row>
    <row r="659" ht="15.75" customHeight="1">
      <c r="A659" s="9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5"/>
      <c r="AK659" s="85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</row>
    <row r="660" ht="15.75" customHeight="1">
      <c r="A660" s="9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5"/>
      <c r="AK660" s="85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</row>
    <row r="661" ht="15.75" customHeight="1">
      <c r="A661" s="9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5"/>
      <c r="AK661" s="85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</row>
    <row r="662" ht="15.75" customHeight="1">
      <c r="A662" s="9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5"/>
      <c r="AK662" s="85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</row>
    <row r="663" ht="15.75" customHeight="1">
      <c r="A663" s="9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5"/>
      <c r="AK663" s="85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</row>
    <row r="664" ht="15.75" customHeight="1">
      <c r="A664" s="9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5"/>
      <c r="AK664" s="85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</row>
    <row r="665" ht="15.75" customHeight="1">
      <c r="A665" s="9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5"/>
      <c r="AK665" s="85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</row>
    <row r="666" ht="15.75" customHeight="1">
      <c r="A666" s="9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5"/>
      <c r="AK666" s="85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</row>
    <row r="667" ht="15.75" customHeight="1">
      <c r="A667" s="9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5"/>
      <c r="AK667" s="85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</row>
    <row r="668" ht="15.75" customHeight="1">
      <c r="A668" s="9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5"/>
      <c r="AK668" s="85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</row>
    <row r="669" ht="15.75" customHeight="1">
      <c r="A669" s="9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5"/>
      <c r="AK669" s="85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</row>
    <row r="670" ht="15.75" customHeight="1">
      <c r="A670" s="9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5"/>
      <c r="AK670" s="85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</row>
    <row r="671" ht="15.75" customHeight="1">
      <c r="A671" s="9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5"/>
      <c r="AK671" s="85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</row>
    <row r="672" ht="15.75" customHeight="1">
      <c r="A672" s="9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5"/>
      <c r="AK672" s="85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</row>
    <row r="673" ht="15.75" customHeight="1">
      <c r="A673" s="9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5"/>
      <c r="AK673" s="85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</row>
    <row r="674" ht="15.75" customHeight="1">
      <c r="A674" s="9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5"/>
      <c r="AK674" s="85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</row>
    <row r="675" ht="15.75" customHeight="1">
      <c r="A675" s="9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5"/>
      <c r="AK675" s="85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</row>
    <row r="676" ht="15.75" customHeight="1">
      <c r="A676" s="9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5"/>
      <c r="AK676" s="85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</row>
    <row r="677" ht="15.75" customHeight="1">
      <c r="A677" s="9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5"/>
      <c r="AK677" s="85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</row>
    <row r="678" ht="15.75" customHeight="1">
      <c r="A678" s="9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5"/>
      <c r="AK678" s="85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</row>
    <row r="679" ht="15.75" customHeight="1">
      <c r="A679" s="9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5"/>
      <c r="AK679" s="85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</row>
    <row r="680" ht="15.75" customHeight="1">
      <c r="A680" s="9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5"/>
      <c r="AK680" s="85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</row>
    <row r="681" ht="15.75" customHeight="1">
      <c r="A681" s="9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5"/>
      <c r="AK681" s="85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</row>
    <row r="682" ht="15.75" customHeight="1">
      <c r="A682" s="9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5"/>
      <c r="AK682" s="85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</row>
    <row r="683" ht="15.75" customHeight="1">
      <c r="A683" s="9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5"/>
      <c r="AK683" s="85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</row>
    <row r="684" ht="15.75" customHeight="1">
      <c r="A684" s="9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5"/>
      <c r="AK684" s="85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</row>
    <row r="685" ht="15.75" customHeight="1">
      <c r="A685" s="9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5"/>
      <c r="AK685" s="85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</row>
    <row r="686" ht="15.75" customHeight="1">
      <c r="A686" s="9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5"/>
      <c r="AK686" s="85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</row>
    <row r="687" ht="15.75" customHeight="1">
      <c r="A687" s="9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5"/>
      <c r="AK687" s="85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</row>
    <row r="688" ht="15.75" customHeight="1">
      <c r="A688" s="9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5"/>
      <c r="AK688" s="85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</row>
    <row r="689" ht="15.75" customHeight="1">
      <c r="A689" s="9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5"/>
      <c r="AK689" s="85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</row>
    <row r="690" ht="15.75" customHeight="1">
      <c r="A690" s="9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5"/>
      <c r="AK690" s="85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</row>
    <row r="691" ht="15.75" customHeight="1">
      <c r="A691" s="9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5"/>
      <c r="AK691" s="85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</row>
    <row r="692" ht="15.75" customHeight="1">
      <c r="A692" s="9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5"/>
      <c r="AK692" s="85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</row>
    <row r="693" ht="15.75" customHeight="1">
      <c r="A693" s="9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5"/>
      <c r="AK693" s="85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</row>
    <row r="694" ht="15.75" customHeight="1">
      <c r="A694" s="9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5"/>
      <c r="AK694" s="85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</row>
    <row r="695" ht="15.75" customHeight="1">
      <c r="A695" s="9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5"/>
      <c r="AK695" s="85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</row>
    <row r="696" ht="15.75" customHeight="1">
      <c r="A696" s="9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5"/>
      <c r="AK696" s="85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</row>
    <row r="697" ht="15.75" customHeight="1">
      <c r="A697" s="9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5"/>
      <c r="AK697" s="85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</row>
    <row r="698" ht="15.75" customHeight="1">
      <c r="A698" s="9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5"/>
      <c r="AK698" s="85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</row>
    <row r="699" ht="15.75" customHeight="1">
      <c r="A699" s="9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5"/>
      <c r="AK699" s="85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</row>
    <row r="700" ht="15.75" customHeight="1">
      <c r="A700" s="9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5"/>
      <c r="AK700" s="85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</row>
    <row r="701" ht="15.75" customHeight="1">
      <c r="A701" s="9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5"/>
      <c r="AK701" s="85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</row>
    <row r="702" ht="15.75" customHeight="1">
      <c r="A702" s="9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5"/>
      <c r="AK702" s="85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</row>
    <row r="703" ht="15.75" customHeight="1">
      <c r="A703" s="9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5"/>
      <c r="AK703" s="85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</row>
    <row r="704" ht="15.75" customHeight="1">
      <c r="A704" s="9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5"/>
      <c r="AK704" s="85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</row>
    <row r="705" ht="15.75" customHeight="1">
      <c r="A705" s="9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5"/>
      <c r="AK705" s="85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</row>
    <row r="706" ht="15.75" customHeight="1">
      <c r="A706" s="9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5"/>
      <c r="AK706" s="85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</row>
    <row r="707" ht="15.75" customHeight="1">
      <c r="A707" s="9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5"/>
      <c r="AK707" s="85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</row>
    <row r="708" ht="15.75" customHeight="1">
      <c r="A708" s="9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5"/>
      <c r="AK708" s="85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</row>
    <row r="709" ht="15.75" customHeight="1">
      <c r="A709" s="9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5"/>
      <c r="AK709" s="85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</row>
    <row r="710" ht="15.75" customHeight="1">
      <c r="A710" s="9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5"/>
      <c r="AK710" s="85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</row>
    <row r="711" ht="15.75" customHeight="1">
      <c r="A711" s="9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5"/>
      <c r="AK711" s="85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</row>
    <row r="712" ht="15.75" customHeight="1">
      <c r="A712" s="9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5"/>
      <c r="AK712" s="85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</row>
    <row r="713" ht="15.75" customHeight="1">
      <c r="A713" s="9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5"/>
      <c r="AK713" s="85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</row>
    <row r="714" ht="15.75" customHeight="1">
      <c r="A714" s="9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5"/>
      <c r="AK714" s="85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</row>
    <row r="715" ht="15.75" customHeight="1">
      <c r="A715" s="9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5"/>
      <c r="AK715" s="85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</row>
    <row r="716" ht="15.75" customHeight="1">
      <c r="A716" s="9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5"/>
      <c r="AK716" s="85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</row>
    <row r="717" ht="15.75" customHeight="1">
      <c r="A717" s="9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5"/>
      <c r="AK717" s="85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</row>
    <row r="718" ht="15.75" customHeight="1">
      <c r="A718" s="9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5"/>
      <c r="AK718" s="85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</row>
    <row r="719" ht="15.75" customHeight="1">
      <c r="A719" s="9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5"/>
      <c r="AK719" s="85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</row>
    <row r="720" ht="15.75" customHeight="1">
      <c r="A720" s="9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5"/>
      <c r="AK720" s="85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</row>
    <row r="721" ht="15.75" customHeight="1">
      <c r="A721" s="9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5"/>
      <c r="AK721" s="85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</row>
    <row r="722" ht="15.75" customHeight="1">
      <c r="A722" s="9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5"/>
      <c r="AK722" s="85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</row>
    <row r="723" ht="15.75" customHeight="1">
      <c r="A723" s="9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5"/>
      <c r="AK723" s="85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</row>
    <row r="724" ht="15.75" customHeight="1">
      <c r="A724" s="9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5"/>
      <c r="AK724" s="85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</row>
    <row r="725" ht="15.75" customHeight="1">
      <c r="A725" s="9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5"/>
      <c r="AK725" s="85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</row>
    <row r="726" ht="15.75" customHeight="1">
      <c r="A726" s="9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5"/>
      <c r="AK726" s="85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</row>
    <row r="727" ht="15.75" customHeight="1">
      <c r="A727" s="9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5"/>
      <c r="AK727" s="85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</row>
    <row r="728" ht="15.75" customHeight="1">
      <c r="A728" s="9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5"/>
      <c r="AK728" s="85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</row>
    <row r="729" ht="15.75" customHeight="1">
      <c r="A729" s="9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5"/>
      <c r="AK729" s="85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</row>
    <row r="730" ht="15.75" customHeight="1">
      <c r="A730" s="9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5"/>
      <c r="AK730" s="85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</row>
    <row r="731" ht="15.75" customHeight="1">
      <c r="A731" s="9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5"/>
      <c r="AK731" s="85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</row>
    <row r="732" ht="15.75" customHeight="1">
      <c r="A732" s="9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5"/>
      <c r="AK732" s="85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</row>
    <row r="733" ht="15.75" customHeight="1">
      <c r="A733" s="9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5"/>
      <c r="AK733" s="85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</row>
    <row r="734" ht="15.75" customHeight="1">
      <c r="A734" s="9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5"/>
      <c r="AK734" s="85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</row>
    <row r="735" ht="15.75" customHeight="1">
      <c r="A735" s="9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5"/>
      <c r="AK735" s="85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</row>
    <row r="736" ht="15.75" customHeight="1">
      <c r="A736" s="9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5"/>
      <c r="AK736" s="85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</row>
    <row r="737" ht="15.75" customHeight="1">
      <c r="A737" s="9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5"/>
      <c r="AK737" s="85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</row>
    <row r="738" ht="15.75" customHeight="1">
      <c r="A738" s="9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5"/>
      <c r="AK738" s="85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</row>
    <row r="739" ht="15.75" customHeight="1">
      <c r="A739" s="9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5"/>
      <c r="AK739" s="85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</row>
    <row r="740" ht="15.75" customHeight="1">
      <c r="A740" s="9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5"/>
      <c r="AK740" s="85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</row>
    <row r="741" ht="15.75" customHeight="1">
      <c r="A741" s="9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5"/>
      <c r="AK741" s="85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</row>
    <row r="742" ht="15.75" customHeight="1">
      <c r="A742" s="9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5"/>
      <c r="AK742" s="85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</row>
    <row r="743" ht="15.75" customHeight="1">
      <c r="A743" s="9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5"/>
      <c r="AK743" s="85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</row>
    <row r="744" ht="15.75" customHeight="1">
      <c r="A744" s="9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5"/>
      <c r="AK744" s="85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</row>
    <row r="745" ht="15.75" customHeight="1">
      <c r="A745" s="9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5"/>
      <c r="AK745" s="85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</row>
    <row r="746" ht="15.75" customHeight="1">
      <c r="A746" s="9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5"/>
      <c r="AK746" s="85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</row>
    <row r="747" ht="15.75" customHeight="1">
      <c r="A747" s="9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5"/>
      <c r="AK747" s="85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</row>
    <row r="748" ht="15.75" customHeight="1">
      <c r="A748" s="9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5"/>
      <c r="AK748" s="85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</row>
    <row r="749" ht="15.75" customHeight="1">
      <c r="A749" s="9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5"/>
      <c r="AK749" s="85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</row>
    <row r="750" ht="15.75" customHeight="1">
      <c r="A750" s="9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5"/>
      <c r="AK750" s="85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</row>
    <row r="751" ht="15.75" customHeight="1">
      <c r="A751" s="9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5"/>
      <c r="AK751" s="85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</row>
    <row r="752" ht="15.75" customHeight="1">
      <c r="A752" s="9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5"/>
      <c r="AK752" s="85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</row>
    <row r="753" ht="15.75" customHeight="1">
      <c r="A753" s="9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5"/>
      <c r="AK753" s="85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</row>
    <row r="754" ht="15.75" customHeight="1">
      <c r="A754" s="9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5"/>
      <c r="AK754" s="85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</row>
    <row r="755" ht="15.75" customHeight="1">
      <c r="A755" s="9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5"/>
      <c r="AK755" s="85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</row>
    <row r="756" ht="15.75" customHeight="1">
      <c r="A756" s="9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5"/>
      <c r="AK756" s="85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</row>
    <row r="757" ht="15.75" customHeight="1">
      <c r="A757" s="9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5"/>
      <c r="AK757" s="85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</row>
    <row r="758" ht="15.75" customHeight="1">
      <c r="A758" s="9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5"/>
      <c r="AK758" s="85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</row>
    <row r="759" ht="15.75" customHeight="1">
      <c r="A759" s="9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5"/>
      <c r="AK759" s="85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</row>
    <row r="760" ht="15.75" customHeight="1">
      <c r="A760" s="9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5"/>
      <c r="AK760" s="85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</row>
    <row r="761" ht="15.75" customHeight="1">
      <c r="A761" s="9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5"/>
      <c r="AK761" s="85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</row>
    <row r="762" ht="15.75" customHeight="1">
      <c r="A762" s="9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5"/>
      <c r="AK762" s="85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</row>
    <row r="763" ht="15.75" customHeight="1">
      <c r="A763" s="9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5"/>
      <c r="AK763" s="85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</row>
    <row r="764" ht="15.75" customHeight="1">
      <c r="A764" s="9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5"/>
      <c r="AK764" s="85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</row>
    <row r="765" ht="15.75" customHeight="1">
      <c r="A765" s="9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5"/>
      <c r="AK765" s="85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</row>
    <row r="766" ht="15.75" customHeight="1">
      <c r="A766" s="9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5"/>
      <c r="AK766" s="85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</row>
    <row r="767" ht="15.75" customHeight="1">
      <c r="A767" s="9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5"/>
      <c r="AK767" s="85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</row>
    <row r="768" ht="15.75" customHeight="1">
      <c r="A768" s="9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5"/>
      <c r="AK768" s="85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</row>
    <row r="769" ht="15.75" customHeight="1">
      <c r="A769" s="9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5"/>
      <c r="AK769" s="85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</row>
    <row r="770" ht="15.75" customHeight="1">
      <c r="A770" s="9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5"/>
      <c r="AK770" s="85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</row>
    <row r="771" ht="15.75" customHeight="1">
      <c r="A771" s="9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5"/>
      <c r="AK771" s="85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</row>
    <row r="772" ht="15.75" customHeight="1">
      <c r="A772" s="9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5"/>
      <c r="AK772" s="85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</row>
    <row r="773" ht="15.75" customHeight="1">
      <c r="A773" s="9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5"/>
      <c r="AK773" s="85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</row>
    <row r="774" ht="15.75" customHeight="1">
      <c r="A774" s="9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5"/>
      <c r="AK774" s="85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</row>
    <row r="775" ht="15.75" customHeight="1">
      <c r="A775" s="9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5"/>
      <c r="AK775" s="85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</row>
    <row r="776" ht="15.75" customHeight="1">
      <c r="A776" s="9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5"/>
      <c r="AK776" s="85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</row>
    <row r="777" ht="15.75" customHeight="1">
      <c r="A777" s="9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5"/>
      <c r="AK777" s="85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</row>
    <row r="778" ht="15.75" customHeight="1">
      <c r="A778" s="9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5"/>
      <c r="AK778" s="85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</row>
    <row r="779" ht="15.75" customHeight="1">
      <c r="A779" s="9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5"/>
      <c r="AK779" s="85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</row>
    <row r="780" ht="15.75" customHeight="1">
      <c r="A780" s="9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5"/>
      <c r="AK780" s="85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</row>
    <row r="781" ht="15.75" customHeight="1">
      <c r="A781" s="9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5"/>
      <c r="AK781" s="85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</row>
    <row r="782" ht="15.75" customHeight="1">
      <c r="A782" s="9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5"/>
      <c r="AK782" s="85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</row>
    <row r="783" ht="15.75" customHeight="1">
      <c r="A783" s="9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5"/>
      <c r="AK783" s="85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</row>
    <row r="784" ht="15.75" customHeight="1">
      <c r="A784" s="9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5"/>
      <c r="AK784" s="85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</row>
    <row r="785" ht="15.75" customHeight="1">
      <c r="A785" s="9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5"/>
      <c r="AK785" s="85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</row>
    <row r="786" ht="15.75" customHeight="1">
      <c r="A786" s="9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5"/>
      <c r="AK786" s="85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</row>
    <row r="787" ht="15.75" customHeight="1">
      <c r="A787" s="9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5"/>
      <c r="AK787" s="85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</row>
    <row r="788" ht="15.75" customHeight="1">
      <c r="A788" s="9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5"/>
      <c r="AK788" s="85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</row>
    <row r="789" ht="15.75" customHeight="1">
      <c r="A789" s="9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5"/>
      <c r="AK789" s="85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</row>
    <row r="790" ht="15.75" customHeight="1">
      <c r="A790" s="9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5"/>
      <c r="AK790" s="85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</row>
    <row r="791" ht="15.75" customHeight="1">
      <c r="A791" s="9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5"/>
      <c r="AK791" s="85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</row>
    <row r="792" ht="15.75" customHeight="1">
      <c r="A792" s="9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5"/>
      <c r="AK792" s="85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</row>
    <row r="793" ht="15.75" customHeight="1">
      <c r="A793" s="9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5"/>
      <c r="AK793" s="85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</row>
    <row r="794" ht="15.75" customHeight="1">
      <c r="A794" s="9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5"/>
      <c r="AK794" s="85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</row>
    <row r="795" ht="15.75" customHeight="1">
      <c r="A795" s="9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5"/>
      <c r="AK795" s="85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</row>
    <row r="796" ht="15.75" customHeight="1">
      <c r="A796" s="9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5"/>
      <c r="AK796" s="85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</row>
    <row r="797" ht="15.75" customHeight="1">
      <c r="A797" s="9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5"/>
      <c r="AK797" s="85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</row>
    <row r="798" ht="15.75" customHeight="1">
      <c r="A798" s="9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5"/>
      <c r="AK798" s="85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</row>
    <row r="799" ht="15.75" customHeight="1">
      <c r="A799" s="9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5"/>
      <c r="AK799" s="85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</row>
    <row r="800" ht="15.75" customHeight="1">
      <c r="A800" s="9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5"/>
      <c r="AK800" s="85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</row>
    <row r="801" ht="15.75" customHeight="1">
      <c r="A801" s="9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5"/>
      <c r="AK801" s="85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</row>
    <row r="802" ht="15.75" customHeight="1">
      <c r="A802" s="9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5"/>
      <c r="AK802" s="85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</row>
    <row r="803" ht="15.75" customHeight="1">
      <c r="A803" s="9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5"/>
      <c r="AK803" s="85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</row>
    <row r="804" ht="15.75" customHeight="1">
      <c r="A804" s="9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5"/>
      <c r="AK804" s="85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</row>
    <row r="805" ht="15.75" customHeight="1">
      <c r="A805" s="9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5"/>
      <c r="AK805" s="85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</row>
    <row r="806" ht="15.75" customHeight="1">
      <c r="A806" s="9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5"/>
      <c r="AK806" s="85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</row>
    <row r="807" ht="15.75" customHeight="1">
      <c r="A807" s="9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5"/>
      <c r="AK807" s="85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</row>
    <row r="808" ht="15.75" customHeight="1">
      <c r="A808" s="9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5"/>
      <c r="AK808" s="85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</row>
    <row r="809" ht="15.75" customHeight="1">
      <c r="A809" s="9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5"/>
      <c r="AK809" s="85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</row>
    <row r="810" ht="15.75" customHeight="1">
      <c r="A810" s="9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5"/>
      <c r="AK810" s="85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</row>
    <row r="811" ht="15.75" customHeight="1">
      <c r="A811" s="9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5"/>
      <c r="AK811" s="85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</row>
    <row r="812" ht="15.75" customHeight="1">
      <c r="A812" s="9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5"/>
      <c r="AK812" s="85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</row>
    <row r="813" ht="15.75" customHeight="1">
      <c r="A813" s="9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5"/>
      <c r="AK813" s="85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</row>
    <row r="814" ht="15.75" customHeight="1">
      <c r="A814" s="9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5"/>
      <c r="AK814" s="85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</row>
    <row r="815" ht="15.75" customHeight="1">
      <c r="A815" s="9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5"/>
      <c r="AK815" s="85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</row>
    <row r="816" ht="15.75" customHeight="1">
      <c r="A816" s="9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5"/>
      <c r="AK816" s="85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</row>
    <row r="817" ht="15.75" customHeight="1">
      <c r="A817" s="9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5"/>
      <c r="AK817" s="85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</row>
    <row r="818" ht="15.75" customHeight="1">
      <c r="A818" s="9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5"/>
      <c r="AK818" s="85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</row>
    <row r="819" ht="15.75" customHeight="1">
      <c r="A819" s="9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5"/>
      <c r="AK819" s="85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</row>
    <row r="820" ht="15.75" customHeight="1">
      <c r="A820" s="9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5"/>
      <c r="AK820" s="85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</row>
    <row r="821" ht="15.75" customHeight="1">
      <c r="A821" s="9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5"/>
      <c r="AK821" s="85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</row>
    <row r="822" ht="15.75" customHeight="1">
      <c r="A822" s="9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5"/>
      <c r="AK822" s="85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</row>
    <row r="823" ht="15.75" customHeight="1">
      <c r="A823" s="9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5"/>
      <c r="AK823" s="85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</row>
    <row r="824" ht="15.75" customHeight="1">
      <c r="A824" s="9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5"/>
      <c r="AK824" s="85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</row>
    <row r="825" ht="15.75" customHeight="1">
      <c r="A825" s="9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5"/>
      <c r="AK825" s="85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</row>
    <row r="826" ht="15.75" customHeight="1">
      <c r="A826" s="9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5"/>
      <c r="AK826" s="85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</row>
    <row r="827" ht="15.75" customHeight="1">
      <c r="A827" s="9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5"/>
      <c r="AK827" s="85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</row>
    <row r="828" ht="15.75" customHeight="1">
      <c r="A828" s="9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5"/>
      <c r="AK828" s="85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</row>
    <row r="829" ht="15.75" customHeight="1">
      <c r="A829" s="9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5"/>
      <c r="AK829" s="85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</row>
    <row r="830" ht="15.75" customHeight="1">
      <c r="A830" s="9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5"/>
      <c r="AK830" s="85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</row>
    <row r="831" ht="15.75" customHeight="1">
      <c r="A831" s="9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5"/>
      <c r="AK831" s="85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</row>
    <row r="832" ht="15.75" customHeight="1">
      <c r="A832" s="9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5"/>
      <c r="AK832" s="85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</row>
    <row r="833" ht="15.75" customHeight="1">
      <c r="A833" s="9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5"/>
      <c r="AK833" s="85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</row>
    <row r="834" ht="15.75" customHeight="1">
      <c r="A834" s="9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5"/>
      <c r="AK834" s="85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</row>
    <row r="835" ht="15.75" customHeight="1">
      <c r="A835" s="9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5"/>
      <c r="AK835" s="85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</row>
    <row r="836" ht="15.75" customHeight="1">
      <c r="A836" s="9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5"/>
      <c r="AK836" s="85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</row>
    <row r="837" ht="15.75" customHeight="1">
      <c r="A837" s="9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5"/>
      <c r="AK837" s="85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</row>
    <row r="838" ht="15.75" customHeight="1">
      <c r="A838" s="9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5"/>
      <c r="AK838" s="85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</row>
    <row r="839" ht="15.75" customHeight="1">
      <c r="A839" s="9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5"/>
      <c r="AK839" s="85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</row>
    <row r="840" ht="15.75" customHeight="1">
      <c r="A840" s="9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5"/>
      <c r="AK840" s="85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</row>
    <row r="841" ht="15.75" customHeight="1">
      <c r="A841" s="9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5"/>
      <c r="AK841" s="85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</row>
    <row r="842" ht="15.75" customHeight="1">
      <c r="A842" s="9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5"/>
      <c r="AK842" s="85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</row>
    <row r="843" ht="15.75" customHeight="1">
      <c r="A843" s="9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5"/>
      <c r="AK843" s="85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</row>
    <row r="844" ht="15.75" customHeight="1">
      <c r="A844" s="9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5"/>
      <c r="AK844" s="85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</row>
    <row r="845" ht="15.75" customHeight="1">
      <c r="A845" s="9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5"/>
      <c r="AK845" s="85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</row>
    <row r="846" ht="15.75" customHeight="1">
      <c r="A846" s="9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5"/>
      <c r="AK846" s="85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</row>
    <row r="847" ht="15.75" customHeight="1">
      <c r="A847" s="9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5"/>
      <c r="AK847" s="85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</row>
    <row r="848" ht="15.75" customHeight="1">
      <c r="A848" s="9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5"/>
      <c r="AK848" s="85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</row>
    <row r="849" ht="15.75" customHeight="1">
      <c r="A849" s="9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5"/>
      <c r="AK849" s="85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</row>
    <row r="850" ht="15.75" customHeight="1">
      <c r="A850" s="9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5"/>
      <c r="AK850" s="85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</row>
    <row r="851" ht="15.75" customHeight="1">
      <c r="A851" s="9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5"/>
      <c r="AK851" s="85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</row>
    <row r="852" ht="15.75" customHeight="1">
      <c r="A852" s="9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5"/>
      <c r="AK852" s="85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</row>
    <row r="853" ht="15.75" customHeight="1">
      <c r="A853" s="9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5"/>
      <c r="AK853" s="85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</row>
    <row r="854" ht="15.75" customHeight="1">
      <c r="A854" s="9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5"/>
      <c r="AK854" s="85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</row>
    <row r="855" ht="15.75" customHeight="1">
      <c r="A855" s="9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5"/>
      <c r="AK855" s="85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</row>
    <row r="856" ht="15.75" customHeight="1">
      <c r="A856" s="9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5"/>
      <c r="AK856" s="85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</row>
    <row r="857" ht="15.75" customHeight="1">
      <c r="A857" s="9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5"/>
      <c r="AK857" s="85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</row>
    <row r="858" ht="15.75" customHeight="1">
      <c r="A858" s="9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5"/>
      <c r="AK858" s="85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</row>
    <row r="859" ht="15.75" customHeight="1">
      <c r="A859" s="9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5"/>
      <c r="AK859" s="85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</row>
    <row r="860" ht="15.75" customHeight="1">
      <c r="A860" s="9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5"/>
      <c r="AK860" s="85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</row>
    <row r="861" ht="15.75" customHeight="1">
      <c r="A861" s="9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5"/>
      <c r="AK861" s="85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</row>
    <row r="862" ht="15.75" customHeight="1">
      <c r="A862" s="9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5"/>
      <c r="AK862" s="85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</row>
    <row r="863" ht="15.75" customHeight="1">
      <c r="A863" s="9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5"/>
      <c r="AK863" s="85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</row>
    <row r="864" ht="15.75" customHeight="1">
      <c r="A864" s="9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5"/>
      <c r="AK864" s="85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</row>
    <row r="865" ht="15.75" customHeight="1">
      <c r="A865" s="9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5"/>
      <c r="AK865" s="85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</row>
    <row r="866" ht="15.75" customHeight="1">
      <c r="A866" s="9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5"/>
      <c r="AK866" s="85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</row>
    <row r="867" ht="15.75" customHeight="1">
      <c r="A867" s="9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5"/>
      <c r="AK867" s="85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</row>
    <row r="868" ht="15.75" customHeight="1">
      <c r="A868" s="9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5"/>
      <c r="AK868" s="85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</row>
    <row r="869" ht="15.75" customHeight="1">
      <c r="A869" s="9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5"/>
      <c r="AK869" s="85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</row>
    <row r="870" ht="15.75" customHeight="1">
      <c r="A870" s="9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5"/>
      <c r="AK870" s="85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</row>
    <row r="871" ht="15.75" customHeight="1">
      <c r="A871" s="9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5"/>
      <c r="AK871" s="85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</row>
    <row r="872" ht="15.75" customHeight="1">
      <c r="A872" s="9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5"/>
      <c r="AK872" s="85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</row>
    <row r="873" ht="15.75" customHeight="1">
      <c r="A873" s="9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5"/>
      <c r="AK873" s="85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</row>
    <row r="874" ht="15.75" customHeight="1">
      <c r="A874" s="9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5"/>
      <c r="AK874" s="85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</row>
    <row r="875" ht="15.75" customHeight="1">
      <c r="A875" s="9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5"/>
      <c r="AK875" s="85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</row>
    <row r="876" ht="15.75" customHeight="1">
      <c r="A876" s="9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5"/>
      <c r="AK876" s="85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</row>
    <row r="877" ht="15.75" customHeight="1">
      <c r="A877" s="9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5"/>
      <c r="AK877" s="85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</row>
    <row r="878" ht="15.75" customHeight="1">
      <c r="A878" s="9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5"/>
      <c r="AK878" s="85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</row>
    <row r="879" ht="15.75" customHeight="1">
      <c r="A879" s="9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5"/>
      <c r="AK879" s="85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</row>
    <row r="880" ht="15.75" customHeight="1">
      <c r="A880" s="9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5"/>
      <c r="AK880" s="85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</row>
    <row r="881" ht="15.75" customHeight="1">
      <c r="A881" s="9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5"/>
      <c r="AK881" s="85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</row>
    <row r="882" ht="15.75" customHeight="1">
      <c r="A882" s="9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5"/>
      <c r="AK882" s="85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</row>
    <row r="883" ht="15.75" customHeight="1">
      <c r="A883" s="9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5"/>
      <c r="AK883" s="85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</row>
    <row r="884" ht="15.75" customHeight="1">
      <c r="A884" s="9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5"/>
      <c r="AK884" s="85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</row>
    <row r="885" ht="15.75" customHeight="1">
      <c r="A885" s="9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5"/>
      <c r="AK885" s="85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</row>
    <row r="886" ht="15.75" customHeight="1">
      <c r="A886" s="9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5"/>
      <c r="AK886" s="85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</row>
    <row r="887" ht="15.75" customHeight="1">
      <c r="A887" s="9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5"/>
      <c r="AK887" s="85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</row>
    <row r="888" ht="15.75" customHeight="1">
      <c r="A888" s="9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5"/>
      <c r="AK888" s="85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</row>
    <row r="889" ht="15.75" customHeight="1">
      <c r="A889" s="9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5"/>
      <c r="AK889" s="85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</row>
    <row r="890" ht="15.75" customHeight="1">
      <c r="A890" s="9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5"/>
      <c r="AK890" s="85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</row>
    <row r="891" ht="15.75" customHeight="1">
      <c r="A891" s="9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5"/>
      <c r="AK891" s="85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</row>
    <row r="892" ht="15.75" customHeight="1">
      <c r="A892" s="9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5"/>
      <c r="AK892" s="85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</row>
    <row r="893" ht="15.75" customHeight="1">
      <c r="A893" s="9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5"/>
      <c r="AK893" s="85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</row>
    <row r="894" ht="15.75" customHeight="1">
      <c r="A894" s="9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5"/>
      <c r="AK894" s="85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</row>
    <row r="895" ht="15.75" customHeight="1">
      <c r="A895" s="9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5"/>
      <c r="AK895" s="85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</row>
    <row r="896" ht="15.75" customHeight="1">
      <c r="A896" s="9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5"/>
      <c r="AK896" s="85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</row>
    <row r="897" ht="15.75" customHeight="1">
      <c r="A897" s="9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5"/>
      <c r="AK897" s="85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</row>
    <row r="898" ht="15.75" customHeight="1">
      <c r="A898" s="9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5"/>
      <c r="AK898" s="85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</row>
    <row r="899" ht="15.75" customHeight="1">
      <c r="A899" s="9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5"/>
      <c r="AK899" s="85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</row>
    <row r="900" ht="15.75" customHeight="1">
      <c r="A900" s="9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5"/>
      <c r="AK900" s="85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</row>
    <row r="901" ht="15.75" customHeight="1">
      <c r="A901" s="9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5"/>
      <c r="AK901" s="85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</row>
    <row r="902" ht="15.75" customHeight="1">
      <c r="A902" s="9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5"/>
      <c r="AK902" s="85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</row>
    <row r="903" ht="15.75" customHeight="1">
      <c r="A903" s="9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5"/>
      <c r="AK903" s="85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</row>
    <row r="904" ht="15.75" customHeight="1">
      <c r="A904" s="9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5"/>
      <c r="AK904" s="85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</row>
    <row r="905" ht="15.75" customHeight="1">
      <c r="A905" s="9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5"/>
      <c r="AK905" s="85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</row>
    <row r="906" ht="15.75" customHeight="1">
      <c r="A906" s="9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5"/>
      <c r="AK906" s="85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</row>
    <row r="907" ht="15.75" customHeight="1">
      <c r="A907" s="9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5"/>
      <c r="AK907" s="85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</row>
    <row r="908" ht="15.75" customHeight="1">
      <c r="A908" s="9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5"/>
      <c r="AK908" s="85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</row>
    <row r="909" ht="15.75" customHeight="1">
      <c r="A909" s="9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5"/>
      <c r="AK909" s="85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</row>
    <row r="910" ht="15.75" customHeight="1">
      <c r="A910" s="9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5"/>
      <c r="AK910" s="85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</row>
    <row r="911" ht="15.75" customHeight="1">
      <c r="A911" s="9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5"/>
      <c r="AK911" s="85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</row>
    <row r="912" ht="15.75" customHeight="1">
      <c r="A912" s="9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5"/>
      <c r="AK912" s="85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</row>
    <row r="913" ht="15.75" customHeight="1">
      <c r="A913" s="9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5"/>
      <c r="AK913" s="85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</row>
    <row r="914" ht="15.75" customHeight="1">
      <c r="A914" s="9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5"/>
      <c r="AK914" s="85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</row>
    <row r="915" ht="15.75" customHeight="1">
      <c r="A915" s="9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5"/>
      <c r="AK915" s="85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</row>
    <row r="916" ht="15.75" customHeight="1">
      <c r="A916" s="9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5"/>
      <c r="AK916" s="85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</row>
    <row r="917" ht="15.75" customHeight="1">
      <c r="A917" s="9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5"/>
      <c r="AK917" s="85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</row>
    <row r="918" ht="15.75" customHeight="1">
      <c r="A918" s="9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5"/>
      <c r="AK918" s="85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</row>
    <row r="919" ht="15.75" customHeight="1">
      <c r="A919" s="9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5"/>
      <c r="AK919" s="85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</row>
    <row r="920" ht="15.75" customHeight="1">
      <c r="A920" s="9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5"/>
      <c r="AK920" s="85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</row>
    <row r="921" ht="15.75" customHeight="1">
      <c r="A921" s="9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5"/>
      <c r="AK921" s="85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</row>
    <row r="922" ht="15.75" customHeight="1">
      <c r="A922" s="9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5"/>
      <c r="AK922" s="85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</row>
    <row r="923" ht="15.75" customHeight="1">
      <c r="A923" s="9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5"/>
      <c r="AK923" s="85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</row>
    <row r="924" ht="15.75" customHeight="1">
      <c r="A924" s="9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5"/>
      <c r="AK924" s="85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</row>
    <row r="925" ht="15.75" customHeight="1">
      <c r="A925" s="9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5"/>
      <c r="AK925" s="85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</row>
    <row r="926" ht="15.75" customHeight="1">
      <c r="A926" s="9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5"/>
      <c r="AK926" s="85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</row>
    <row r="927" ht="15.75" customHeight="1">
      <c r="A927" s="9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5"/>
      <c r="AK927" s="85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</row>
    <row r="928" ht="15.75" customHeight="1">
      <c r="A928" s="9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5"/>
      <c r="AK928" s="85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</row>
    <row r="929" ht="15.75" customHeight="1">
      <c r="A929" s="9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5"/>
      <c r="AK929" s="85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</row>
    <row r="930" ht="15.75" customHeight="1">
      <c r="A930" s="9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5"/>
      <c r="AK930" s="85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</row>
    <row r="931" ht="15.75" customHeight="1">
      <c r="A931" s="9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5"/>
      <c r="AK931" s="85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</row>
    <row r="932" ht="15.75" customHeight="1">
      <c r="A932" s="9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5"/>
      <c r="AK932" s="85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</row>
    <row r="933" ht="15.75" customHeight="1">
      <c r="A933" s="9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5"/>
      <c r="AK933" s="85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</row>
    <row r="934" ht="15.75" customHeight="1">
      <c r="A934" s="9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5"/>
      <c r="AK934" s="85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</row>
    <row r="935" ht="15.75" customHeight="1">
      <c r="A935" s="9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5"/>
      <c r="AK935" s="85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</row>
    <row r="936" ht="15.75" customHeight="1">
      <c r="A936" s="9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5"/>
      <c r="AK936" s="85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</row>
    <row r="937" ht="15.75" customHeight="1">
      <c r="A937" s="9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5"/>
      <c r="AK937" s="85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</row>
    <row r="938" ht="15.75" customHeight="1">
      <c r="A938" s="9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5"/>
      <c r="AK938" s="85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</row>
    <row r="939" ht="15.75" customHeight="1">
      <c r="A939" s="9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5"/>
      <c r="AK939" s="85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</row>
    <row r="940" ht="15.75" customHeight="1">
      <c r="A940" s="9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5"/>
      <c r="AK940" s="85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</row>
    <row r="941" ht="15.75" customHeight="1">
      <c r="A941" s="9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5"/>
      <c r="AK941" s="85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</row>
    <row r="942" ht="15.75" customHeight="1">
      <c r="A942" s="9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5"/>
      <c r="AK942" s="85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</row>
    <row r="943" ht="15.75" customHeight="1">
      <c r="A943" s="9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5"/>
      <c r="AK943" s="85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</row>
    <row r="944" ht="15.75" customHeight="1">
      <c r="A944" s="9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5"/>
      <c r="AK944" s="85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</row>
    <row r="945" ht="15.75" customHeight="1">
      <c r="A945" s="9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5"/>
      <c r="AK945" s="85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</row>
    <row r="946" ht="15.75" customHeight="1">
      <c r="A946" s="9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5"/>
      <c r="AK946" s="85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</row>
    <row r="947" ht="15.75" customHeight="1">
      <c r="A947" s="9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5"/>
      <c r="AK947" s="85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</row>
    <row r="948" ht="15.75" customHeight="1">
      <c r="A948" s="9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5"/>
      <c r="AK948" s="85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</row>
    <row r="949" ht="15.75" customHeight="1">
      <c r="A949" s="9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5"/>
      <c r="AK949" s="85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</row>
    <row r="950" ht="15.75" customHeight="1">
      <c r="A950" s="9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5"/>
      <c r="AK950" s="85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</row>
    <row r="951" ht="15.75" customHeight="1">
      <c r="A951" s="9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5"/>
      <c r="AK951" s="85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</row>
    <row r="952" ht="15.75" customHeight="1">
      <c r="A952" s="9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5"/>
      <c r="AK952" s="85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</row>
    <row r="953" ht="15.75" customHeight="1">
      <c r="A953" s="9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5"/>
      <c r="AK953" s="85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</row>
    <row r="954" ht="15.75" customHeight="1">
      <c r="A954" s="9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5"/>
      <c r="AK954" s="85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</row>
    <row r="955" ht="15.75" customHeight="1">
      <c r="A955" s="9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5"/>
      <c r="AK955" s="85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</row>
    <row r="956" ht="15.75" customHeight="1">
      <c r="A956" s="9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5"/>
      <c r="AK956" s="85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</row>
    <row r="957" ht="15.75" customHeight="1">
      <c r="A957" s="9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5"/>
      <c r="AK957" s="85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</row>
    <row r="958" ht="15.75" customHeight="1">
      <c r="A958" s="9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5"/>
      <c r="AK958" s="85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</row>
    <row r="959" ht="15.75" customHeight="1">
      <c r="A959" s="9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5"/>
      <c r="AK959" s="85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</row>
    <row r="960" ht="15.75" customHeight="1">
      <c r="A960" s="9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5"/>
      <c r="AK960" s="85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</row>
    <row r="961" ht="15.75" customHeight="1">
      <c r="A961" s="9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5"/>
      <c r="AK961" s="85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</row>
    <row r="962" ht="15.75" customHeight="1">
      <c r="A962" s="9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5"/>
      <c r="AK962" s="85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</row>
    <row r="963" ht="15.75" customHeight="1">
      <c r="A963" s="9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5"/>
      <c r="AK963" s="85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</row>
    <row r="964" ht="15.75" customHeight="1">
      <c r="A964" s="9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5"/>
      <c r="AK964" s="85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</row>
    <row r="965" ht="15.75" customHeight="1">
      <c r="A965" s="9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5"/>
      <c r="AK965" s="85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</row>
    <row r="966" ht="15.75" customHeight="1">
      <c r="A966" s="9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5"/>
      <c r="AK966" s="85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</row>
    <row r="967" ht="15.75" customHeight="1">
      <c r="A967" s="9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5"/>
      <c r="AK967" s="85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</row>
    <row r="968" ht="15.75" customHeight="1">
      <c r="A968" s="9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5"/>
      <c r="AK968" s="85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</row>
    <row r="969" ht="15.75" customHeight="1">
      <c r="A969" s="9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5"/>
      <c r="AK969" s="85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</row>
    <row r="970" ht="15.75" customHeight="1">
      <c r="A970" s="9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5"/>
      <c r="AK970" s="85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</row>
    <row r="971" ht="15.75" customHeight="1">
      <c r="A971" s="9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5"/>
      <c r="AK971" s="85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</row>
    <row r="972" ht="15.75" customHeight="1">
      <c r="A972" s="9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5"/>
      <c r="AK972" s="85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</row>
    <row r="973" ht="15.75" customHeight="1">
      <c r="A973" s="9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5"/>
      <c r="AK973" s="85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</row>
    <row r="974" ht="15.75" customHeight="1">
      <c r="A974" s="9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5"/>
      <c r="AK974" s="85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</row>
    <row r="975" ht="15.75" customHeight="1">
      <c r="A975" s="9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5"/>
      <c r="AK975" s="85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</row>
    <row r="976" ht="15.75" customHeight="1">
      <c r="A976" s="9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5"/>
      <c r="AK976" s="85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</row>
    <row r="977" ht="15.75" customHeight="1">
      <c r="A977" s="9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5"/>
      <c r="AK977" s="85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</row>
    <row r="978" ht="15.75" customHeight="1">
      <c r="A978" s="9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5"/>
      <c r="AK978" s="85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</row>
    <row r="979" ht="15.75" customHeight="1">
      <c r="A979" s="9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5"/>
      <c r="AK979" s="85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</row>
    <row r="980" ht="15.75" customHeight="1">
      <c r="A980" s="9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5"/>
      <c r="AK980" s="85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</row>
    <row r="981" ht="15.75" customHeight="1">
      <c r="A981" s="9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5"/>
      <c r="AK981" s="85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</row>
    <row r="982" ht="15.75" customHeight="1">
      <c r="A982" s="9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5"/>
      <c r="AK982" s="85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</row>
    <row r="983" ht="15.75" customHeight="1">
      <c r="A983" s="9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5"/>
      <c r="AK983" s="85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</row>
    <row r="984" ht="15.75" customHeight="1">
      <c r="A984" s="9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5"/>
      <c r="AK984" s="85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</row>
    <row r="985" ht="15.75" customHeight="1">
      <c r="A985" s="9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5"/>
      <c r="AK985" s="85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</row>
    <row r="986" ht="15.75" customHeight="1">
      <c r="A986" s="9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5"/>
      <c r="AK986" s="85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</row>
    <row r="987" ht="15.75" customHeight="1">
      <c r="A987" s="9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5"/>
      <c r="AK987" s="85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</row>
    <row r="988" ht="15.75" customHeight="1">
      <c r="A988" s="9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5"/>
      <c r="AK988" s="85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</row>
    <row r="989" ht="15.75" customHeight="1">
      <c r="A989" s="9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5"/>
      <c r="AK989" s="85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</row>
    <row r="990" ht="15.75" customHeight="1">
      <c r="A990" s="9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5"/>
      <c r="AK990" s="85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</row>
    <row r="991" ht="15.75" customHeight="1">
      <c r="A991" s="9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5"/>
      <c r="AK991" s="85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</row>
    <row r="992" ht="15.75" customHeight="1">
      <c r="A992" s="9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5"/>
      <c r="AK992" s="85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</row>
    <row r="993" ht="15.75" customHeight="1">
      <c r="A993" s="9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5"/>
      <c r="AK993" s="85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</row>
    <row r="994" ht="15.75" customHeight="1">
      <c r="A994" s="9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5"/>
      <c r="AK994" s="85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</row>
    <row r="995" ht="15.75" customHeight="1">
      <c r="A995" s="9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5"/>
      <c r="AK995" s="85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</row>
    <row r="996" ht="15.75" customHeight="1">
      <c r="A996" s="9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5"/>
      <c r="AK996" s="85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</row>
    <row r="997" ht="15.75" customHeight="1">
      <c r="A997" s="9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5"/>
      <c r="AK997" s="85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</row>
    <row r="998" ht="15.75" customHeight="1">
      <c r="A998" s="9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5"/>
      <c r="AK998" s="85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</row>
    <row r="999" ht="15.75" customHeight="1">
      <c r="A999" s="9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5"/>
      <c r="AK999" s="85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</row>
    <row r="1000" ht="15.75" customHeight="1">
      <c r="A1000" s="9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5"/>
      <c r="AK1000" s="85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</row>
    <row r="1001" ht="15.75" customHeight="1">
      <c r="A1001" s="9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5"/>
      <c r="AK1001" s="85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</row>
  </sheetData>
  <mergeCells count="7503"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1:AI331"/>
    <mergeCell ref="AJ331:AK331"/>
    <mergeCell ref="AL331:AM331"/>
    <mergeCell ref="AN331:AO331"/>
    <mergeCell ref="AP331:AQ331"/>
    <mergeCell ref="AR331:AS331"/>
    <mergeCell ref="AT331:AU331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AJ332:AK332"/>
    <mergeCell ref="AL332:AM332"/>
    <mergeCell ref="AN332:AO332"/>
    <mergeCell ref="AP332:AQ332"/>
    <mergeCell ref="AR332:AS332"/>
    <mergeCell ref="AT332:AU332"/>
    <mergeCell ref="F334:G334"/>
    <mergeCell ref="H334:I334"/>
    <mergeCell ref="J334:K334"/>
    <mergeCell ref="L334:M334"/>
    <mergeCell ref="N334:O334"/>
    <mergeCell ref="P334:Q334"/>
    <mergeCell ref="R334:S334"/>
    <mergeCell ref="AP334:AQ334"/>
    <mergeCell ref="AR334:AS334"/>
    <mergeCell ref="AL333:AM333"/>
    <mergeCell ref="AN333:AO333"/>
    <mergeCell ref="AP333:AQ333"/>
    <mergeCell ref="AR333:AS333"/>
    <mergeCell ref="AT333:AU333"/>
    <mergeCell ref="AL334:AM334"/>
    <mergeCell ref="AN334:AO334"/>
    <mergeCell ref="AT334:AU334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F332:G332"/>
    <mergeCell ref="H332:I332"/>
    <mergeCell ref="J332:K332"/>
    <mergeCell ref="L332:M332"/>
    <mergeCell ref="N332:O332"/>
    <mergeCell ref="P332:Q332"/>
    <mergeCell ref="R332:S332"/>
    <mergeCell ref="F333:G333"/>
    <mergeCell ref="H333:I333"/>
    <mergeCell ref="J333:K333"/>
    <mergeCell ref="L333:M333"/>
    <mergeCell ref="N333:O333"/>
    <mergeCell ref="P333:Q333"/>
    <mergeCell ref="R333:S333"/>
    <mergeCell ref="AH335:AI335"/>
    <mergeCell ref="AJ335:AK335"/>
    <mergeCell ref="AL335:AM335"/>
    <mergeCell ref="AN335:AO335"/>
    <mergeCell ref="AP335:AQ335"/>
    <mergeCell ref="AR335:AS335"/>
    <mergeCell ref="AT335:AU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L337:AM337"/>
    <mergeCell ref="AN337:AO337"/>
    <mergeCell ref="AP337:AQ337"/>
    <mergeCell ref="AR337:AS337"/>
    <mergeCell ref="AT337:AU337"/>
    <mergeCell ref="AH336:AI336"/>
    <mergeCell ref="AJ336:AK336"/>
    <mergeCell ref="AL336:AM336"/>
    <mergeCell ref="AN336:AO336"/>
    <mergeCell ref="AP336:AQ336"/>
    <mergeCell ref="AR336:AS336"/>
    <mergeCell ref="AT336:AU336"/>
    <mergeCell ref="F337:G337"/>
    <mergeCell ref="H337:I337"/>
    <mergeCell ref="J337:K337"/>
    <mergeCell ref="L337:M337"/>
    <mergeCell ref="N337:O337"/>
    <mergeCell ref="P337:Q337"/>
    <mergeCell ref="R337:S337"/>
    <mergeCell ref="AH338:AI338"/>
    <mergeCell ref="AJ338:AK338"/>
    <mergeCell ref="AL338:AM338"/>
    <mergeCell ref="AN338:AO338"/>
    <mergeCell ref="AP338:AQ338"/>
    <mergeCell ref="AR338:AS338"/>
    <mergeCell ref="AT338:AU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AL339:AM339"/>
    <mergeCell ref="AN339:AO339"/>
    <mergeCell ref="AP339:AQ339"/>
    <mergeCell ref="AR339:AS339"/>
    <mergeCell ref="AT339:AU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49:AI349"/>
    <mergeCell ref="AJ349:AK349"/>
    <mergeCell ref="AL349:AM349"/>
    <mergeCell ref="AN349:AO349"/>
    <mergeCell ref="AP349:AQ349"/>
    <mergeCell ref="AR349:AS349"/>
    <mergeCell ref="AT349:AU349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L350:AM350"/>
    <mergeCell ref="AN350:AO350"/>
    <mergeCell ref="AP350:AQ350"/>
    <mergeCell ref="AR350:AS350"/>
    <mergeCell ref="AT350:AU350"/>
    <mergeCell ref="F352:G352"/>
    <mergeCell ref="H352:I352"/>
    <mergeCell ref="J352:K352"/>
    <mergeCell ref="L352:M352"/>
    <mergeCell ref="N352:O352"/>
    <mergeCell ref="P352:Q352"/>
    <mergeCell ref="R352:S352"/>
    <mergeCell ref="AP352:AQ352"/>
    <mergeCell ref="AR352:AS352"/>
    <mergeCell ref="AL351:AM351"/>
    <mergeCell ref="AN351:AO351"/>
    <mergeCell ref="AP351:AQ351"/>
    <mergeCell ref="AR351:AS351"/>
    <mergeCell ref="AT351:AU351"/>
    <mergeCell ref="AL352:AM352"/>
    <mergeCell ref="AN352:AO352"/>
    <mergeCell ref="AT352:AU352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F350:G350"/>
    <mergeCell ref="H350:I350"/>
    <mergeCell ref="J350:K350"/>
    <mergeCell ref="L350:M350"/>
    <mergeCell ref="N350:O350"/>
    <mergeCell ref="P350:Q350"/>
    <mergeCell ref="R350:S350"/>
    <mergeCell ref="F351:G351"/>
    <mergeCell ref="H351:I351"/>
    <mergeCell ref="J351:K351"/>
    <mergeCell ref="L351:M351"/>
    <mergeCell ref="N351:O351"/>
    <mergeCell ref="P351:Q351"/>
    <mergeCell ref="R351:S351"/>
    <mergeCell ref="AH353:AI353"/>
    <mergeCell ref="AJ353:AK353"/>
    <mergeCell ref="AL353:AM353"/>
    <mergeCell ref="AN353:AO353"/>
    <mergeCell ref="AP353:AQ353"/>
    <mergeCell ref="AR353:AS353"/>
    <mergeCell ref="AT353:AU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L355:AM355"/>
    <mergeCell ref="AN355:AO355"/>
    <mergeCell ref="AP355:AQ355"/>
    <mergeCell ref="AR355:AS355"/>
    <mergeCell ref="AT355:AU355"/>
    <mergeCell ref="AH354:AI354"/>
    <mergeCell ref="AJ354:AK354"/>
    <mergeCell ref="AL354:AM354"/>
    <mergeCell ref="AN354:AO354"/>
    <mergeCell ref="AP354:AQ354"/>
    <mergeCell ref="AR354:AS354"/>
    <mergeCell ref="AT354:AU354"/>
    <mergeCell ref="AH358:AI358"/>
    <mergeCell ref="AJ358:AK358"/>
    <mergeCell ref="AL358:AM358"/>
    <mergeCell ref="AN358:AO358"/>
    <mergeCell ref="AP358:AQ358"/>
    <mergeCell ref="AR358:AS358"/>
    <mergeCell ref="AT358:AU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AL359:AM359"/>
    <mergeCell ref="AN359:AO359"/>
    <mergeCell ref="AP359:AQ359"/>
    <mergeCell ref="AR359:AS359"/>
    <mergeCell ref="AT359:AU359"/>
    <mergeCell ref="T359:U359"/>
    <mergeCell ref="V359:W359"/>
    <mergeCell ref="X359:Y359"/>
    <mergeCell ref="Z359:AA359"/>
    <mergeCell ref="AB359:AC359"/>
    <mergeCell ref="AD359:AE359"/>
    <mergeCell ref="AF359:AG359"/>
    <mergeCell ref="F355:G355"/>
    <mergeCell ref="H355:I355"/>
    <mergeCell ref="J355:K355"/>
    <mergeCell ref="L355:M355"/>
    <mergeCell ref="N355:O355"/>
    <mergeCell ref="P355:Q355"/>
    <mergeCell ref="R355:S355"/>
    <mergeCell ref="AH356:AI356"/>
    <mergeCell ref="AJ356:AK356"/>
    <mergeCell ref="AL356:AM356"/>
    <mergeCell ref="AN356:AO356"/>
    <mergeCell ref="AP356:AQ356"/>
    <mergeCell ref="AR356:AS356"/>
    <mergeCell ref="AT356:AU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AL357:AM357"/>
    <mergeCell ref="AN357:AO357"/>
    <mergeCell ref="AP357:AQ357"/>
    <mergeCell ref="AR357:AS357"/>
    <mergeCell ref="AT357:AU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0:AI340"/>
    <mergeCell ref="AJ340:AK340"/>
    <mergeCell ref="AL340:AM340"/>
    <mergeCell ref="AN340:AO340"/>
    <mergeCell ref="AP340:AQ340"/>
    <mergeCell ref="AR340:AS340"/>
    <mergeCell ref="AT340:AU340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AJ341:AK341"/>
    <mergeCell ref="AL341:AM341"/>
    <mergeCell ref="AN341:AO341"/>
    <mergeCell ref="AP341:AQ341"/>
    <mergeCell ref="AR341:AS341"/>
    <mergeCell ref="AT341:AU341"/>
    <mergeCell ref="F343:G343"/>
    <mergeCell ref="H343:I343"/>
    <mergeCell ref="J343:K343"/>
    <mergeCell ref="L343:M343"/>
    <mergeCell ref="N343:O343"/>
    <mergeCell ref="P343:Q343"/>
    <mergeCell ref="R343:S343"/>
    <mergeCell ref="AP343:AQ343"/>
    <mergeCell ref="AR343:AS343"/>
    <mergeCell ref="AL342:AM342"/>
    <mergeCell ref="AN342:AO342"/>
    <mergeCell ref="AP342:AQ342"/>
    <mergeCell ref="AR342:AS342"/>
    <mergeCell ref="AT342:AU342"/>
    <mergeCell ref="AL343:AM343"/>
    <mergeCell ref="AN343:AO343"/>
    <mergeCell ref="AT343:AU343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H344:AI344"/>
    <mergeCell ref="AJ344:AK344"/>
    <mergeCell ref="AL344:AM344"/>
    <mergeCell ref="AN344:AO344"/>
    <mergeCell ref="AP344:AQ344"/>
    <mergeCell ref="AR344:AS344"/>
    <mergeCell ref="AT344:AU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L346:AM346"/>
    <mergeCell ref="AN346:AO346"/>
    <mergeCell ref="AP346:AQ346"/>
    <mergeCell ref="AR346:AS346"/>
    <mergeCell ref="AT346:AU346"/>
    <mergeCell ref="AH345:AI345"/>
    <mergeCell ref="AJ345:AK345"/>
    <mergeCell ref="AL345:AM345"/>
    <mergeCell ref="AN345:AO345"/>
    <mergeCell ref="AP345:AQ345"/>
    <mergeCell ref="AR345:AS345"/>
    <mergeCell ref="AT345:AU345"/>
    <mergeCell ref="F346:G346"/>
    <mergeCell ref="H346:I346"/>
    <mergeCell ref="J346:K346"/>
    <mergeCell ref="L346:M346"/>
    <mergeCell ref="N346:O346"/>
    <mergeCell ref="P346:Q346"/>
    <mergeCell ref="R346:S346"/>
    <mergeCell ref="AH347:AI347"/>
    <mergeCell ref="AJ347:AK347"/>
    <mergeCell ref="AL347:AM347"/>
    <mergeCell ref="AN347:AO347"/>
    <mergeCell ref="AP347:AQ347"/>
    <mergeCell ref="AR347:AS347"/>
    <mergeCell ref="AT347:AU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AL348:AM348"/>
    <mergeCell ref="AN348:AO348"/>
    <mergeCell ref="AP348:AQ348"/>
    <mergeCell ref="AR348:AS348"/>
    <mergeCell ref="AT348:AU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8:AI268"/>
    <mergeCell ref="AJ268:AK268"/>
    <mergeCell ref="AL268:AM268"/>
    <mergeCell ref="AN268:AO268"/>
    <mergeCell ref="AP268:AQ268"/>
    <mergeCell ref="AR268:AS268"/>
    <mergeCell ref="AT268:AU268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O269"/>
    <mergeCell ref="AP269:AQ269"/>
    <mergeCell ref="AR269:AS269"/>
    <mergeCell ref="AT269:AU269"/>
    <mergeCell ref="F271:G271"/>
    <mergeCell ref="H271:I271"/>
    <mergeCell ref="J271:K271"/>
    <mergeCell ref="L271:M271"/>
    <mergeCell ref="N271:O271"/>
    <mergeCell ref="P271:Q271"/>
    <mergeCell ref="R271:S271"/>
    <mergeCell ref="AP271:AQ271"/>
    <mergeCell ref="AR271:AS271"/>
    <mergeCell ref="AL270:AM270"/>
    <mergeCell ref="AN270:AO270"/>
    <mergeCell ref="AP270:AQ270"/>
    <mergeCell ref="AR270:AS270"/>
    <mergeCell ref="AT270:AU270"/>
    <mergeCell ref="AL271:AM271"/>
    <mergeCell ref="AN271:AO271"/>
    <mergeCell ref="AT271:AU271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H272:AI272"/>
    <mergeCell ref="AJ272:AK272"/>
    <mergeCell ref="AL272:AM272"/>
    <mergeCell ref="AN272:AO272"/>
    <mergeCell ref="AP272:AQ272"/>
    <mergeCell ref="AR272:AS272"/>
    <mergeCell ref="AT272:AU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L274:AM274"/>
    <mergeCell ref="AN274:AO274"/>
    <mergeCell ref="AP274:AQ274"/>
    <mergeCell ref="AR274:AS274"/>
    <mergeCell ref="AT274:AU274"/>
    <mergeCell ref="AH273:AI273"/>
    <mergeCell ref="AJ273:AK273"/>
    <mergeCell ref="AL273:AM273"/>
    <mergeCell ref="AN273:AO273"/>
    <mergeCell ref="AP273:AQ273"/>
    <mergeCell ref="AR273:AS273"/>
    <mergeCell ref="AT273:AU273"/>
    <mergeCell ref="F274:G274"/>
    <mergeCell ref="H274:I274"/>
    <mergeCell ref="J274:K274"/>
    <mergeCell ref="L274:M274"/>
    <mergeCell ref="N274:O274"/>
    <mergeCell ref="P274:Q274"/>
    <mergeCell ref="R274:S274"/>
    <mergeCell ref="AH275:AI275"/>
    <mergeCell ref="AJ275:AK275"/>
    <mergeCell ref="AL275:AM275"/>
    <mergeCell ref="AN275:AO275"/>
    <mergeCell ref="AP275:AQ275"/>
    <mergeCell ref="AR275:AS275"/>
    <mergeCell ref="AT275:AU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AL276:AM276"/>
    <mergeCell ref="AN276:AO276"/>
    <mergeCell ref="AP276:AQ276"/>
    <mergeCell ref="AR276:AS276"/>
    <mergeCell ref="AT276:AU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7:AI277"/>
    <mergeCell ref="AJ277:AK277"/>
    <mergeCell ref="AL277:AM277"/>
    <mergeCell ref="AN277:AO277"/>
    <mergeCell ref="AP277:AQ277"/>
    <mergeCell ref="AR277:AS277"/>
    <mergeCell ref="AT277:AU277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O278"/>
    <mergeCell ref="AP278:AQ278"/>
    <mergeCell ref="AR278:AS278"/>
    <mergeCell ref="AT278:AU278"/>
    <mergeCell ref="F280:G280"/>
    <mergeCell ref="H280:I280"/>
    <mergeCell ref="J280:K280"/>
    <mergeCell ref="L280:M280"/>
    <mergeCell ref="N280:O280"/>
    <mergeCell ref="P280:Q280"/>
    <mergeCell ref="R280:S280"/>
    <mergeCell ref="AP280:AQ280"/>
    <mergeCell ref="AR280:AS280"/>
    <mergeCell ref="AL279:AM279"/>
    <mergeCell ref="AN279:AO279"/>
    <mergeCell ref="AP279:AQ279"/>
    <mergeCell ref="AR279:AS279"/>
    <mergeCell ref="AT279:AU279"/>
    <mergeCell ref="AL280:AM280"/>
    <mergeCell ref="AN280:AO280"/>
    <mergeCell ref="AT280:AU280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F278:G278"/>
    <mergeCell ref="H278:I278"/>
    <mergeCell ref="J278:K278"/>
    <mergeCell ref="L278:M278"/>
    <mergeCell ref="N278:O278"/>
    <mergeCell ref="P278:Q278"/>
    <mergeCell ref="R278:S278"/>
    <mergeCell ref="F279:G279"/>
    <mergeCell ref="H279:I279"/>
    <mergeCell ref="J279:K279"/>
    <mergeCell ref="L279:M279"/>
    <mergeCell ref="N279:O279"/>
    <mergeCell ref="P279:Q279"/>
    <mergeCell ref="R279:S279"/>
    <mergeCell ref="AH281:AI281"/>
    <mergeCell ref="AJ281:AK281"/>
    <mergeCell ref="AL281:AM281"/>
    <mergeCell ref="AN281:AO281"/>
    <mergeCell ref="AP281:AQ281"/>
    <mergeCell ref="AR281:AS281"/>
    <mergeCell ref="AT281:AU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L283:AM283"/>
    <mergeCell ref="AN283:AO283"/>
    <mergeCell ref="AP283:AQ283"/>
    <mergeCell ref="AR283:AS283"/>
    <mergeCell ref="AT283:AU283"/>
    <mergeCell ref="AH282:AI282"/>
    <mergeCell ref="AJ282:AK282"/>
    <mergeCell ref="AL282:AM282"/>
    <mergeCell ref="AN282:AO282"/>
    <mergeCell ref="AP282:AQ282"/>
    <mergeCell ref="AR282:AS282"/>
    <mergeCell ref="AT282:AU282"/>
    <mergeCell ref="F283:G283"/>
    <mergeCell ref="H283:I283"/>
    <mergeCell ref="J283:K283"/>
    <mergeCell ref="L283:M283"/>
    <mergeCell ref="N283:O283"/>
    <mergeCell ref="P283:Q283"/>
    <mergeCell ref="R283:S283"/>
    <mergeCell ref="AH284:AI284"/>
    <mergeCell ref="AJ284:AK284"/>
    <mergeCell ref="AL284:AM284"/>
    <mergeCell ref="AN284:AO284"/>
    <mergeCell ref="AP284:AQ284"/>
    <mergeCell ref="AR284:AS284"/>
    <mergeCell ref="AT284:AU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AL285:AM285"/>
    <mergeCell ref="AN285:AO285"/>
    <mergeCell ref="AP285:AQ285"/>
    <mergeCell ref="AR285:AS285"/>
    <mergeCell ref="AT285:AU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6:AI286"/>
    <mergeCell ref="AJ286:AK286"/>
    <mergeCell ref="AL286:AM286"/>
    <mergeCell ref="AN286:AO286"/>
    <mergeCell ref="AP286:AQ286"/>
    <mergeCell ref="AR286:AS286"/>
    <mergeCell ref="AT286:AU286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F289:G289"/>
    <mergeCell ref="H289:I289"/>
    <mergeCell ref="J289:K289"/>
    <mergeCell ref="L289:M289"/>
    <mergeCell ref="N289:O289"/>
    <mergeCell ref="P289:Q289"/>
    <mergeCell ref="R289:S289"/>
    <mergeCell ref="AP289:AQ289"/>
    <mergeCell ref="AR289:AS289"/>
    <mergeCell ref="AL288:AM288"/>
    <mergeCell ref="AN288:AO288"/>
    <mergeCell ref="AP288:AQ288"/>
    <mergeCell ref="AR288:AS288"/>
    <mergeCell ref="AT288:AU288"/>
    <mergeCell ref="AL289:AM289"/>
    <mergeCell ref="AN289:AO289"/>
    <mergeCell ref="AT289:AU289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H290:AI290"/>
    <mergeCell ref="AJ290:AK290"/>
    <mergeCell ref="AL290:AM290"/>
    <mergeCell ref="AN290:AO290"/>
    <mergeCell ref="AP290:AQ290"/>
    <mergeCell ref="AR290:AS290"/>
    <mergeCell ref="AT290:AU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L292:AM292"/>
    <mergeCell ref="AN292:AO292"/>
    <mergeCell ref="AP292:AQ292"/>
    <mergeCell ref="AR292:AS292"/>
    <mergeCell ref="AT292:AU292"/>
    <mergeCell ref="AH291:AI291"/>
    <mergeCell ref="AJ291:AK291"/>
    <mergeCell ref="AL291:AM291"/>
    <mergeCell ref="AN291:AO291"/>
    <mergeCell ref="AP291:AQ291"/>
    <mergeCell ref="AR291:AS291"/>
    <mergeCell ref="AT291:AU291"/>
    <mergeCell ref="F292:G292"/>
    <mergeCell ref="H292:I292"/>
    <mergeCell ref="J292:K292"/>
    <mergeCell ref="L292:M292"/>
    <mergeCell ref="N292:O292"/>
    <mergeCell ref="P292:Q292"/>
    <mergeCell ref="R292:S292"/>
    <mergeCell ref="AH293:AI293"/>
    <mergeCell ref="AJ293:AK293"/>
    <mergeCell ref="AL293:AM293"/>
    <mergeCell ref="AN293:AO293"/>
    <mergeCell ref="AP293:AQ293"/>
    <mergeCell ref="AR293:AS293"/>
    <mergeCell ref="AT293:AU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AL294:AM294"/>
    <mergeCell ref="AN294:AO294"/>
    <mergeCell ref="AP294:AQ294"/>
    <mergeCell ref="AR294:AS294"/>
    <mergeCell ref="AT294:AU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5:AI295"/>
    <mergeCell ref="AJ295:AK295"/>
    <mergeCell ref="AL295:AM295"/>
    <mergeCell ref="AN295:AO295"/>
    <mergeCell ref="AP295:AQ295"/>
    <mergeCell ref="AR295:AS295"/>
    <mergeCell ref="AT295:AU295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F298:G298"/>
    <mergeCell ref="H298:I298"/>
    <mergeCell ref="J298:K298"/>
    <mergeCell ref="L298:M298"/>
    <mergeCell ref="N298:O298"/>
    <mergeCell ref="P298:Q298"/>
    <mergeCell ref="R298:S298"/>
    <mergeCell ref="AP298:AQ298"/>
    <mergeCell ref="AR298:AS298"/>
    <mergeCell ref="AL297:AM297"/>
    <mergeCell ref="AN297:AO297"/>
    <mergeCell ref="AP297:AQ297"/>
    <mergeCell ref="AR297:AS297"/>
    <mergeCell ref="AT297:AU297"/>
    <mergeCell ref="AL298:AM298"/>
    <mergeCell ref="AN298:AO298"/>
    <mergeCell ref="AT298:AU298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F296:G296"/>
    <mergeCell ref="H296:I296"/>
    <mergeCell ref="J296:K296"/>
    <mergeCell ref="L296:M296"/>
    <mergeCell ref="N296:O296"/>
    <mergeCell ref="P296:Q296"/>
    <mergeCell ref="R296:S296"/>
    <mergeCell ref="F297:G297"/>
    <mergeCell ref="H297:I297"/>
    <mergeCell ref="J297:K297"/>
    <mergeCell ref="L297:M297"/>
    <mergeCell ref="N297:O297"/>
    <mergeCell ref="P297:Q297"/>
    <mergeCell ref="R297:S297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L301:AM301"/>
    <mergeCell ref="AN301:AO301"/>
    <mergeCell ref="AP301:AQ301"/>
    <mergeCell ref="AR301:AS301"/>
    <mergeCell ref="AT301:AU301"/>
    <mergeCell ref="AH300:AI300"/>
    <mergeCell ref="AJ300:AK300"/>
    <mergeCell ref="AL300:AM300"/>
    <mergeCell ref="AN300:AO300"/>
    <mergeCell ref="AP300:AQ300"/>
    <mergeCell ref="AR300:AS300"/>
    <mergeCell ref="AT300:AU300"/>
    <mergeCell ref="F301:G301"/>
    <mergeCell ref="H301:I301"/>
    <mergeCell ref="J301:K301"/>
    <mergeCell ref="L301:M301"/>
    <mergeCell ref="N301:O301"/>
    <mergeCell ref="P301:Q301"/>
    <mergeCell ref="R301:S301"/>
    <mergeCell ref="AH302:AI302"/>
    <mergeCell ref="AJ302:AK302"/>
    <mergeCell ref="AL302:AM302"/>
    <mergeCell ref="AN302:AO302"/>
    <mergeCell ref="AP302:AQ302"/>
    <mergeCell ref="AR302:AS302"/>
    <mergeCell ref="AT302:AU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AL303:AM303"/>
    <mergeCell ref="AN303:AO303"/>
    <mergeCell ref="AP303:AQ303"/>
    <mergeCell ref="AR303:AS303"/>
    <mergeCell ref="AT303:AU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4:AI304"/>
    <mergeCell ref="AJ304:AK304"/>
    <mergeCell ref="AL304:AM304"/>
    <mergeCell ref="AN304:AO304"/>
    <mergeCell ref="AP304:AQ304"/>
    <mergeCell ref="AR304:AS304"/>
    <mergeCell ref="AT304:AU304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F307:G307"/>
    <mergeCell ref="H307:I307"/>
    <mergeCell ref="J307:K307"/>
    <mergeCell ref="L307:M307"/>
    <mergeCell ref="N307:O307"/>
    <mergeCell ref="P307:Q307"/>
    <mergeCell ref="R307:S307"/>
    <mergeCell ref="AP307:AQ307"/>
    <mergeCell ref="AR307:AS307"/>
    <mergeCell ref="AL306:AM306"/>
    <mergeCell ref="AN306:AO306"/>
    <mergeCell ref="AP306:AQ306"/>
    <mergeCell ref="AR306:AS306"/>
    <mergeCell ref="AT306:AU306"/>
    <mergeCell ref="AL307:AM307"/>
    <mergeCell ref="AN307:AO307"/>
    <mergeCell ref="AT307:AU307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L310:AM310"/>
    <mergeCell ref="AN310:AO310"/>
    <mergeCell ref="AP310:AQ310"/>
    <mergeCell ref="AR310:AS310"/>
    <mergeCell ref="AT310:AU310"/>
    <mergeCell ref="AH309:AI309"/>
    <mergeCell ref="AJ309:AK309"/>
    <mergeCell ref="AL309:AM309"/>
    <mergeCell ref="AN309:AO309"/>
    <mergeCell ref="AP309:AQ309"/>
    <mergeCell ref="AR309:AS309"/>
    <mergeCell ref="AT309:AU309"/>
    <mergeCell ref="F310:G310"/>
    <mergeCell ref="H310:I310"/>
    <mergeCell ref="J310:K310"/>
    <mergeCell ref="L310:M310"/>
    <mergeCell ref="N310:O310"/>
    <mergeCell ref="P310:Q310"/>
    <mergeCell ref="R310:S310"/>
    <mergeCell ref="AH311:AI311"/>
    <mergeCell ref="AJ311:AK311"/>
    <mergeCell ref="AL311:AM311"/>
    <mergeCell ref="AN311:AO311"/>
    <mergeCell ref="AP311:AQ311"/>
    <mergeCell ref="AR311:AS311"/>
    <mergeCell ref="AT311:AU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AL312:AM312"/>
    <mergeCell ref="AN312:AO312"/>
    <mergeCell ref="AP312:AQ312"/>
    <mergeCell ref="AR312:AS312"/>
    <mergeCell ref="AT312:AU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3:AI313"/>
    <mergeCell ref="AJ313:AK313"/>
    <mergeCell ref="AL313:AM313"/>
    <mergeCell ref="AN313:AO313"/>
    <mergeCell ref="AP313:AQ313"/>
    <mergeCell ref="AR313:AS313"/>
    <mergeCell ref="AT313:AU313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O314"/>
    <mergeCell ref="AP314:AQ314"/>
    <mergeCell ref="AR314:AS314"/>
    <mergeCell ref="AT314:AU314"/>
    <mergeCell ref="F316:G316"/>
    <mergeCell ref="H316:I316"/>
    <mergeCell ref="J316:K316"/>
    <mergeCell ref="L316:M316"/>
    <mergeCell ref="N316:O316"/>
    <mergeCell ref="P316:Q316"/>
    <mergeCell ref="R316:S316"/>
    <mergeCell ref="AP316:AQ316"/>
    <mergeCell ref="AR316:AS316"/>
    <mergeCell ref="AL315:AM315"/>
    <mergeCell ref="AN315:AO315"/>
    <mergeCell ref="AP315:AQ315"/>
    <mergeCell ref="AR315:AS315"/>
    <mergeCell ref="AT315:AU315"/>
    <mergeCell ref="AL316:AM316"/>
    <mergeCell ref="AN316:AO316"/>
    <mergeCell ref="AT316:AU316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F314:G314"/>
    <mergeCell ref="H314:I314"/>
    <mergeCell ref="J314:K314"/>
    <mergeCell ref="L314:M314"/>
    <mergeCell ref="N314:O314"/>
    <mergeCell ref="P314:Q314"/>
    <mergeCell ref="R314:S314"/>
    <mergeCell ref="F315:G315"/>
    <mergeCell ref="H315:I315"/>
    <mergeCell ref="J315:K315"/>
    <mergeCell ref="L315:M315"/>
    <mergeCell ref="N315:O315"/>
    <mergeCell ref="P315:Q315"/>
    <mergeCell ref="R315:S315"/>
    <mergeCell ref="AH317:AI317"/>
    <mergeCell ref="AJ317:AK317"/>
    <mergeCell ref="AL317:AM317"/>
    <mergeCell ref="AN317:AO317"/>
    <mergeCell ref="AP317:AQ317"/>
    <mergeCell ref="AR317:AS317"/>
    <mergeCell ref="AT317:AU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L319:AM319"/>
    <mergeCell ref="AN319:AO319"/>
    <mergeCell ref="AP319:AQ319"/>
    <mergeCell ref="AR319:AS319"/>
    <mergeCell ref="AT319:AU319"/>
    <mergeCell ref="AH318:AI318"/>
    <mergeCell ref="AJ318:AK318"/>
    <mergeCell ref="AL318:AM318"/>
    <mergeCell ref="AN318:AO318"/>
    <mergeCell ref="AP318:AQ318"/>
    <mergeCell ref="AR318:AS318"/>
    <mergeCell ref="AT318:AU318"/>
    <mergeCell ref="F319:G319"/>
    <mergeCell ref="H319:I319"/>
    <mergeCell ref="J319:K319"/>
    <mergeCell ref="L319:M319"/>
    <mergeCell ref="N319:O319"/>
    <mergeCell ref="P319:Q319"/>
    <mergeCell ref="R319:S319"/>
    <mergeCell ref="AH320:AI320"/>
    <mergeCell ref="AJ320:AK320"/>
    <mergeCell ref="AL320:AM320"/>
    <mergeCell ref="AN320:AO320"/>
    <mergeCell ref="AP320:AQ320"/>
    <mergeCell ref="AR320:AS320"/>
    <mergeCell ref="AT320:AU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AL321:AM321"/>
    <mergeCell ref="AN321:AO321"/>
    <mergeCell ref="AP321:AQ321"/>
    <mergeCell ref="AR321:AS321"/>
    <mergeCell ref="AT321:AU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2:AI322"/>
    <mergeCell ref="AJ322:AK322"/>
    <mergeCell ref="AL322:AM322"/>
    <mergeCell ref="AN322:AO322"/>
    <mergeCell ref="AP322:AQ322"/>
    <mergeCell ref="AR322:AS322"/>
    <mergeCell ref="AT322:AU322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O323"/>
    <mergeCell ref="AP323:AQ323"/>
    <mergeCell ref="AR323:AS323"/>
    <mergeCell ref="AT323:AU323"/>
    <mergeCell ref="F325:G325"/>
    <mergeCell ref="H325:I325"/>
    <mergeCell ref="J325:K325"/>
    <mergeCell ref="L325:M325"/>
    <mergeCell ref="N325:O325"/>
    <mergeCell ref="P325:Q325"/>
    <mergeCell ref="R325:S325"/>
    <mergeCell ref="AP325:AQ325"/>
    <mergeCell ref="AR325:AS325"/>
    <mergeCell ref="AL324:AM324"/>
    <mergeCell ref="AN324:AO324"/>
    <mergeCell ref="AP324:AQ324"/>
    <mergeCell ref="AR324:AS324"/>
    <mergeCell ref="AT324:AU324"/>
    <mergeCell ref="AL325:AM325"/>
    <mergeCell ref="AN325:AO325"/>
    <mergeCell ref="AT325:AU325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H326:AI326"/>
    <mergeCell ref="AJ326:AK326"/>
    <mergeCell ref="AL326:AM326"/>
    <mergeCell ref="AN326:AO326"/>
    <mergeCell ref="AP326:AQ326"/>
    <mergeCell ref="AR326:AS326"/>
    <mergeCell ref="AT326:AU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L328:AM328"/>
    <mergeCell ref="AN328:AO328"/>
    <mergeCell ref="AP328:AQ328"/>
    <mergeCell ref="AR328:AS328"/>
    <mergeCell ref="AT328:AU328"/>
    <mergeCell ref="AH327:AI327"/>
    <mergeCell ref="AJ327:AK327"/>
    <mergeCell ref="AL327:AM327"/>
    <mergeCell ref="AN327:AO327"/>
    <mergeCell ref="AP327:AQ327"/>
    <mergeCell ref="AR327:AS327"/>
    <mergeCell ref="AT327:AU327"/>
    <mergeCell ref="F328:G328"/>
    <mergeCell ref="H328:I328"/>
    <mergeCell ref="J328:K328"/>
    <mergeCell ref="L328:M328"/>
    <mergeCell ref="N328:O328"/>
    <mergeCell ref="P328:Q328"/>
    <mergeCell ref="R328:S328"/>
    <mergeCell ref="AH329:AI329"/>
    <mergeCell ref="AJ329:AK329"/>
    <mergeCell ref="AL329:AM329"/>
    <mergeCell ref="AN329:AO329"/>
    <mergeCell ref="AP329:AQ329"/>
    <mergeCell ref="AR329:AS329"/>
    <mergeCell ref="AT329:AU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AL330:AM330"/>
    <mergeCell ref="AN330:AO330"/>
    <mergeCell ref="AP330:AQ330"/>
    <mergeCell ref="AR330:AS330"/>
    <mergeCell ref="AT330:AU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J3:AK3"/>
    <mergeCell ref="AL3:AM3"/>
    <mergeCell ref="AN3:AO3"/>
    <mergeCell ref="AP3:AQ3"/>
    <mergeCell ref="AR3:AS3"/>
    <mergeCell ref="AT3:AU3"/>
    <mergeCell ref="A1:E1"/>
    <mergeCell ref="F1:Q1"/>
    <mergeCell ref="R1:AC1"/>
    <mergeCell ref="AD1:AI1"/>
    <mergeCell ref="AJ1:AU1"/>
    <mergeCell ref="AV1:AZ1"/>
    <mergeCell ref="F3:G3"/>
    <mergeCell ref="X3:Y3"/>
    <mergeCell ref="Z3:AA3"/>
    <mergeCell ref="X4:Y4"/>
    <mergeCell ref="Z4:AA4"/>
    <mergeCell ref="X5:Y5"/>
    <mergeCell ref="Z5:AA5"/>
    <mergeCell ref="AB3:AC3"/>
    <mergeCell ref="AD3:AE3"/>
    <mergeCell ref="AB4:AC4"/>
    <mergeCell ref="AD4:AE4"/>
    <mergeCell ref="AB5:AC5"/>
    <mergeCell ref="AD5:AE5"/>
    <mergeCell ref="AF5:AG5"/>
    <mergeCell ref="L3:M3"/>
    <mergeCell ref="N3:O3"/>
    <mergeCell ref="L4:M4"/>
    <mergeCell ref="N4:O4"/>
    <mergeCell ref="L5:M5"/>
    <mergeCell ref="N5:O5"/>
    <mergeCell ref="P3:Q3"/>
    <mergeCell ref="R3:S3"/>
    <mergeCell ref="P4:Q4"/>
    <mergeCell ref="R4:S4"/>
    <mergeCell ref="P5:Q5"/>
    <mergeCell ref="R5:S5"/>
    <mergeCell ref="T3:U3"/>
    <mergeCell ref="V3:W3"/>
    <mergeCell ref="T4:U4"/>
    <mergeCell ref="V4:W4"/>
    <mergeCell ref="T5:U5"/>
    <mergeCell ref="V5:W5"/>
    <mergeCell ref="AP4:AQ4"/>
    <mergeCell ref="AR4:AS4"/>
    <mergeCell ref="AT4:AU4"/>
    <mergeCell ref="AF3:AG3"/>
    <mergeCell ref="AH3:AI3"/>
    <mergeCell ref="AF4:AG4"/>
    <mergeCell ref="AH4:AI4"/>
    <mergeCell ref="AJ4:AK4"/>
    <mergeCell ref="AL4:AM4"/>
    <mergeCell ref="AN4:AO4"/>
    <mergeCell ref="AH5:AI5"/>
    <mergeCell ref="AJ5:AK5"/>
    <mergeCell ref="AL5:AM5"/>
    <mergeCell ref="AN5:AO5"/>
    <mergeCell ref="AP5:AQ5"/>
    <mergeCell ref="AR5:AS5"/>
    <mergeCell ref="AT5:AU5"/>
    <mergeCell ref="H3:I3"/>
    <mergeCell ref="J3:K3"/>
    <mergeCell ref="F4:G4"/>
    <mergeCell ref="H4:I4"/>
    <mergeCell ref="J4:K4"/>
    <mergeCell ref="H5:I5"/>
    <mergeCell ref="J5:K5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M22"/>
    <mergeCell ref="AN22:AO22"/>
    <mergeCell ref="AP22:AQ22"/>
    <mergeCell ref="AR22:AS22"/>
    <mergeCell ref="AT22:AU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H23:AI23"/>
    <mergeCell ref="AJ23:AK23"/>
    <mergeCell ref="AL23:AM23"/>
    <mergeCell ref="AN23:AO23"/>
    <mergeCell ref="AP23:AQ23"/>
    <mergeCell ref="AR23:AS23"/>
    <mergeCell ref="AT23:AU23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O25"/>
    <mergeCell ref="AP25:AQ25"/>
    <mergeCell ref="AR25:AS25"/>
    <mergeCell ref="AT25:AU25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7:G27"/>
    <mergeCell ref="H27:I27"/>
    <mergeCell ref="J27:K27"/>
    <mergeCell ref="L27:M27"/>
    <mergeCell ref="N27:O27"/>
    <mergeCell ref="P27:Q27"/>
    <mergeCell ref="R27:S27"/>
    <mergeCell ref="AL27:AM27"/>
    <mergeCell ref="AN27:AO27"/>
    <mergeCell ref="AP27:AQ27"/>
    <mergeCell ref="AR27:AS27"/>
    <mergeCell ref="AT27:AU27"/>
    <mergeCell ref="AH26:AI26"/>
    <mergeCell ref="AJ26:AK26"/>
    <mergeCell ref="AL26:AM26"/>
    <mergeCell ref="AN26:AO26"/>
    <mergeCell ref="AP26:AQ26"/>
    <mergeCell ref="AR26:AS26"/>
    <mergeCell ref="AT26:AU26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AH28:AI28"/>
    <mergeCell ref="AJ28:AK28"/>
    <mergeCell ref="AL28:AM28"/>
    <mergeCell ref="AN28:AO28"/>
    <mergeCell ref="AP28:AQ28"/>
    <mergeCell ref="AR28:AS28"/>
    <mergeCell ref="AT28:AU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H29:AI29"/>
    <mergeCell ref="AJ29:AK29"/>
    <mergeCell ref="AL29:AM29"/>
    <mergeCell ref="AN29:AO29"/>
    <mergeCell ref="AP29:AQ29"/>
    <mergeCell ref="AR29:AS29"/>
    <mergeCell ref="AT29:AU29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AL31:AM31"/>
    <mergeCell ref="AN31:AO31"/>
    <mergeCell ref="AP31:AQ31"/>
    <mergeCell ref="AR31:AS31"/>
    <mergeCell ref="AT31:AU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3:G33"/>
    <mergeCell ref="H33:I33"/>
    <mergeCell ref="J33:K33"/>
    <mergeCell ref="L33:M33"/>
    <mergeCell ref="N33:O33"/>
    <mergeCell ref="P33:Q33"/>
    <mergeCell ref="R33:S33"/>
    <mergeCell ref="AL33:AM33"/>
    <mergeCell ref="AN33:AO33"/>
    <mergeCell ref="AP33:AQ33"/>
    <mergeCell ref="AR33:AS33"/>
    <mergeCell ref="AT33:AU33"/>
    <mergeCell ref="AH32:AI32"/>
    <mergeCell ref="AJ32:AK32"/>
    <mergeCell ref="AL32:AM32"/>
    <mergeCell ref="AN32:AO32"/>
    <mergeCell ref="AP32:AQ32"/>
    <mergeCell ref="AR32:AS32"/>
    <mergeCell ref="AT32:AU32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AH34:AI34"/>
    <mergeCell ref="AJ34:AK34"/>
    <mergeCell ref="AL34:AM34"/>
    <mergeCell ref="AN34:AO34"/>
    <mergeCell ref="AP34:AQ34"/>
    <mergeCell ref="AR34:AS34"/>
    <mergeCell ref="AT34:AU34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H35:AI35"/>
    <mergeCell ref="AJ35:AK35"/>
    <mergeCell ref="AL35:AM35"/>
    <mergeCell ref="AN35:AO35"/>
    <mergeCell ref="AP35:AQ35"/>
    <mergeCell ref="AR35:AS35"/>
    <mergeCell ref="AT35:AU35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AH37:AI37"/>
    <mergeCell ref="AJ37:AK37"/>
    <mergeCell ref="AL37:AM37"/>
    <mergeCell ref="AN37:AO37"/>
    <mergeCell ref="AP37:AQ37"/>
    <mergeCell ref="AR37:AS37"/>
    <mergeCell ref="AT37:AU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AL38:AM38"/>
    <mergeCell ref="AN38:AO38"/>
    <mergeCell ref="AP38:AQ38"/>
    <mergeCell ref="AR38:AS38"/>
    <mergeCell ref="AT38:AU38"/>
    <mergeCell ref="F39:G39"/>
    <mergeCell ref="H39:I39"/>
    <mergeCell ref="J39:K39"/>
    <mergeCell ref="L39:M39"/>
    <mergeCell ref="N39:O39"/>
    <mergeCell ref="P39:Q39"/>
    <mergeCell ref="R39:S39"/>
    <mergeCell ref="AH15:AI15"/>
    <mergeCell ref="AJ15:AK15"/>
    <mergeCell ref="AL15:AM15"/>
    <mergeCell ref="AN15:AO15"/>
    <mergeCell ref="AP15:AQ15"/>
    <mergeCell ref="AR15:AS15"/>
    <mergeCell ref="AT15:AU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F18:G18"/>
    <mergeCell ref="H18:I18"/>
    <mergeCell ref="J18:K18"/>
    <mergeCell ref="L18:M18"/>
    <mergeCell ref="N18:O18"/>
    <mergeCell ref="P18:Q18"/>
    <mergeCell ref="R18:S18"/>
    <mergeCell ref="AP18:AQ18"/>
    <mergeCell ref="AR18:AS18"/>
    <mergeCell ref="AL17:AM17"/>
    <mergeCell ref="AN17:AO17"/>
    <mergeCell ref="AP17:AQ17"/>
    <mergeCell ref="AR17:AS17"/>
    <mergeCell ref="AT17:AU17"/>
    <mergeCell ref="AL18:AM18"/>
    <mergeCell ref="AN18:AO18"/>
    <mergeCell ref="AT18:AU18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19:AI19"/>
    <mergeCell ref="AJ19:AK19"/>
    <mergeCell ref="AL19:AM19"/>
    <mergeCell ref="AN19:AO19"/>
    <mergeCell ref="AP19:AQ19"/>
    <mergeCell ref="AR19:AS19"/>
    <mergeCell ref="AT19:AU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1:G21"/>
    <mergeCell ref="H21:I21"/>
    <mergeCell ref="J21:K21"/>
    <mergeCell ref="L21:M21"/>
    <mergeCell ref="N21:O21"/>
    <mergeCell ref="P21:Q21"/>
    <mergeCell ref="R21:S21"/>
    <mergeCell ref="AL21:AM21"/>
    <mergeCell ref="AN21:AO21"/>
    <mergeCell ref="AP21:AQ21"/>
    <mergeCell ref="AR21:AS21"/>
    <mergeCell ref="AT21:AU21"/>
    <mergeCell ref="AH20:AI20"/>
    <mergeCell ref="AJ20:AK20"/>
    <mergeCell ref="AL20:AM20"/>
    <mergeCell ref="AN20:AO20"/>
    <mergeCell ref="AP20:AQ20"/>
    <mergeCell ref="AR20:AS20"/>
    <mergeCell ref="AT20:AU20"/>
    <mergeCell ref="AF6:AG6"/>
    <mergeCell ref="AH6:AI6"/>
    <mergeCell ref="AJ6:AK6"/>
    <mergeCell ref="AL6:AM6"/>
    <mergeCell ref="AN6:AO6"/>
    <mergeCell ref="AP6:AQ6"/>
    <mergeCell ref="AR6:AS6"/>
    <mergeCell ref="AT6:AU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F9:G9"/>
    <mergeCell ref="H9:I9"/>
    <mergeCell ref="J9:K9"/>
    <mergeCell ref="L9:M9"/>
    <mergeCell ref="N9:O9"/>
    <mergeCell ref="P9:Q9"/>
    <mergeCell ref="R9:S9"/>
    <mergeCell ref="AP9:AQ9"/>
    <mergeCell ref="AR9:AS9"/>
    <mergeCell ref="AL8:AM8"/>
    <mergeCell ref="AN8:AO8"/>
    <mergeCell ref="AP8:AQ8"/>
    <mergeCell ref="AR8:AS8"/>
    <mergeCell ref="AT8:AU8"/>
    <mergeCell ref="AL9:AM9"/>
    <mergeCell ref="AN9:AO9"/>
    <mergeCell ref="AT9:AU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  <mergeCell ref="L8:M8"/>
    <mergeCell ref="N8:O8"/>
    <mergeCell ref="P8:Q8"/>
    <mergeCell ref="R8:S8"/>
    <mergeCell ref="AH10:AI10"/>
    <mergeCell ref="AJ10:AK10"/>
    <mergeCell ref="AL10:AM10"/>
    <mergeCell ref="AN10:AO10"/>
    <mergeCell ref="AP10:AQ10"/>
    <mergeCell ref="AR10:AS10"/>
    <mergeCell ref="AT10:AU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L12:AM12"/>
    <mergeCell ref="AN12:AO12"/>
    <mergeCell ref="AP12:AQ12"/>
    <mergeCell ref="AR12:AS12"/>
    <mergeCell ref="AT12:AU12"/>
    <mergeCell ref="AH11:AI11"/>
    <mergeCell ref="AJ11:AK11"/>
    <mergeCell ref="AL11:AM11"/>
    <mergeCell ref="AN11:AO11"/>
    <mergeCell ref="AP11:AQ11"/>
    <mergeCell ref="AR11:AS11"/>
    <mergeCell ref="AT11:AU11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H14:AI14"/>
    <mergeCell ref="AJ14:AK14"/>
    <mergeCell ref="AL14:AM14"/>
    <mergeCell ref="AN14:AO14"/>
    <mergeCell ref="AP14:AQ14"/>
    <mergeCell ref="AR14:AS14"/>
    <mergeCell ref="AT14:AU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60:AI60"/>
    <mergeCell ref="AJ60:AK60"/>
    <mergeCell ref="AL60:AM60"/>
    <mergeCell ref="AN60:AO60"/>
    <mergeCell ref="AP60:AQ60"/>
    <mergeCell ref="AR60:AS60"/>
    <mergeCell ref="AT60:AU60"/>
    <mergeCell ref="T60:U60"/>
    <mergeCell ref="V60:W60"/>
    <mergeCell ref="X60:Y60"/>
    <mergeCell ref="Z60:AA60"/>
    <mergeCell ref="AB60:AC60"/>
    <mergeCell ref="AD60:AE60"/>
    <mergeCell ref="AF60:AG60"/>
    <mergeCell ref="AH61:AI61"/>
    <mergeCell ref="AJ61:AK61"/>
    <mergeCell ref="AL61:AM61"/>
    <mergeCell ref="AN61:AO61"/>
    <mergeCell ref="AP61:AQ61"/>
    <mergeCell ref="AR61:AS61"/>
    <mergeCell ref="AT61:AU61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F64:G64"/>
    <mergeCell ref="H64:I64"/>
    <mergeCell ref="J64:K64"/>
    <mergeCell ref="L64:M64"/>
    <mergeCell ref="N64:O64"/>
    <mergeCell ref="P64:Q64"/>
    <mergeCell ref="R64:S64"/>
    <mergeCell ref="AP64:AQ64"/>
    <mergeCell ref="AR64:AS64"/>
    <mergeCell ref="AL63:AM63"/>
    <mergeCell ref="AN63:AO63"/>
    <mergeCell ref="AP63:AQ63"/>
    <mergeCell ref="AR63:AS63"/>
    <mergeCell ref="AT63:AU63"/>
    <mergeCell ref="AL64:AM64"/>
    <mergeCell ref="AN64:AO64"/>
    <mergeCell ref="AT64:AU64"/>
    <mergeCell ref="F62:G62"/>
    <mergeCell ref="H62:I62"/>
    <mergeCell ref="J62:K62"/>
    <mergeCell ref="L62:M62"/>
    <mergeCell ref="N62:O62"/>
    <mergeCell ref="P62:Q62"/>
    <mergeCell ref="R62:S62"/>
    <mergeCell ref="F63:G63"/>
    <mergeCell ref="H63:I63"/>
    <mergeCell ref="J63:K63"/>
    <mergeCell ref="L63:M63"/>
    <mergeCell ref="N63:O63"/>
    <mergeCell ref="P63:Q63"/>
    <mergeCell ref="R63:S63"/>
    <mergeCell ref="AH65:AI65"/>
    <mergeCell ref="AJ65:AK65"/>
    <mergeCell ref="AL65:AM65"/>
    <mergeCell ref="AN65:AO65"/>
    <mergeCell ref="AP65:AQ65"/>
    <mergeCell ref="AR65:AS65"/>
    <mergeCell ref="AT65:AU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L67:AM67"/>
    <mergeCell ref="AN67:AO67"/>
    <mergeCell ref="AP67:AQ67"/>
    <mergeCell ref="AR67:AS67"/>
    <mergeCell ref="AT67:AU67"/>
    <mergeCell ref="AH66:AI66"/>
    <mergeCell ref="AJ66:AK66"/>
    <mergeCell ref="AL66:AM66"/>
    <mergeCell ref="AN66:AO66"/>
    <mergeCell ref="AP66:AQ66"/>
    <mergeCell ref="AR66:AS66"/>
    <mergeCell ref="AT66:AU66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68:AI68"/>
    <mergeCell ref="AJ68:AK68"/>
    <mergeCell ref="AL68:AM68"/>
    <mergeCell ref="AN68:AO68"/>
    <mergeCell ref="AP68:AQ68"/>
    <mergeCell ref="AR68:AS68"/>
    <mergeCell ref="AT68:AU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AL69:AM69"/>
    <mergeCell ref="AN69:AO69"/>
    <mergeCell ref="AP69:AQ69"/>
    <mergeCell ref="AR69:AS69"/>
    <mergeCell ref="AT69:AU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39:AI39"/>
    <mergeCell ref="AJ39:AK39"/>
    <mergeCell ref="AL39:AM39"/>
    <mergeCell ref="AN39:AO39"/>
    <mergeCell ref="AP39:AQ39"/>
    <mergeCell ref="AR39:AS39"/>
    <mergeCell ref="AT39:AU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AL40:AM40"/>
    <mergeCell ref="AN40:AO40"/>
    <mergeCell ref="AP40:AQ40"/>
    <mergeCell ref="AR40:AS40"/>
    <mergeCell ref="AT40:AU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H41:AI41"/>
    <mergeCell ref="AJ41:AK41"/>
    <mergeCell ref="AL41:AM41"/>
    <mergeCell ref="AN41:AO41"/>
    <mergeCell ref="AP41:AQ41"/>
    <mergeCell ref="AR41:AS41"/>
    <mergeCell ref="AT41:AU41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5:G45"/>
    <mergeCell ref="H45:I45"/>
    <mergeCell ref="J45:K45"/>
    <mergeCell ref="L45:M45"/>
    <mergeCell ref="N45:O45"/>
    <mergeCell ref="P45:Q45"/>
    <mergeCell ref="R45:S45"/>
    <mergeCell ref="AL45:AM45"/>
    <mergeCell ref="AN45:AO45"/>
    <mergeCell ref="AP45:AQ45"/>
    <mergeCell ref="AR45:AS45"/>
    <mergeCell ref="AT45:AU45"/>
    <mergeCell ref="AH44:AI44"/>
    <mergeCell ref="AJ44:AK44"/>
    <mergeCell ref="AL44:AM44"/>
    <mergeCell ref="AN44:AO44"/>
    <mergeCell ref="AP44:AQ44"/>
    <mergeCell ref="AR44:AS44"/>
    <mergeCell ref="AT44:AU44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H47:AI47"/>
    <mergeCell ref="AJ47:AK47"/>
    <mergeCell ref="AL47:AM47"/>
    <mergeCell ref="AN47:AO47"/>
    <mergeCell ref="AP47:AQ47"/>
    <mergeCell ref="AR47:AS47"/>
    <mergeCell ref="AT47:AU47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AL49:AM49"/>
    <mergeCell ref="AN49:AO49"/>
    <mergeCell ref="AP49:AQ49"/>
    <mergeCell ref="AR49:AS49"/>
    <mergeCell ref="AT49:AU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1:G51"/>
    <mergeCell ref="H51:I51"/>
    <mergeCell ref="J51:K51"/>
    <mergeCell ref="L51:M51"/>
    <mergeCell ref="N51:O51"/>
    <mergeCell ref="P51:Q51"/>
    <mergeCell ref="R51:S51"/>
    <mergeCell ref="AL51:AM51"/>
    <mergeCell ref="AN51:AO51"/>
    <mergeCell ref="AP51:AQ51"/>
    <mergeCell ref="AR51:AS51"/>
    <mergeCell ref="AT51:AU51"/>
    <mergeCell ref="AH50:AI50"/>
    <mergeCell ref="AJ50:AK50"/>
    <mergeCell ref="AL50:AM50"/>
    <mergeCell ref="AN50:AO50"/>
    <mergeCell ref="AP50:AQ50"/>
    <mergeCell ref="AR50:AS50"/>
    <mergeCell ref="AT50:AU50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AH52:AI52"/>
    <mergeCell ref="AJ52:AK52"/>
    <mergeCell ref="AL52:AM52"/>
    <mergeCell ref="AN52:AO52"/>
    <mergeCell ref="AP52:AQ52"/>
    <mergeCell ref="AR52:AS52"/>
    <mergeCell ref="AT52:AU52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H53:AI53"/>
    <mergeCell ref="AJ53:AK53"/>
    <mergeCell ref="AL53:AM53"/>
    <mergeCell ref="AN53:AO53"/>
    <mergeCell ref="AP53:AQ53"/>
    <mergeCell ref="AR53:AS53"/>
    <mergeCell ref="AT53:AU53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AH55:AI55"/>
    <mergeCell ref="AJ55:AK55"/>
    <mergeCell ref="AL55:AM55"/>
    <mergeCell ref="AN55:AO55"/>
    <mergeCell ref="AP55:AQ55"/>
    <mergeCell ref="AR55:AS55"/>
    <mergeCell ref="AT55:AU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7:G57"/>
    <mergeCell ref="H57:I57"/>
    <mergeCell ref="J57:K57"/>
    <mergeCell ref="L57:M57"/>
    <mergeCell ref="N57:O57"/>
    <mergeCell ref="P57:Q57"/>
    <mergeCell ref="R57:S57"/>
    <mergeCell ref="AL57:AM57"/>
    <mergeCell ref="AN57:AO57"/>
    <mergeCell ref="AP57:AQ57"/>
    <mergeCell ref="AR57:AS57"/>
    <mergeCell ref="AT57:AU57"/>
    <mergeCell ref="AH56:AI56"/>
    <mergeCell ref="AJ56:AK56"/>
    <mergeCell ref="AL56:AM56"/>
    <mergeCell ref="AN56:AO56"/>
    <mergeCell ref="AP56:AQ56"/>
    <mergeCell ref="AR56:AS56"/>
    <mergeCell ref="AT56:AU56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0:AI70"/>
    <mergeCell ref="AJ70:AK70"/>
    <mergeCell ref="AL70:AM70"/>
    <mergeCell ref="AN70:AO70"/>
    <mergeCell ref="AP70:AQ70"/>
    <mergeCell ref="AR70:AS70"/>
    <mergeCell ref="AT70:AU70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F73:G73"/>
    <mergeCell ref="H73:I73"/>
    <mergeCell ref="J73:K73"/>
    <mergeCell ref="L73:M73"/>
    <mergeCell ref="N73:O73"/>
    <mergeCell ref="P73:Q73"/>
    <mergeCell ref="R73:S73"/>
    <mergeCell ref="AP73:AQ73"/>
    <mergeCell ref="AR73:AS73"/>
    <mergeCell ref="AL72:AM72"/>
    <mergeCell ref="AN72:AO72"/>
    <mergeCell ref="AP72:AQ72"/>
    <mergeCell ref="AR72:AS72"/>
    <mergeCell ref="AT72:AU72"/>
    <mergeCell ref="AL73:AM73"/>
    <mergeCell ref="AN73:AO73"/>
    <mergeCell ref="AT73:AU73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H74:AI74"/>
    <mergeCell ref="AJ74:AK74"/>
    <mergeCell ref="AL74:AM74"/>
    <mergeCell ref="AN74:AO74"/>
    <mergeCell ref="AP74:AQ74"/>
    <mergeCell ref="AR74:AS74"/>
    <mergeCell ref="AT74:AU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L76:AM76"/>
    <mergeCell ref="AN76:AO76"/>
    <mergeCell ref="AP76:AQ76"/>
    <mergeCell ref="AR76:AS76"/>
    <mergeCell ref="AT76:AU76"/>
    <mergeCell ref="AH75:AI75"/>
    <mergeCell ref="AJ75:AK75"/>
    <mergeCell ref="AL75:AM75"/>
    <mergeCell ref="AN75:AO75"/>
    <mergeCell ref="AP75:AQ75"/>
    <mergeCell ref="AR75:AS75"/>
    <mergeCell ref="AT75:AU75"/>
    <mergeCell ref="F76:G76"/>
    <mergeCell ref="H76:I76"/>
    <mergeCell ref="J76:K76"/>
    <mergeCell ref="L76:M76"/>
    <mergeCell ref="N76:O76"/>
    <mergeCell ref="P76:Q76"/>
    <mergeCell ref="R76:S76"/>
    <mergeCell ref="AH77:AI77"/>
    <mergeCell ref="AJ77:AK77"/>
    <mergeCell ref="AL77:AM77"/>
    <mergeCell ref="AN77:AO77"/>
    <mergeCell ref="AP77:AQ77"/>
    <mergeCell ref="AR77:AS77"/>
    <mergeCell ref="AT77:AU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AL78:AM78"/>
    <mergeCell ref="AN78:AO78"/>
    <mergeCell ref="AP78:AQ78"/>
    <mergeCell ref="AR78:AS78"/>
    <mergeCell ref="AT78:AU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79:AI79"/>
    <mergeCell ref="AJ79:AK79"/>
    <mergeCell ref="AL79:AM79"/>
    <mergeCell ref="AN79:AO79"/>
    <mergeCell ref="AP79:AQ79"/>
    <mergeCell ref="AR79:AS79"/>
    <mergeCell ref="AT79:AU79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F82:G82"/>
    <mergeCell ref="H82:I82"/>
    <mergeCell ref="J82:K82"/>
    <mergeCell ref="L82:M82"/>
    <mergeCell ref="N82:O82"/>
    <mergeCell ref="P82:Q82"/>
    <mergeCell ref="R82:S82"/>
    <mergeCell ref="AP82:AQ82"/>
    <mergeCell ref="AR82:AS82"/>
    <mergeCell ref="AL81:AM81"/>
    <mergeCell ref="AN81:AO81"/>
    <mergeCell ref="AP81:AQ81"/>
    <mergeCell ref="AR81:AS81"/>
    <mergeCell ref="AT81:AU81"/>
    <mergeCell ref="AL82:AM82"/>
    <mergeCell ref="AN82:AO82"/>
    <mergeCell ref="AT82:AU82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  <mergeCell ref="AH83:AI83"/>
    <mergeCell ref="AJ83:AK83"/>
    <mergeCell ref="AL83:AM83"/>
    <mergeCell ref="AN83:AO83"/>
    <mergeCell ref="AP83:AQ83"/>
    <mergeCell ref="AR83:AS83"/>
    <mergeCell ref="AT83:AU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L85:AM85"/>
    <mergeCell ref="AN85:AO85"/>
    <mergeCell ref="AP85:AQ85"/>
    <mergeCell ref="AR85:AS85"/>
    <mergeCell ref="AT85:AU85"/>
    <mergeCell ref="AH84:AI84"/>
    <mergeCell ref="AJ84:AK84"/>
    <mergeCell ref="AL84:AM84"/>
    <mergeCell ref="AN84:AO84"/>
    <mergeCell ref="AP84:AQ84"/>
    <mergeCell ref="AR84:AS84"/>
    <mergeCell ref="AT84:AU84"/>
    <mergeCell ref="F85:G85"/>
    <mergeCell ref="H85:I85"/>
    <mergeCell ref="J85:K85"/>
    <mergeCell ref="L85:M85"/>
    <mergeCell ref="N85:O85"/>
    <mergeCell ref="P85:Q85"/>
    <mergeCell ref="R85:S85"/>
    <mergeCell ref="AH86:AI86"/>
    <mergeCell ref="AJ86:AK86"/>
    <mergeCell ref="AL86:AM86"/>
    <mergeCell ref="AN86:AO86"/>
    <mergeCell ref="AP86:AQ86"/>
    <mergeCell ref="AR86:AS86"/>
    <mergeCell ref="AT86:AU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AL87:AM87"/>
    <mergeCell ref="AN87:AO87"/>
    <mergeCell ref="AP87:AQ87"/>
    <mergeCell ref="AR87:AS87"/>
    <mergeCell ref="AT87:AU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8:AI88"/>
    <mergeCell ref="AJ88:AK88"/>
    <mergeCell ref="AL88:AM88"/>
    <mergeCell ref="AN88:AO88"/>
    <mergeCell ref="AP88:AQ88"/>
    <mergeCell ref="AR88:AS88"/>
    <mergeCell ref="AT88:AU88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N89:AO89"/>
    <mergeCell ref="AP89:AQ89"/>
    <mergeCell ref="AR89:AS89"/>
    <mergeCell ref="AT89:AU89"/>
    <mergeCell ref="F91:G91"/>
    <mergeCell ref="H91:I91"/>
    <mergeCell ref="J91:K91"/>
    <mergeCell ref="L91:M91"/>
    <mergeCell ref="N91:O91"/>
    <mergeCell ref="P91:Q91"/>
    <mergeCell ref="R91:S91"/>
    <mergeCell ref="AP91:AQ91"/>
    <mergeCell ref="AR91:AS91"/>
    <mergeCell ref="AL90:AM90"/>
    <mergeCell ref="AN90:AO90"/>
    <mergeCell ref="AP90:AQ90"/>
    <mergeCell ref="AR90:AS90"/>
    <mergeCell ref="AT90:AU90"/>
    <mergeCell ref="AL91:AM91"/>
    <mergeCell ref="AN91:AO91"/>
    <mergeCell ref="AT91:AU91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H92:AI92"/>
    <mergeCell ref="AJ92:AK92"/>
    <mergeCell ref="AL92:AM92"/>
    <mergeCell ref="AN92:AO92"/>
    <mergeCell ref="AP92:AQ92"/>
    <mergeCell ref="AR92:AS92"/>
    <mergeCell ref="AT92:AU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L94:AM94"/>
    <mergeCell ref="AN94:AO94"/>
    <mergeCell ref="AP94:AQ94"/>
    <mergeCell ref="AR94:AS94"/>
    <mergeCell ref="AT94:AU94"/>
    <mergeCell ref="AH93:AI93"/>
    <mergeCell ref="AJ93:AK93"/>
    <mergeCell ref="AL93:AM93"/>
    <mergeCell ref="AN93:AO93"/>
    <mergeCell ref="AP93:AQ93"/>
    <mergeCell ref="AR93:AS93"/>
    <mergeCell ref="AT93:AU93"/>
    <mergeCell ref="F94:G94"/>
    <mergeCell ref="H94:I94"/>
    <mergeCell ref="J94:K94"/>
    <mergeCell ref="L94:M94"/>
    <mergeCell ref="N94:O94"/>
    <mergeCell ref="P94:Q94"/>
    <mergeCell ref="R94:S94"/>
    <mergeCell ref="AH95:AI95"/>
    <mergeCell ref="AJ95:AK95"/>
    <mergeCell ref="AL95:AM95"/>
    <mergeCell ref="AN95:AO95"/>
    <mergeCell ref="AP95:AQ95"/>
    <mergeCell ref="AR95:AS95"/>
    <mergeCell ref="AT95:AU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AL96:AM96"/>
    <mergeCell ref="AN96:AO96"/>
    <mergeCell ref="AP96:AQ96"/>
    <mergeCell ref="AR96:AS96"/>
    <mergeCell ref="AT96:AU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7:AI97"/>
    <mergeCell ref="AJ97:AK97"/>
    <mergeCell ref="AL97:AM97"/>
    <mergeCell ref="AN97:AO97"/>
    <mergeCell ref="AP97:AQ97"/>
    <mergeCell ref="AR97:AS97"/>
    <mergeCell ref="AT97:AU97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F100:G100"/>
    <mergeCell ref="H100:I100"/>
    <mergeCell ref="J100:K100"/>
    <mergeCell ref="L100:M100"/>
    <mergeCell ref="N100:O100"/>
    <mergeCell ref="P100:Q100"/>
    <mergeCell ref="R100:S100"/>
    <mergeCell ref="AP100:AQ100"/>
    <mergeCell ref="AR100:AS100"/>
    <mergeCell ref="AL99:AM99"/>
    <mergeCell ref="AN99:AO99"/>
    <mergeCell ref="AP99:AQ99"/>
    <mergeCell ref="AR99:AS99"/>
    <mergeCell ref="AT99:AU99"/>
    <mergeCell ref="AL100:AM100"/>
    <mergeCell ref="AN100:AO100"/>
    <mergeCell ref="AT100:AU100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F98:G98"/>
    <mergeCell ref="H98:I98"/>
    <mergeCell ref="J98:K98"/>
    <mergeCell ref="L98:M98"/>
    <mergeCell ref="N98:O98"/>
    <mergeCell ref="P98:Q98"/>
    <mergeCell ref="R98:S98"/>
    <mergeCell ref="F99:G99"/>
    <mergeCell ref="H99:I99"/>
    <mergeCell ref="J99:K99"/>
    <mergeCell ref="L99:M99"/>
    <mergeCell ref="N99:O99"/>
    <mergeCell ref="P99:Q99"/>
    <mergeCell ref="R99:S99"/>
    <mergeCell ref="AH101:AI101"/>
    <mergeCell ref="AJ101:AK101"/>
    <mergeCell ref="AL101:AM101"/>
    <mergeCell ref="AN101:AO101"/>
    <mergeCell ref="AP101:AQ101"/>
    <mergeCell ref="AR101:AS101"/>
    <mergeCell ref="AT101:AU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L103:AM103"/>
    <mergeCell ref="AN103:AO103"/>
    <mergeCell ref="AP103:AQ103"/>
    <mergeCell ref="AR103:AS103"/>
    <mergeCell ref="AT103:AU103"/>
    <mergeCell ref="AH102:AI102"/>
    <mergeCell ref="AJ102:AK102"/>
    <mergeCell ref="AL102:AM102"/>
    <mergeCell ref="AN102:AO102"/>
    <mergeCell ref="AP102:AQ102"/>
    <mergeCell ref="AR102:AS102"/>
    <mergeCell ref="AT102:AU102"/>
    <mergeCell ref="F103:G103"/>
    <mergeCell ref="H103:I103"/>
    <mergeCell ref="J103:K103"/>
    <mergeCell ref="L103:M103"/>
    <mergeCell ref="N103:O103"/>
    <mergeCell ref="P103:Q103"/>
    <mergeCell ref="R103:S103"/>
    <mergeCell ref="AH104:AI104"/>
    <mergeCell ref="AJ104:AK104"/>
    <mergeCell ref="AL104:AM104"/>
    <mergeCell ref="AN104:AO104"/>
    <mergeCell ref="AP104:AQ104"/>
    <mergeCell ref="AR104:AS104"/>
    <mergeCell ref="AT104:AU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AL105:AM105"/>
    <mergeCell ref="AN105:AO105"/>
    <mergeCell ref="AP105:AQ105"/>
    <mergeCell ref="AR105:AS105"/>
    <mergeCell ref="AT105:AU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6:AI106"/>
    <mergeCell ref="AJ106:AK106"/>
    <mergeCell ref="AL106:AM106"/>
    <mergeCell ref="AN106:AO106"/>
    <mergeCell ref="AP106:AQ106"/>
    <mergeCell ref="AR106:AS106"/>
    <mergeCell ref="AT106:AU106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F109:G109"/>
    <mergeCell ref="H109:I109"/>
    <mergeCell ref="J109:K109"/>
    <mergeCell ref="L109:M109"/>
    <mergeCell ref="N109:O109"/>
    <mergeCell ref="P109:Q109"/>
    <mergeCell ref="R109:S109"/>
    <mergeCell ref="AP109:AQ109"/>
    <mergeCell ref="AR109:AS109"/>
    <mergeCell ref="AL108:AM108"/>
    <mergeCell ref="AN108:AO108"/>
    <mergeCell ref="AP108:AQ108"/>
    <mergeCell ref="AR108:AS108"/>
    <mergeCell ref="AT108:AU108"/>
    <mergeCell ref="AL109:AM109"/>
    <mergeCell ref="AN109:AO109"/>
    <mergeCell ref="AT109:AU109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H110:AI110"/>
    <mergeCell ref="AJ110:AK110"/>
    <mergeCell ref="AL110:AM110"/>
    <mergeCell ref="AN110:AO110"/>
    <mergeCell ref="AP110:AQ110"/>
    <mergeCell ref="AR110:AS110"/>
    <mergeCell ref="AT110:AU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L112:AM112"/>
    <mergeCell ref="AN112:AO112"/>
    <mergeCell ref="AP112:AQ112"/>
    <mergeCell ref="AR112:AS112"/>
    <mergeCell ref="AT112:AU112"/>
    <mergeCell ref="AH111:AI111"/>
    <mergeCell ref="AJ111:AK111"/>
    <mergeCell ref="AL111:AM111"/>
    <mergeCell ref="AN111:AO111"/>
    <mergeCell ref="AP111:AQ111"/>
    <mergeCell ref="AR111:AS111"/>
    <mergeCell ref="AT111:AU111"/>
    <mergeCell ref="F112:G112"/>
    <mergeCell ref="H112:I112"/>
    <mergeCell ref="J112:K112"/>
    <mergeCell ref="L112:M112"/>
    <mergeCell ref="N112:O112"/>
    <mergeCell ref="P112:Q112"/>
    <mergeCell ref="R112:S112"/>
    <mergeCell ref="AH113:AI113"/>
    <mergeCell ref="AJ113:AK113"/>
    <mergeCell ref="AL113:AM113"/>
    <mergeCell ref="AN113:AO113"/>
    <mergeCell ref="AP113:AQ113"/>
    <mergeCell ref="AR113:AS113"/>
    <mergeCell ref="AT113:AU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AL114:AM114"/>
    <mergeCell ref="AN114:AO114"/>
    <mergeCell ref="AP114:AQ114"/>
    <mergeCell ref="AR114:AS114"/>
    <mergeCell ref="AT114:AU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5:AI115"/>
    <mergeCell ref="AJ115:AK115"/>
    <mergeCell ref="AL115:AM115"/>
    <mergeCell ref="AN115:AO115"/>
    <mergeCell ref="AP115:AQ115"/>
    <mergeCell ref="AR115:AS115"/>
    <mergeCell ref="AT115:AU115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O116"/>
    <mergeCell ref="AP116:AQ116"/>
    <mergeCell ref="AR116:AS116"/>
    <mergeCell ref="AT116:AU116"/>
    <mergeCell ref="F118:G118"/>
    <mergeCell ref="H118:I118"/>
    <mergeCell ref="J118:K118"/>
    <mergeCell ref="L118:M118"/>
    <mergeCell ref="N118:O118"/>
    <mergeCell ref="P118:Q118"/>
    <mergeCell ref="R118:S118"/>
    <mergeCell ref="AP118:AQ118"/>
    <mergeCell ref="AR118:AS118"/>
    <mergeCell ref="AL117:AM117"/>
    <mergeCell ref="AN117:AO117"/>
    <mergeCell ref="AP117:AQ117"/>
    <mergeCell ref="AR117:AS117"/>
    <mergeCell ref="AT117:AU117"/>
    <mergeCell ref="AL118:AM118"/>
    <mergeCell ref="AN118:AO118"/>
    <mergeCell ref="AT118:AU118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F116:G116"/>
    <mergeCell ref="H116:I116"/>
    <mergeCell ref="J116:K116"/>
    <mergeCell ref="L116:M116"/>
    <mergeCell ref="N116:O116"/>
    <mergeCell ref="P116:Q116"/>
    <mergeCell ref="R116:S116"/>
    <mergeCell ref="F117:G117"/>
    <mergeCell ref="H117:I117"/>
    <mergeCell ref="J117:K117"/>
    <mergeCell ref="L117:M117"/>
    <mergeCell ref="N117:O117"/>
    <mergeCell ref="P117:Q117"/>
    <mergeCell ref="R117:S117"/>
    <mergeCell ref="AH119:AI119"/>
    <mergeCell ref="AJ119:AK119"/>
    <mergeCell ref="AL119:AM119"/>
    <mergeCell ref="AN119:AO119"/>
    <mergeCell ref="AP119:AQ119"/>
    <mergeCell ref="AR119:AS119"/>
    <mergeCell ref="AT119:AU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L121:AM121"/>
    <mergeCell ref="AN121:AO121"/>
    <mergeCell ref="AP121:AQ121"/>
    <mergeCell ref="AR121:AS121"/>
    <mergeCell ref="AT121:AU121"/>
    <mergeCell ref="AH120:AI120"/>
    <mergeCell ref="AJ120:AK120"/>
    <mergeCell ref="AL120:AM120"/>
    <mergeCell ref="AN120:AO120"/>
    <mergeCell ref="AP120:AQ120"/>
    <mergeCell ref="AR120:AS120"/>
    <mergeCell ref="AT120:AU120"/>
    <mergeCell ref="F121:G121"/>
    <mergeCell ref="H121:I121"/>
    <mergeCell ref="J121:K121"/>
    <mergeCell ref="L121:M121"/>
    <mergeCell ref="N121:O121"/>
    <mergeCell ref="P121:Q121"/>
    <mergeCell ref="R121:S121"/>
    <mergeCell ref="AH122:AI122"/>
    <mergeCell ref="AJ122:AK122"/>
    <mergeCell ref="AL122:AM122"/>
    <mergeCell ref="AN122:AO122"/>
    <mergeCell ref="AP122:AQ122"/>
    <mergeCell ref="AR122:AS122"/>
    <mergeCell ref="AT122:AU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AL123:AM123"/>
    <mergeCell ref="AN123:AO123"/>
    <mergeCell ref="AP123:AQ123"/>
    <mergeCell ref="AR123:AS123"/>
    <mergeCell ref="AT123:AU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4:AI124"/>
    <mergeCell ref="AJ124:AK124"/>
    <mergeCell ref="AL124:AM124"/>
    <mergeCell ref="AN124:AO124"/>
    <mergeCell ref="AP124:AQ124"/>
    <mergeCell ref="AR124:AS124"/>
    <mergeCell ref="AT124:AU124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O125"/>
    <mergeCell ref="AP125:AQ125"/>
    <mergeCell ref="AR125:AS125"/>
    <mergeCell ref="AT125:AU125"/>
    <mergeCell ref="F127:G127"/>
    <mergeCell ref="H127:I127"/>
    <mergeCell ref="J127:K127"/>
    <mergeCell ref="L127:M127"/>
    <mergeCell ref="N127:O127"/>
    <mergeCell ref="P127:Q127"/>
    <mergeCell ref="R127:S127"/>
    <mergeCell ref="AP127:AQ127"/>
    <mergeCell ref="AR127:AS127"/>
    <mergeCell ref="AL126:AM126"/>
    <mergeCell ref="AN126:AO126"/>
    <mergeCell ref="AP126:AQ126"/>
    <mergeCell ref="AR126:AS126"/>
    <mergeCell ref="AT126:AU126"/>
    <mergeCell ref="AL127:AM127"/>
    <mergeCell ref="AN127:AO127"/>
    <mergeCell ref="AT127:AU127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H128:AI128"/>
    <mergeCell ref="AJ128:AK128"/>
    <mergeCell ref="AL128:AM128"/>
    <mergeCell ref="AN128:AO128"/>
    <mergeCell ref="AP128:AQ128"/>
    <mergeCell ref="AR128:AS128"/>
    <mergeCell ref="AT128:AU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L130:AM130"/>
    <mergeCell ref="AN130:AO130"/>
    <mergeCell ref="AP130:AQ130"/>
    <mergeCell ref="AR130:AS130"/>
    <mergeCell ref="AT130:AU130"/>
    <mergeCell ref="AH129:AI129"/>
    <mergeCell ref="AJ129:AK129"/>
    <mergeCell ref="AL129:AM129"/>
    <mergeCell ref="AN129:AO129"/>
    <mergeCell ref="AP129:AQ129"/>
    <mergeCell ref="AR129:AS129"/>
    <mergeCell ref="AT129:AU129"/>
    <mergeCell ref="F130:G130"/>
    <mergeCell ref="H130:I130"/>
    <mergeCell ref="J130:K130"/>
    <mergeCell ref="L130:M130"/>
    <mergeCell ref="N130:O130"/>
    <mergeCell ref="P130:Q130"/>
    <mergeCell ref="R130:S130"/>
    <mergeCell ref="AH131:AI131"/>
    <mergeCell ref="AJ131:AK131"/>
    <mergeCell ref="AL131:AM131"/>
    <mergeCell ref="AN131:AO131"/>
    <mergeCell ref="AP131:AQ131"/>
    <mergeCell ref="AR131:AS131"/>
    <mergeCell ref="AT131:AU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AL132:AM132"/>
    <mergeCell ref="AN132:AO132"/>
    <mergeCell ref="AP132:AQ132"/>
    <mergeCell ref="AR132:AS132"/>
    <mergeCell ref="AT132:AU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3:AI133"/>
    <mergeCell ref="AJ133:AK133"/>
    <mergeCell ref="AL133:AM133"/>
    <mergeCell ref="AN133:AO133"/>
    <mergeCell ref="AP133:AQ133"/>
    <mergeCell ref="AR133:AS133"/>
    <mergeCell ref="AT133:AU133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  <mergeCell ref="AP134:AQ134"/>
    <mergeCell ref="AR134:AS134"/>
    <mergeCell ref="AT134:AU134"/>
    <mergeCell ref="F136:G136"/>
    <mergeCell ref="H136:I136"/>
    <mergeCell ref="J136:K136"/>
    <mergeCell ref="L136:M136"/>
    <mergeCell ref="N136:O136"/>
    <mergeCell ref="P136:Q136"/>
    <mergeCell ref="R136:S136"/>
    <mergeCell ref="AP136:AQ136"/>
    <mergeCell ref="AR136:AS136"/>
    <mergeCell ref="AL135:AM135"/>
    <mergeCell ref="AN135:AO135"/>
    <mergeCell ref="AP135:AQ135"/>
    <mergeCell ref="AR135:AS135"/>
    <mergeCell ref="AT135:AU135"/>
    <mergeCell ref="AL136:AM136"/>
    <mergeCell ref="AN136:AO136"/>
    <mergeCell ref="AT136:AU136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F134:G134"/>
    <mergeCell ref="H134:I134"/>
    <mergeCell ref="J134:K134"/>
    <mergeCell ref="L134:M134"/>
    <mergeCell ref="N134:O134"/>
    <mergeCell ref="P134:Q134"/>
    <mergeCell ref="R134:S134"/>
    <mergeCell ref="F135:G135"/>
    <mergeCell ref="H135:I135"/>
    <mergeCell ref="J135:K135"/>
    <mergeCell ref="L135:M135"/>
    <mergeCell ref="N135:O135"/>
    <mergeCell ref="P135:Q135"/>
    <mergeCell ref="R135:S135"/>
    <mergeCell ref="AH137:AI137"/>
    <mergeCell ref="AJ137:AK137"/>
    <mergeCell ref="AL137:AM137"/>
    <mergeCell ref="AN137:AO137"/>
    <mergeCell ref="AP137:AQ137"/>
    <mergeCell ref="AR137:AS137"/>
    <mergeCell ref="AT137:AU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L139:AM139"/>
    <mergeCell ref="AN139:AO139"/>
    <mergeCell ref="AP139:AQ139"/>
    <mergeCell ref="AR139:AS139"/>
    <mergeCell ref="AT139:AU139"/>
    <mergeCell ref="AH138:AI138"/>
    <mergeCell ref="AJ138:AK138"/>
    <mergeCell ref="AL138:AM138"/>
    <mergeCell ref="AN138:AO138"/>
    <mergeCell ref="AP138:AQ138"/>
    <mergeCell ref="AR138:AS138"/>
    <mergeCell ref="AT138:AU138"/>
    <mergeCell ref="F139:G139"/>
    <mergeCell ref="H139:I139"/>
    <mergeCell ref="J139:K139"/>
    <mergeCell ref="L139:M139"/>
    <mergeCell ref="N139:O139"/>
    <mergeCell ref="P139:Q139"/>
    <mergeCell ref="R139:S139"/>
    <mergeCell ref="AH140:AI140"/>
    <mergeCell ref="AJ140:AK140"/>
    <mergeCell ref="AL140:AM140"/>
    <mergeCell ref="AN140:AO140"/>
    <mergeCell ref="AP140:AQ140"/>
    <mergeCell ref="AR140:AS140"/>
    <mergeCell ref="AT140:AU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AL141:AM141"/>
    <mergeCell ref="AN141:AO141"/>
    <mergeCell ref="AP141:AQ141"/>
    <mergeCell ref="AR141:AS141"/>
    <mergeCell ref="AT141:AU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2:AI142"/>
    <mergeCell ref="AJ142:AK142"/>
    <mergeCell ref="AL142:AM142"/>
    <mergeCell ref="AN142:AO142"/>
    <mergeCell ref="AP142:AQ142"/>
    <mergeCell ref="AR142:AS142"/>
    <mergeCell ref="AT142:AU142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O143"/>
    <mergeCell ref="AP143:AQ143"/>
    <mergeCell ref="AR143:AS143"/>
    <mergeCell ref="AT143:AU143"/>
    <mergeCell ref="F145:G145"/>
    <mergeCell ref="H145:I145"/>
    <mergeCell ref="J145:K145"/>
    <mergeCell ref="L145:M145"/>
    <mergeCell ref="N145:O145"/>
    <mergeCell ref="P145:Q145"/>
    <mergeCell ref="R145:S145"/>
    <mergeCell ref="AP145:AQ145"/>
    <mergeCell ref="AR145:AS145"/>
    <mergeCell ref="AL144:AM144"/>
    <mergeCell ref="AN144:AO144"/>
    <mergeCell ref="AP144:AQ144"/>
    <mergeCell ref="AR144:AS144"/>
    <mergeCell ref="AT144:AU144"/>
    <mergeCell ref="AL145:AM145"/>
    <mergeCell ref="AN145:AO145"/>
    <mergeCell ref="AT145:AU145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H146:AI146"/>
    <mergeCell ref="AJ146:AK146"/>
    <mergeCell ref="AL146:AM146"/>
    <mergeCell ref="AN146:AO146"/>
    <mergeCell ref="AP146:AQ146"/>
    <mergeCell ref="AR146:AS146"/>
    <mergeCell ref="AT146:AU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L148:AM148"/>
    <mergeCell ref="AN148:AO148"/>
    <mergeCell ref="AP148:AQ148"/>
    <mergeCell ref="AR148:AS148"/>
    <mergeCell ref="AT148:AU148"/>
    <mergeCell ref="AH147:AI147"/>
    <mergeCell ref="AJ147:AK147"/>
    <mergeCell ref="AL147:AM147"/>
    <mergeCell ref="AN147:AO147"/>
    <mergeCell ref="AP147:AQ147"/>
    <mergeCell ref="AR147:AS147"/>
    <mergeCell ref="AT147:AU147"/>
    <mergeCell ref="F148:G148"/>
    <mergeCell ref="H148:I148"/>
    <mergeCell ref="J148:K148"/>
    <mergeCell ref="L148:M148"/>
    <mergeCell ref="N148:O148"/>
    <mergeCell ref="P148:Q148"/>
    <mergeCell ref="R148:S148"/>
    <mergeCell ref="AH149:AI149"/>
    <mergeCell ref="AJ149:AK149"/>
    <mergeCell ref="AL149:AM149"/>
    <mergeCell ref="AN149:AO149"/>
    <mergeCell ref="AP149:AQ149"/>
    <mergeCell ref="AR149:AS149"/>
    <mergeCell ref="AT149:AU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AL150:AM150"/>
    <mergeCell ref="AN150:AO150"/>
    <mergeCell ref="AP150:AQ150"/>
    <mergeCell ref="AR150:AS150"/>
    <mergeCell ref="AT150:AU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1:AI151"/>
    <mergeCell ref="AJ151:AK151"/>
    <mergeCell ref="AL151:AM151"/>
    <mergeCell ref="AN151:AO151"/>
    <mergeCell ref="AP151:AQ151"/>
    <mergeCell ref="AR151:AS151"/>
    <mergeCell ref="AT151:AU151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AT152:AU152"/>
    <mergeCell ref="F154:G154"/>
    <mergeCell ref="H154:I154"/>
    <mergeCell ref="J154:K154"/>
    <mergeCell ref="L154:M154"/>
    <mergeCell ref="N154:O154"/>
    <mergeCell ref="P154:Q154"/>
    <mergeCell ref="R154:S154"/>
    <mergeCell ref="AP154:AQ154"/>
    <mergeCell ref="AR154:AS154"/>
    <mergeCell ref="AL153:AM153"/>
    <mergeCell ref="AN153:AO153"/>
    <mergeCell ref="AP153:AQ153"/>
    <mergeCell ref="AR153:AS153"/>
    <mergeCell ref="AT153:AU153"/>
    <mergeCell ref="AL154:AM154"/>
    <mergeCell ref="AN154:AO154"/>
    <mergeCell ref="AT154:AU154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F152:G152"/>
    <mergeCell ref="H152:I152"/>
    <mergeCell ref="J152:K152"/>
    <mergeCell ref="L152:M152"/>
    <mergeCell ref="N152:O152"/>
    <mergeCell ref="P152:Q152"/>
    <mergeCell ref="R152:S152"/>
    <mergeCell ref="F153:G153"/>
    <mergeCell ref="H153:I153"/>
    <mergeCell ref="J153:K153"/>
    <mergeCell ref="L153:M153"/>
    <mergeCell ref="N153:O153"/>
    <mergeCell ref="P153:Q153"/>
    <mergeCell ref="R153:S153"/>
    <mergeCell ref="AH155:AI155"/>
    <mergeCell ref="AJ155:AK155"/>
    <mergeCell ref="AL155:AM155"/>
    <mergeCell ref="AN155:AO155"/>
    <mergeCell ref="AP155:AQ155"/>
    <mergeCell ref="AR155:AS155"/>
    <mergeCell ref="AT155:AU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L157:AM157"/>
    <mergeCell ref="AN157:AO157"/>
    <mergeCell ref="AP157:AQ157"/>
    <mergeCell ref="AR157:AS157"/>
    <mergeCell ref="AT157:AU157"/>
    <mergeCell ref="AH156:AI156"/>
    <mergeCell ref="AJ156:AK156"/>
    <mergeCell ref="AL156:AM156"/>
    <mergeCell ref="AN156:AO156"/>
    <mergeCell ref="AP156:AQ156"/>
    <mergeCell ref="AR156:AS156"/>
    <mergeCell ref="AT156:AU156"/>
    <mergeCell ref="F157:G157"/>
    <mergeCell ref="H157:I157"/>
    <mergeCell ref="J157:K157"/>
    <mergeCell ref="L157:M157"/>
    <mergeCell ref="N157:O157"/>
    <mergeCell ref="P157:Q157"/>
    <mergeCell ref="R157:S157"/>
    <mergeCell ref="AH158:AI158"/>
    <mergeCell ref="AJ158:AK158"/>
    <mergeCell ref="AL158:AM158"/>
    <mergeCell ref="AN158:AO158"/>
    <mergeCell ref="AP158:AQ158"/>
    <mergeCell ref="AR158:AS158"/>
    <mergeCell ref="AT158:AU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AL159:AM159"/>
    <mergeCell ref="AN159:AO159"/>
    <mergeCell ref="AP159:AQ159"/>
    <mergeCell ref="AR159:AS159"/>
    <mergeCell ref="AT159:AU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0:AI160"/>
    <mergeCell ref="AJ160:AK160"/>
    <mergeCell ref="AL160:AM160"/>
    <mergeCell ref="AN160:AO160"/>
    <mergeCell ref="AP160:AQ160"/>
    <mergeCell ref="AR160:AS160"/>
    <mergeCell ref="AT160:AU160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F163:G163"/>
    <mergeCell ref="H163:I163"/>
    <mergeCell ref="J163:K163"/>
    <mergeCell ref="L163:M163"/>
    <mergeCell ref="N163:O163"/>
    <mergeCell ref="P163:Q163"/>
    <mergeCell ref="R163:S163"/>
    <mergeCell ref="AP163:AQ163"/>
    <mergeCell ref="AR163:AS163"/>
    <mergeCell ref="AL162:AM162"/>
    <mergeCell ref="AN162:AO162"/>
    <mergeCell ref="AP162:AQ162"/>
    <mergeCell ref="AR162:AS162"/>
    <mergeCell ref="AT162:AU162"/>
    <mergeCell ref="AL163:AM163"/>
    <mergeCell ref="AN163:AO163"/>
    <mergeCell ref="AT163:AU163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H164:AI164"/>
    <mergeCell ref="AJ164:AK164"/>
    <mergeCell ref="AL164:AM164"/>
    <mergeCell ref="AN164:AO164"/>
    <mergeCell ref="AP164:AQ164"/>
    <mergeCell ref="AR164:AS164"/>
    <mergeCell ref="AT164:AU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L166:AM166"/>
    <mergeCell ref="AN166:AO166"/>
    <mergeCell ref="AP166:AQ166"/>
    <mergeCell ref="AR166:AS166"/>
    <mergeCell ref="AT166:AU166"/>
    <mergeCell ref="AH165:AI165"/>
    <mergeCell ref="AJ165:AK165"/>
    <mergeCell ref="AL165:AM165"/>
    <mergeCell ref="AN165:AO165"/>
    <mergeCell ref="AP165:AQ165"/>
    <mergeCell ref="AR165:AS165"/>
    <mergeCell ref="AT165:AU165"/>
    <mergeCell ref="F166:G166"/>
    <mergeCell ref="H166:I166"/>
    <mergeCell ref="J166:K166"/>
    <mergeCell ref="L166:M166"/>
    <mergeCell ref="N166:O166"/>
    <mergeCell ref="P166:Q166"/>
    <mergeCell ref="R166:S166"/>
    <mergeCell ref="AH167:AI167"/>
    <mergeCell ref="AJ167:AK167"/>
    <mergeCell ref="AL167:AM167"/>
    <mergeCell ref="AN167:AO167"/>
    <mergeCell ref="AP167:AQ167"/>
    <mergeCell ref="AR167:AS167"/>
    <mergeCell ref="AT167:AU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F172:G172"/>
    <mergeCell ref="H172:I172"/>
    <mergeCell ref="J172:K172"/>
    <mergeCell ref="L172:M172"/>
    <mergeCell ref="N172:O172"/>
    <mergeCell ref="P172:Q172"/>
    <mergeCell ref="R172:S172"/>
    <mergeCell ref="AP172:AQ172"/>
    <mergeCell ref="AR172:AS172"/>
    <mergeCell ref="AL171:AM171"/>
    <mergeCell ref="AN171:AO171"/>
    <mergeCell ref="AP171:AQ171"/>
    <mergeCell ref="AR171:AS171"/>
    <mergeCell ref="AT171:AU171"/>
    <mergeCell ref="AL172:AM172"/>
    <mergeCell ref="AN172:AO172"/>
    <mergeCell ref="AT172:AU172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F170:G170"/>
    <mergeCell ref="H170:I170"/>
    <mergeCell ref="J170:K170"/>
    <mergeCell ref="L170:M170"/>
    <mergeCell ref="N170:O170"/>
    <mergeCell ref="P170:Q170"/>
    <mergeCell ref="R170:S170"/>
    <mergeCell ref="F171:G171"/>
    <mergeCell ref="H171:I171"/>
    <mergeCell ref="J171:K171"/>
    <mergeCell ref="L171:M171"/>
    <mergeCell ref="N171:O171"/>
    <mergeCell ref="P171:Q171"/>
    <mergeCell ref="R171:S171"/>
    <mergeCell ref="AH173:AI173"/>
    <mergeCell ref="AJ173:AK173"/>
    <mergeCell ref="AL173:AM173"/>
    <mergeCell ref="AN173:AO173"/>
    <mergeCell ref="AP173:AQ173"/>
    <mergeCell ref="AR173:AS173"/>
    <mergeCell ref="AT173:AU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L175:AM175"/>
    <mergeCell ref="AN175:AO175"/>
    <mergeCell ref="AP175:AQ175"/>
    <mergeCell ref="AR175:AS175"/>
    <mergeCell ref="AT175:AU175"/>
    <mergeCell ref="AH174:AI174"/>
    <mergeCell ref="AJ174:AK174"/>
    <mergeCell ref="AL174:AM174"/>
    <mergeCell ref="AN174:AO174"/>
    <mergeCell ref="AP174:AQ174"/>
    <mergeCell ref="AR174:AS174"/>
    <mergeCell ref="AT174:AU174"/>
    <mergeCell ref="F175:G175"/>
    <mergeCell ref="H175:I175"/>
    <mergeCell ref="J175:K175"/>
    <mergeCell ref="L175:M175"/>
    <mergeCell ref="N175:O175"/>
    <mergeCell ref="P175:Q175"/>
    <mergeCell ref="R175:S175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8:AI178"/>
    <mergeCell ref="AJ178:AK178"/>
    <mergeCell ref="AL178:AM178"/>
    <mergeCell ref="AN178:AO178"/>
    <mergeCell ref="AP178:AQ178"/>
    <mergeCell ref="AR178:AS178"/>
    <mergeCell ref="AT178:AU178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F181:G181"/>
    <mergeCell ref="H181:I181"/>
    <mergeCell ref="J181:K181"/>
    <mergeCell ref="L181:M181"/>
    <mergeCell ref="N181:O181"/>
    <mergeCell ref="P181:Q181"/>
    <mergeCell ref="R181:S181"/>
    <mergeCell ref="AP181:AQ181"/>
    <mergeCell ref="AR181:AS181"/>
    <mergeCell ref="AL180:AM180"/>
    <mergeCell ref="AN180:AO180"/>
    <mergeCell ref="AP180:AQ180"/>
    <mergeCell ref="AR180:AS180"/>
    <mergeCell ref="AT180:AU180"/>
    <mergeCell ref="AL181:AM181"/>
    <mergeCell ref="AN181:AO181"/>
    <mergeCell ref="AT181:AU181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H182:AI182"/>
    <mergeCell ref="AJ182:AK182"/>
    <mergeCell ref="AL182:AM182"/>
    <mergeCell ref="AN182:AO182"/>
    <mergeCell ref="AP182:AQ182"/>
    <mergeCell ref="AR182:AS182"/>
    <mergeCell ref="AT182:AU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L184:AM184"/>
    <mergeCell ref="AN184:AO184"/>
    <mergeCell ref="AP184:AQ184"/>
    <mergeCell ref="AR184:AS184"/>
    <mergeCell ref="AT184:AU184"/>
    <mergeCell ref="AH183:AI183"/>
    <mergeCell ref="AJ183:AK183"/>
    <mergeCell ref="AL183:AM183"/>
    <mergeCell ref="AN183:AO183"/>
    <mergeCell ref="AP183:AQ183"/>
    <mergeCell ref="AR183:AS183"/>
    <mergeCell ref="AT183:AU183"/>
    <mergeCell ref="F184:G184"/>
    <mergeCell ref="H184:I184"/>
    <mergeCell ref="J184:K184"/>
    <mergeCell ref="L184:M184"/>
    <mergeCell ref="N184:O184"/>
    <mergeCell ref="P184:Q184"/>
    <mergeCell ref="R184:S184"/>
    <mergeCell ref="AH185:AI185"/>
    <mergeCell ref="AJ185:AK185"/>
    <mergeCell ref="AL185:AM185"/>
    <mergeCell ref="AN185:AO185"/>
    <mergeCell ref="AP185:AQ185"/>
    <mergeCell ref="AR185:AS185"/>
    <mergeCell ref="AT185:AU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AL186:AM186"/>
    <mergeCell ref="AN186:AO186"/>
    <mergeCell ref="AP186:AQ186"/>
    <mergeCell ref="AR186:AS186"/>
    <mergeCell ref="AT186:AU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7:AI187"/>
    <mergeCell ref="AJ187:AK187"/>
    <mergeCell ref="AL187:AM187"/>
    <mergeCell ref="AN187:AO187"/>
    <mergeCell ref="AP187:AQ187"/>
    <mergeCell ref="AR187:AS187"/>
    <mergeCell ref="AT187:AU187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O188"/>
    <mergeCell ref="AP188:AQ188"/>
    <mergeCell ref="AR188:AS188"/>
    <mergeCell ref="AT188:AU188"/>
    <mergeCell ref="F190:G190"/>
    <mergeCell ref="H190:I190"/>
    <mergeCell ref="J190:K190"/>
    <mergeCell ref="L190:M190"/>
    <mergeCell ref="N190:O190"/>
    <mergeCell ref="P190:Q190"/>
    <mergeCell ref="R190:S190"/>
    <mergeCell ref="AP190:AQ190"/>
    <mergeCell ref="AR190:AS190"/>
    <mergeCell ref="AL189:AM189"/>
    <mergeCell ref="AN189:AO189"/>
    <mergeCell ref="AP189:AQ189"/>
    <mergeCell ref="AR189:AS189"/>
    <mergeCell ref="AT189:AU189"/>
    <mergeCell ref="AL190:AM190"/>
    <mergeCell ref="AN190:AO190"/>
    <mergeCell ref="AT190:AU190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F188:G188"/>
    <mergeCell ref="H188:I188"/>
    <mergeCell ref="J188:K188"/>
    <mergeCell ref="L188:M188"/>
    <mergeCell ref="N188:O188"/>
    <mergeCell ref="P188:Q188"/>
    <mergeCell ref="R188:S188"/>
    <mergeCell ref="F189:G189"/>
    <mergeCell ref="H189:I189"/>
    <mergeCell ref="J189:K189"/>
    <mergeCell ref="L189:M189"/>
    <mergeCell ref="N189:O189"/>
    <mergeCell ref="P189:Q189"/>
    <mergeCell ref="R189:S189"/>
    <mergeCell ref="AH191:AI191"/>
    <mergeCell ref="AJ191:AK191"/>
    <mergeCell ref="AL191:AM191"/>
    <mergeCell ref="AN191:AO191"/>
    <mergeCell ref="AP191:AQ191"/>
    <mergeCell ref="AR191:AS191"/>
    <mergeCell ref="AT191:AU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L193:AM193"/>
    <mergeCell ref="AN193:AO193"/>
    <mergeCell ref="AP193:AQ193"/>
    <mergeCell ref="AR193:AS193"/>
    <mergeCell ref="AT193:AU193"/>
    <mergeCell ref="AH192:AI192"/>
    <mergeCell ref="AJ192:AK192"/>
    <mergeCell ref="AL192:AM192"/>
    <mergeCell ref="AN192:AO192"/>
    <mergeCell ref="AP192:AQ192"/>
    <mergeCell ref="AR192:AS192"/>
    <mergeCell ref="AT192:AU192"/>
    <mergeCell ref="F193:G193"/>
    <mergeCell ref="H193:I193"/>
    <mergeCell ref="J193:K193"/>
    <mergeCell ref="L193:M193"/>
    <mergeCell ref="N193:O193"/>
    <mergeCell ref="P193:Q193"/>
    <mergeCell ref="R193:S193"/>
    <mergeCell ref="AH194:AI194"/>
    <mergeCell ref="AJ194:AK194"/>
    <mergeCell ref="AL194:AM194"/>
    <mergeCell ref="AN194:AO194"/>
    <mergeCell ref="AP194:AQ194"/>
    <mergeCell ref="AR194:AS194"/>
    <mergeCell ref="AT194:AU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AL195:AM195"/>
    <mergeCell ref="AN195:AO195"/>
    <mergeCell ref="AP195:AQ195"/>
    <mergeCell ref="AR195:AS195"/>
    <mergeCell ref="AT195:AU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6:AI196"/>
    <mergeCell ref="AJ196:AK196"/>
    <mergeCell ref="AL196:AM196"/>
    <mergeCell ref="AN196:AO196"/>
    <mergeCell ref="AP196:AQ196"/>
    <mergeCell ref="AR196:AS196"/>
    <mergeCell ref="AT196:AU196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O197"/>
    <mergeCell ref="AP197:AQ197"/>
    <mergeCell ref="AR197:AS197"/>
    <mergeCell ref="AT197:AU197"/>
    <mergeCell ref="F199:G199"/>
    <mergeCell ref="H199:I199"/>
    <mergeCell ref="J199:K199"/>
    <mergeCell ref="L199:M199"/>
    <mergeCell ref="N199:O199"/>
    <mergeCell ref="P199:Q199"/>
    <mergeCell ref="R199:S199"/>
    <mergeCell ref="AP199:AQ199"/>
    <mergeCell ref="AR199:AS199"/>
    <mergeCell ref="AL198:AM198"/>
    <mergeCell ref="AN198:AO198"/>
    <mergeCell ref="AP198:AQ198"/>
    <mergeCell ref="AR198:AS198"/>
    <mergeCell ref="AT198:AU198"/>
    <mergeCell ref="AL199:AM199"/>
    <mergeCell ref="AN199:AO199"/>
    <mergeCell ref="AT199:AU199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H200:AI200"/>
    <mergeCell ref="AJ200:AK200"/>
    <mergeCell ref="AL200:AM200"/>
    <mergeCell ref="AN200:AO200"/>
    <mergeCell ref="AP200:AQ200"/>
    <mergeCell ref="AR200:AS200"/>
    <mergeCell ref="AT200:AU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L202:AM202"/>
    <mergeCell ref="AN202:AO202"/>
    <mergeCell ref="AP202:AQ202"/>
    <mergeCell ref="AR202:AS202"/>
    <mergeCell ref="AT202:AU202"/>
    <mergeCell ref="AH201:AI201"/>
    <mergeCell ref="AJ201:AK201"/>
    <mergeCell ref="AL201:AM201"/>
    <mergeCell ref="AN201:AO201"/>
    <mergeCell ref="AP201:AQ201"/>
    <mergeCell ref="AR201:AS201"/>
    <mergeCell ref="AT201:AU201"/>
    <mergeCell ref="F202:G202"/>
    <mergeCell ref="H202:I202"/>
    <mergeCell ref="J202:K202"/>
    <mergeCell ref="L202:M202"/>
    <mergeCell ref="N202:O202"/>
    <mergeCell ref="P202:Q202"/>
    <mergeCell ref="R202:S202"/>
    <mergeCell ref="AH203:AI203"/>
    <mergeCell ref="AJ203:AK203"/>
    <mergeCell ref="AL203:AM203"/>
    <mergeCell ref="AN203:AO203"/>
    <mergeCell ref="AP203:AQ203"/>
    <mergeCell ref="AR203:AS203"/>
    <mergeCell ref="AT203:AU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AL204:AM204"/>
    <mergeCell ref="AN204:AO204"/>
    <mergeCell ref="AP204:AQ204"/>
    <mergeCell ref="AR204:AS204"/>
    <mergeCell ref="AT204:AU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5:AI205"/>
    <mergeCell ref="AJ205:AK205"/>
    <mergeCell ref="AL205:AM205"/>
    <mergeCell ref="AN205:AO205"/>
    <mergeCell ref="AP205:AQ205"/>
    <mergeCell ref="AR205:AS205"/>
    <mergeCell ref="AT205:AU205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6:AO206"/>
    <mergeCell ref="AP206:AQ206"/>
    <mergeCell ref="AR206:AS206"/>
    <mergeCell ref="AT206:AU206"/>
    <mergeCell ref="F208:G208"/>
    <mergeCell ref="H208:I208"/>
    <mergeCell ref="J208:K208"/>
    <mergeCell ref="L208:M208"/>
    <mergeCell ref="N208:O208"/>
    <mergeCell ref="P208:Q208"/>
    <mergeCell ref="R208:S208"/>
    <mergeCell ref="AP208:AQ208"/>
    <mergeCell ref="AR208:AS208"/>
    <mergeCell ref="AL207:AM207"/>
    <mergeCell ref="AN207:AO207"/>
    <mergeCell ref="AP207:AQ207"/>
    <mergeCell ref="AR207:AS207"/>
    <mergeCell ref="AT207:AU207"/>
    <mergeCell ref="AL208:AM208"/>
    <mergeCell ref="AN208:AO208"/>
    <mergeCell ref="AT208:AU208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F206:G206"/>
    <mergeCell ref="H206:I206"/>
    <mergeCell ref="J206:K206"/>
    <mergeCell ref="L206:M206"/>
    <mergeCell ref="N206:O206"/>
    <mergeCell ref="P206:Q206"/>
    <mergeCell ref="R206:S206"/>
    <mergeCell ref="F207:G207"/>
    <mergeCell ref="H207:I207"/>
    <mergeCell ref="J207:K207"/>
    <mergeCell ref="L207:M207"/>
    <mergeCell ref="N207:O207"/>
    <mergeCell ref="P207:Q207"/>
    <mergeCell ref="R207:S207"/>
    <mergeCell ref="AH209:AI209"/>
    <mergeCell ref="AJ209:AK209"/>
    <mergeCell ref="AL209:AM209"/>
    <mergeCell ref="AN209:AO209"/>
    <mergeCell ref="AP209:AQ209"/>
    <mergeCell ref="AR209:AS209"/>
    <mergeCell ref="AT209:AU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L211:AM211"/>
    <mergeCell ref="AN211:AO211"/>
    <mergeCell ref="AP211:AQ211"/>
    <mergeCell ref="AR211:AS211"/>
    <mergeCell ref="AT211:AU211"/>
    <mergeCell ref="AH210:AI210"/>
    <mergeCell ref="AJ210:AK210"/>
    <mergeCell ref="AL210:AM210"/>
    <mergeCell ref="AN210:AO210"/>
    <mergeCell ref="AP210:AQ210"/>
    <mergeCell ref="AR210:AS210"/>
    <mergeCell ref="AT210:AU210"/>
    <mergeCell ref="F211:G211"/>
    <mergeCell ref="H211:I211"/>
    <mergeCell ref="J211:K211"/>
    <mergeCell ref="L211:M211"/>
    <mergeCell ref="N211:O211"/>
    <mergeCell ref="P211:Q211"/>
    <mergeCell ref="R211:S211"/>
    <mergeCell ref="AH212:AI212"/>
    <mergeCell ref="AJ212:AK212"/>
    <mergeCell ref="AL212:AM212"/>
    <mergeCell ref="AN212:AO212"/>
    <mergeCell ref="AP212:AQ212"/>
    <mergeCell ref="AR212:AS212"/>
    <mergeCell ref="AT212:AU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AL213:AM213"/>
    <mergeCell ref="AN213:AO213"/>
    <mergeCell ref="AP213:AQ213"/>
    <mergeCell ref="AR213:AS213"/>
    <mergeCell ref="AT213:AU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4:AI214"/>
    <mergeCell ref="AJ214:AK214"/>
    <mergeCell ref="AL214:AM214"/>
    <mergeCell ref="AN214:AO214"/>
    <mergeCell ref="AP214:AQ214"/>
    <mergeCell ref="AR214:AS214"/>
    <mergeCell ref="AT214:AU214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O215"/>
    <mergeCell ref="AP215:AQ215"/>
    <mergeCell ref="AR215:AS215"/>
    <mergeCell ref="AT215:AU215"/>
    <mergeCell ref="F217:G217"/>
    <mergeCell ref="H217:I217"/>
    <mergeCell ref="J217:K217"/>
    <mergeCell ref="L217:M217"/>
    <mergeCell ref="N217:O217"/>
    <mergeCell ref="P217:Q217"/>
    <mergeCell ref="R217:S217"/>
    <mergeCell ref="AP217:AQ217"/>
    <mergeCell ref="AR217:AS217"/>
    <mergeCell ref="AL216:AM216"/>
    <mergeCell ref="AN216:AO216"/>
    <mergeCell ref="AP216:AQ216"/>
    <mergeCell ref="AR216:AS216"/>
    <mergeCell ref="AT216:AU216"/>
    <mergeCell ref="AL217:AM217"/>
    <mergeCell ref="AN217:AO217"/>
    <mergeCell ref="AT217:AU217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H218:AI218"/>
    <mergeCell ref="AJ218:AK218"/>
    <mergeCell ref="AL218:AM218"/>
    <mergeCell ref="AN218:AO218"/>
    <mergeCell ref="AP218:AQ218"/>
    <mergeCell ref="AR218:AS218"/>
    <mergeCell ref="AT218:AU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L220:AM220"/>
    <mergeCell ref="AN220:AO220"/>
    <mergeCell ref="AP220:AQ220"/>
    <mergeCell ref="AR220:AS220"/>
    <mergeCell ref="AT220:AU220"/>
    <mergeCell ref="AH219:AI219"/>
    <mergeCell ref="AJ219:AK219"/>
    <mergeCell ref="AL219:AM219"/>
    <mergeCell ref="AN219:AO219"/>
    <mergeCell ref="AP219:AQ219"/>
    <mergeCell ref="AR219:AS219"/>
    <mergeCell ref="AT219:AU219"/>
    <mergeCell ref="F220:G220"/>
    <mergeCell ref="H220:I220"/>
    <mergeCell ref="J220:K220"/>
    <mergeCell ref="L220:M220"/>
    <mergeCell ref="N220:O220"/>
    <mergeCell ref="P220:Q220"/>
    <mergeCell ref="R220:S220"/>
    <mergeCell ref="AH221:AI221"/>
    <mergeCell ref="AJ221:AK221"/>
    <mergeCell ref="AL221:AM221"/>
    <mergeCell ref="AN221:AO221"/>
    <mergeCell ref="AP221:AQ221"/>
    <mergeCell ref="AR221:AS221"/>
    <mergeCell ref="AT221:AU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AL222:AM222"/>
    <mergeCell ref="AN222:AO222"/>
    <mergeCell ref="AP222:AQ222"/>
    <mergeCell ref="AR222:AS222"/>
    <mergeCell ref="AT222:AU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F226:G226"/>
    <mergeCell ref="H226:I226"/>
    <mergeCell ref="J226:K226"/>
    <mergeCell ref="L226:M226"/>
    <mergeCell ref="N226:O226"/>
    <mergeCell ref="P226:Q226"/>
    <mergeCell ref="R226:S226"/>
    <mergeCell ref="AP226:AQ226"/>
    <mergeCell ref="AR226:AS226"/>
    <mergeCell ref="AL225:AM225"/>
    <mergeCell ref="AN225:AO225"/>
    <mergeCell ref="AP225:AQ225"/>
    <mergeCell ref="AR225:AS225"/>
    <mergeCell ref="AT225:AU225"/>
    <mergeCell ref="AL226:AM226"/>
    <mergeCell ref="AN226:AO226"/>
    <mergeCell ref="AT226:AU226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F224:G224"/>
    <mergeCell ref="H224:I224"/>
    <mergeCell ref="J224:K224"/>
    <mergeCell ref="L224:M224"/>
    <mergeCell ref="N224:O224"/>
    <mergeCell ref="P224:Q224"/>
    <mergeCell ref="R224:S224"/>
    <mergeCell ref="F225:G225"/>
    <mergeCell ref="H225:I225"/>
    <mergeCell ref="J225:K225"/>
    <mergeCell ref="L225:M225"/>
    <mergeCell ref="N225:O225"/>
    <mergeCell ref="P225:Q225"/>
    <mergeCell ref="R225:S225"/>
    <mergeCell ref="AH227:AI227"/>
    <mergeCell ref="AJ227:AK227"/>
    <mergeCell ref="AL227:AM227"/>
    <mergeCell ref="AN227:AO227"/>
    <mergeCell ref="AP227:AQ227"/>
    <mergeCell ref="AR227:AS227"/>
    <mergeCell ref="AT227:AU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L229:AM229"/>
    <mergeCell ref="AN229:AO229"/>
    <mergeCell ref="AP229:AQ229"/>
    <mergeCell ref="AR229:AS229"/>
    <mergeCell ref="AT229:AU229"/>
    <mergeCell ref="AH228:AI228"/>
    <mergeCell ref="AJ228:AK228"/>
    <mergeCell ref="AL228:AM228"/>
    <mergeCell ref="AN228:AO228"/>
    <mergeCell ref="AP228:AQ228"/>
    <mergeCell ref="AR228:AS228"/>
    <mergeCell ref="AT228:AU228"/>
    <mergeCell ref="F229:G229"/>
    <mergeCell ref="H229:I229"/>
    <mergeCell ref="J229:K229"/>
    <mergeCell ref="L229:M229"/>
    <mergeCell ref="N229:O229"/>
    <mergeCell ref="P229:Q229"/>
    <mergeCell ref="R229:S229"/>
    <mergeCell ref="AH230:AI230"/>
    <mergeCell ref="AJ230:AK230"/>
    <mergeCell ref="AL230:AM230"/>
    <mergeCell ref="AN230:AO230"/>
    <mergeCell ref="AP230:AQ230"/>
    <mergeCell ref="AR230:AS230"/>
    <mergeCell ref="AT230:AU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AL231:AM231"/>
    <mergeCell ref="AN231:AO231"/>
    <mergeCell ref="AP231:AQ231"/>
    <mergeCell ref="AR231:AS231"/>
    <mergeCell ref="AT231:AU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2:AI232"/>
    <mergeCell ref="AJ232:AK232"/>
    <mergeCell ref="AL232:AM232"/>
    <mergeCell ref="AN232:AO232"/>
    <mergeCell ref="AP232:AQ232"/>
    <mergeCell ref="AR232:AS232"/>
    <mergeCell ref="AT232:AU232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F235:G235"/>
    <mergeCell ref="H235:I235"/>
    <mergeCell ref="J235:K235"/>
    <mergeCell ref="L235:M235"/>
    <mergeCell ref="N235:O235"/>
    <mergeCell ref="P235:Q235"/>
    <mergeCell ref="R235:S235"/>
    <mergeCell ref="AP235:AQ235"/>
    <mergeCell ref="AR235:AS235"/>
    <mergeCell ref="AL234:AM234"/>
    <mergeCell ref="AN234:AO234"/>
    <mergeCell ref="AP234:AQ234"/>
    <mergeCell ref="AR234:AS234"/>
    <mergeCell ref="AT234:AU234"/>
    <mergeCell ref="AL235:AM235"/>
    <mergeCell ref="AN235:AO235"/>
    <mergeCell ref="AT235:AU235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H236:AI236"/>
    <mergeCell ref="AJ236:AK236"/>
    <mergeCell ref="AL236:AM236"/>
    <mergeCell ref="AN236:AO236"/>
    <mergeCell ref="AP236:AQ236"/>
    <mergeCell ref="AR236:AS236"/>
    <mergeCell ref="AT236:AU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L238:AM238"/>
    <mergeCell ref="AN238:AO238"/>
    <mergeCell ref="AP238:AQ238"/>
    <mergeCell ref="AR238:AS238"/>
    <mergeCell ref="AT238:AU238"/>
    <mergeCell ref="AH237:AI237"/>
    <mergeCell ref="AJ237:AK237"/>
    <mergeCell ref="AL237:AM237"/>
    <mergeCell ref="AN237:AO237"/>
    <mergeCell ref="AP237:AQ237"/>
    <mergeCell ref="AR237:AS237"/>
    <mergeCell ref="AT237:AU237"/>
    <mergeCell ref="F238:G238"/>
    <mergeCell ref="H238:I238"/>
    <mergeCell ref="J238:K238"/>
    <mergeCell ref="L238:M238"/>
    <mergeCell ref="N238:O238"/>
    <mergeCell ref="P238:Q238"/>
    <mergeCell ref="R238:S238"/>
    <mergeCell ref="AH239:AI239"/>
    <mergeCell ref="AJ239:AK239"/>
    <mergeCell ref="AL239:AM239"/>
    <mergeCell ref="AN239:AO239"/>
    <mergeCell ref="AP239:AQ239"/>
    <mergeCell ref="AR239:AS239"/>
    <mergeCell ref="AT239:AU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AL240:AM240"/>
    <mergeCell ref="AN240:AO240"/>
    <mergeCell ref="AP240:AQ240"/>
    <mergeCell ref="AR240:AS240"/>
    <mergeCell ref="AT240:AU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L242:AM242"/>
    <mergeCell ref="AN242:AO242"/>
    <mergeCell ref="AP242:AQ242"/>
    <mergeCell ref="AR242:AS242"/>
    <mergeCell ref="AT242:AU242"/>
    <mergeCell ref="F244:G244"/>
    <mergeCell ref="H244:I244"/>
    <mergeCell ref="J244:K244"/>
    <mergeCell ref="L244:M244"/>
    <mergeCell ref="N244:O244"/>
    <mergeCell ref="P244:Q244"/>
    <mergeCell ref="R244:S244"/>
    <mergeCell ref="AP244:AQ244"/>
    <mergeCell ref="AR244:AS244"/>
    <mergeCell ref="AL243:AM243"/>
    <mergeCell ref="AN243:AO243"/>
    <mergeCell ref="AP243:AQ243"/>
    <mergeCell ref="AR243:AS243"/>
    <mergeCell ref="AT243:AU243"/>
    <mergeCell ref="AL244:AM244"/>
    <mergeCell ref="AN244:AO244"/>
    <mergeCell ref="AT244:AU244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F242:G242"/>
    <mergeCell ref="H242:I242"/>
    <mergeCell ref="J242:K242"/>
    <mergeCell ref="L242:M242"/>
    <mergeCell ref="N242:O242"/>
    <mergeCell ref="P242:Q242"/>
    <mergeCell ref="R242:S242"/>
    <mergeCell ref="F243:G243"/>
    <mergeCell ref="H243:I243"/>
    <mergeCell ref="J243:K243"/>
    <mergeCell ref="L243:M243"/>
    <mergeCell ref="N243:O243"/>
    <mergeCell ref="P243:Q243"/>
    <mergeCell ref="R243:S243"/>
    <mergeCell ref="AH245:AI245"/>
    <mergeCell ref="AJ245:AK245"/>
    <mergeCell ref="AL245:AM245"/>
    <mergeCell ref="AN245:AO245"/>
    <mergeCell ref="AP245:AQ245"/>
    <mergeCell ref="AR245:AS245"/>
    <mergeCell ref="AT245:AU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L247:AM247"/>
    <mergeCell ref="AN247:AO247"/>
    <mergeCell ref="AP247:AQ247"/>
    <mergeCell ref="AR247:AS247"/>
    <mergeCell ref="AT247:AU247"/>
    <mergeCell ref="AH246:AI246"/>
    <mergeCell ref="AJ246:AK246"/>
    <mergeCell ref="AL246:AM246"/>
    <mergeCell ref="AN246:AO246"/>
    <mergeCell ref="AP246:AQ246"/>
    <mergeCell ref="AR246:AS246"/>
    <mergeCell ref="AT246:AU246"/>
    <mergeCell ref="F247:G247"/>
    <mergeCell ref="H247:I247"/>
    <mergeCell ref="J247:K247"/>
    <mergeCell ref="L247:M247"/>
    <mergeCell ref="N247:O247"/>
    <mergeCell ref="P247:Q247"/>
    <mergeCell ref="R247:S247"/>
    <mergeCell ref="AH248:AI248"/>
    <mergeCell ref="AJ248:AK248"/>
    <mergeCell ref="AL248:AM248"/>
    <mergeCell ref="AN248:AO248"/>
    <mergeCell ref="AP248:AQ248"/>
    <mergeCell ref="AR248:AS248"/>
    <mergeCell ref="AT248:AU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AL249:AM249"/>
    <mergeCell ref="AN249:AO249"/>
    <mergeCell ref="AP249:AQ249"/>
    <mergeCell ref="AR249:AS249"/>
    <mergeCell ref="AT249:AU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0:AI250"/>
    <mergeCell ref="AJ250:AK250"/>
    <mergeCell ref="AL250:AM250"/>
    <mergeCell ref="AN250:AO250"/>
    <mergeCell ref="AP250:AQ250"/>
    <mergeCell ref="AR250:AS250"/>
    <mergeCell ref="AT250:AU250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F253:G253"/>
    <mergeCell ref="H253:I253"/>
    <mergeCell ref="J253:K253"/>
    <mergeCell ref="L253:M253"/>
    <mergeCell ref="N253:O253"/>
    <mergeCell ref="P253:Q253"/>
    <mergeCell ref="R253:S253"/>
    <mergeCell ref="AP253:AQ253"/>
    <mergeCell ref="AR253:AS253"/>
    <mergeCell ref="AL252:AM252"/>
    <mergeCell ref="AN252:AO252"/>
    <mergeCell ref="AP252:AQ252"/>
    <mergeCell ref="AR252:AS252"/>
    <mergeCell ref="AT252:AU252"/>
    <mergeCell ref="AL253:AM253"/>
    <mergeCell ref="AN253:AO253"/>
    <mergeCell ref="AT253:AU253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H254:AI254"/>
    <mergeCell ref="AJ254:AK254"/>
    <mergeCell ref="AL254:AM254"/>
    <mergeCell ref="AN254:AO254"/>
    <mergeCell ref="AP254:AQ254"/>
    <mergeCell ref="AR254:AS254"/>
    <mergeCell ref="AT254:AU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L256:AM256"/>
    <mergeCell ref="AN256:AO256"/>
    <mergeCell ref="AP256:AQ256"/>
    <mergeCell ref="AR256:AS256"/>
    <mergeCell ref="AT256:AU256"/>
    <mergeCell ref="AH255:AI255"/>
    <mergeCell ref="AJ255:AK255"/>
    <mergeCell ref="AL255:AM255"/>
    <mergeCell ref="AN255:AO255"/>
    <mergeCell ref="AP255:AQ255"/>
    <mergeCell ref="AR255:AS255"/>
    <mergeCell ref="AT255:AU255"/>
    <mergeCell ref="F256:G256"/>
    <mergeCell ref="H256:I256"/>
    <mergeCell ref="J256:K256"/>
    <mergeCell ref="L256:M256"/>
    <mergeCell ref="N256:O256"/>
    <mergeCell ref="P256:Q256"/>
    <mergeCell ref="R256:S256"/>
    <mergeCell ref="AH257:AI257"/>
    <mergeCell ref="AJ257:AK257"/>
    <mergeCell ref="AL257:AM257"/>
    <mergeCell ref="AN257:AO257"/>
    <mergeCell ref="AP257:AQ257"/>
    <mergeCell ref="AR257:AS257"/>
    <mergeCell ref="AT257:AU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AL258:AM258"/>
    <mergeCell ref="AN258:AO258"/>
    <mergeCell ref="AP258:AQ258"/>
    <mergeCell ref="AR258:AS258"/>
    <mergeCell ref="AT258:AU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59:AI259"/>
    <mergeCell ref="AJ259:AK259"/>
    <mergeCell ref="AL259:AM259"/>
    <mergeCell ref="AN259:AO259"/>
    <mergeCell ref="AP259:AQ259"/>
    <mergeCell ref="AR259:AS259"/>
    <mergeCell ref="AT259:AU259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O260"/>
    <mergeCell ref="AP260:AQ260"/>
    <mergeCell ref="AR260:AS260"/>
    <mergeCell ref="AT260:AU260"/>
    <mergeCell ref="F262:G262"/>
    <mergeCell ref="H262:I262"/>
    <mergeCell ref="J262:K262"/>
    <mergeCell ref="L262:M262"/>
    <mergeCell ref="N262:O262"/>
    <mergeCell ref="P262:Q262"/>
    <mergeCell ref="R262:S262"/>
    <mergeCell ref="AP262:AQ262"/>
    <mergeCell ref="AR262:AS262"/>
    <mergeCell ref="AL261:AM261"/>
    <mergeCell ref="AN261:AO261"/>
    <mergeCell ref="AP261:AQ261"/>
    <mergeCell ref="AR261:AS261"/>
    <mergeCell ref="AT261:AU261"/>
    <mergeCell ref="AL262:AM262"/>
    <mergeCell ref="AN262:AO262"/>
    <mergeCell ref="AT262:AU262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F260:G260"/>
    <mergeCell ref="H260:I260"/>
    <mergeCell ref="J260:K260"/>
    <mergeCell ref="L260:M260"/>
    <mergeCell ref="N260:O260"/>
    <mergeCell ref="P260:Q260"/>
    <mergeCell ref="R260:S260"/>
    <mergeCell ref="F261:G261"/>
    <mergeCell ref="H261:I261"/>
    <mergeCell ref="J261:K261"/>
    <mergeCell ref="L261:M261"/>
    <mergeCell ref="N261:O261"/>
    <mergeCell ref="P261:Q261"/>
    <mergeCell ref="R261:S261"/>
    <mergeCell ref="AH263:AI263"/>
    <mergeCell ref="AJ263:AK263"/>
    <mergeCell ref="AL263:AM263"/>
    <mergeCell ref="AN263:AO263"/>
    <mergeCell ref="AP263:AQ263"/>
    <mergeCell ref="AR263:AS263"/>
    <mergeCell ref="AT263:AU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L265:AM265"/>
    <mergeCell ref="AN265:AO265"/>
    <mergeCell ref="AP265:AQ265"/>
    <mergeCell ref="AR265:AS265"/>
    <mergeCell ref="AT265:AU265"/>
    <mergeCell ref="AH264:AI264"/>
    <mergeCell ref="AJ264:AK264"/>
    <mergeCell ref="AL264:AM264"/>
    <mergeCell ref="AN264:AO264"/>
    <mergeCell ref="AP264:AQ264"/>
    <mergeCell ref="AR264:AS264"/>
    <mergeCell ref="AT264:AU264"/>
    <mergeCell ref="F265:G265"/>
    <mergeCell ref="H265:I265"/>
    <mergeCell ref="J265:K265"/>
    <mergeCell ref="L265:M265"/>
    <mergeCell ref="N265:O265"/>
    <mergeCell ref="P265:Q265"/>
    <mergeCell ref="R265:S265"/>
    <mergeCell ref="AH266:AI266"/>
    <mergeCell ref="AJ266:AK266"/>
    <mergeCell ref="AL266:AM266"/>
    <mergeCell ref="AN266:AO266"/>
    <mergeCell ref="AP266:AQ266"/>
    <mergeCell ref="AR266:AS266"/>
    <mergeCell ref="AT266:AU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AL267:AM267"/>
    <mergeCell ref="AN267:AO267"/>
    <mergeCell ref="AP267:AQ267"/>
    <mergeCell ref="AR267:AS267"/>
    <mergeCell ref="AT267:AU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9.44"/>
    <col customWidth="1" min="3" max="3" width="24.33"/>
    <col customWidth="1" min="4" max="4" width="21.78"/>
    <col customWidth="1" min="5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115" t="s">
        <v>84</v>
      </c>
      <c r="B17" s="116">
        <v>431250.0</v>
      </c>
    </row>
    <row r="18" ht="15.75" customHeight="1"/>
    <row r="19" ht="15.75" customHeight="1"/>
    <row r="20" ht="15.75" customHeight="1">
      <c r="B20" s="117">
        <f>sum(B15,B17)</f>
        <v>1566071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