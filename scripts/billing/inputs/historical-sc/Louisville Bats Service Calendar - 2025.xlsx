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uisville - 2025 - Projections" sheetId="1" r:id="rId4"/>
    <sheet state="visible" name="Louisville - 2025 - Actuals - B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cEU4YCDseDfH6+5yRfd0J6ujAJcqX1kRf2kPFoT6v7k="/>
    </ext>
  </extLst>
</workbook>
</file>

<file path=xl/sharedStrings.xml><?xml version="1.0" encoding="utf-8"?>
<sst xmlns="http://schemas.openxmlformats.org/spreadsheetml/2006/main" count="1939" uniqueCount="84">
  <si>
    <t>Bats @ Louisville, KY</t>
  </si>
  <si>
    <t>Louisville Bats</t>
  </si>
  <si>
    <t>TOTALS</t>
  </si>
  <si>
    <t>Day</t>
  </si>
  <si>
    <t>Date</t>
  </si>
  <si>
    <t>Period</t>
  </si>
  <si>
    <t>Week</t>
  </si>
  <si>
    <t>Homestand</t>
  </si>
  <si>
    <t>Game Type</t>
  </si>
  <si>
    <t>Breakfast</t>
  </si>
  <si>
    <t>Lunch</t>
  </si>
  <si>
    <t>Post-Game</t>
  </si>
  <si>
    <t>Umpire</t>
  </si>
  <si>
    <t>Snack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</si>
  <si>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</si>
  <si>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</si>
  <si>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</si>
  <si>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</si>
  <si>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</si>
  <si>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</si>
  <si>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</si>
  <si>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</si>
  <si>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</si>
  <si>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</si>
  <si>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Fri</t>
  </si>
  <si>
    <t>Sat</t>
  </si>
  <si>
    <t>Sun</t>
  </si>
  <si>
    <t>Week 2</t>
  </si>
  <si>
    <t>Week 3</t>
  </si>
  <si>
    <t>Week 4</t>
  </si>
  <si>
    <t>Night</t>
  </si>
  <si>
    <t>DAY</t>
  </si>
  <si>
    <t>OFF</t>
  </si>
  <si>
    <t>NIGHT</t>
  </si>
  <si>
    <t>P</t>
  </si>
  <si>
    <t>SUM</t>
  </si>
  <si>
    <t>Count</t>
  </si>
  <si>
    <t>Rev</t>
  </si>
  <si>
    <t>Food Cost, %</t>
  </si>
  <si>
    <t>Hourly Labor Cost</t>
  </si>
  <si>
    <t>Salary</t>
  </si>
  <si>
    <t>Includes desired raises</t>
  </si>
  <si>
    <t>Prev.</t>
  </si>
  <si>
    <t>EC</t>
  </si>
  <si>
    <t>SC</t>
  </si>
  <si>
    <t>HM</t>
  </si>
  <si>
    <t>Packaging</t>
  </si>
  <si>
    <t>Supplies</t>
  </si>
  <si>
    <t xml:space="preserve">Linen </t>
  </si>
  <si>
    <t>5002 Repair &amp; Maintenance</t>
  </si>
  <si>
    <t xml:space="preserve">    5002.1 General Repair &amp; Maintenance</t>
  </si>
  <si>
    <t xml:space="preserve">    5002.5 Equipment</t>
  </si>
  <si>
    <t xml:space="preserve">  Total 5002 Repair &amp; Maintenance</t>
  </si>
  <si>
    <t>5004 Wages</t>
  </si>
  <si>
    <t xml:space="preserve">    5004.8 Incentives</t>
  </si>
  <si>
    <t>Incentive Rate</t>
  </si>
  <si>
    <t xml:space="preserve">    5004.9 Employer Payroll Taxes</t>
  </si>
  <si>
    <t>Tax Rate:</t>
  </si>
  <si>
    <t xml:space="preserve">  Total 5004 Wages</t>
  </si>
  <si>
    <t>5006 Travel</t>
  </si>
  <si>
    <t xml:space="preserve">    5006.1 Operations Travel</t>
  </si>
  <si>
    <t xml:space="preserve">    5006.3 Account Management Travel</t>
  </si>
  <si>
    <t xml:space="preserve">  Total 5006 Travel</t>
  </si>
  <si>
    <t>5012 Utilities</t>
  </si>
  <si>
    <t xml:space="preserve">    5012.1 Telephone Expense</t>
  </si>
  <si>
    <t xml:space="preserve">    5012.2 Scavenger</t>
  </si>
  <si>
    <t xml:space="preserve">    5012.3 General Utilities</t>
  </si>
  <si>
    <t xml:space="preserve">  Total 5012 Utilities</t>
  </si>
  <si>
    <t>5013 Lease Expenses</t>
  </si>
  <si>
    <t xml:space="preserve">    5013.1 Equipment Lease</t>
  </si>
  <si>
    <t xml:space="preserve">    5013.2 Building Lease</t>
  </si>
  <si>
    <t xml:space="preserve">  Total 5013 Lease Expenses</t>
  </si>
  <si>
    <t>5016 Professional Fees</t>
  </si>
  <si>
    <t xml:space="preserve">    5016.6 Merchant Service Fees</t>
  </si>
  <si>
    <t xml:space="preserve">    5016.7 Licenses &amp; Fees</t>
  </si>
  <si>
    <t xml:space="preserve">  Total 5016 Professional Fees</t>
  </si>
  <si>
    <t>5017 Team Development</t>
  </si>
  <si>
    <t xml:space="preserve">    5017.3 Perks</t>
  </si>
  <si>
    <t xml:space="preserve">    5017.5 Meals &amp; Entertainment</t>
  </si>
  <si>
    <t xml:space="preserve">    5017.7 Paid Time Off</t>
  </si>
  <si>
    <t xml:space="preserve">  Total 5017 Team Development</t>
  </si>
  <si>
    <t>Total SG&amp;A Expenses</t>
  </si>
  <si>
    <t>Other</t>
  </si>
  <si>
    <t>Blank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</si>
</sst>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&quot;$&quot;#,##0_);[Red]\(&quot;$&quot;#,##0\)"/>
    <numFmt numFmtId="166" formatCode="_(&quot;$&quot;* #,##0.00_);_(&quot;$&quot;* \(#,##0.00\);_(&quot;$&quot;* &quot;-&quot;??_);_(@_)"/>
    <numFmt numFmtId="167" formatCode="0.0%"/>
  </numFmts>
  <fonts count="12">
    <font>
      <sz val="12.0"/>
      <color theme="1"/>
      <name val="Calibri"/>
      <scheme val="minor"/>
    </font>
    <font>
      <b/>
      <sz val="16.0"/>
      <color theme="0"/>
      <name val="Arial"/>
    </font>
    <font/>
    <font>
      <sz val="12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b/>
      <sz val="10.0"/>
      <color rgb="FF000000"/>
      <name val="Calibri"/>
    </font>
    <font>
      <sz val="10.0"/>
      <color rgb="FF000000"/>
      <name val="Calibri"/>
    </font>
    <font>
      <b/>
      <sz val="9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/>
      <bottom/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0" fillId="0" fontId="3" numFmtId="0" xfId="0" applyFont="1"/>
    <xf borderId="6" fillId="0" fontId="4" numFmtId="0" xfId="0" applyAlignment="1" applyBorder="1" applyFont="1">
      <alignment horizontal="right"/>
    </xf>
    <xf borderId="6" fillId="0" fontId="4" numFmtId="0" xfId="0" applyBorder="1" applyFont="1"/>
    <xf borderId="6" fillId="0" fontId="4" numFmtId="0" xfId="0" applyAlignment="1" applyBorder="1" applyFont="1">
      <alignment readingOrder="0"/>
    </xf>
    <xf borderId="6" fillId="0" fontId="4" numFmtId="164" xfId="0" applyAlignment="1" applyBorder="1" applyFont="1" applyNumberFormat="1">
      <alignment textRotation="90"/>
    </xf>
    <xf borderId="6" fillId="0" fontId="5" numFmtId="164" xfId="0" applyAlignment="1" applyBorder="1" applyFont="1" applyNumberFormat="1">
      <alignment readingOrder="0" textRotation="90"/>
    </xf>
    <xf borderId="6" fillId="3" fontId="1" numFmtId="0" xfId="0" applyAlignment="1" applyBorder="1" applyFill="1" applyFont="1">
      <alignment shrinkToFit="0" textRotation="90" wrapText="1"/>
    </xf>
    <xf borderId="7" fillId="0" fontId="6" numFmtId="0" xfId="0" applyAlignment="1" applyBorder="1" applyFont="1">
      <alignment horizontal="right"/>
    </xf>
    <xf borderId="7" fillId="0" fontId="6" numFmtId="14" xfId="0" applyAlignment="1" applyBorder="1" applyFont="1" applyNumberFormat="1">
      <alignment readingOrder="0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0" fillId="0" fontId="6" numFmtId="0" xfId="0" applyFont="1"/>
    <xf borderId="10" fillId="0" fontId="6" numFmtId="165" xfId="0" applyBorder="1" applyFont="1" applyNumberFormat="1"/>
    <xf borderId="11" fillId="0" fontId="6" numFmtId="0" xfId="0" applyBorder="1" applyFont="1"/>
    <xf borderId="12" fillId="0" fontId="6" numFmtId="0" xfId="0" applyAlignment="1" applyBorder="1" applyFont="1">
      <alignment horizontal="right"/>
    </xf>
    <xf borderId="12" fillId="0" fontId="6" numFmtId="14" xfId="0" applyBorder="1" applyFont="1" applyNumberFormat="1"/>
    <xf borderId="12" fillId="0" fontId="6" numFmtId="0" xfId="0" applyBorder="1" applyFont="1"/>
    <xf borderId="9" fillId="0" fontId="6" numFmtId="165" xfId="0" applyBorder="1" applyFont="1" applyNumberFormat="1"/>
    <xf borderId="11" fillId="0" fontId="6" numFmtId="165" xfId="0" applyBorder="1" applyFont="1" applyNumberFormat="1"/>
    <xf borderId="13" fillId="0" fontId="6" numFmtId="0" xfId="0" applyAlignment="1" applyBorder="1" applyFont="1">
      <alignment horizontal="right"/>
    </xf>
    <xf borderId="13" fillId="0" fontId="6" numFmtId="14" xfId="0" applyBorder="1" applyFont="1" applyNumberFormat="1"/>
    <xf borderId="13" fillId="0" fontId="6" numFmtId="0" xfId="0" applyBorder="1" applyFont="1"/>
    <xf borderId="14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4" fillId="0" fontId="6" numFmtId="165" xfId="0" applyBorder="1" applyFont="1" applyNumberFormat="1"/>
    <xf borderId="14" fillId="0" fontId="6" numFmtId="165" xfId="0" applyBorder="1" applyFont="1" applyNumberFormat="1"/>
    <xf borderId="7" fillId="0" fontId="6" numFmtId="14" xfId="0" applyBorder="1" applyFont="1" applyNumberFormat="1"/>
    <xf borderId="8" fillId="0" fontId="6" numFmtId="165" xfId="0" applyBorder="1" applyFont="1" applyNumberFormat="1"/>
    <xf borderId="11" fillId="0" fontId="6" numFmtId="0" xfId="0" applyAlignment="1" applyBorder="1" applyFont="1">
      <alignment readingOrder="0"/>
    </xf>
    <xf borderId="14" fillId="0" fontId="6" numFmtId="0" xfId="0" applyAlignment="1" applyBorder="1" applyFont="1">
      <alignment readingOrder="0"/>
    </xf>
    <xf borderId="5" fillId="4" fontId="6" numFmtId="0" xfId="0" applyAlignment="1" applyBorder="1" applyFill="1" applyFont="1">
      <alignment readingOrder="0"/>
    </xf>
    <xf borderId="8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5" fillId="5" fontId="6" numFmtId="0" xfId="0" applyBorder="1" applyFill="1" applyFont="1"/>
    <xf borderId="16" fillId="0" fontId="2" numFmtId="0" xfId="0" applyBorder="1" applyFont="1"/>
    <xf borderId="17" fillId="5" fontId="6" numFmtId="0" xfId="0" applyBorder="1" applyFont="1"/>
    <xf borderId="18" fillId="5" fontId="6" numFmtId="165" xfId="0" applyBorder="1" applyFont="1" applyNumberFormat="1"/>
    <xf borderId="19" fillId="5" fontId="6" numFmtId="0" xfId="0" applyBorder="1" applyFont="1"/>
    <xf borderId="20" fillId="5" fontId="6" numFmtId="0" xfId="0" applyBorder="1" applyFont="1"/>
    <xf borderId="21" fillId="0" fontId="2" numFmtId="0" xfId="0" applyBorder="1" applyFont="1"/>
    <xf borderId="22" fillId="5" fontId="6" numFmtId="0" xfId="0" applyBorder="1" applyFont="1"/>
    <xf borderId="23" fillId="5" fontId="6" numFmtId="165" xfId="0" applyBorder="1" applyFont="1" applyNumberFormat="1"/>
    <xf borderId="24" fillId="5" fontId="6" numFmtId="0" xfId="0" applyBorder="1" applyFont="1"/>
    <xf borderId="25" fillId="5" fontId="6" numFmtId="165" xfId="0" applyBorder="1" applyFont="1" applyNumberFormat="1"/>
    <xf borderId="26" fillId="5" fontId="6" numFmtId="0" xfId="0" applyBorder="1" applyFont="1"/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5" numFmtId="0" xfId="0" applyFont="1"/>
    <xf borderId="0" fillId="0" fontId="7" numFmtId="0" xfId="0" applyFont="1"/>
    <xf borderId="0" fillId="0" fontId="8" numFmtId="0" xfId="0" applyFont="1"/>
    <xf borderId="0" fillId="0" fontId="5" numFmtId="165" xfId="0" applyFont="1" applyNumberFormat="1"/>
    <xf borderId="0" fillId="0" fontId="5" numFmtId="3" xfId="0" applyFont="1" applyNumberFormat="1"/>
    <xf borderId="0" fillId="0" fontId="5" numFmtId="10" xfId="0" applyFont="1" applyNumberFormat="1"/>
    <xf borderId="0" fillId="0" fontId="8" numFmtId="166" xfId="0" applyFont="1" applyNumberFormat="1"/>
    <xf borderId="0" fillId="0" fontId="7" numFmtId="166" xfId="0" applyFont="1" applyNumberFormat="1"/>
    <xf borderId="0" fillId="0" fontId="5" numFmtId="0" xfId="0" applyAlignment="1" applyFont="1">
      <alignment horizontal="right"/>
    </xf>
    <xf borderId="27" fillId="6" fontId="7" numFmtId="0" xfId="0" applyBorder="1" applyFill="1" applyFont="1"/>
    <xf borderId="28" fillId="6" fontId="8" numFmtId="167" xfId="0" applyBorder="1" applyFont="1" applyNumberFormat="1"/>
    <xf borderId="0" fillId="0" fontId="8" numFmtId="10" xfId="0" applyFont="1" applyNumberFormat="1"/>
    <xf borderId="29" fillId="7" fontId="7" numFmtId="0" xfId="0" applyBorder="1" applyFill="1" applyFont="1"/>
    <xf borderId="29" fillId="7" fontId="8" numFmtId="10" xfId="0" applyBorder="1" applyFont="1" applyNumberFormat="1"/>
    <xf borderId="29" fillId="7" fontId="8" numFmtId="0" xfId="0" applyBorder="1" applyFont="1"/>
    <xf borderId="0" fillId="0" fontId="9" numFmtId="0" xfId="0" applyFont="1"/>
    <xf borderId="0" fillId="0" fontId="8" numFmtId="167" xfId="0" applyFont="1" applyNumberFormat="1"/>
    <xf borderId="0" fillId="0" fontId="10" numFmtId="0" xfId="0" applyFont="1"/>
    <xf borderId="30" fillId="0" fontId="8" numFmtId="0" xfId="0" applyBorder="1" applyFont="1"/>
    <xf borderId="8" fillId="0" fontId="6" numFmtId="166" xfId="0" applyBorder="1" applyFont="1" applyNumberFormat="1"/>
    <xf borderId="0" fillId="0" fontId="11" numFmtId="0" xfId="0" applyFont="1"/>
    <xf borderId="11" fillId="0" fontId="11" numFmtId="166" xfId="0" applyBorder="1" applyFont="1" applyNumberFormat="1"/>
    <xf borderId="5" fillId="0" fontId="11" numFmtId="0" xfId="0" applyBorder="1" applyFont="1"/>
    <xf borderId="30" fillId="0" fontId="10" numFmtId="0" xfId="0" applyBorder="1" applyFont="1"/>
    <xf borderId="11" fillId="0" fontId="10" numFmtId="166" xfId="0" applyBorder="1" applyFont="1" applyNumberFormat="1"/>
    <xf borderId="11" fillId="0" fontId="6" numFmtId="166" xfId="0" applyBorder="1" applyFont="1" applyNumberFormat="1"/>
    <xf borderId="11" fillId="0" fontId="3" numFmtId="166" xfId="0" applyBorder="1" applyFont="1" applyNumberFormat="1"/>
    <xf borderId="31" fillId="0" fontId="10" numFmtId="0" xfId="0" applyBorder="1" applyFont="1"/>
    <xf borderId="9" fillId="0" fontId="11" numFmtId="0" xfId="0" applyBorder="1" applyFont="1"/>
    <xf borderId="9" fillId="0" fontId="10" numFmtId="0" xfId="0" applyBorder="1" applyFont="1"/>
    <xf borderId="9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14" fillId="0" fontId="3" numFmtId="0" xfId="0" applyBorder="1" applyFont="1"/>
    <xf borderId="1" fillId="8" fontId="1" numFmtId="0" xfId="0" applyAlignment="1" applyBorder="1" applyFill="1" applyFont="1">
      <alignment horizontal="center"/>
    </xf>
    <xf borderId="6" fillId="0" fontId="5" numFmtId="164" xfId="0" applyAlignment="1" applyBorder="1" applyFont="1" applyNumberFormat="1">
      <alignment textRotation="90"/>
    </xf>
    <xf borderId="11" fillId="0" fontId="2" numFmtId="0" xfId="0" applyBorder="1" applyFont="1"/>
    <xf borderId="14" fillId="0" fontId="2" numFmtId="0" xfId="0" applyBorder="1" applyFont="1"/>
    <xf borderId="7" fillId="9" fontId="6" numFmtId="0" xfId="0" applyAlignment="1" applyBorder="1" applyFill="1" applyFont="1">
      <alignment horizontal="right"/>
    </xf>
    <xf borderId="7" fillId="9" fontId="6" numFmtId="14" xfId="0" applyBorder="1" applyFont="1" applyNumberFormat="1"/>
    <xf borderId="7" fillId="9" fontId="6" numFmtId="0" xfId="0" applyBorder="1" applyFont="1"/>
    <xf borderId="8" fillId="9" fontId="6" numFmtId="0" xfId="0" applyBorder="1" applyFont="1"/>
    <xf borderId="9" fillId="9" fontId="6" numFmtId="0" xfId="0" applyBorder="1" applyFont="1"/>
    <xf borderId="0" fillId="9" fontId="6" numFmtId="0" xfId="0" applyFont="1"/>
    <xf borderId="10" fillId="9" fontId="6" numFmtId="165" xfId="0" applyBorder="1" applyFont="1" applyNumberFormat="1"/>
    <xf borderId="8" fillId="9" fontId="6" numFmtId="165" xfId="0" applyBorder="1" applyFont="1" applyNumberFormat="1"/>
    <xf borderId="12" fillId="9" fontId="6" numFmtId="0" xfId="0" applyAlignment="1" applyBorder="1" applyFont="1">
      <alignment horizontal="right"/>
    </xf>
    <xf borderId="12" fillId="9" fontId="6" numFmtId="14" xfId="0" applyBorder="1" applyFont="1" applyNumberFormat="1"/>
    <xf borderId="12" fillId="9" fontId="6" numFmtId="0" xfId="0" applyBorder="1" applyFont="1"/>
    <xf borderId="11" fillId="9" fontId="6" numFmtId="0" xfId="0" applyBorder="1" applyFont="1"/>
    <xf borderId="9" fillId="9" fontId="6" numFmtId="165" xfId="0" applyBorder="1" applyFont="1" applyNumberFormat="1"/>
    <xf borderId="11" fillId="9" fontId="6" numFmtId="165" xfId="0" applyBorder="1" applyFont="1" applyNumberFormat="1"/>
    <xf borderId="9" fillId="9" fontId="6" numFmtId="0" xfId="0" applyAlignment="1" applyBorder="1" applyFont="1">
      <alignment readingOrder="0"/>
    </xf>
    <xf borderId="0" fillId="9" fontId="6" numFmtId="0" xfId="0" applyAlignment="1" applyFont="1">
      <alignment readingOrder="0"/>
    </xf>
    <xf borderId="11" fillId="9" fontId="6" numFmtId="0" xfId="0" applyAlignment="1" applyBorder="1" applyFont="1">
      <alignment readingOrder="0"/>
    </xf>
    <xf borderId="13" fillId="9" fontId="6" numFmtId="0" xfId="0" applyAlignment="1" applyBorder="1" applyFont="1">
      <alignment horizontal="right"/>
    </xf>
    <xf borderId="13" fillId="9" fontId="6" numFmtId="14" xfId="0" applyBorder="1" applyFont="1" applyNumberFormat="1"/>
    <xf borderId="13" fillId="9" fontId="6" numFmtId="0" xfId="0" applyBorder="1" applyFont="1"/>
    <xf borderId="14" fillId="9" fontId="6" numFmtId="0" xfId="0" applyAlignment="1" applyBorder="1" applyFont="1">
      <alignment readingOrder="0"/>
    </xf>
    <xf borderId="14" fillId="9" fontId="6" numFmtId="0" xfId="0" applyBorder="1" applyFont="1"/>
    <xf borderId="4" fillId="9" fontId="6" numFmtId="0" xfId="0" applyAlignment="1" applyBorder="1" applyFont="1">
      <alignment readingOrder="0"/>
    </xf>
    <xf borderId="5" fillId="9" fontId="6" numFmtId="0" xfId="0" applyAlignment="1" applyBorder="1" applyFont="1">
      <alignment readingOrder="0"/>
    </xf>
    <xf borderId="4" fillId="9" fontId="6" numFmtId="0" xfId="0" applyBorder="1" applyFont="1"/>
    <xf borderId="5" fillId="9" fontId="6" numFmtId="0" xfId="0" applyBorder="1" applyFont="1"/>
    <xf borderId="4" fillId="9" fontId="6" numFmtId="165" xfId="0" applyBorder="1" applyFont="1" applyNumberFormat="1"/>
    <xf borderId="14" fillId="9" fontId="6" numFmtId="165" xfId="0" applyBorder="1" applyFont="1" applyNumberFormat="1"/>
    <xf borderId="7" fillId="10" fontId="6" numFmtId="0" xfId="0" applyAlignment="1" applyBorder="1" applyFill="1" applyFont="1">
      <alignment horizontal="right"/>
    </xf>
    <xf borderId="7" fillId="10" fontId="6" numFmtId="14" xfId="0" applyBorder="1" applyFont="1" applyNumberFormat="1"/>
    <xf borderId="7" fillId="10" fontId="6" numFmtId="0" xfId="0" applyBorder="1" applyFont="1"/>
    <xf borderId="8" fillId="10" fontId="6" numFmtId="0" xfId="0" applyBorder="1" applyFont="1"/>
    <xf borderId="9" fillId="10" fontId="6" numFmtId="0" xfId="0" applyAlignment="1" applyBorder="1" applyFont="1">
      <alignment readingOrder="0"/>
    </xf>
    <xf borderId="0" fillId="10" fontId="6" numFmtId="0" xfId="0" applyAlignment="1" applyFont="1">
      <alignment readingOrder="0"/>
    </xf>
    <xf borderId="9" fillId="10" fontId="6" numFmtId="0" xfId="0" applyBorder="1" applyFont="1"/>
    <xf borderId="0" fillId="10" fontId="6" numFmtId="0" xfId="0" applyFont="1"/>
    <xf borderId="10" fillId="10" fontId="6" numFmtId="165" xfId="0" applyBorder="1" applyFont="1" applyNumberFormat="1"/>
    <xf borderId="8" fillId="10" fontId="6" numFmtId="165" xfId="0" applyBorder="1" applyFont="1" applyNumberFormat="1"/>
    <xf borderId="12" fillId="10" fontId="6" numFmtId="0" xfId="0" applyAlignment="1" applyBorder="1" applyFont="1">
      <alignment horizontal="right"/>
    </xf>
    <xf borderId="12" fillId="10" fontId="6" numFmtId="14" xfId="0" applyBorder="1" applyFont="1" applyNumberFormat="1"/>
    <xf borderId="12" fillId="10" fontId="6" numFmtId="0" xfId="0" applyBorder="1" applyFont="1"/>
    <xf borderId="11" fillId="10" fontId="6" numFmtId="0" xfId="0" applyBorder="1" applyFont="1"/>
    <xf borderId="9" fillId="10" fontId="6" numFmtId="165" xfId="0" applyBorder="1" applyFont="1" applyNumberFormat="1"/>
    <xf borderId="11" fillId="10" fontId="6" numFmtId="165" xfId="0" applyBorder="1" applyFont="1" applyNumberFormat="1"/>
    <xf borderId="13" fillId="10" fontId="6" numFmtId="0" xfId="0" applyAlignment="1" applyBorder="1" applyFont="1">
      <alignment horizontal="right"/>
    </xf>
    <xf borderId="13" fillId="10" fontId="6" numFmtId="14" xfId="0" applyBorder="1" applyFont="1" applyNumberFormat="1"/>
    <xf borderId="13" fillId="10" fontId="6" numFmtId="0" xfId="0" applyBorder="1" applyFont="1"/>
    <xf borderId="14" fillId="10" fontId="6" numFmtId="0" xfId="0" applyBorder="1" applyFont="1"/>
    <xf borderId="5" fillId="10" fontId="6" numFmtId="0" xfId="0" applyAlignment="1" applyBorder="1" applyFont="1">
      <alignment readingOrder="0"/>
    </xf>
    <xf borderId="4" fillId="10" fontId="6" numFmtId="0" xfId="0" applyBorder="1" applyFont="1"/>
    <xf borderId="5" fillId="10" fontId="6" numFmtId="0" xfId="0" applyBorder="1" applyFont="1"/>
    <xf borderId="4" fillId="10" fontId="6" numFmtId="165" xfId="0" applyBorder="1" applyFont="1" applyNumberFormat="1"/>
    <xf borderId="14" fillId="10" fontId="6" numFmtId="165" xfId="0" applyBorder="1" applyFont="1" applyNumberFormat="1"/>
    <xf borderId="7" fillId="11" fontId="6" numFmtId="0" xfId="0" applyAlignment="1" applyBorder="1" applyFill="1" applyFont="1">
      <alignment horizontal="right"/>
    </xf>
    <xf borderId="7" fillId="11" fontId="6" numFmtId="14" xfId="0" applyBorder="1" applyFont="1" applyNumberFormat="1"/>
    <xf borderId="7" fillId="11" fontId="6" numFmtId="0" xfId="0" applyBorder="1" applyFont="1"/>
    <xf borderId="8" fillId="11" fontId="6" numFmtId="0" xfId="0" applyBorder="1" applyFont="1"/>
    <xf borderId="9" fillId="11" fontId="6" numFmtId="0" xfId="0" applyAlignment="1" applyBorder="1" applyFont="1">
      <alignment readingOrder="0"/>
    </xf>
    <xf borderId="0" fillId="11" fontId="6" numFmtId="0" xfId="0" applyAlignment="1" applyFont="1">
      <alignment readingOrder="0"/>
    </xf>
    <xf borderId="9" fillId="11" fontId="6" numFmtId="0" xfId="0" applyBorder="1" applyFont="1"/>
    <xf borderId="0" fillId="11" fontId="6" numFmtId="0" xfId="0" applyFont="1"/>
    <xf borderId="10" fillId="11" fontId="6" numFmtId="165" xfId="0" applyBorder="1" applyFont="1" applyNumberFormat="1"/>
    <xf borderId="8" fillId="11" fontId="6" numFmtId="165" xfId="0" applyBorder="1" applyFont="1" applyNumberFormat="1"/>
    <xf borderId="12" fillId="11" fontId="6" numFmtId="0" xfId="0" applyAlignment="1" applyBorder="1" applyFont="1">
      <alignment horizontal="right"/>
    </xf>
    <xf borderId="12" fillId="11" fontId="6" numFmtId="14" xfId="0" applyBorder="1" applyFont="1" applyNumberFormat="1"/>
    <xf borderId="12" fillId="11" fontId="6" numFmtId="0" xfId="0" applyBorder="1" applyFont="1"/>
    <xf borderId="11" fillId="11" fontId="6" numFmtId="0" xfId="0" applyAlignment="1" applyBorder="1" applyFont="1">
      <alignment readingOrder="0"/>
    </xf>
    <xf borderId="11" fillId="11" fontId="6" numFmtId="0" xfId="0" applyBorder="1" applyFont="1"/>
    <xf borderId="9" fillId="11" fontId="6" numFmtId="165" xfId="0" applyBorder="1" applyFont="1" applyNumberFormat="1"/>
    <xf borderId="11" fillId="11" fontId="6" numFmtId="165" xfId="0" applyBorder="1" applyFont="1" applyNumberFormat="1"/>
    <xf borderId="13" fillId="11" fontId="6" numFmtId="0" xfId="0" applyAlignment="1" applyBorder="1" applyFont="1">
      <alignment horizontal="right"/>
    </xf>
    <xf borderId="13" fillId="11" fontId="6" numFmtId="14" xfId="0" applyBorder="1" applyFont="1" applyNumberFormat="1"/>
    <xf borderId="13" fillId="11" fontId="6" numFmtId="0" xfId="0" applyBorder="1" applyFont="1"/>
    <xf borderId="14" fillId="11" fontId="6" numFmtId="0" xfId="0" applyAlignment="1" applyBorder="1" applyFont="1">
      <alignment readingOrder="0"/>
    </xf>
    <xf borderId="14" fillId="11" fontId="6" numFmtId="0" xfId="0" applyBorder="1" applyFont="1"/>
    <xf borderId="4" fillId="11" fontId="6" numFmtId="0" xfId="0" applyAlignment="1" applyBorder="1" applyFont="1">
      <alignment readingOrder="0"/>
    </xf>
    <xf borderId="5" fillId="11" fontId="6" numFmtId="0" xfId="0" applyAlignment="1" applyBorder="1" applyFont="1">
      <alignment readingOrder="0"/>
    </xf>
    <xf borderId="4" fillId="11" fontId="6" numFmtId="0" xfId="0" applyBorder="1" applyFont="1"/>
    <xf borderId="5" fillId="11" fontId="6" numFmtId="0" xfId="0" applyBorder="1" applyFont="1"/>
    <xf borderId="4" fillId="11" fontId="6" numFmtId="165" xfId="0" applyBorder="1" applyFont="1" applyNumberFormat="1"/>
    <xf borderId="14" fillId="11" fontId="6" numFmtId="165" xfId="0" applyBorder="1" applyFont="1" applyNumberFormat="1"/>
    <xf borderId="8" fillId="10" fontId="6" numFmtId="0" xfId="0" applyAlignment="1" applyBorder="1" applyFont="1">
      <alignment readingOrder="0"/>
    </xf>
    <xf borderId="7" fillId="12" fontId="6" numFmtId="0" xfId="0" applyAlignment="1" applyBorder="1" applyFill="1" applyFont="1">
      <alignment horizontal="right"/>
    </xf>
    <xf borderId="7" fillId="12" fontId="6" numFmtId="14" xfId="0" applyBorder="1" applyFont="1" applyNumberFormat="1"/>
    <xf borderId="7" fillId="12" fontId="6" numFmtId="0" xfId="0" applyBorder="1" applyFont="1"/>
    <xf borderId="8" fillId="12" fontId="6" numFmtId="0" xfId="0" applyAlignment="1" applyBorder="1" applyFont="1">
      <alignment readingOrder="0"/>
    </xf>
    <xf borderId="9" fillId="12" fontId="6" numFmtId="0" xfId="0" applyAlignment="1" applyBorder="1" applyFont="1">
      <alignment readingOrder="0"/>
    </xf>
    <xf borderId="0" fillId="12" fontId="6" numFmtId="0" xfId="0" applyAlignment="1" applyFont="1">
      <alignment readingOrder="0"/>
    </xf>
    <xf borderId="9" fillId="12" fontId="6" numFmtId="0" xfId="0" applyBorder="1" applyFont="1"/>
    <xf borderId="0" fillId="12" fontId="6" numFmtId="0" xfId="0" applyFont="1"/>
    <xf borderId="10" fillId="12" fontId="6" numFmtId="165" xfId="0" applyBorder="1" applyFont="1" applyNumberFormat="1"/>
    <xf borderId="8" fillId="12" fontId="6" numFmtId="165" xfId="0" applyBorder="1" applyFont="1" applyNumberFormat="1"/>
    <xf borderId="12" fillId="12" fontId="6" numFmtId="0" xfId="0" applyAlignment="1" applyBorder="1" applyFont="1">
      <alignment horizontal="right"/>
    </xf>
    <xf borderId="12" fillId="12" fontId="6" numFmtId="14" xfId="0" applyBorder="1" applyFont="1" applyNumberFormat="1"/>
    <xf borderId="12" fillId="12" fontId="6" numFmtId="0" xfId="0" applyBorder="1" applyFont="1"/>
    <xf borderId="11" fillId="12" fontId="6" numFmtId="0" xfId="0" applyAlignment="1" applyBorder="1" applyFont="1">
      <alignment readingOrder="0"/>
    </xf>
    <xf borderId="11" fillId="12" fontId="6" numFmtId="0" xfId="0" applyBorder="1" applyFont="1"/>
    <xf borderId="9" fillId="12" fontId="6" numFmtId="165" xfId="0" applyBorder="1" applyFont="1" applyNumberFormat="1"/>
    <xf borderId="11" fillId="12" fontId="6" numFmtId="165" xfId="0" applyBorder="1" applyFont="1" applyNumberFormat="1"/>
    <xf borderId="13" fillId="12" fontId="6" numFmtId="0" xfId="0" applyAlignment="1" applyBorder="1" applyFont="1">
      <alignment horizontal="right"/>
    </xf>
    <xf borderId="13" fillId="12" fontId="6" numFmtId="14" xfId="0" applyBorder="1" applyFont="1" applyNumberFormat="1"/>
    <xf borderId="13" fillId="12" fontId="6" numFmtId="0" xfId="0" applyBorder="1" applyFont="1"/>
    <xf borderId="14" fillId="12" fontId="6" numFmtId="0" xfId="0" applyBorder="1" applyFont="1"/>
    <xf borderId="4" fillId="12" fontId="6" numFmtId="0" xfId="0" applyAlignment="1" applyBorder="1" applyFont="1">
      <alignment readingOrder="0"/>
    </xf>
    <xf borderId="5" fillId="12" fontId="6" numFmtId="0" xfId="0" applyAlignment="1" applyBorder="1" applyFont="1">
      <alignment readingOrder="0"/>
    </xf>
    <xf borderId="4" fillId="12" fontId="6" numFmtId="0" xfId="0" applyBorder="1" applyFont="1"/>
    <xf borderId="5" fillId="12" fontId="6" numFmtId="0" xfId="0" applyBorder="1" applyFont="1"/>
    <xf borderId="4" fillId="12" fontId="6" numFmtId="165" xfId="0" applyBorder="1" applyFont="1" applyNumberFormat="1"/>
    <xf borderId="14" fillId="12" fontId="6" numFmtId="165" xfId="0" applyBorder="1" applyFont="1" applyNumberFormat="1"/>
    <xf borderId="11" fillId="10" fontId="6" numFmtId="0" xfId="0" applyAlignment="1" applyBorder="1" applyFont="1">
      <alignment readingOrder="0"/>
    </xf>
    <xf borderId="14" fillId="10" fontId="6" numFmtId="0" xfId="0" applyAlignment="1" applyBorder="1" applyFont="1">
      <alignment readingOrder="0"/>
    </xf>
    <xf borderId="4" fillId="10" fontId="6" numFmtId="0" xfId="0" applyAlignment="1" applyBorder="1" applyFont="1">
      <alignment readingOrder="0"/>
    </xf>
    <xf borderId="8" fillId="12" fontId="6" numFmtId="0" xfId="0" applyBorder="1" applyFont="1"/>
    <xf borderId="32" fillId="0" fontId="2" numFmtId="0" xfId="0" applyBorder="1" applyFont="1"/>
    <xf borderId="3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2024/Budget%20vs%20Actual%20(2024)%20JL%20(12.15.23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itchfix Total"/>
      <sheetName val="COGS per Meal"/>
      <sheetName val="PFS - REDS"/>
      <sheetName val="PFS - TXR-AZ"/>
      <sheetName val="PFS - TBJ"/>
      <sheetName val="PFS - TBJ-BUF"/>
      <sheetName val="PFS - TBR"/>
      <sheetName val="PFS - TXR"/>
      <sheetName val="PFS - TXR-VISTOR"/>
      <sheetName val="1731"/>
      <sheetName val="CORP"/>
      <sheetName val="REDS - Data"/>
      <sheetName val="TXR-AZ - Data"/>
      <sheetName val="TBJ - Data"/>
      <sheetName val="BUF - Data"/>
      <sheetName val="TBR - Data"/>
      <sheetName val="TXR-TX - Data"/>
      <sheetName val="1731 - Data"/>
      <sheetName val="CORP - Data"/>
      <sheetName val="Travel - 2024"/>
      <sheetName val="PFS - New Busin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6" width="3.67"/>
    <col customWidth="1" min="17" max="17" width="10.78"/>
    <col customWidth="1" min="18" max="19" width="8.0"/>
    <col customWidth="1" min="20" max="20" width="11.44"/>
    <col customWidth="1" min="21" max="21" width="8.0"/>
    <col customWidth="1" min="22" max="24" width="11.11"/>
    <col customWidth="1" min="25" max="25" width="11.44"/>
    <col customWidth="1" min="26" max="37" width="11.11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6"/>
      <c r="S1" s="6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130.5" customHeight="1">
      <c r="A2" s="8" t="s">
        <v>3</v>
      </c>
      <c r="B2" s="9" t="s">
        <v>4</v>
      </c>
      <c r="C2" s="9" t="s">
        <v>5</v>
      </c>
      <c r="D2" s="9" t="s">
        <v>6</v>
      </c>
      <c r="E2" s="10" t="s">
        <v>7</v>
      </c>
      <c r="F2" s="9" t="s">
        <v>8</v>
      </c>
      <c r="G2" s="11" t="s">
        <v>9</v>
      </c>
      <c r="H2" s="12">
        <v>24.98</v>
      </c>
      <c r="I2" s="11" t="s">
        <v>10</v>
      </c>
      <c r="J2" s="12">
        <v>24.98</v>
      </c>
      <c r="K2" s="11" t="s">
        <v>11</v>
      </c>
      <c r="L2" s="12">
        <v>24.98</v>
      </c>
      <c r="M2" s="11" t="s">
        <v>12</v>
      </c>
      <c r="N2" s="12">
        <v>24.98</v>
      </c>
      <c r="O2" s="11" t="s">
        <v>13</v>
      </c>
      <c r="P2" s="12">
        <v>8.32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18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15.75" customHeight="1">
      <c r="A3" s="14" t="s">
        <v>19</v>
      </c>
      <c r="B3" s="15">
        <v>45656.0</v>
      </c>
      <c r="C3" s="16">
        <v>1.0</v>
      </c>
      <c r="D3" s="16" t="s">
        <v>20</v>
      </c>
      <c r="E3" s="17"/>
      <c r="F3" s="17"/>
      <c r="G3" s="18"/>
      <c r="I3" s="19"/>
      <c r="K3" s="19"/>
      <c r="M3" s="19"/>
      <c r="O3" s="19"/>
      <c r="Q3" s="20">
        <f t="shared" ref="Q3:Q359" si="1">(G3*H$2)+(I3*J$2)+(K3*L$2)+(M3*N$2)+(O3*P$2)</f>
        <v>0</v>
      </c>
      <c r="R3" s="16">
        <f t="shared" ref="R3:R359" si="2">SUM(G3:N3)</f>
        <v>0</v>
      </c>
      <c r="S3" s="16">
        <f t="shared" ref="S3:S359" si="3">SUM(O3:P3)</f>
        <v>0</v>
      </c>
      <c r="T3" s="16">
        <f t="shared" ref="T3:T359" si="4">SUM(G3:P3)</f>
        <v>0</v>
      </c>
      <c r="U3" s="21">
        <f t="shared" ref="U3:U359" si="5">IFERROR(Q3/T3,0)</f>
        <v>0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15.75" customHeight="1">
      <c r="A4" s="22" t="s">
        <v>21</v>
      </c>
      <c r="B4" s="23">
        <f t="shared" ref="B4:B359" si="6">B3+1</f>
        <v>45657</v>
      </c>
      <c r="C4" s="24">
        <v>1.0</v>
      </c>
      <c r="D4" s="24" t="s">
        <v>20</v>
      </c>
      <c r="E4" s="21"/>
      <c r="F4" s="21"/>
      <c r="G4" s="18"/>
      <c r="I4" s="19"/>
      <c r="K4" s="19"/>
      <c r="M4" s="19"/>
      <c r="O4" s="19"/>
      <c r="Q4" s="25">
        <f t="shared" si="1"/>
        <v>0</v>
      </c>
      <c r="R4" s="24">
        <f t="shared" si="2"/>
        <v>0</v>
      </c>
      <c r="S4" s="24">
        <f t="shared" si="3"/>
        <v>0</v>
      </c>
      <c r="T4" s="24">
        <f t="shared" si="4"/>
        <v>0</v>
      </c>
      <c r="U4" s="26">
        <f t="shared" si="5"/>
        <v>0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15.75" customHeight="1">
      <c r="A5" s="22" t="s">
        <v>22</v>
      </c>
      <c r="B5" s="23">
        <f t="shared" si="6"/>
        <v>45658</v>
      </c>
      <c r="C5" s="24">
        <v>1.0</v>
      </c>
      <c r="D5" s="24" t="s">
        <v>20</v>
      </c>
      <c r="E5" s="21"/>
      <c r="F5" s="21"/>
      <c r="G5" s="18"/>
      <c r="I5" s="19"/>
      <c r="K5" s="19"/>
      <c r="M5" s="19"/>
      <c r="O5" s="19"/>
      <c r="Q5" s="25">
        <f t="shared" si="1"/>
        <v>0</v>
      </c>
      <c r="R5" s="24">
        <f t="shared" si="2"/>
        <v>0</v>
      </c>
      <c r="S5" s="24">
        <f t="shared" si="3"/>
        <v>0</v>
      </c>
      <c r="T5" s="24">
        <f t="shared" si="4"/>
        <v>0</v>
      </c>
      <c r="U5" s="26">
        <f t="shared" si="5"/>
        <v>0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15.75" customHeight="1">
      <c r="A6" s="22" t="s">
        <v>23</v>
      </c>
      <c r="B6" s="23">
        <f t="shared" si="6"/>
        <v>45659</v>
      </c>
      <c r="C6" s="24">
        <v>1.0</v>
      </c>
      <c r="D6" s="24" t="s">
        <v>20</v>
      </c>
      <c r="E6" s="21"/>
      <c r="F6" s="21"/>
      <c r="G6" s="18"/>
      <c r="I6" s="19"/>
      <c r="K6" s="19"/>
      <c r="M6" s="19"/>
      <c r="O6" s="19"/>
      <c r="Q6" s="25">
        <f t="shared" si="1"/>
        <v>0</v>
      </c>
      <c r="R6" s="24">
        <f t="shared" si="2"/>
        <v>0</v>
      </c>
      <c r="S6" s="24">
        <f t="shared" si="3"/>
        <v>0</v>
      </c>
      <c r="T6" s="24">
        <f t="shared" si="4"/>
        <v>0</v>
      </c>
      <c r="U6" s="26">
        <f t="shared" si="5"/>
        <v>0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15.75" customHeight="1">
      <c r="A7" s="22" t="s">
        <v>24</v>
      </c>
      <c r="B7" s="23">
        <f t="shared" si="6"/>
        <v>45660</v>
      </c>
      <c r="C7" s="24">
        <v>1.0</v>
      </c>
      <c r="D7" s="24" t="s">
        <v>20</v>
      </c>
      <c r="E7" s="21"/>
      <c r="F7" s="21"/>
      <c r="G7" s="18"/>
      <c r="I7" s="19"/>
      <c r="K7" s="19"/>
      <c r="M7" s="19"/>
      <c r="O7" s="19"/>
      <c r="Q7" s="25">
        <f t="shared" si="1"/>
        <v>0</v>
      </c>
      <c r="R7" s="24">
        <f t="shared" si="2"/>
        <v>0</v>
      </c>
      <c r="S7" s="24">
        <f t="shared" si="3"/>
        <v>0</v>
      </c>
      <c r="T7" s="24">
        <f t="shared" si="4"/>
        <v>0</v>
      </c>
      <c r="U7" s="26">
        <f t="shared" si="5"/>
        <v>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15.75" customHeight="1">
      <c r="A8" s="22" t="s">
        <v>25</v>
      </c>
      <c r="B8" s="23">
        <f t="shared" si="6"/>
        <v>45661</v>
      </c>
      <c r="C8" s="24">
        <v>1.0</v>
      </c>
      <c r="D8" s="24" t="s">
        <v>20</v>
      </c>
      <c r="E8" s="21"/>
      <c r="F8" s="21"/>
      <c r="G8" s="18"/>
      <c r="I8" s="19"/>
      <c r="K8" s="19"/>
      <c r="M8" s="19"/>
      <c r="O8" s="19"/>
      <c r="Q8" s="25">
        <f t="shared" si="1"/>
        <v>0</v>
      </c>
      <c r="R8" s="24">
        <f t="shared" si="2"/>
        <v>0</v>
      </c>
      <c r="S8" s="24">
        <f t="shared" si="3"/>
        <v>0</v>
      </c>
      <c r="T8" s="24">
        <f t="shared" si="4"/>
        <v>0</v>
      </c>
      <c r="U8" s="26">
        <f t="shared" si="5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15.75" customHeight="1">
      <c r="A9" s="27" t="s">
        <v>26</v>
      </c>
      <c r="B9" s="28">
        <f t="shared" si="6"/>
        <v>45662</v>
      </c>
      <c r="C9" s="29">
        <v>1.0</v>
      </c>
      <c r="D9" s="29" t="s">
        <v>20</v>
      </c>
      <c r="E9" s="30"/>
      <c r="F9" s="30"/>
      <c r="G9" s="31"/>
      <c r="H9" s="6"/>
      <c r="I9" s="32"/>
      <c r="J9" s="6"/>
      <c r="K9" s="32"/>
      <c r="L9" s="6"/>
      <c r="M9" s="32"/>
      <c r="N9" s="6"/>
      <c r="O9" s="32"/>
      <c r="P9" s="6"/>
      <c r="Q9" s="33">
        <f t="shared" si="1"/>
        <v>0</v>
      </c>
      <c r="R9" s="29">
        <f t="shared" si="2"/>
        <v>0</v>
      </c>
      <c r="S9" s="29">
        <f t="shared" si="3"/>
        <v>0</v>
      </c>
      <c r="T9" s="29">
        <f t="shared" si="4"/>
        <v>0</v>
      </c>
      <c r="U9" s="34">
        <f t="shared" si="5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15.75" customHeight="1">
      <c r="A10" s="14" t="s">
        <v>19</v>
      </c>
      <c r="B10" s="35">
        <f t="shared" si="6"/>
        <v>45663</v>
      </c>
      <c r="C10" s="16">
        <v>1.0</v>
      </c>
      <c r="D10" s="16" t="s">
        <v>27</v>
      </c>
      <c r="E10" s="17"/>
      <c r="F10" s="17"/>
      <c r="G10" s="18"/>
      <c r="I10" s="19"/>
      <c r="K10" s="19"/>
      <c r="M10" s="19"/>
      <c r="O10" s="19"/>
      <c r="Q10" s="20">
        <f t="shared" si="1"/>
        <v>0</v>
      </c>
      <c r="R10" s="16">
        <f t="shared" si="2"/>
        <v>0</v>
      </c>
      <c r="S10" s="16">
        <f t="shared" si="3"/>
        <v>0</v>
      </c>
      <c r="T10" s="16">
        <f t="shared" si="4"/>
        <v>0</v>
      </c>
      <c r="U10" s="36">
        <f t="shared" si="5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15.75" customHeight="1">
      <c r="A11" s="22" t="s">
        <v>21</v>
      </c>
      <c r="B11" s="23">
        <f t="shared" si="6"/>
        <v>45664</v>
      </c>
      <c r="C11" s="24">
        <v>1.0</v>
      </c>
      <c r="D11" s="24" t="s">
        <v>27</v>
      </c>
      <c r="E11" s="21"/>
      <c r="F11" s="21"/>
      <c r="G11" s="18"/>
      <c r="I11" s="19"/>
      <c r="K11" s="19"/>
      <c r="M11" s="19"/>
      <c r="O11" s="19"/>
      <c r="Q11" s="25">
        <f t="shared" si="1"/>
        <v>0</v>
      </c>
      <c r="R11" s="24">
        <f t="shared" si="2"/>
        <v>0</v>
      </c>
      <c r="S11" s="24">
        <f t="shared" si="3"/>
        <v>0</v>
      </c>
      <c r="T11" s="24">
        <f t="shared" si="4"/>
        <v>0</v>
      </c>
      <c r="U11" s="26">
        <f t="shared" si="5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15.75" customHeight="1">
      <c r="A12" s="22" t="s">
        <v>22</v>
      </c>
      <c r="B12" s="23">
        <f t="shared" si="6"/>
        <v>45665</v>
      </c>
      <c r="C12" s="24">
        <v>1.0</v>
      </c>
      <c r="D12" s="24" t="s">
        <v>27</v>
      </c>
      <c r="E12" s="21"/>
      <c r="F12" s="21"/>
      <c r="G12" s="18"/>
      <c r="I12" s="19"/>
      <c r="K12" s="19"/>
      <c r="M12" s="19"/>
      <c r="O12" s="19"/>
      <c r="Q12" s="25">
        <f t="shared" si="1"/>
        <v>0</v>
      </c>
      <c r="R12" s="24">
        <f t="shared" si="2"/>
        <v>0</v>
      </c>
      <c r="S12" s="24">
        <f t="shared" si="3"/>
        <v>0</v>
      </c>
      <c r="T12" s="24">
        <f t="shared" si="4"/>
        <v>0</v>
      </c>
      <c r="U12" s="26">
        <f t="shared" si="5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15.75" customHeight="1">
      <c r="A13" s="22" t="s">
        <v>23</v>
      </c>
      <c r="B13" s="23">
        <f t="shared" si="6"/>
        <v>45666</v>
      </c>
      <c r="C13" s="24">
        <v>1.0</v>
      </c>
      <c r="D13" s="24" t="s">
        <v>27</v>
      </c>
      <c r="E13" s="21"/>
      <c r="F13" s="21"/>
      <c r="G13" s="18"/>
      <c r="I13" s="19"/>
      <c r="K13" s="19"/>
      <c r="M13" s="19"/>
      <c r="O13" s="19"/>
      <c r="Q13" s="25">
        <f t="shared" si="1"/>
        <v>0</v>
      </c>
      <c r="R13" s="24">
        <f t="shared" si="2"/>
        <v>0</v>
      </c>
      <c r="S13" s="24">
        <f t="shared" si="3"/>
        <v>0</v>
      </c>
      <c r="T13" s="24">
        <f t="shared" si="4"/>
        <v>0</v>
      </c>
      <c r="U13" s="26">
        <f t="shared" si="5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15.75" customHeight="1">
      <c r="A14" s="22" t="s">
        <v>24</v>
      </c>
      <c r="B14" s="23">
        <f t="shared" si="6"/>
        <v>45667</v>
      </c>
      <c r="C14" s="24">
        <v>1.0</v>
      </c>
      <c r="D14" s="24" t="s">
        <v>27</v>
      </c>
      <c r="E14" s="21"/>
      <c r="F14" s="21"/>
      <c r="G14" s="18"/>
      <c r="I14" s="19"/>
      <c r="K14" s="19"/>
      <c r="M14" s="19"/>
      <c r="O14" s="19"/>
      <c r="Q14" s="25">
        <f t="shared" si="1"/>
        <v>0</v>
      </c>
      <c r="R14" s="24">
        <f t="shared" si="2"/>
        <v>0</v>
      </c>
      <c r="S14" s="24">
        <f t="shared" si="3"/>
        <v>0</v>
      </c>
      <c r="T14" s="24">
        <f t="shared" si="4"/>
        <v>0</v>
      </c>
      <c r="U14" s="26">
        <f t="shared" si="5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15.75" customHeight="1">
      <c r="A15" s="22" t="s">
        <v>25</v>
      </c>
      <c r="B15" s="23">
        <f t="shared" si="6"/>
        <v>45668</v>
      </c>
      <c r="C15" s="24">
        <v>1.0</v>
      </c>
      <c r="D15" s="24" t="s">
        <v>27</v>
      </c>
      <c r="E15" s="21"/>
      <c r="F15" s="21"/>
      <c r="G15" s="18"/>
      <c r="I15" s="19"/>
      <c r="K15" s="19"/>
      <c r="M15" s="19"/>
      <c r="O15" s="19"/>
      <c r="Q15" s="25">
        <f t="shared" si="1"/>
        <v>0</v>
      </c>
      <c r="R15" s="24">
        <f t="shared" si="2"/>
        <v>0</v>
      </c>
      <c r="S15" s="24">
        <f t="shared" si="3"/>
        <v>0</v>
      </c>
      <c r="T15" s="24">
        <f t="shared" si="4"/>
        <v>0</v>
      </c>
      <c r="U15" s="26">
        <f t="shared" si="5"/>
        <v>0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15.75" customHeight="1">
      <c r="A16" s="27" t="s">
        <v>26</v>
      </c>
      <c r="B16" s="28">
        <f t="shared" si="6"/>
        <v>45669</v>
      </c>
      <c r="C16" s="29">
        <v>1.0</v>
      </c>
      <c r="D16" s="29" t="s">
        <v>27</v>
      </c>
      <c r="E16" s="30"/>
      <c r="F16" s="30"/>
      <c r="G16" s="31"/>
      <c r="H16" s="6"/>
      <c r="I16" s="32"/>
      <c r="J16" s="6"/>
      <c r="K16" s="32"/>
      <c r="L16" s="6"/>
      <c r="M16" s="32"/>
      <c r="N16" s="6"/>
      <c r="O16" s="32"/>
      <c r="P16" s="6"/>
      <c r="Q16" s="33">
        <f t="shared" si="1"/>
        <v>0</v>
      </c>
      <c r="R16" s="29">
        <f t="shared" si="2"/>
        <v>0</v>
      </c>
      <c r="S16" s="29">
        <f t="shared" si="3"/>
        <v>0</v>
      </c>
      <c r="T16" s="29">
        <f t="shared" si="4"/>
        <v>0</v>
      </c>
      <c r="U16" s="34">
        <f t="shared" si="5"/>
        <v>0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15.75" customHeight="1">
      <c r="A17" s="14" t="s">
        <v>19</v>
      </c>
      <c r="B17" s="35">
        <f t="shared" si="6"/>
        <v>45670</v>
      </c>
      <c r="C17" s="16">
        <v>1.0</v>
      </c>
      <c r="D17" s="16" t="s">
        <v>28</v>
      </c>
      <c r="E17" s="17"/>
      <c r="F17" s="17"/>
      <c r="G17" s="18"/>
      <c r="I17" s="19"/>
      <c r="K17" s="19"/>
      <c r="M17" s="19"/>
      <c r="O17" s="19"/>
      <c r="Q17" s="20">
        <f t="shared" si="1"/>
        <v>0</v>
      </c>
      <c r="R17" s="16">
        <f t="shared" si="2"/>
        <v>0</v>
      </c>
      <c r="S17" s="16">
        <f t="shared" si="3"/>
        <v>0</v>
      </c>
      <c r="T17" s="16">
        <f t="shared" si="4"/>
        <v>0</v>
      </c>
      <c r="U17" s="36">
        <f t="shared" si="5"/>
        <v>0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15.75" customHeight="1">
      <c r="A18" s="22" t="s">
        <v>21</v>
      </c>
      <c r="B18" s="23">
        <f t="shared" si="6"/>
        <v>45671</v>
      </c>
      <c r="C18" s="24">
        <v>1.0</v>
      </c>
      <c r="D18" s="24" t="s">
        <v>28</v>
      </c>
      <c r="E18" s="21"/>
      <c r="F18" s="21"/>
      <c r="G18" s="18"/>
      <c r="I18" s="19"/>
      <c r="K18" s="19"/>
      <c r="M18" s="19"/>
      <c r="O18" s="19"/>
      <c r="Q18" s="25">
        <f t="shared" si="1"/>
        <v>0</v>
      </c>
      <c r="R18" s="24">
        <f t="shared" si="2"/>
        <v>0</v>
      </c>
      <c r="S18" s="24">
        <f t="shared" si="3"/>
        <v>0</v>
      </c>
      <c r="T18" s="24">
        <f t="shared" si="4"/>
        <v>0</v>
      </c>
      <c r="U18" s="26">
        <f t="shared" si="5"/>
        <v>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15.75" customHeight="1">
      <c r="A19" s="22" t="s">
        <v>22</v>
      </c>
      <c r="B19" s="23">
        <f t="shared" si="6"/>
        <v>45672</v>
      </c>
      <c r="C19" s="24">
        <v>1.0</v>
      </c>
      <c r="D19" s="24" t="s">
        <v>28</v>
      </c>
      <c r="E19" s="21"/>
      <c r="F19" s="21"/>
      <c r="G19" s="18"/>
      <c r="I19" s="19"/>
      <c r="K19" s="19"/>
      <c r="M19" s="19"/>
      <c r="O19" s="19"/>
      <c r="Q19" s="25">
        <f t="shared" si="1"/>
        <v>0</v>
      </c>
      <c r="R19" s="24">
        <f t="shared" si="2"/>
        <v>0</v>
      </c>
      <c r="S19" s="24">
        <f t="shared" si="3"/>
        <v>0</v>
      </c>
      <c r="T19" s="24">
        <f t="shared" si="4"/>
        <v>0</v>
      </c>
      <c r="U19" s="26">
        <f t="shared" si="5"/>
        <v>0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15.75" customHeight="1">
      <c r="A20" s="22" t="s">
        <v>23</v>
      </c>
      <c r="B20" s="23">
        <f t="shared" si="6"/>
        <v>45673</v>
      </c>
      <c r="C20" s="24">
        <v>1.0</v>
      </c>
      <c r="D20" s="24" t="s">
        <v>28</v>
      </c>
      <c r="E20" s="21"/>
      <c r="F20" s="21"/>
      <c r="G20" s="18"/>
      <c r="I20" s="19"/>
      <c r="K20" s="19"/>
      <c r="M20" s="19"/>
      <c r="O20" s="19"/>
      <c r="Q20" s="25">
        <f t="shared" si="1"/>
        <v>0</v>
      </c>
      <c r="R20" s="24">
        <f t="shared" si="2"/>
        <v>0</v>
      </c>
      <c r="S20" s="24">
        <f t="shared" si="3"/>
        <v>0</v>
      </c>
      <c r="T20" s="24">
        <f t="shared" si="4"/>
        <v>0</v>
      </c>
      <c r="U20" s="26">
        <f t="shared" si="5"/>
        <v>0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22" t="s">
        <v>24</v>
      </c>
      <c r="B21" s="23">
        <f t="shared" si="6"/>
        <v>45674</v>
      </c>
      <c r="C21" s="24">
        <v>1.0</v>
      </c>
      <c r="D21" s="24" t="s">
        <v>28</v>
      </c>
      <c r="E21" s="21"/>
      <c r="F21" s="21"/>
      <c r="G21" s="18"/>
      <c r="I21" s="19"/>
      <c r="K21" s="19"/>
      <c r="M21" s="19"/>
      <c r="O21" s="19"/>
      <c r="Q21" s="25">
        <f t="shared" si="1"/>
        <v>0</v>
      </c>
      <c r="R21" s="24">
        <f t="shared" si="2"/>
        <v>0</v>
      </c>
      <c r="S21" s="24">
        <f t="shared" si="3"/>
        <v>0</v>
      </c>
      <c r="T21" s="24">
        <f t="shared" si="4"/>
        <v>0</v>
      </c>
      <c r="U21" s="26">
        <f t="shared" si="5"/>
        <v>0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22" t="s">
        <v>25</v>
      </c>
      <c r="B22" s="23">
        <f t="shared" si="6"/>
        <v>45675</v>
      </c>
      <c r="C22" s="24">
        <v>1.0</v>
      </c>
      <c r="D22" s="24" t="s">
        <v>28</v>
      </c>
      <c r="E22" s="21"/>
      <c r="F22" s="21"/>
      <c r="G22" s="18"/>
      <c r="I22" s="19"/>
      <c r="K22" s="19"/>
      <c r="M22" s="19"/>
      <c r="O22" s="19"/>
      <c r="Q22" s="25">
        <f t="shared" si="1"/>
        <v>0</v>
      </c>
      <c r="R22" s="24">
        <f t="shared" si="2"/>
        <v>0</v>
      </c>
      <c r="S22" s="24">
        <f t="shared" si="3"/>
        <v>0</v>
      </c>
      <c r="T22" s="24">
        <f t="shared" si="4"/>
        <v>0</v>
      </c>
      <c r="U22" s="26">
        <f t="shared" si="5"/>
        <v>0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27" t="s">
        <v>26</v>
      </c>
      <c r="B23" s="28">
        <f t="shared" si="6"/>
        <v>45676</v>
      </c>
      <c r="C23" s="29">
        <v>1.0</v>
      </c>
      <c r="D23" s="29" t="s">
        <v>28</v>
      </c>
      <c r="E23" s="30"/>
      <c r="F23" s="30"/>
      <c r="G23" s="31"/>
      <c r="H23" s="6"/>
      <c r="I23" s="32"/>
      <c r="J23" s="6"/>
      <c r="K23" s="32"/>
      <c r="L23" s="6"/>
      <c r="M23" s="32"/>
      <c r="N23" s="6"/>
      <c r="O23" s="32"/>
      <c r="P23" s="6"/>
      <c r="Q23" s="33">
        <f t="shared" si="1"/>
        <v>0</v>
      </c>
      <c r="R23" s="29">
        <f t="shared" si="2"/>
        <v>0</v>
      </c>
      <c r="S23" s="29">
        <f t="shared" si="3"/>
        <v>0</v>
      </c>
      <c r="T23" s="29">
        <f t="shared" si="4"/>
        <v>0</v>
      </c>
      <c r="U23" s="34">
        <f t="shared" si="5"/>
        <v>0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14" t="s">
        <v>19</v>
      </c>
      <c r="B24" s="35">
        <f t="shared" si="6"/>
        <v>45677</v>
      </c>
      <c r="C24" s="16">
        <v>1.0</v>
      </c>
      <c r="D24" s="16" t="s">
        <v>29</v>
      </c>
      <c r="E24" s="17"/>
      <c r="F24" s="17"/>
      <c r="G24" s="18"/>
      <c r="I24" s="19"/>
      <c r="K24" s="19"/>
      <c r="M24" s="19"/>
      <c r="O24" s="19"/>
      <c r="Q24" s="20">
        <f t="shared" si="1"/>
        <v>0</v>
      </c>
      <c r="R24" s="16">
        <f t="shared" si="2"/>
        <v>0</v>
      </c>
      <c r="S24" s="16">
        <f t="shared" si="3"/>
        <v>0</v>
      </c>
      <c r="T24" s="16">
        <f t="shared" si="4"/>
        <v>0</v>
      </c>
      <c r="U24" s="36">
        <f t="shared" si="5"/>
        <v>0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22" t="s">
        <v>21</v>
      </c>
      <c r="B25" s="23">
        <f t="shared" si="6"/>
        <v>45678</v>
      </c>
      <c r="C25" s="24">
        <v>1.0</v>
      </c>
      <c r="D25" s="24" t="s">
        <v>29</v>
      </c>
      <c r="E25" s="21"/>
      <c r="F25" s="21"/>
      <c r="G25" s="18"/>
      <c r="I25" s="19"/>
      <c r="K25" s="19"/>
      <c r="M25" s="19"/>
      <c r="O25" s="19"/>
      <c r="Q25" s="25">
        <f t="shared" si="1"/>
        <v>0</v>
      </c>
      <c r="R25" s="24">
        <f t="shared" si="2"/>
        <v>0</v>
      </c>
      <c r="S25" s="24">
        <f t="shared" si="3"/>
        <v>0</v>
      </c>
      <c r="T25" s="24">
        <f t="shared" si="4"/>
        <v>0</v>
      </c>
      <c r="U25" s="26">
        <f t="shared" si="5"/>
        <v>0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22" t="s">
        <v>22</v>
      </c>
      <c r="B26" s="23">
        <f t="shared" si="6"/>
        <v>45679</v>
      </c>
      <c r="C26" s="24">
        <v>1.0</v>
      </c>
      <c r="D26" s="24" t="s">
        <v>29</v>
      </c>
      <c r="E26" s="21"/>
      <c r="F26" s="21"/>
      <c r="G26" s="18"/>
      <c r="I26" s="19"/>
      <c r="K26" s="19"/>
      <c r="M26" s="19"/>
      <c r="O26" s="19"/>
      <c r="Q26" s="25">
        <f t="shared" si="1"/>
        <v>0</v>
      </c>
      <c r="R26" s="24">
        <f t="shared" si="2"/>
        <v>0</v>
      </c>
      <c r="S26" s="24">
        <f t="shared" si="3"/>
        <v>0</v>
      </c>
      <c r="T26" s="24">
        <f t="shared" si="4"/>
        <v>0</v>
      </c>
      <c r="U26" s="26">
        <f t="shared" si="5"/>
        <v>0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22" t="s">
        <v>23</v>
      </c>
      <c r="B27" s="23">
        <f t="shared" si="6"/>
        <v>45680</v>
      </c>
      <c r="C27" s="24">
        <v>1.0</v>
      </c>
      <c r="D27" s="24" t="s">
        <v>29</v>
      </c>
      <c r="E27" s="21"/>
      <c r="F27" s="21"/>
      <c r="G27" s="18"/>
      <c r="I27" s="19"/>
      <c r="K27" s="19"/>
      <c r="M27" s="19"/>
      <c r="O27" s="19"/>
      <c r="Q27" s="25">
        <f t="shared" si="1"/>
        <v>0</v>
      </c>
      <c r="R27" s="24">
        <f t="shared" si="2"/>
        <v>0</v>
      </c>
      <c r="S27" s="24">
        <f t="shared" si="3"/>
        <v>0</v>
      </c>
      <c r="T27" s="24">
        <f t="shared" si="4"/>
        <v>0</v>
      </c>
      <c r="U27" s="26">
        <f t="shared" si="5"/>
        <v>0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22" t="s">
        <v>24</v>
      </c>
      <c r="B28" s="23">
        <f t="shared" si="6"/>
        <v>45681</v>
      </c>
      <c r="C28" s="24">
        <v>1.0</v>
      </c>
      <c r="D28" s="24" t="s">
        <v>29</v>
      </c>
      <c r="E28" s="21"/>
      <c r="F28" s="21"/>
      <c r="G28" s="18"/>
      <c r="I28" s="19"/>
      <c r="K28" s="19"/>
      <c r="M28" s="19"/>
      <c r="O28" s="19"/>
      <c r="Q28" s="25">
        <f t="shared" si="1"/>
        <v>0</v>
      </c>
      <c r="R28" s="24">
        <f t="shared" si="2"/>
        <v>0</v>
      </c>
      <c r="S28" s="24">
        <f t="shared" si="3"/>
        <v>0</v>
      </c>
      <c r="T28" s="24">
        <f t="shared" si="4"/>
        <v>0</v>
      </c>
      <c r="U28" s="26">
        <f t="shared" si="5"/>
        <v>0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22" t="s">
        <v>25</v>
      </c>
      <c r="B29" s="23">
        <f t="shared" si="6"/>
        <v>45682</v>
      </c>
      <c r="C29" s="24">
        <v>1.0</v>
      </c>
      <c r="D29" s="24" t="s">
        <v>29</v>
      </c>
      <c r="E29" s="21"/>
      <c r="F29" s="21"/>
      <c r="G29" s="18"/>
      <c r="I29" s="19"/>
      <c r="K29" s="19"/>
      <c r="M29" s="19"/>
      <c r="O29" s="19"/>
      <c r="Q29" s="25">
        <f t="shared" si="1"/>
        <v>0</v>
      </c>
      <c r="R29" s="24">
        <f t="shared" si="2"/>
        <v>0</v>
      </c>
      <c r="S29" s="24">
        <f t="shared" si="3"/>
        <v>0</v>
      </c>
      <c r="T29" s="24">
        <f t="shared" si="4"/>
        <v>0</v>
      </c>
      <c r="U29" s="26">
        <f t="shared" si="5"/>
        <v>0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27" t="s">
        <v>26</v>
      </c>
      <c r="B30" s="28">
        <f t="shared" si="6"/>
        <v>45683</v>
      </c>
      <c r="C30" s="29">
        <v>1.0</v>
      </c>
      <c r="D30" s="29" t="s">
        <v>29</v>
      </c>
      <c r="E30" s="30"/>
      <c r="F30" s="30"/>
      <c r="G30" s="31"/>
      <c r="H30" s="6"/>
      <c r="I30" s="32"/>
      <c r="J30" s="6"/>
      <c r="K30" s="32"/>
      <c r="L30" s="6"/>
      <c r="M30" s="32"/>
      <c r="N30" s="6"/>
      <c r="O30" s="32"/>
      <c r="P30" s="6"/>
      <c r="Q30" s="33">
        <f t="shared" si="1"/>
        <v>0</v>
      </c>
      <c r="R30" s="29">
        <f t="shared" si="2"/>
        <v>0</v>
      </c>
      <c r="S30" s="29">
        <f t="shared" si="3"/>
        <v>0</v>
      </c>
      <c r="T30" s="29">
        <f t="shared" si="4"/>
        <v>0</v>
      </c>
      <c r="U30" s="34">
        <f t="shared" si="5"/>
        <v>0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14" t="s">
        <v>19</v>
      </c>
      <c r="B31" s="35">
        <f t="shared" si="6"/>
        <v>45684</v>
      </c>
      <c r="C31" s="16">
        <v>2.0</v>
      </c>
      <c r="D31" s="16" t="s">
        <v>20</v>
      </c>
      <c r="E31" s="17"/>
      <c r="F31" s="17"/>
      <c r="G31" s="18"/>
      <c r="I31" s="19"/>
      <c r="K31" s="19"/>
      <c r="M31" s="19"/>
      <c r="O31" s="19"/>
      <c r="Q31" s="20">
        <f t="shared" si="1"/>
        <v>0</v>
      </c>
      <c r="R31" s="16">
        <f t="shared" si="2"/>
        <v>0</v>
      </c>
      <c r="S31" s="16">
        <f t="shared" si="3"/>
        <v>0</v>
      </c>
      <c r="T31" s="16">
        <f t="shared" si="4"/>
        <v>0</v>
      </c>
      <c r="U31" s="36">
        <f t="shared" si="5"/>
        <v>0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22" t="s">
        <v>21</v>
      </c>
      <c r="B32" s="23">
        <f t="shared" si="6"/>
        <v>45685</v>
      </c>
      <c r="C32" s="24">
        <v>2.0</v>
      </c>
      <c r="D32" s="24" t="s">
        <v>20</v>
      </c>
      <c r="E32" s="21"/>
      <c r="F32" s="21"/>
      <c r="G32" s="18"/>
      <c r="I32" s="19"/>
      <c r="K32" s="19"/>
      <c r="M32" s="19"/>
      <c r="O32" s="19"/>
      <c r="Q32" s="25">
        <f t="shared" si="1"/>
        <v>0</v>
      </c>
      <c r="R32" s="24">
        <f t="shared" si="2"/>
        <v>0</v>
      </c>
      <c r="S32" s="24">
        <f t="shared" si="3"/>
        <v>0</v>
      </c>
      <c r="T32" s="24">
        <f t="shared" si="4"/>
        <v>0</v>
      </c>
      <c r="U32" s="26">
        <f t="shared" si="5"/>
        <v>0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22" t="s">
        <v>22</v>
      </c>
      <c r="B33" s="23">
        <f t="shared" si="6"/>
        <v>45686</v>
      </c>
      <c r="C33" s="24">
        <v>2.0</v>
      </c>
      <c r="D33" s="24" t="s">
        <v>20</v>
      </c>
      <c r="E33" s="21"/>
      <c r="F33" s="21"/>
      <c r="G33" s="18"/>
      <c r="I33" s="19"/>
      <c r="K33" s="19"/>
      <c r="M33" s="19"/>
      <c r="O33" s="19"/>
      <c r="Q33" s="25">
        <f t="shared" si="1"/>
        <v>0</v>
      </c>
      <c r="R33" s="24">
        <f t="shared" si="2"/>
        <v>0</v>
      </c>
      <c r="S33" s="24">
        <f t="shared" si="3"/>
        <v>0</v>
      </c>
      <c r="T33" s="24">
        <f t="shared" si="4"/>
        <v>0</v>
      </c>
      <c r="U33" s="26">
        <f t="shared" si="5"/>
        <v>0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22" t="s">
        <v>23</v>
      </c>
      <c r="B34" s="23">
        <f t="shared" si="6"/>
        <v>45687</v>
      </c>
      <c r="C34" s="24">
        <v>2.0</v>
      </c>
      <c r="D34" s="24" t="s">
        <v>20</v>
      </c>
      <c r="E34" s="21"/>
      <c r="F34" s="21"/>
      <c r="G34" s="18"/>
      <c r="I34" s="19"/>
      <c r="K34" s="19"/>
      <c r="M34" s="19"/>
      <c r="O34" s="19"/>
      <c r="Q34" s="25">
        <f t="shared" si="1"/>
        <v>0</v>
      </c>
      <c r="R34" s="24">
        <f t="shared" si="2"/>
        <v>0</v>
      </c>
      <c r="S34" s="24">
        <f t="shared" si="3"/>
        <v>0</v>
      </c>
      <c r="T34" s="24">
        <f t="shared" si="4"/>
        <v>0</v>
      </c>
      <c r="U34" s="26">
        <f t="shared" si="5"/>
        <v>0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22" t="s">
        <v>24</v>
      </c>
      <c r="B35" s="23">
        <f t="shared" si="6"/>
        <v>45688</v>
      </c>
      <c r="C35" s="24">
        <v>2.0</v>
      </c>
      <c r="D35" s="24" t="s">
        <v>20</v>
      </c>
      <c r="E35" s="21"/>
      <c r="F35" s="21"/>
      <c r="G35" s="18"/>
      <c r="I35" s="19"/>
      <c r="K35" s="19"/>
      <c r="M35" s="19"/>
      <c r="O35" s="19"/>
      <c r="Q35" s="25">
        <f t="shared" si="1"/>
        <v>0</v>
      </c>
      <c r="R35" s="24">
        <f t="shared" si="2"/>
        <v>0</v>
      </c>
      <c r="S35" s="24">
        <f t="shared" si="3"/>
        <v>0</v>
      </c>
      <c r="T35" s="24">
        <f t="shared" si="4"/>
        <v>0</v>
      </c>
      <c r="U35" s="26">
        <f t="shared" si="5"/>
        <v>0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22" t="s">
        <v>25</v>
      </c>
      <c r="B36" s="23">
        <f t="shared" si="6"/>
        <v>45689</v>
      </c>
      <c r="C36" s="24">
        <v>2.0</v>
      </c>
      <c r="D36" s="24" t="s">
        <v>20</v>
      </c>
      <c r="E36" s="21"/>
      <c r="F36" s="21"/>
      <c r="G36" s="18"/>
      <c r="I36" s="19"/>
      <c r="K36" s="19"/>
      <c r="M36" s="19"/>
      <c r="O36" s="19"/>
      <c r="Q36" s="25">
        <f t="shared" si="1"/>
        <v>0</v>
      </c>
      <c r="R36" s="24">
        <f t="shared" si="2"/>
        <v>0</v>
      </c>
      <c r="S36" s="24">
        <f t="shared" si="3"/>
        <v>0</v>
      </c>
      <c r="T36" s="24">
        <f t="shared" si="4"/>
        <v>0</v>
      </c>
      <c r="U36" s="26">
        <f t="shared" si="5"/>
        <v>0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27" t="s">
        <v>26</v>
      </c>
      <c r="B37" s="28">
        <f t="shared" si="6"/>
        <v>45690</v>
      </c>
      <c r="C37" s="29">
        <v>2.0</v>
      </c>
      <c r="D37" s="29" t="s">
        <v>20</v>
      </c>
      <c r="E37" s="30"/>
      <c r="F37" s="30"/>
      <c r="G37" s="31"/>
      <c r="H37" s="6"/>
      <c r="I37" s="32"/>
      <c r="J37" s="6"/>
      <c r="K37" s="32"/>
      <c r="L37" s="6"/>
      <c r="M37" s="32"/>
      <c r="N37" s="6"/>
      <c r="O37" s="32"/>
      <c r="P37" s="6"/>
      <c r="Q37" s="33">
        <f t="shared" si="1"/>
        <v>0</v>
      </c>
      <c r="R37" s="29">
        <f t="shared" si="2"/>
        <v>0</v>
      </c>
      <c r="S37" s="29">
        <f t="shared" si="3"/>
        <v>0</v>
      </c>
      <c r="T37" s="29">
        <f t="shared" si="4"/>
        <v>0</v>
      </c>
      <c r="U37" s="34">
        <f t="shared" si="5"/>
        <v>0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14" t="s">
        <v>19</v>
      </c>
      <c r="B38" s="35">
        <f t="shared" si="6"/>
        <v>45691</v>
      </c>
      <c r="C38" s="16">
        <v>2.0</v>
      </c>
      <c r="D38" s="16" t="s">
        <v>27</v>
      </c>
      <c r="E38" s="17"/>
      <c r="F38" s="17"/>
      <c r="G38" s="18"/>
      <c r="I38" s="19"/>
      <c r="K38" s="19"/>
      <c r="M38" s="19"/>
      <c r="O38" s="19"/>
      <c r="Q38" s="20">
        <f t="shared" si="1"/>
        <v>0</v>
      </c>
      <c r="R38" s="16">
        <f t="shared" si="2"/>
        <v>0</v>
      </c>
      <c r="S38" s="16">
        <f t="shared" si="3"/>
        <v>0</v>
      </c>
      <c r="T38" s="16">
        <f t="shared" si="4"/>
        <v>0</v>
      </c>
      <c r="U38" s="36">
        <f t="shared" si="5"/>
        <v>0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22" t="s">
        <v>21</v>
      </c>
      <c r="B39" s="23">
        <f t="shared" si="6"/>
        <v>45692</v>
      </c>
      <c r="C39" s="24">
        <v>2.0</v>
      </c>
      <c r="D39" s="24" t="s">
        <v>27</v>
      </c>
      <c r="E39" s="21"/>
      <c r="F39" s="21"/>
      <c r="G39" s="18"/>
      <c r="I39" s="19"/>
      <c r="K39" s="19"/>
      <c r="M39" s="19"/>
      <c r="O39" s="19"/>
      <c r="Q39" s="25">
        <f t="shared" si="1"/>
        <v>0</v>
      </c>
      <c r="R39" s="24">
        <f t="shared" si="2"/>
        <v>0</v>
      </c>
      <c r="S39" s="24">
        <f t="shared" si="3"/>
        <v>0</v>
      </c>
      <c r="T39" s="24">
        <f t="shared" si="4"/>
        <v>0</v>
      </c>
      <c r="U39" s="26">
        <f t="shared" si="5"/>
        <v>0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22" t="s">
        <v>22</v>
      </c>
      <c r="B40" s="23">
        <f t="shared" si="6"/>
        <v>45693</v>
      </c>
      <c r="C40" s="24">
        <v>2.0</v>
      </c>
      <c r="D40" s="24" t="s">
        <v>27</v>
      </c>
      <c r="E40" s="21"/>
      <c r="F40" s="21"/>
      <c r="G40" s="18"/>
      <c r="I40" s="19"/>
      <c r="K40" s="19"/>
      <c r="M40" s="19"/>
      <c r="O40" s="19"/>
      <c r="Q40" s="25">
        <f t="shared" si="1"/>
        <v>0</v>
      </c>
      <c r="R40" s="24">
        <f t="shared" si="2"/>
        <v>0</v>
      </c>
      <c r="S40" s="24">
        <f t="shared" si="3"/>
        <v>0</v>
      </c>
      <c r="T40" s="24">
        <f t="shared" si="4"/>
        <v>0</v>
      </c>
      <c r="U40" s="26">
        <f t="shared" si="5"/>
        <v>0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22" t="s">
        <v>23</v>
      </c>
      <c r="B41" s="23">
        <f t="shared" si="6"/>
        <v>45694</v>
      </c>
      <c r="C41" s="24">
        <v>2.0</v>
      </c>
      <c r="D41" s="24" t="s">
        <v>27</v>
      </c>
      <c r="E41" s="21"/>
      <c r="F41" s="21"/>
      <c r="G41" s="18"/>
      <c r="I41" s="19"/>
      <c r="K41" s="19"/>
      <c r="M41" s="19"/>
      <c r="O41" s="19"/>
      <c r="Q41" s="25">
        <f t="shared" si="1"/>
        <v>0</v>
      </c>
      <c r="R41" s="24">
        <f t="shared" si="2"/>
        <v>0</v>
      </c>
      <c r="S41" s="24">
        <f t="shared" si="3"/>
        <v>0</v>
      </c>
      <c r="T41" s="24">
        <f t="shared" si="4"/>
        <v>0</v>
      </c>
      <c r="U41" s="26">
        <f t="shared" si="5"/>
        <v>0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22" t="s">
        <v>24</v>
      </c>
      <c r="B42" s="23">
        <f t="shared" si="6"/>
        <v>45695</v>
      </c>
      <c r="C42" s="24">
        <v>2.0</v>
      </c>
      <c r="D42" s="24" t="s">
        <v>27</v>
      </c>
      <c r="E42" s="21"/>
      <c r="F42" s="21"/>
      <c r="G42" s="18"/>
      <c r="I42" s="19"/>
      <c r="K42" s="19"/>
      <c r="M42" s="19"/>
      <c r="O42" s="19"/>
      <c r="Q42" s="25">
        <f t="shared" si="1"/>
        <v>0</v>
      </c>
      <c r="R42" s="24">
        <f t="shared" si="2"/>
        <v>0</v>
      </c>
      <c r="S42" s="24">
        <f t="shared" si="3"/>
        <v>0</v>
      </c>
      <c r="T42" s="24">
        <f t="shared" si="4"/>
        <v>0</v>
      </c>
      <c r="U42" s="26">
        <f t="shared" si="5"/>
        <v>0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22" t="s">
        <v>25</v>
      </c>
      <c r="B43" s="23">
        <f t="shared" si="6"/>
        <v>45696</v>
      </c>
      <c r="C43" s="24">
        <v>2.0</v>
      </c>
      <c r="D43" s="24" t="s">
        <v>27</v>
      </c>
      <c r="E43" s="21"/>
      <c r="F43" s="21"/>
      <c r="G43" s="18"/>
      <c r="I43" s="19"/>
      <c r="K43" s="19"/>
      <c r="M43" s="19"/>
      <c r="O43" s="19"/>
      <c r="Q43" s="25">
        <f t="shared" si="1"/>
        <v>0</v>
      </c>
      <c r="R43" s="24">
        <f t="shared" si="2"/>
        <v>0</v>
      </c>
      <c r="S43" s="24">
        <f t="shared" si="3"/>
        <v>0</v>
      </c>
      <c r="T43" s="24">
        <f t="shared" si="4"/>
        <v>0</v>
      </c>
      <c r="U43" s="26">
        <f t="shared" si="5"/>
        <v>0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27" t="s">
        <v>26</v>
      </c>
      <c r="B44" s="28">
        <f t="shared" si="6"/>
        <v>45697</v>
      </c>
      <c r="C44" s="29">
        <v>2.0</v>
      </c>
      <c r="D44" s="29" t="s">
        <v>27</v>
      </c>
      <c r="E44" s="30"/>
      <c r="F44" s="30"/>
      <c r="G44" s="31"/>
      <c r="H44" s="6"/>
      <c r="I44" s="32"/>
      <c r="J44" s="6"/>
      <c r="K44" s="32"/>
      <c r="L44" s="6"/>
      <c r="M44" s="32"/>
      <c r="N44" s="6"/>
      <c r="O44" s="32"/>
      <c r="P44" s="6"/>
      <c r="Q44" s="33">
        <f t="shared" si="1"/>
        <v>0</v>
      </c>
      <c r="R44" s="29">
        <f t="shared" si="2"/>
        <v>0</v>
      </c>
      <c r="S44" s="29">
        <f t="shared" si="3"/>
        <v>0</v>
      </c>
      <c r="T44" s="29">
        <f t="shared" si="4"/>
        <v>0</v>
      </c>
      <c r="U44" s="34">
        <f t="shared" si="5"/>
        <v>0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14" t="s">
        <v>19</v>
      </c>
      <c r="B45" s="35">
        <f t="shared" si="6"/>
        <v>45698</v>
      </c>
      <c r="C45" s="16">
        <v>2.0</v>
      </c>
      <c r="D45" s="16" t="s">
        <v>28</v>
      </c>
      <c r="E45" s="17"/>
      <c r="F45" s="17"/>
      <c r="G45" s="18"/>
      <c r="I45" s="19"/>
      <c r="K45" s="19"/>
      <c r="M45" s="19"/>
      <c r="O45" s="19"/>
      <c r="Q45" s="20">
        <f t="shared" si="1"/>
        <v>0</v>
      </c>
      <c r="R45" s="16">
        <f t="shared" si="2"/>
        <v>0</v>
      </c>
      <c r="S45" s="16">
        <f t="shared" si="3"/>
        <v>0</v>
      </c>
      <c r="T45" s="16">
        <f t="shared" si="4"/>
        <v>0</v>
      </c>
      <c r="U45" s="36">
        <f t="shared" si="5"/>
        <v>0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22" t="s">
        <v>21</v>
      </c>
      <c r="B46" s="23">
        <f t="shared" si="6"/>
        <v>45699</v>
      </c>
      <c r="C46" s="24">
        <v>2.0</v>
      </c>
      <c r="D46" s="24" t="s">
        <v>28</v>
      </c>
      <c r="E46" s="21"/>
      <c r="F46" s="21"/>
      <c r="G46" s="18"/>
      <c r="I46" s="19"/>
      <c r="K46" s="19"/>
      <c r="M46" s="19"/>
      <c r="O46" s="19"/>
      <c r="Q46" s="25">
        <f t="shared" si="1"/>
        <v>0</v>
      </c>
      <c r="R46" s="24">
        <f t="shared" si="2"/>
        <v>0</v>
      </c>
      <c r="S46" s="24">
        <f t="shared" si="3"/>
        <v>0</v>
      </c>
      <c r="T46" s="24">
        <f t="shared" si="4"/>
        <v>0</v>
      </c>
      <c r="U46" s="26">
        <f t="shared" si="5"/>
        <v>0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22" t="s">
        <v>22</v>
      </c>
      <c r="B47" s="23">
        <f t="shared" si="6"/>
        <v>45700</v>
      </c>
      <c r="C47" s="24">
        <v>2.0</v>
      </c>
      <c r="D47" s="24" t="s">
        <v>28</v>
      </c>
      <c r="E47" s="21"/>
      <c r="F47" s="21"/>
      <c r="G47" s="18"/>
      <c r="I47" s="19"/>
      <c r="K47" s="19"/>
      <c r="M47" s="19"/>
      <c r="O47" s="19"/>
      <c r="Q47" s="25">
        <f t="shared" si="1"/>
        <v>0</v>
      </c>
      <c r="R47" s="24">
        <f t="shared" si="2"/>
        <v>0</v>
      </c>
      <c r="S47" s="24">
        <f t="shared" si="3"/>
        <v>0</v>
      </c>
      <c r="T47" s="24">
        <f t="shared" si="4"/>
        <v>0</v>
      </c>
      <c r="U47" s="26">
        <f t="shared" si="5"/>
        <v>0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22" t="s">
        <v>23</v>
      </c>
      <c r="B48" s="23">
        <f t="shared" si="6"/>
        <v>45701</v>
      </c>
      <c r="C48" s="24">
        <v>2.0</v>
      </c>
      <c r="D48" s="24" t="s">
        <v>28</v>
      </c>
      <c r="E48" s="21"/>
      <c r="F48" s="21"/>
      <c r="G48" s="18"/>
      <c r="I48" s="19"/>
      <c r="K48" s="19"/>
      <c r="M48" s="19"/>
      <c r="O48" s="19"/>
      <c r="Q48" s="25">
        <f t="shared" si="1"/>
        <v>0</v>
      </c>
      <c r="R48" s="24">
        <f t="shared" si="2"/>
        <v>0</v>
      </c>
      <c r="S48" s="24">
        <f t="shared" si="3"/>
        <v>0</v>
      </c>
      <c r="T48" s="24">
        <f t="shared" si="4"/>
        <v>0</v>
      </c>
      <c r="U48" s="26">
        <f t="shared" si="5"/>
        <v>0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22" t="s">
        <v>24</v>
      </c>
      <c r="B49" s="23">
        <f t="shared" si="6"/>
        <v>45702</v>
      </c>
      <c r="C49" s="24">
        <v>2.0</v>
      </c>
      <c r="D49" s="24" t="s">
        <v>28</v>
      </c>
      <c r="E49" s="21"/>
      <c r="F49" s="21"/>
      <c r="G49" s="18"/>
      <c r="I49" s="19"/>
      <c r="K49" s="19"/>
      <c r="M49" s="19"/>
      <c r="O49" s="19"/>
      <c r="Q49" s="25">
        <f t="shared" si="1"/>
        <v>0</v>
      </c>
      <c r="R49" s="24">
        <f t="shared" si="2"/>
        <v>0</v>
      </c>
      <c r="S49" s="24">
        <f t="shared" si="3"/>
        <v>0</v>
      </c>
      <c r="T49" s="24">
        <f t="shared" si="4"/>
        <v>0</v>
      </c>
      <c r="U49" s="26">
        <f t="shared" si="5"/>
        <v>0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22" t="s">
        <v>25</v>
      </c>
      <c r="B50" s="23">
        <f t="shared" si="6"/>
        <v>45703</v>
      </c>
      <c r="C50" s="24">
        <v>2.0</v>
      </c>
      <c r="D50" s="24" t="s">
        <v>28</v>
      </c>
      <c r="E50" s="21"/>
      <c r="F50" s="21"/>
      <c r="G50" s="18"/>
      <c r="I50" s="19"/>
      <c r="K50" s="19"/>
      <c r="M50" s="19"/>
      <c r="O50" s="19"/>
      <c r="Q50" s="25">
        <f t="shared" si="1"/>
        <v>0</v>
      </c>
      <c r="R50" s="24">
        <f t="shared" si="2"/>
        <v>0</v>
      </c>
      <c r="S50" s="24">
        <f t="shared" si="3"/>
        <v>0</v>
      </c>
      <c r="T50" s="24">
        <f t="shared" si="4"/>
        <v>0</v>
      </c>
      <c r="U50" s="26">
        <f t="shared" si="5"/>
        <v>0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27" t="s">
        <v>26</v>
      </c>
      <c r="B51" s="28">
        <f t="shared" si="6"/>
        <v>45704</v>
      </c>
      <c r="C51" s="29">
        <v>2.0</v>
      </c>
      <c r="D51" s="29" t="s">
        <v>28</v>
      </c>
      <c r="E51" s="30"/>
      <c r="F51" s="30"/>
      <c r="G51" s="31"/>
      <c r="H51" s="6"/>
      <c r="I51" s="32"/>
      <c r="J51" s="6"/>
      <c r="K51" s="32"/>
      <c r="L51" s="6"/>
      <c r="M51" s="32"/>
      <c r="N51" s="6"/>
      <c r="O51" s="32"/>
      <c r="P51" s="6"/>
      <c r="Q51" s="33">
        <f t="shared" si="1"/>
        <v>0</v>
      </c>
      <c r="R51" s="29">
        <f t="shared" si="2"/>
        <v>0</v>
      </c>
      <c r="S51" s="29">
        <f t="shared" si="3"/>
        <v>0</v>
      </c>
      <c r="T51" s="29">
        <f t="shared" si="4"/>
        <v>0</v>
      </c>
      <c r="U51" s="34">
        <f t="shared" si="5"/>
        <v>0</v>
      </c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14" t="s">
        <v>19</v>
      </c>
      <c r="B52" s="35">
        <f t="shared" si="6"/>
        <v>45705</v>
      </c>
      <c r="C52" s="16">
        <v>2.0</v>
      </c>
      <c r="D52" s="16" t="s">
        <v>29</v>
      </c>
      <c r="E52" s="17"/>
      <c r="F52" s="17"/>
      <c r="G52" s="18"/>
      <c r="I52" s="19"/>
      <c r="K52" s="19"/>
      <c r="M52" s="19"/>
      <c r="O52" s="19"/>
      <c r="Q52" s="20">
        <f t="shared" si="1"/>
        <v>0</v>
      </c>
      <c r="R52" s="16">
        <f t="shared" si="2"/>
        <v>0</v>
      </c>
      <c r="S52" s="16">
        <f t="shared" si="3"/>
        <v>0</v>
      </c>
      <c r="T52" s="16">
        <f t="shared" si="4"/>
        <v>0</v>
      </c>
      <c r="U52" s="36">
        <f t="shared" si="5"/>
        <v>0</v>
      </c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22" t="s">
        <v>21</v>
      </c>
      <c r="B53" s="23">
        <f t="shared" si="6"/>
        <v>45706</v>
      </c>
      <c r="C53" s="24">
        <v>2.0</v>
      </c>
      <c r="D53" s="24" t="s">
        <v>29</v>
      </c>
      <c r="E53" s="21"/>
      <c r="F53" s="21"/>
      <c r="G53" s="18"/>
      <c r="I53" s="19"/>
      <c r="K53" s="19"/>
      <c r="M53" s="19"/>
      <c r="O53" s="19"/>
      <c r="Q53" s="25">
        <f t="shared" si="1"/>
        <v>0</v>
      </c>
      <c r="R53" s="24">
        <f t="shared" si="2"/>
        <v>0</v>
      </c>
      <c r="S53" s="24">
        <f t="shared" si="3"/>
        <v>0</v>
      </c>
      <c r="T53" s="24">
        <f t="shared" si="4"/>
        <v>0</v>
      </c>
      <c r="U53" s="26">
        <f t="shared" si="5"/>
        <v>0</v>
      </c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22" t="s">
        <v>22</v>
      </c>
      <c r="B54" s="23">
        <f t="shared" si="6"/>
        <v>45707</v>
      </c>
      <c r="C54" s="24">
        <v>2.0</v>
      </c>
      <c r="D54" s="24" t="s">
        <v>29</v>
      </c>
      <c r="E54" s="21"/>
      <c r="F54" s="21"/>
      <c r="G54" s="18"/>
      <c r="I54" s="19"/>
      <c r="K54" s="19"/>
      <c r="M54" s="19"/>
      <c r="O54" s="19"/>
      <c r="Q54" s="25">
        <f t="shared" si="1"/>
        <v>0</v>
      </c>
      <c r="R54" s="24">
        <f t="shared" si="2"/>
        <v>0</v>
      </c>
      <c r="S54" s="24">
        <f t="shared" si="3"/>
        <v>0</v>
      </c>
      <c r="T54" s="24">
        <f t="shared" si="4"/>
        <v>0</v>
      </c>
      <c r="U54" s="26">
        <f t="shared" si="5"/>
        <v>0</v>
      </c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22" t="s">
        <v>23</v>
      </c>
      <c r="B55" s="23">
        <f t="shared" si="6"/>
        <v>45708</v>
      </c>
      <c r="C55" s="24">
        <v>2.0</v>
      </c>
      <c r="D55" s="24" t="s">
        <v>29</v>
      </c>
      <c r="E55" s="21"/>
      <c r="F55" s="21"/>
      <c r="G55" s="18"/>
      <c r="I55" s="19"/>
      <c r="K55" s="19"/>
      <c r="M55" s="19"/>
      <c r="O55" s="19"/>
      <c r="Q55" s="25">
        <f t="shared" si="1"/>
        <v>0</v>
      </c>
      <c r="R55" s="24">
        <f t="shared" si="2"/>
        <v>0</v>
      </c>
      <c r="S55" s="24">
        <f t="shared" si="3"/>
        <v>0</v>
      </c>
      <c r="T55" s="24">
        <f t="shared" si="4"/>
        <v>0</v>
      </c>
      <c r="U55" s="26">
        <f t="shared" si="5"/>
        <v>0</v>
      </c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22" t="s">
        <v>24</v>
      </c>
      <c r="B56" s="23">
        <f t="shared" si="6"/>
        <v>45709</v>
      </c>
      <c r="C56" s="24">
        <v>2.0</v>
      </c>
      <c r="D56" s="24" t="s">
        <v>29</v>
      </c>
      <c r="E56" s="21"/>
      <c r="F56" s="21"/>
      <c r="G56" s="18"/>
      <c r="I56" s="19"/>
      <c r="K56" s="19"/>
      <c r="M56" s="19"/>
      <c r="O56" s="19"/>
      <c r="Q56" s="25">
        <f t="shared" si="1"/>
        <v>0</v>
      </c>
      <c r="R56" s="24">
        <f t="shared" si="2"/>
        <v>0</v>
      </c>
      <c r="S56" s="24">
        <f t="shared" si="3"/>
        <v>0</v>
      </c>
      <c r="T56" s="24">
        <f t="shared" si="4"/>
        <v>0</v>
      </c>
      <c r="U56" s="26">
        <f t="shared" si="5"/>
        <v>0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22" t="s">
        <v>25</v>
      </c>
      <c r="B57" s="23">
        <f t="shared" si="6"/>
        <v>45710</v>
      </c>
      <c r="C57" s="24">
        <v>2.0</v>
      </c>
      <c r="D57" s="24" t="s">
        <v>29</v>
      </c>
      <c r="E57" s="21"/>
      <c r="F57" s="21"/>
      <c r="G57" s="18"/>
      <c r="I57" s="19"/>
      <c r="K57" s="19"/>
      <c r="M57" s="19"/>
      <c r="O57" s="19"/>
      <c r="Q57" s="25">
        <f t="shared" si="1"/>
        <v>0</v>
      </c>
      <c r="R57" s="24">
        <f t="shared" si="2"/>
        <v>0</v>
      </c>
      <c r="S57" s="24">
        <f t="shared" si="3"/>
        <v>0</v>
      </c>
      <c r="T57" s="24">
        <f t="shared" si="4"/>
        <v>0</v>
      </c>
      <c r="U57" s="26">
        <f t="shared" si="5"/>
        <v>0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27" t="s">
        <v>26</v>
      </c>
      <c r="B58" s="28">
        <f t="shared" si="6"/>
        <v>45711</v>
      </c>
      <c r="C58" s="29">
        <v>2.0</v>
      </c>
      <c r="D58" s="29" t="s">
        <v>29</v>
      </c>
      <c r="E58" s="30"/>
      <c r="F58" s="30"/>
      <c r="G58" s="31"/>
      <c r="H58" s="6"/>
      <c r="I58" s="32"/>
      <c r="J58" s="6"/>
      <c r="K58" s="32"/>
      <c r="L58" s="6"/>
      <c r="M58" s="32"/>
      <c r="N58" s="6"/>
      <c r="O58" s="32"/>
      <c r="P58" s="6"/>
      <c r="Q58" s="33">
        <f t="shared" si="1"/>
        <v>0</v>
      </c>
      <c r="R58" s="29">
        <f t="shared" si="2"/>
        <v>0</v>
      </c>
      <c r="S58" s="29">
        <f t="shared" si="3"/>
        <v>0</v>
      </c>
      <c r="T58" s="29">
        <f t="shared" si="4"/>
        <v>0</v>
      </c>
      <c r="U58" s="34">
        <f t="shared" si="5"/>
        <v>0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14" t="s">
        <v>19</v>
      </c>
      <c r="B59" s="35">
        <f t="shared" si="6"/>
        <v>45712</v>
      </c>
      <c r="C59" s="16">
        <v>3.0</v>
      </c>
      <c r="D59" s="16" t="s">
        <v>20</v>
      </c>
      <c r="E59" s="17"/>
      <c r="F59" s="17"/>
      <c r="G59" s="18"/>
      <c r="I59" s="19"/>
      <c r="K59" s="19"/>
      <c r="M59" s="19"/>
      <c r="O59" s="19"/>
      <c r="Q59" s="20">
        <f t="shared" si="1"/>
        <v>0</v>
      </c>
      <c r="R59" s="16">
        <f t="shared" si="2"/>
        <v>0</v>
      </c>
      <c r="S59" s="16">
        <f t="shared" si="3"/>
        <v>0</v>
      </c>
      <c r="T59" s="16">
        <f t="shared" si="4"/>
        <v>0</v>
      </c>
      <c r="U59" s="36">
        <f t="shared" si="5"/>
        <v>0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22" t="s">
        <v>21</v>
      </c>
      <c r="B60" s="23">
        <f t="shared" si="6"/>
        <v>45713</v>
      </c>
      <c r="C60" s="24">
        <v>3.0</v>
      </c>
      <c r="D60" s="24" t="s">
        <v>20</v>
      </c>
      <c r="E60" s="21"/>
      <c r="F60" s="21"/>
      <c r="G60" s="18"/>
      <c r="I60" s="19"/>
      <c r="K60" s="19"/>
      <c r="M60" s="19"/>
      <c r="O60" s="19"/>
      <c r="Q60" s="25">
        <f t="shared" si="1"/>
        <v>0</v>
      </c>
      <c r="R60" s="24">
        <f t="shared" si="2"/>
        <v>0</v>
      </c>
      <c r="S60" s="24">
        <f t="shared" si="3"/>
        <v>0</v>
      </c>
      <c r="T60" s="24">
        <f t="shared" si="4"/>
        <v>0</v>
      </c>
      <c r="U60" s="26">
        <f t="shared" si="5"/>
        <v>0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22" t="s">
        <v>22</v>
      </c>
      <c r="B61" s="23">
        <f t="shared" si="6"/>
        <v>45714</v>
      </c>
      <c r="C61" s="24">
        <v>3.0</v>
      </c>
      <c r="D61" s="24" t="s">
        <v>20</v>
      </c>
      <c r="E61" s="21"/>
      <c r="F61" s="21"/>
      <c r="G61" s="18"/>
      <c r="I61" s="19"/>
      <c r="K61" s="19"/>
      <c r="M61" s="19"/>
      <c r="O61" s="19"/>
      <c r="Q61" s="25">
        <f t="shared" si="1"/>
        <v>0</v>
      </c>
      <c r="R61" s="24">
        <f t="shared" si="2"/>
        <v>0</v>
      </c>
      <c r="S61" s="24">
        <f t="shared" si="3"/>
        <v>0</v>
      </c>
      <c r="T61" s="24">
        <f t="shared" si="4"/>
        <v>0</v>
      </c>
      <c r="U61" s="26">
        <f t="shared" si="5"/>
        <v>0</v>
      </c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22" t="s">
        <v>23</v>
      </c>
      <c r="B62" s="23">
        <f t="shared" si="6"/>
        <v>45715</v>
      </c>
      <c r="C62" s="24">
        <v>3.0</v>
      </c>
      <c r="D62" s="24" t="s">
        <v>20</v>
      </c>
      <c r="E62" s="21"/>
      <c r="F62" s="21"/>
      <c r="G62" s="18"/>
      <c r="I62" s="19"/>
      <c r="K62" s="19"/>
      <c r="M62" s="19"/>
      <c r="O62" s="19"/>
      <c r="Q62" s="25">
        <f t="shared" si="1"/>
        <v>0</v>
      </c>
      <c r="R62" s="24">
        <f t="shared" si="2"/>
        <v>0</v>
      </c>
      <c r="S62" s="24">
        <f t="shared" si="3"/>
        <v>0</v>
      </c>
      <c r="T62" s="24">
        <f t="shared" si="4"/>
        <v>0</v>
      </c>
      <c r="U62" s="26">
        <f t="shared" si="5"/>
        <v>0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22" t="s">
        <v>24</v>
      </c>
      <c r="B63" s="23">
        <f t="shared" si="6"/>
        <v>45716</v>
      </c>
      <c r="C63" s="24">
        <v>3.0</v>
      </c>
      <c r="D63" s="24" t="s">
        <v>20</v>
      </c>
      <c r="E63" s="21"/>
      <c r="F63" s="21"/>
      <c r="G63" s="18"/>
      <c r="I63" s="19"/>
      <c r="K63" s="19"/>
      <c r="M63" s="19"/>
      <c r="O63" s="19"/>
      <c r="Q63" s="25">
        <f t="shared" si="1"/>
        <v>0</v>
      </c>
      <c r="R63" s="24">
        <f t="shared" si="2"/>
        <v>0</v>
      </c>
      <c r="S63" s="24">
        <f t="shared" si="3"/>
        <v>0</v>
      </c>
      <c r="T63" s="24">
        <f t="shared" si="4"/>
        <v>0</v>
      </c>
      <c r="U63" s="26">
        <f t="shared" si="5"/>
        <v>0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22" t="s">
        <v>25</v>
      </c>
      <c r="B64" s="23">
        <f t="shared" si="6"/>
        <v>45717</v>
      </c>
      <c r="C64" s="24">
        <v>3.0</v>
      </c>
      <c r="D64" s="24" t="s">
        <v>20</v>
      </c>
      <c r="E64" s="21"/>
      <c r="F64" s="21"/>
      <c r="G64" s="18"/>
      <c r="I64" s="19"/>
      <c r="K64" s="19"/>
      <c r="M64" s="19"/>
      <c r="O64" s="19"/>
      <c r="Q64" s="25">
        <f t="shared" si="1"/>
        <v>0</v>
      </c>
      <c r="R64" s="24">
        <f t="shared" si="2"/>
        <v>0</v>
      </c>
      <c r="S64" s="24">
        <f t="shared" si="3"/>
        <v>0</v>
      </c>
      <c r="T64" s="24">
        <f t="shared" si="4"/>
        <v>0</v>
      </c>
      <c r="U64" s="26">
        <f t="shared" si="5"/>
        <v>0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27" t="s">
        <v>26</v>
      </c>
      <c r="B65" s="28">
        <f t="shared" si="6"/>
        <v>45718</v>
      </c>
      <c r="C65" s="29">
        <v>3.0</v>
      </c>
      <c r="D65" s="29" t="s">
        <v>20</v>
      </c>
      <c r="E65" s="30"/>
      <c r="F65" s="30"/>
      <c r="G65" s="31"/>
      <c r="H65" s="6"/>
      <c r="I65" s="32"/>
      <c r="J65" s="6"/>
      <c r="K65" s="32"/>
      <c r="L65" s="6"/>
      <c r="M65" s="32"/>
      <c r="N65" s="6"/>
      <c r="O65" s="32"/>
      <c r="P65" s="6"/>
      <c r="Q65" s="33">
        <f t="shared" si="1"/>
        <v>0</v>
      </c>
      <c r="R65" s="29">
        <f t="shared" si="2"/>
        <v>0</v>
      </c>
      <c r="S65" s="29">
        <f t="shared" si="3"/>
        <v>0</v>
      </c>
      <c r="T65" s="29">
        <f t="shared" si="4"/>
        <v>0</v>
      </c>
      <c r="U65" s="34">
        <f t="shared" si="5"/>
        <v>0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14" t="s">
        <v>19</v>
      </c>
      <c r="B66" s="35">
        <f t="shared" si="6"/>
        <v>45719</v>
      </c>
      <c r="C66" s="16">
        <v>3.0</v>
      </c>
      <c r="D66" s="16" t="s">
        <v>27</v>
      </c>
      <c r="E66" s="17"/>
      <c r="F66" s="17"/>
      <c r="G66" s="18"/>
      <c r="I66" s="19"/>
      <c r="K66" s="19"/>
      <c r="M66" s="19"/>
      <c r="O66" s="19"/>
      <c r="Q66" s="20">
        <f t="shared" si="1"/>
        <v>0</v>
      </c>
      <c r="R66" s="16">
        <f t="shared" si="2"/>
        <v>0</v>
      </c>
      <c r="S66" s="16">
        <f t="shared" si="3"/>
        <v>0</v>
      </c>
      <c r="T66" s="16">
        <f t="shared" si="4"/>
        <v>0</v>
      </c>
      <c r="U66" s="36">
        <f t="shared" si="5"/>
        <v>0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22" t="s">
        <v>21</v>
      </c>
      <c r="B67" s="23">
        <f t="shared" si="6"/>
        <v>45720</v>
      </c>
      <c r="C67" s="24">
        <v>3.0</v>
      </c>
      <c r="D67" s="24" t="s">
        <v>27</v>
      </c>
      <c r="E67" s="21"/>
      <c r="F67" s="21"/>
      <c r="G67" s="18"/>
      <c r="I67" s="19"/>
      <c r="K67" s="19"/>
      <c r="M67" s="19"/>
      <c r="O67" s="19"/>
      <c r="Q67" s="25">
        <f t="shared" si="1"/>
        <v>0</v>
      </c>
      <c r="R67" s="24">
        <f t="shared" si="2"/>
        <v>0</v>
      </c>
      <c r="S67" s="24">
        <f t="shared" si="3"/>
        <v>0</v>
      </c>
      <c r="T67" s="24">
        <f t="shared" si="4"/>
        <v>0</v>
      </c>
      <c r="U67" s="26">
        <f t="shared" si="5"/>
        <v>0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22" t="s">
        <v>22</v>
      </c>
      <c r="B68" s="23">
        <f t="shared" si="6"/>
        <v>45721</v>
      </c>
      <c r="C68" s="24">
        <v>3.0</v>
      </c>
      <c r="D68" s="24" t="s">
        <v>27</v>
      </c>
      <c r="E68" s="21"/>
      <c r="F68" s="21"/>
      <c r="G68" s="18"/>
      <c r="I68" s="19"/>
      <c r="K68" s="19"/>
      <c r="M68" s="19"/>
      <c r="O68" s="19"/>
      <c r="Q68" s="25">
        <f t="shared" si="1"/>
        <v>0</v>
      </c>
      <c r="R68" s="24">
        <f t="shared" si="2"/>
        <v>0</v>
      </c>
      <c r="S68" s="24">
        <f t="shared" si="3"/>
        <v>0</v>
      </c>
      <c r="T68" s="24">
        <f t="shared" si="4"/>
        <v>0</v>
      </c>
      <c r="U68" s="26">
        <f t="shared" si="5"/>
        <v>0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22" t="s">
        <v>23</v>
      </c>
      <c r="B69" s="23">
        <f t="shared" si="6"/>
        <v>45722</v>
      </c>
      <c r="C69" s="24">
        <v>3.0</v>
      </c>
      <c r="D69" s="24" t="s">
        <v>27</v>
      </c>
      <c r="E69" s="21"/>
      <c r="F69" s="21"/>
      <c r="G69" s="18"/>
      <c r="I69" s="19"/>
      <c r="K69" s="19"/>
      <c r="M69" s="19"/>
      <c r="O69" s="19"/>
      <c r="Q69" s="25">
        <f t="shared" si="1"/>
        <v>0</v>
      </c>
      <c r="R69" s="24">
        <f t="shared" si="2"/>
        <v>0</v>
      </c>
      <c r="S69" s="24">
        <f t="shared" si="3"/>
        <v>0</v>
      </c>
      <c r="T69" s="24">
        <f t="shared" si="4"/>
        <v>0</v>
      </c>
      <c r="U69" s="26">
        <f t="shared" si="5"/>
        <v>0</v>
      </c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22" t="s">
        <v>24</v>
      </c>
      <c r="B70" s="23">
        <f t="shared" si="6"/>
        <v>45723</v>
      </c>
      <c r="C70" s="24">
        <v>3.0</v>
      </c>
      <c r="D70" s="24" t="s">
        <v>27</v>
      </c>
      <c r="E70" s="21"/>
      <c r="F70" s="21"/>
      <c r="G70" s="18"/>
      <c r="I70" s="19"/>
      <c r="K70" s="19"/>
      <c r="M70" s="19"/>
      <c r="O70" s="19"/>
      <c r="Q70" s="25">
        <f t="shared" si="1"/>
        <v>0</v>
      </c>
      <c r="R70" s="24">
        <f t="shared" si="2"/>
        <v>0</v>
      </c>
      <c r="S70" s="24">
        <f t="shared" si="3"/>
        <v>0</v>
      </c>
      <c r="T70" s="24">
        <f t="shared" si="4"/>
        <v>0</v>
      </c>
      <c r="U70" s="26">
        <f t="shared" si="5"/>
        <v>0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22" t="s">
        <v>25</v>
      </c>
      <c r="B71" s="23">
        <f t="shared" si="6"/>
        <v>45724</v>
      </c>
      <c r="C71" s="24">
        <v>3.0</v>
      </c>
      <c r="D71" s="24" t="s">
        <v>27</v>
      </c>
      <c r="E71" s="21"/>
      <c r="F71" s="21"/>
      <c r="G71" s="18"/>
      <c r="I71" s="19"/>
      <c r="K71" s="19"/>
      <c r="M71" s="19"/>
      <c r="O71" s="19"/>
      <c r="Q71" s="25">
        <f t="shared" si="1"/>
        <v>0</v>
      </c>
      <c r="R71" s="24">
        <f t="shared" si="2"/>
        <v>0</v>
      </c>
      <c r="S71" s="24">
        <f t="shared" si="3"/>
        <v>0</v>
      </c>
      <c r="T71" s="24">
        <f t="shared" si="4"/>
        <v>0</v>
      </c>
      <c r="U71" s="26">
        <f t="shared" si="5"/>
        <v>0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27" t="s">
        <v>26</v>
      </c>
      <c r="B72" s="28">
        <f t="shared" si="6"/>
        <v>45725</v>
      </c>
      <c r="C72" s="29">
        <v>3.0</v>
      </c>
      <c r="D72" s="29" t="s">
        <v>27</v>
      </c>
      <c r="E72" s="30"/>
      <c r="F72" s="30"/>
      <c r="G72" s="31"/>
      <c r="H72" s="6"/>
      <c r="I72" s="32"/>
      <c r="J72" s="6"/>
      <c r="K72" s="32"/>
      <c r="L72" s="6"/>
      <c r="M72" s="32"/>
      <c r="N72" s="6"/>
      <c r="O72" s="32"/>
      <c r="P72" s="6"/>
      <c r="Q72" s="33">
        <f t="shared" si="1"/>
        <v>0</v>
      </c>
      <c r="R72" s="29">
        <f t="shared" si="2"/>
        <v>0</v>
      </c>
      <c r="S72" s="29">
        <f t="shared" si="3"/>
        <v>0</v>
      </c>
      <c r="T72" s="29">
        <f t="shared" si="4"/>
        <v>0</v>
      </c>
      <c r="U72" s="34">
        <f t="shared" si="5"/>
        <v>0</v>
      </c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14" t="s">
        <v>19</v>
      </c>
      <c r="B73" s="35">
        <f t="shared" si="6"/>
        <v>45726</v>
      </c>
      <c r="C73" s="16">
        <v>3.0</v>
      </c>
      <c r="D73" s="16" t="s">
        <v>28</v>
      </c>
      <c r="E73" s="17"/>
      <c r="F73" s="17"/>
      <c r="G73" s="18"/>
      <c r="I73" s="19"/>
      <c r="K73" s="19"/>
      <c r="M73" s="19"/>
      <c r="O73" s="19"/>
      <c r="Q73" s="20">
        <f t="shared" si="1"/>
        <v>0</v>
      </c>
      <c r="R73" s="16">
        <f t="shared" si="2"/>
        <v>0</v>
      </c>
      <c r="S73" s="16">
        <f t="shared" si="3"/>
        <v>0</v>
      </c>
      <c r="T73" s="16">
        <f t="shared" si="4"/>
        <v>0</v>
      </c>
      <c r="U73" s="36">
        <f t="shared" si="5"/>
        <v>0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22" t="s">
        <v>21</v>
      </c>
      <c r="B74" s="23">
        <f t="shared" si="6"/>
        <v>45727</v>
      </c>
      <c r="C74" s="24">
        <v>3.0</v>
      </c>
      <c r="D74" s="24" t="s">
        <v>28</v>
      </c>
      <c r="E74" s="21"/>
      <c r="F74" s="21"/>
      <c r="G74" s="18"/>
      <c r="I74" s="19"/>
      <c r="K74" s="19"/>
      <c r="M74" s="19"/>
      <c r="O74" s="19"/>
      <c r="Q74" s="25">
        <f t="shared" si="1"/>
        <v>0</v>
      </c>
      <c r="R74" s="24">
        <f t="shared" si="2"/>
        <v>0</v>
      </c>
      <c r="S74" s="24">
        <f t="shared" si="3"/>
        <v>0</v>
      </c>
      <c r="T74" s="24">
        <f t="shared" si="4"/>
        <v>0</v>
      </c>
      <c r="U74" s="26">
        <f t="shared" si="5"/>
        <v>0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22" t="s">
        <v>22</v>
      </c>
      <c r="B75" s="23">
        <f t="shared" si="6"/>
        <v>45728</v>
      </c>
      <c r="C75" s="24">
        <v>3.0</v>
      </c>
      <c r="D75" s="24" t="s">
        <v>28</v>
      </c>
      <c r="E75" s="21"/>
      <c r="F75" s="21"/>
      <c r="G75" s="18"/>
      <c r="I75" s="19"/>
      <c r="K75" s="19"/>
      <c r="M75" s="19"/>
      <c r="O75" s="19"/>
      <c r="Q75" s="25">
        <f t="shared" si="1"/>
        <v>0</v>
      </c>
      <c r="R75" s="24">
        <f t="shared" si="2"/>
        <v>0</v>
      </c>
      <c r="S75" s="24">
        <f t="shared" si="3"/>
        <v>0</v>
      </c>
      <c r="T75" s="24">
        <f t="shared" si="4"/>
        <v>0</v>
      </c>
      <c r="U75" s="26">
        <f t="shared" si="5"/>
        <v>0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22" t="s">
        <v>23</v>
      </c>
      <c r="B76" s="23">
        <f t="shared" si="6"/>
        <v>45729</v>
      </c>
      <c r="C76" s="24">
        <v>3.0</v>
      </c>
      <c r="D76" s="24" t="s">
        <v>28</v>
      </c>
      <c r="E76" s="21"/>
      <c r="F76" s="21"/>
      <c r="G76" s="18"/>
      <c r="I76" s="19"/>
      <c r="K76" s="19"/>
      <c r="M76" s="19"/>
      <c r="O76" s="19"/>
      <c r="Q76" s="25">
        <f t="shared" si="1"/>
        <v>0</v>
      </c>
      <c r="R76" s="24">
        <f t="shared" si="2"/>
        <v>0</v>
      </c>
      <c r="S76" s="24">
        <f t="shared" si="3"/>
        <v>0</v>
      </c>
      <c r="T76" s="24">
        <f t="shared" si="4"/>
        <v>0</v>
      </c>
      <c r="U76" s="26">
        <f t="shared" si="5"/>
        <v>0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22" t="s">
        <v>24</v>
      </c>
      <c r="B77" s="23">
        <f t="shared" si="6"/>
        <v>45730</v>
      </c>
      <c r="C77" s="24">
        <v>3.0</v>
      </c>
      <c r="D77" s="24" t="s">
        <v>28</v>
      </c>
      <c r="E77" s="21"/>
      <c r="F77" s="21"/>
      <c r="G77" s="18"/>
      <c r="I77" s="19"/>
      <c r="K77" s="19"/>
      <c r="M77" s="19"/>
      <c r="O77" s="19"/>
      <c r="Q77" s="25">
        <f t="shared" si="1"/>
        <v>0</v>
      </c>
      <c r="R77" s="24">
        <f t="shared" si="2"/>
        <v>0</v>
      </c>
      <c r="S77" s="24">
        <f t="shared" si="3"/>
        <v>0</v>
      </c>
      <c r="T77" s="24">
        <f t="shared" si="4"/>
        <v>0</v>
      </c>
      <c r="U77" s="26">
        <f t="shared" si="5"/>
        <v>0</v>
      </c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22" t="s">
        <v>25</v>
      </c>
      <c r="B78" s="23">
        <f t="shared" si="6"/>
        <v>45731</v>
      </c>
      <c r="C78" s="24">
        <v>3.0</v>
      </c>
      <c r="D78" s="24" t="s">
        <v>28</v>
      </c>
      <c r="E78" s="21"/>
      <c r="F78" s="21"/>
      <c r="G78" s="18"/>
      <c r="I78" s="19"/>
      <c r="K78" s="19"/>
      <c r="M78" s="19"/>
      <c r="O78" s="19"/>
      <c r="Q78" s="25">
        <f t="shared" si="1"/>
        <v>0</v>
      </c>
      <c r="R78" s="24">
        <f t="shared" si="2"/>
        <v>0</v>
      </c>
      <c r="S78" s="24">
        <f t="shared" si="3"/>
        <v>0</v>
      </c>
      <c r="T78" s="24">
        <f t="shared" si="4"/>
        <v>0</v>
      </c>
      <c r="U78" s="26">
        <f t="shared" si="5"/>
        <v>0</v>
      </c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27" t="s">
        <v>26</v>
      </c>
      <c r="B79" s="28">
        <f t="shared" si="6"/>
        <v>45732</v>
      </c>
      <c r="C79" s="29">
        <v>3.0</v>
      </c>
      <c r="D79" s="29" t="s">
        <v>28</v>
      </c>
      <c r="E79" s="30"/>
      <c r="F79" s="30"/>
      <c r="G79" s="31"/>
      <c r="H79" s="6"/>
      <c r="I79" s="32"/>
      <c r="J79" s="6"/>
      <c r="K79" s="32"/>
      <c r="L79" s="6"/>
      <c r="M79" s="32"/>
      <c r="N79" s="6"/>
      <c r="O79" s="32"/>
      <c r="P79" s="6"/>
      <c r="Q79" s="33">
        <f t="shared" si="1"/>
        <v>0</v>
      </c>
      <c r="R79" s="29">
        <f t="shared" si="2"/>
        <v>0</v>
      </c>
      <c r="S79" s="29">
        <f t="shared" si="3"/>
        <v>0</v>
      </c>
      <c r="T79" s="29">
        <f t="shared" si="4"/>
        <v>0</v>
      </c>
      <c r="U79" s="34">
        <f t="shared" si="5"/>
        <v>0</v>
      </c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14" t="s">
        <v>19</v>
      </c>
      <c r="B80" s="35">
        <f t="shared" si="6"/>
        <v>45733</v>
      </c>
      <c r="C80" s="16">
        <v>3.0</v>
      </c>
      <c r="D80" s="16" t="s">
        <v>29</v>
      </c>
      <c r="E80" s="17"/>
      <c r="F80" s="17"/>
      <c r="G80" s="18"/>
      <c r="I80" s="19"/>
      <c r="K80" s="19"/>
      <c r="M80" s="19"/>
      <c r="O80" s="19"/>
      <c r="Q80" s="20">
        <f t="shared" si="1"/>
        <v>0</v>
      </c>
      <c r="R80" s="16">
        <f t="shared" si="2"/>
        <v>0</v>
      </c>
      <c r="S80" s="16">
        <f t="shared" si="3"/>
        <v>0</v>
      </c>
      <c r="T80" s="16">
        <f t="shared" si="4"/>
        <v>0</v>
      </c>
      <c r="U80" s="36">
        <f t="shared" si="5"/>
        <v>0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22" t="s">
        <v>21</v>
      </c>
      <c r="B81" s="23">
        <f t="shared" si="6"/>
        <v>45734</v>
      </c>
      <c r="C81" s="24">
        <v>3.0</v>
      </c>
      <c r="D81" s="24" t="s">
        <v>29</v>
      </c>
      <c r="E81" s="21"/>
      <c r="F81" s="21"/>
      <c r="G81" s="18"/>
      <c r="I81" s="19"/>
      <c r="K81" s="19"/>
      <c r="M81" s="19"/>
      <c r="O81" s="19"/>
      <c r="Q81" s="25">
        <f t="shared" si="1"/>
        <v>0</v>
      </c>
      <c r="R81" s="24">
        <f t="shared" si="2"/>
        <v>0</v>
      </c>
      <c r="S81" s="24">
        <f t="shared" si="3"/>
        <v>0</v>
      </c>
      <c r="T81" s="24">
        <f t="shared" si="4"/>
        <v>0</v>
      </c>
      <c r="U81" s="26">
        <f t="shared" si="5"/>
        <v>0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22" t="s">
        <v>22</v>
      </c>
      <c r="B82" s="23">
        <f t="shared" si="6"/>
        <v>45735</v>
      </c>
      <c r="C82" s="24">
        <v>3.0</v>
      </c>
      <c r="D82" s="24" t="s">
        <v>29</v>
      </c>
      <c r="E82" s="21"/>
      <c r="F82" s="21"/>
      <c r="G82" s="18"/>
      <c r="I82" s="19"/>
      <c r="K82" s="19"/>
      <c r="M82" s="19"/>
      <c r="O82" s="19"/>
      <c r="Q82" s="25">
        <f t="shared" si="1"/>
        <v>0</v>
      </c>
      <c r="R82" s="24">
        <f t="shared" si="2"/>
        <v>0</v>
      </c>
      <c r="S82" s="24">
        <f t="shared" si="3"/>
        <v>0</v>
      </c>
      <c r="T82" s="24">
        <f t="shared" si="4"/>
        <v>0</v>
      </c>
      <c r="U82" s="26">
        <f t="shared" si="5"/>
        <v>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22" t="s">
        <v>23</v>
      </c>
      <c r="B83" s="23">
        <f t="shared" si="6"/>
        <v>45736</v>
      </c>
      <c r="C83" s="24">
        <v>3.0</v>
      </c>
      <c r="D83" s="24" t="s">
        <v>29</v>
      </c>
      <c r="E83" s="21"/>
      <c r="F83" s="21"/>
      <c r="G83" s="18"/>
      <c r="I83" s="19"/>
      <c r="K83" s="19"/>
      <c r="M83" s="19"/>
      <c r="O83" s="19"/>
      <c r="Q83" s="25">
        <f t="shared" si="1"/>
        <v>0</v>
      </c>
      <c r="R83" s="24">
        <f t="shared" si="2"/>
        <v>0</v>
      </c>
      <c r="S83" s="24">
        <f t="shared" si="3"/>
        <v>0</v>
      </c>
      <c r="T83" s="24">
        <f t="shared" si="4"/>
        <v>0</v>
      </c>
      <c r="U83" s="26">
        <f t="shared" si="5"/>
        <v>0</v>
      </c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22" t="s">
        <v>24</v>
      </c>
      <c r="B84" s="23">
        <f t="shared" si="6"/>
        <v>45737</v>
      </c>
      <c r="C84" s="24">
        <v>3.0</v>
      </c>
      <c r="D84" s="24" t="s">
        <v>29</v>
      </c>
      <c r="E84" s="21"/>
      <c r="F84" s="21"/>
      <c r="G84" s="18"/>
      <c r="I84" s="19"/>
      <c r="K84" s="19"/>
      <c r="M84" s="19"/>
      <c r="O84" s="19"/>
      <c r="Q84" s="25">
        <f t="shared" si="1"/>
        <v>0</v>
      </c>
      <c r="R84" s="24">
        <f t="shared" si="2"/>
        <v>0</v>
      </c>
      <c r="S84" s="24">
        <f t="shared" si="3"/>
        <v>0</v>
      </c>
      <c r="T84" s="24">
        <f t="shared" si="4"/>
        <v>0</v>
      </c>
      <c r="U84" s="26">
        <f t="shared" si="5"/>
        <v>0</v>
      </c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22" t="s">
        <v>25</v>
      </c>
      <c r="B85" s="23">
        <f t="shared" si="6"/>
        <v>45738</v>
      </c>
      <c r="C85" s="24">
        <v>3.0</v>
      </c>
      <c r="D85" s="24" t="s">
        <v>29</v>
      </c>
      <c r="E85" s="21"/>
      <c r="F85" s="21"/>
      <c r="G85" s="18"/>
      <c r="I85" s="19"/>
      <c r="K85" s="19"/>
      <c r="M85" s="19"/>
      <c r="O85" s="19"/>
      <c r="Q85" s="25">
        <f t="shared" si="1"/>
        <v>0</v>
      </c>
      <c r="R85" s="24">
        <f t="shared" si="2"/>
        <v>0</v>
      </c>
      <c r="S85" s="24">
        <f t="shared" si="3"/>
        <v>0</v>
      </c>
      <c r="T85" s="24">
        <f t="shared" si="4"/>
        <v>0</v>
      </c>
      <c r="U85" s="26">
        <f t="shared" si="5"/>
        <v>0</v>
      </c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27" t="s">
        <v>26</v>
      </c>
      <c r="B86" s="28">
        <f t="shared" si="6"/>
        <v>45739</v>
      </c>
      <c r="C86" s="29">
        <v>3.0</v>
      </c>
      <c r="D86" s="29" t="s">
        <v>29</v>
      </c>
      <c r="E86" s="30"/>
      <c r="F86" s="30"/>
      <c r="G86" s="31"/>
      <c r="H86" s="6"/>
      <c r="I86" s="32"/>
      <c r="J86" s="6"/>
      <c r="K86" s="32"/>
      <c r="L86" s="6"/>
      <c r="M86" s="32"/>
      <c r="N86" s="6"/>
      <c r="O86" s="32"/>
      <c r="P86" s="6"/>
      <c r="Q86" s="33">
        <f t="shared" si="1"/>
        <v>0</v>
      </c>
      <c r="R86" s="29">
        <f t="shared" si="2"/>
        <v>0</v>
      </c>
      <c r="S86" s="29">
        <f t="shared" si="3"/>
        <v>0</v>
      </c>
      <c r="T86" s="29">
        <f t="shared" si="4"/>
        <v>0</v>
      </c>
      <c r="U86" s="34">
        <f t="shared" si="5"/>
        <v>0</v>
      </c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14" t="s">
        <v>19</v>
      </c>
      <c r="B87" s="35">
        <f t="shared" si="6"/>
        <v>45740</v>
      </c>
      <c r="C87" s="16">
        <v>4.0</v>
      </c>
      <c r="D87" s="16" t="s">
        <v>20</v>
      </c>
      <c r="E87" s="17"/>
      <c r="F87" s="17"/>
      <c r="G87" s="18">
        <v>0.0</v>
      </c>
      <c r="I87" s="19">
        <v>0.0</v>
      </c>
      <c r="K87" s="19">
        <v>0.0</v>
      </c>
      <c r="M87" s="19">
        <v>0.0</v>
      </c>
      <c r="O87" s="19">
        <v>0.0</v>
      </c>
      <c r="Q87" s="20">
        <f t="shared" si="1"/>
        <v>0</v>
      </c>
      <c r="R87" s="16">
        <f t="shared" si="2"/>
        <v>0</v>
      </c>
      <c r="S87" s="16">
        <f t="shared" si="3"/>
        <v>0</v>
      </c>
      <c r="T87" s="16">
        <f t="shared" si="4"/>
        <v>0</v>
      </c>
      <c r="U87" s="36">
        <f t="shared" si="5"/>
        <v>0</v>
      </c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22" t="s">
        <v>21</v>
      </c>
      <c r="B88" s="23">
        <f t="shared" si="6"/>
        <v>45741</v>
      </c>
      <c r="C88" s="24">
        <v>4.0</v>
      </c>
      <c r="D88" s="24" t="s">
        <v>20</v>
      </c>
      <c r="E88" s="21"/>
      <c r="F88" s="21"/>
      <c r="G88" s="18">
        <v>0.0</v>
      </c>
      <c r="I88" s="19">
        <v>0.0</v>
      </c>
      <c r="K88" s="19">
        <v>0.0</v>
      </c>
      <c r="M88" s="19">
        <v>0.0</v>
      </c>
      <c r="O88" s="19">
        <v>0.0</v>
      </c>
      <c r="Q88" s="25">
        <f t="shared" si="1"/>
        <v>0</v>
      </c>
      <c r="R88" s="24">
        <f t="shared" si="2"/>
        <v>0</v>
      </c>
      <c r="S88" s="24">
        <f t="shared" si="3"/>
        <v>0</v>
      </c>
      <c r="T88" s="24">
        <f t="shared" si="4"/>
        <v>0</v>
      </c>
      <c r="U88" s="26">
        <f t="shared" si="5"/>
        <v>0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22" t="s">
        <v>22</v>
      </c>
      <c r="B89" s="23">
        <f t="shared" si="6"/>
        <v>45742</v>
      </c>
      <c r="C89" s="24">
        <v>4.0</v>
      </c>
      <c r="D89" s="24" t="s">
        <v>20</v>
      </c>
      <c r="E89" s="21"/>
      <c r="F89" s="21"/>
      <c r="G89" s="18">
        <v>0.0</v>
      </c>
      <c r="I89" s="19">
        <v>0.0</v>
      </c>
      <c r="K89" s="19">
        <v>0.0</v>
      </c>
      <c r="M89" s="19">
        <v>0.0</v>
      </c>
      <c r="O89" s="19">
        <v>0.0</v>
      </c>
      <c r="Q89" s="25">
        <f t="shared" si="1"/>
        <v>0</v>
      </c>
      <c r="R89" s="24">
        <f t="shared" si="2"/>
        <v>0</v>
      </c>
      <c r="S89" s="24">
        <f t="shared" si="3"/>
        <v>0</v>
      </c>
      <c r="T89" s="24">
        <f t="shared" si="4"/>
        <v>0</v>
      </c>
      <c r="U89" s="26">
        <f t="shared" si="5"/>
        <v>0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22" t="s">
        <v>23</v>
      </c>
      <c r="B90" s="23">
        <f t="shared" si="6"/>
        <v>45743</v>
      </c>
      <c r="C90" s="24">
        <v>4.0</v>
      </c>
      <c r="D90" s="24" t="s">
        <v>20</v>
      </c>
      <c r="E90" s="21"/>
      <c r="F90" s="21"/>
      <c r="G90" s="18">
        <v>0.0</v>
      </c>
      <c r="I90" s="19">
        <v>0.0</v>
      </c>
      <c r="K90" s="19">
        <v>0.0</v>
      </c>
      <c r="M90" s="19">
        <v>0.0</v>
      </c>
      <c r="O90" s="19">
        <v>0.0</v>
      </c>
      <c r="Q90" s="25">
        <f t="shared" si="1"/>
        <v>0</v>
      </c>
      <c r="R90" s="24">
        <f t="shared" si="2"/>
        <v>0</v>
      </c>
      <c r="S90" s="24">
        <f t="shared" si="3"/>
        <v>0</v>
      </c>
      <c r="T90" s="24">
        <f t="shared" si="4"/>
        <v>0</v>
      </c>
      <c r="U90" s="26">
        <f t="shared" si="5"/>
        <v>0</v>
      </c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6.5" customHeight="1">
      <c r="A91" s="22" t="s">
        <v>24</v>
      </c>
      <c r="B91" s="23">
        <f t="shared" si="6"/>
        <v>45744</v>
      </c>
      <c r="C91" s="24">
        <v>4.0</v>
      </c>
      <c r="D91" s="24" t="s">
        <v>20</v>
      </c>
      <c r="E91" s="37">
        <v>1.0</v>
      </c>
      <c r="F91" s="21" t="s">
        <v>30</v>
      </c>
      <c r="G91" s="18">
        <v>0.0</v>
      </c>
      <c r="I91" s="19">
        <v>45.0</v>
      </c>
      <c r="K91" s="19">
        <v>45.0</v>
      </c>
      <c r="M91" s="19">
        <v>0.0</v>
      </c>
      <c r="O91" s="19">
        <v>45.0</v>
      </c>
      <c r="Q91" s="25">
        <f t="shared" si="1"/>
        <v>2622.6</v>
      </c>
      <c r="R91" s="24">
        <f t="shared" si="2"/>
        <v>90</v>
      </c>
      <c r="S91" s="24">
        <f t="shared" si="3"/>
        <v>45</v>
      </c>
      <c r="T91" s="24">
        <f t="shared" si="4"/>
        <v>135</v>
      </c>
      <c r="U91" s="26">
        <f t="shared" si="5"/>
        <v>19.42666667</v>
      </c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22" t="s">
        <v>25</v>
      </c>
      <c r="B92" s="23">
        <f t="shared" si="6"/>
        <v>45745</v>
      </c>
      <c r="C92" s="24">
        <v>4.0</v>
      </c>
      <c r="D92" s="24" t="s">
        <v>20</v>
      </c>
      <c r="E92" s="37">
        <v>1.0</v>
      </c>
      <c r="F92" s="21" t="s">
        <v>31</v>
      </c>
      <c r="G92" s="18">
        <v>45.0</v>
      </c>
      <c r="I92" s="19">
        <v>45.0</v>
      </c>
      <c r="K92" s="19">
        <v>0.0</v>
      </c>
      <c r="M92" s="19">
        <v>0.0</v>
      </c>
      <c r="O92" s="19">
        <v>0.0</v>
      </c>
      <c r="Q92" s="25">
        <f t="shared" si="1"/>
        <v>2248.2</v>
      </c>
      <c r="R92" s="24">
        <f t="shared" si="2"/>
        <v>90</v>
      </c>
      <c r="S92" s="24">
        <f t="shared" si="3"/>
        <v>0</v>
      </c>
      <c r="T92" s="24">
        <f t="shared" si="4"/>
        <v>90</v>
      </c>
      <c r="U92" s="26">
        <f t="shared" si="5"/>
        <v>24.98</v>
      </c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27" t="s">
        <v>26</v>
      </c>
      <c r="B93" s="28">
        <f t="shared" si="6"/>
        <v>45746</v>
      </c>
      <c r="C93" s="29">
        <v>4.0</v>
      </c>
      <c r="D93" s="29" t="s">
        <v>20</v>
      </c>
      <c r="E93" s="38">
        <v>1.0</v>
      </c>
      <c r="F93" s="30" t="s">
        <v>31</v>
      </c>
      <c r="G93" s="31">
        <v>45.0</v>
      </c>
      <c r="H93" s="6"/>
      <c r="I93" s="32">
        <v>45.0</v>
      </c>
      <c r="J93" s="6"/>
      <c r="K93" s="32">
        <v>0.0</v>
      </c>
      <c r="L93" s="6"/>
      <c r="M93" s="32">
        <v>0.0</v>
      </c>
      <c r="N93" s="6"/>
      <c r="O93" s="32">
        <v>0.0</v>
      </c>
      <c r="P93" s="6"/>
      <c r="Q93" s="33">
        <f t="shared" si="1"/>
        <v>2248.2</v>
      </c>
      <c r="R93" s="29">
        <f t="shared" si="2"/>
        <v>90</v>
      </c>
      <c r="S93" s="29">
        <f t="shared" si="3"/>
        <v>0</v>
      </c>
      <c r="T93" s="29">
        <f t="shared" si="4"/>
        <v>90</v>
      </c>
      <c r="U93" s="34">
        <f t="shared" si="5"/>
        <v>24.98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14" t="s">
        <v>19</v>
      </c>
      <c r="B94" s="35">
        <f t="shared" si="6"/>
        <v>45747</v>
      </c>
      <c r="C94" s="16">
        <v>4.0</v>
      </c>
      <c r="D94" s="16" t="s">
        <v>27</v>
      </c>
      <c r="E94" s="17"/>
      <c r="F94" s="17" t="s">
        <v>32</v>
      </c>
      <c r="G94" s="18">
        <v>0.0</v>
      </c>
      <c r="I94" s="19">
        <v>0.0</v>
      </c>
      <c r="K94" s="19">
        <v>0.0</v>
      </c>
      <c r="M94" s="19">
        <v>0.0</v>
      </c>
      <c r="O94" s="19">
        <v>0.0</v>
      </c>
      <c r="Q94" s="20">
        <f t="shared" si="1"/>
        <v>0</v>
      </c>
      <c r="R94" s="16">
        <f t="shared" si="2"/>
        <v>0</v>
      </c>
      <c r="S94" s="16">
        <f t="shared" si="3"/>
        <v>0</v>
      </c>
      <c r="T94" s="16">
        <f t="shared" si="4"/>
        <v>0</v>
      </c>
      <c r="U94" s="36">
        <f t="shared" si="5"/>
        <v>0</v>
      </c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22" t="s">
        <v>21</v>
      </c>
      <c r="B95" s="23">
        <f t="shared" si="6"/>
        <v>45748</v>
      </c>
      <c r="C95" s="24">
        <v>4.0</v>
      </c>
      <c r="D95" s="24" t="s">
        <v>27</v>
      </c>
      <c r="E95" s="21"/>
      <c r="F95" s="21" t="s">
        <v>32</v>
      </c>
      <c r="G95" s="18">
        <v>0.0</v>
      </c>
      <c r="I95" s="19">
        <v>0.0</v>
      </c>
      <c r="K95" s="19">
        <v>0.0</v>
      </c>
      <c r="M95" s="19">
        <v>0.0</v>
      </c>
      <c r="O95" s="19">
        <v>0.0</v>
      </c>
      <c r="Q95" s="25">
        <f t="shared" si="1"/>
        <v>0</v>
      </c>
      <c r="R95" s="24">
        <f t="shared" si="2"/>
        <v>0</v>
      </c>
      <c r="S95" s="24">
        <f t="shared" si="3"/>
        <v>0</v>
      </c>
      <c r="T95" s="24">
        <f t="shared" si="4"/>
        <v>0</v>
      </c>
      <c r="U95" s="26">
        <f t="shared" si="5"/>
        <v>0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22" t="s">
        <v>22</v>
      </c>
      <c r="B96" s="23">
        <f t="shared" si="6"/>
        <v>45749</v>
      </c>
      <c r="C96" s="24">
        <v>4.0</v>
      </c>
      <c r="D96" s="24" t="s">
        <v>27</v>
      </c>
      <c r="E96" s="21"/>
      <c r="F96" s="21" t="s">
        <v>32</v>
      </c>
      <c r="G96" s="18">
        <v>0.0</v>
      </c>
      <c r="I96" s="19">
        <v>0.0</v>
      </c>
      <c r="K96" s="19">
        <v>0.0</v>
      </c>
      <c r="M96" s="19">
        <v>0.0</v>
      </c>
      <c r="O96" s="19">
        <v>0.0</v>
      </c>
      <c r="Q96" s="25">
        <f t="shared" si="1"/>
        <v>0</v>
      </c>
      <c r="R96" s="24">
        <f t="shared" si="2"/>
        <v>0</v>
      </c>
      <c r="S96" s="24">
        <f t="shared" si="3"/>
        <v>0</v>
      </c>
      <c r="T96" s="24">
        <f t="shared" si="4"/>
        <v>0</v>
      </c>
      <c r="U96" s="26">
        <f t="shared" si="5"/>
        <v>0</v>
      </c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22" t="s">
        <v>23</v>
      </c>
      <c r="B97" s="23">
        <f t="shared" si="6"/>
        <v>45750</v>
      </c>
      <c r="C97" s="24">
        <v>4.0</v>
      </c>
      <c r="D97" s="24" t="s">
        <v>27</v>
      </c>
      <c r="E97" s="21"/>
      <c r="F97" s="21" t="s">
        <v>32</v>
      </c>
      <c r="G97" s="18">
        <v>0.0</v>
      </c>
      <c r="I97" s="19">
        <v>0.0</v>
      </c>
      <c r="K97" s="19">
        <v>0.0</v>
      </c>
      <c r="M97" s="19">
        <v>0.0</v>
      </c>
      <c r="O97" s="19">
        <v>0.0</v>
      </c>
      <c r="Q97" s="25">
        <f t="shared" si="1"/>
        <v>0</v>
      </c>
      <c r="R97" s="24">
        <f t="shared" si="2"/>
        <v>0</v>
      </c>
      <c r="S97" s="24">
        <f t="shared" si="3"/>
        <v>0</v>
      </c>
      <c r="T97" s="24">
        <f t="shared" si="4"/>
        <v>0</v>
      </c>
      <c r="U97" s="26">
        <f t="shared" si="5"/>
        <v>0</v>
      </c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22" t="s">
        <v>24</v>
      </c>
      <c r="B98" s="23">
        <f t="shared" si="6"/>
        <v>45751</v>
      </c>
      <c r="C98" s="24">
        <v>4.0</v>
      </c>
      <c r="D98" s="24" t="s">
        <v>27</v>
      </c>
      <c r="E98" s="21"/>
      <c r="F98" s="21" t="s">
        <v>32</v>
      </c>
      <c r="G98" s="18">
        <v>0.0</v>
      </c>
      <c r="I98" s="19">
        <v>0.0</v>
      </c>
      <c r="K98" s="19">
        <v>0.0</v>
      </c>
      <c r="M98" s="19">
        <v>0.0</v>
      </c>
      <c r="O98" s="19">
        <v>0.0</v>
      </c>
      <c r="Q98" s="25">
        <f t="shared" si="1"/>
        <v>0</v>
      </c>
      <c r="R98" s="24">
        <f t="shared" si="2"/>
        <v>0</v>
      </c>
      <c r="S98" s="24">
        <f t="shared" si="3"/>
        <v>0</v>
      </c>
      <c r="T98" s="24">
        <f t="shared" si="4"/>
        <v>0</v>
      </c>
      <c r="U98" s="26">
        <f t="shared" si="5"/>
        <v>0</v>
      </c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22" t="s">
        <v>25</v>
      </c>
      <c r="B99" s="23">
        <f t="shared" si="6"/>
        <v>45752</v>
      </c>
      <c r="C99" s="24">
        <v>4.0</v>
      </c>
      <c r="D99" s="24" t="s">
        <v>27</v>
      </c>
      <c r="E99" s="21"/>
      <c r="F99" s="21" t="s">
        <v>32</v>
      </c>
      <c r="G99" s="18">
        <v>0.0</v>
      </c>
      <c r="I99" s="19">
        <v>0.0</v>
      </c>
      <c r="K99" s="19">
        <v>0.0</v>
      </c>
      <c r="M99" s="19">
        <v>0.0</v>
      </c>
      <c r="O99" s="19">
        <v>0.0</v>
      </c>
      <c r="Q99" s="25">
        <f t="shared" si="1"/>
        <v>0</v>
      </c>
      <c r="R99" s="24">
        <f t="shared" si="2"/>
        <v>0</v>
      </c>
      <c r="S99" s="24">
        <f t="shared" si="3"/>
        <v>0</v>
      </c>
      <c r="T99" s="24">
        <f t="shared" si="4"/>
        <v>0</v>
      </c>
      <c r="U99" s="26">
        <f t="shared" si="5"/>
        <v>0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27" t="s">
        <v>26</v>
      </c>
      <c r="B100" s="28">
        <f t="shared" si="6"/>
        <v>45753</v>
      </c>
      <c r="C100" s="29">
        <v>4.0</v>
      </c>
      <c r="D100" s="29" t="s">
        <v>27</v>
      </c>
      <c r="E100" s="30"/>
      <c r="F100" s="30" t="s">
        <v>32</v>
      </c>
      <c r="G100" s="32">
        <v>0.0</v>
      </c>
      <c r="H100" s="6"/>
      <c r="I100" s="32">
        <v>0.0</v>
      </c>
      <c r="J100" s="6"/>
      <c r="K100" s="32">
        <v>0.0</v>
      </c>
      <c r="L100" s="6"/>
      <c r="M100" s="32">
        <v>0.0</v>
      </c>
      <c r="N100" s="6"/>
      <c r="O100" s="32">
        <v>0.0</v>
      </c>
      <c r="P100" s="6"/>
      <c r="Q100" s="33">
        <f t="shared" si="1"/>
        <v>0</v>
      </c>
      <c r="R100" s="29">
        <f t="shared" si="2"/>
        <v>0</v>
      </c>
      <c r="S100" s="29">
        <f t="shared" si="3"/>
        <v>0</v>
      </c>
      <c r="T100" s="29">
        <f t="shared" si="4"/>
        <v>0</v>
      </c>
      <c r="U100" s="34">
        <f t="shared" si="5"/>
        <v>0</v>
      </c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14" t="s">
        <v>19</v>
      </c>
      <c r="B101" s="35">
        <f t="shared" si="6"/>
        <v>45754</v>
      </c>
      <c r="C101" s="16">
        <v>4.0</v>
      </c>
      <c r="D101" s="16" t="s">
        <v>28</v>
      </c>
      <c r="E101" s="17"/>
      <c r="F101" s="17" t="s">
        <v>32</v>
      </c>
      <c r="G101" s="18">
        <v>0.0</v>
      </c>
      <c r="I101" s="19">
        <v>0.0</v>
      </c>
      <c r="K101" s="19">
        <v>0.0</v>
      </c>
      <c r="M101" s="19">
        <v>0.0</v>
      </c>
      <c r="O101" s="19">
        <v>0.0</v>
      </c>
      <c r="Q101" s="20">
        <f t="shared" si="1"/>
        <v>0</v>
      </c>
      <c r="R101" s="16">
        <f t="shared" si="2"/>
        <v>0</v>
      </c>
      <c r="S101" s="16">
        <f t="shared" si="3"/>
        <v>0</v>
      </c>
      <c r="T101" s="16">
        <f t="shared" si="4"/>
        <v>0</v>
      </c>
      <c r="U101" s="36">
        <f t="shared" si="5"/>
        <v>0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22" t="s">
        <v>21</v>
      </c>
      <c r="B102" s="23">
        <f t="shared" si="6"/>
        <v>45755</v>
      </c>
      <c r="C102" s="24">
        <v>4.0</v>
      </c>
      <c r="D102" s="24" t="s">
        <v>28</v>
      </c>
      <c r="E102" s="37">
        <v>2.0</v>
      </c>
      <c r="F102" s="21" t="s">
        <v>33</v>
      </c>
      <c r="G102" s="18">
        <v>0.0</v>
      </c>
      <c r="I102" s="19">
        <v>45.0</v>
      </c>
      <c r="K102" s="19">
        <v>45.0</v>
      </c>
      <c r="M102" s="19">
        <v>0.0</v>
      </c>
      <c r="O102" s="19">
        <v>45.0</v>
      </c>
      <c r="Q102" s="25">
        <f t="shared" si="1"/>
        <v>2622.6</v>
      </c>
      <c r="R102" s="24">
        <f t="shared" si="2"/>
        <v>90</v>
      </c>
      <c r="S102" s="24">
        <f t="shared" si="3"/>
        <v>45</v>
      </c>
      <c r="T102" s="24">
        <f t="shared" si="4"/>
        <v>135</v>
      </c>
      <c r="U102" s="26">
        <f t="shared" si="5"/>
        <v>19.42666667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22" t="s">
        <v>22</v>
      </c>
      <c r="B103" s="23">
        <f t="shared" si="6"/>
        <v>45756</v>
      </c>
      <c r="C103" s="24">
        <v>4.0</v>
      </c>
      <c r="D103" s="24" t="s">
        <v>28</v>
      </c>
      <c r="E103" s="37">
        <v>2.0</v>
      </c>
      <c r="F103" s="21" t="s">
        <v>31</v>
      </c>
      <c r="G103" s="18">
        <v>45.0</v>
      </c>
      <c r="I103" s="19">
        <v>45.0</v>
      </c>
      <c r="K103" s="19">
        <v>0.0</v>
      </c>
      <c r="M103" s="19">
        <v>0.0</v>
      </c>
      <c r="O103" s="19">
        <v>0.0</v>
      </c>
      <c r="Q103" s="25">
        <f t="shared" si="1"/>
        <v>2248.2</v>
      </c>
      <c r="R103" s="24">
        <f t="shared" si="2"/>
        <v>90</v>
      </c>
      <c r="S103" s="24">
        <f t="shared" si="3"/>
        <v>0</v>
      </c>
      <c r="T103" s="24">
        <f t="shared" si="4"/>
        <v>90</v>
      </c>
      <c r="U103" s="26">
        <f t="shared" si="5"/>
        <v>24.98</v>
      </c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22" t="s">
        <v>23</v>
      </c>
      <c r="B104" s="23">
        <f t="shared" si="6"/>
        <v>45757</v>
      </c>
      <c r="C104" s="24">
        <v>4.0</v>
      </c>
      <c r="D104" s="24" t="s">
        <v>28</v>
      </c>
      <c r="E104" s="37">
        <v>2.0</v>
      </c>
      <c r="F104" s="21" t="s">
        <v>33</v>
      </c>
      <c r="G104" s="18">
        <v>0.0</v>
      </c>
      <c r="I104" s="19">
        <v>45.0</v>
      </c>
      <c r="K104" s="19">
        <v>45.0</v>
      </c>
      <c r="M104" s="19">
        <v>0.0</v>
      </c>
      <c r="O104" s="19">
        <v>45.0</v>
      </c>
      <c r="Q104" s="25">
        <f t="shared" si="1"/>
        <v>2622.6</v>
      </c>
      <c r="R104" s="24">
        <f t="shared" si="2"/>
        <v>90</v>
      </c>
      <c r="S104" s="24">
        <f t="shared" si="3"/>
        <v>45</v>
      </c>
      <c r="T104" s="24">
        <f t="shared" si="4"/>
        <v>135</v>
      </c>
      <c r="U104" s="26">
        <f t="shared" si="5"/>
        <v>19.42666667</v>
      </c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22" t="s">
        <v>24</v>
      </c>
      <c r="B105" s="23">
        <f t="shared" si="6"/>
        <v>45758</v>
      </c>
      <c r="C105" s="24">
        <v>4.0</v>
      </c>
      <c r="D105" s="24" t="s">
        <v>28</v>
      </c>
      <c r="E105" s="37">
        <v>2.0</v>
      </c>
      <c r="F105" s="21" t="s">
        <v>33</v>
      </c>
      <c r="G105" s="18">
        <v>0.0</v>
      </c>
      <c r="I105" s="19">
        <v>45.0</v>
      </c>
      <c r="K105" s="19">
        <v>45.0</v>
      </c>
      <c r="M105" s="19">
        <v>0.0</v>
      </c>
      <c r="O105" s="19">
        <v>45.0</v>
      </c>
      <c r="Q105" s="25">
        <f t="shared" si="1"/>
        <v>2622.6</v>
      </c>
      <c r="R105" s="24">
        <f t="shared" si="2"/>
        <v>90</v>
      </c>
      <c r="S105" s="24">
        <f t="shared" si="3"/>
        <v>45</v>
      </c>
      <c r="T105" s="24">
        <f t="shared" si="4"/>
        <v>135</v>
      </c>
      <c r="U105" s="26">
        <f t="shared" si="5"/>
        <v>19.42666667</v>
      </c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22" t="s">
        <v>25</v>
      </c>
      <c r="B106" s="23">
        <f t="shared" si="6"/>
        <v>45759</v>
      </c>
      <c r="C106" s="24">
        <v>4.0</v>
      </c>
      <c r="D106" s="24" t="s">
        <v>28</v>
      </c>
      <c r="E106" s="37">
        <v>2.0</v>
      </c>
      <c r="F106" s="21" t="s">
        <v>33</v>
      </c>
      <c r="G106" s="18">
        <v>0.0</v>
      </c>
      <c r="I106" s="19">
        <v>45.0</v>
      </c>
      <c r="K106" s="19">
        <v>45.0</v>
      </c>
      <c r="M106" s="19">
        <v>0.0</v>
      </c>
      <c r="O106" s="19">
        <v>45.0</v>
      </c>
      <c r="Q106" s="25">
        <f t="shared" si="1"/>
        <v>2622.6</v>
      </c>
      <c r="R106" s="24">
        <f t="shared" si="2"/>
        <v>90</v>
      </c>
      <c r="S106" s="24">
        <f t="shared" si="3"/>
        <v>45</v>
      </c>
      <c r="T106" s="24">
        <f t="shared" si="4"/>
        <v>135</v>
      </c>
      <c r="U106" s="26">
        <f t="shared" si="5"/>
        <v>19.42666667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27" t="s">
        <v>26</v>
      </c>
      <c r="B107" s="28">
        <f t="shared" si="6"/>
        <v>45760</v>
      </c>
      <c r="C107" s="29">
        <v>4.0</v>
      </c>
      <c r="D107" s="29" t="s">
        <v>28</v>
      </c>
      <c r="E107" s="38">
        <v>2.0</v>
      </c>
      <c r="F107" s="30" t="s">
        <v>31</v>
      </c>
      <c r="G107" s="31">
        <v>45.0</v>
      </c>
      <c r="H107" s="6"/>
      <c r="I107" s="39">
        <v>0.0</v>
      </c>
      <c r="J107" s="6"/>
      <c r="K107" s="32">
        <v>0.0</v>
      </c>
      <c r="L107" s="6"/>
      <c r="M107" s="32">
        <v>0.0</v>
      </c>
      <c r="N107" s="6"/>
      <c r="O107" s="32">
        <v>0.0</v>
      </c>
      <c r="P107" s="6"/>
      <c r="Q107" s="33">
        <f t="shared" si="1"/>
        <v>1124.1</v>
      </c>
      <c r="R107" s="29">
        <f t="shared" si="2"/>
        <v>45</v>
      </c>
      <c r="S107" s="29">
        <f t="shared" si="3"/>
        <v>0</v>
      </c>
      <c r="T107" s="29">
        <f t="shared" si="4"/>
        <v>45</v>
      </c>
      <c r="U107" s="34">
        <f t="shared" si="5"/>
        <v>24.98</v>
      </c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14" t="s">
        <v>19</v>
      </c>
      <c r="B108" s="35">
        <f t="shared" si="6"/>
        <v>45761</v>
      </c>
      <c r="C108" s="16">
        <v>4.0</v>
      </c>
      <c r="D108" s="16" t="s">
        <v>29</v>
      </c>
      <c r="E108" s="17"/>
      <c r="F108" s="17" t="s">
        <v>32</v>
      </c>
      <c r="G108" s="18">
        <v>0.0</v>
      </c>
      <c r="I108" s="19">
        <v>0.0</v>
      </c>
      <c r="K108" s="19">
        <v>0.0</v>
      </c>
      <c r="M108" s="19">
        <v>0.0</v>
      </c>
      <c r="O108" s="19">
        <v>0.0</v>
      </c>
      <c r="Q108" s="20">
        <f t="shared" si="1"/>
        <v>0</v>
      </c>
      <c r="R108" s="16">
        <f t="shared" si="2"/>
        <v>0</v>
      </c>
      <c r="S108" s="16">
        <f t="shared" si="3"/>
        <v>0</v>
      </c>
      <c r="T108" s="16">
        <f t="shared" si="4"/>
        <v>0</v>
      </c>
      <c r="U108" s="36">
        <f t="shared" si="5"/>
        <v>0</v>
      </c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22" t="s">
        <v>21</v>
      </c>
      <c r="B109" s="23">
        <f t="shared" si="6"/>
        <v>45762</v>
      </c>
      <c r="C109" s="24">
        <v>4.0</v>
      </c>
      <c r="D109" s="24" t="s">
        <v>29</v>
      </c>
      <c r="E109" s="21"/>
      <c r="F109" s="21" t="s">
        <v>32</v>
      </c>
      <c r="G109" s="18">
        <v>0.0</v>
      </c>
      <c r="I109" s="19">
        <v>0.0</v>
      </c>
      <c r="K109" s="19">
        <v>0.0</v>
      </c>
      <c r="M109" s="19">
        <v>0.0</v>
      </c>
      <c r="O109" s="19">
        <v>0.0</v>
      </c>
      <c r="Q109" s="25">
        <f t="shared" si="1"/>
        <v>0</v>
      </c>
      <c r="R109" s="24">
        <f t="shared" si="2"/>
        <v>0</v>
      </c>
      <c r="S109" s="24">
        <f t="shared" si="3"/>
        <v>0</v>
      </c>
      <c r="T109" s="24">
        <f t="shared" si="4"/>
        <v>0</v>
      </c>
      <c r="U109" s="26">
        <f t="shared" si="5"/>
        <v>0</v>
      </c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22" t="s">
        <v>22</v>
      </c>
      <c r="B110" s="23">
        <f t="shared" si="6"/>
        <v>45763</v>
      </c>
      <c r="C110" s="24">
        <v>4.0</v>
      </c>
      <c r="D110" s="24" t="s">
        <v>29</v>
      </c>
      <c r="E110" s="21"/>
      <c r="F110" s="21" t="s">
        <v>32</v>
      </c>
      <c r="G110" s="18">
        <v>0.0</v>
      </c>
      <c r="I110" s="19">
        <v>0.0</v>
      </c>
      <c r="K110" s="19">
        <v>0.0</v>
      </c>
      <c r="M110" s="19">
        <v>0.0</v>
      </c>
      <c r="O110" s="19">
        <v>0.0</v>
      </c>
      <c r="Q110" s="25">
        <f t="shared" si="1"/>
        <v>0</v>
      </c>
      <c r="R110" s="24">
        <f t="shared" si="2"/>
        <v>0</v>
      </c>
      <c r="S110" s="24">
        <f t="shared" si="3"/>
        <v>0</v>
      </c>
      <c r="T110" s="24">
        <f t="shared" si="4"/>
        <v>0</v>
      </c>
      <c r="U110" s="26">
        <f t="shared" si="5"/>
        <v>0</v>
      </c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22" t="s">
        <v>23</v>
      </c>
      <c r="B111" s="23">
        <f t="shared" si="6"/>
        <v>45764</v>
      </c>
      <c r="C111" s="24">
        <v>4.0</v>
      </c>
      <c r="D111" s="24" t="s">
        <v>29</v>
      </c>
      <c r="E111" s="21"/>
      <c r="F111" s="21" t="s">
        <v>32</v>
      </c>
      <c r="G111" s="18">
        <v>0.0</v>
      </c>
      <c r="I111" s="19">
        <v>0.0</v>
      </c>
      <c r="K111" s="19">
        <v>0.0</v>
      </c>
      <c r="M111" s="19">
        <v>0.0</v>
      </c>
      <c r="O111" s="19">
        <v>0.0</v>
      </c>
      <c r="Q111" s="25">
        <f t="shared" si="1"/>
        <v>0</v>
      </c>
      <c r="R111" s="24">
        <f t="shared" si="2"/>
        <v>0</v>
      </c>
      <c r="S111" s="24">
        <f t="shared" si="3"/>
        <v>0</v>
      </c>
      <c r="T111" s="24">
        <f t="shared" si="4"/>
        <v>0</v>
      </c>
      <c r="U111" s="26">
        <f t="shared" si="5"/>
        <v>0</v>
      </c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22" t="s">
        <v>24</v>
      </c>
      <c r="B112" s="23">
        <f t="shared" si="6"/>
        <v>45765</v>
      </c>
      <c r="C112" s="24">
        <v>4.0</v>
      </c>
      <c r="D112" s="24" t="s">
        <v>29</v>
      </c>
      <c r="E112" s="21"/>
      <c r="F112" s="21" t="s">
        <v>32</v>
      </c>
      <c r="G112" s="18">
        <v>0.0</v>
      </c>
      <c r="I112" s="19">
        <v>0.0</v>
      </c>
      <c r="K112" s="19">
        <v>0.0</v>
      </c>
      <c r="M112" s="19">
        <v>0.0</v>
      </c>
      <c r="O112" s="19">
        <v>0.0</v>
      </c>
      <c r="Q112" s="25">
        <f t="shared" si="1"/>
        <v>0</v>
      </c>
      <c r="R112" s="24">
        <f t="shared" si="2"/>
        <v>0</v>
      </c>
      <c r="S112" s="24">
        <f t="shared" si="3"/>
        <v>0</v>
      </c>
      <c r="T112" s="24">
        <f t="shared" si="4"/>
        <v>0</v>
      </c>
      <c r="U112" s="26">
        <f t="shared" si="5"/>
        <v>0</v>
      </c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22" t="s">
        <v>25</v>
      </c>
      <c r="B113" s="23">
        <f t="shared" si="6"/>
        <v>45766</v>
      </c>
      <c r="C113" s="24">
        <v>4.0</v>
      </c>
      <c r="D113" s="24" t="s">
        <v>29</v>
      </c>
      <c r="E113" s="21"/>
      <c r="F113" s="21" t="s">
        <v>32</v>
      </c>
      <c r="G113" s="18">
        <v>0.0</v>
      </c>
      <c r="I113" s="19">
        <v>0.0</v>
      </c>
      <c r="K113" s="19">
        <v>0.0</v>
      </c>
      <c r="M113" s="19">
        <v>0.0</v>
      </c>
      <c r="O113" s="19">
        <v>0.0</v>
      </c>
      <c r="Q113" s="25">
        <f t="shared" si="1"/>
        <v>0</v>
      </c>
      <c r="R113" s="24">
        <f t="shared" si="2"/>
        <v>0</v>
      </c>
      <c r="S113" s="24">
        <f t="shared" si="3"/>
        <v>0</v>
      </c>
      <c r="T113" s="24">
        <f t="shared" si="4"/>
        <v>0</v>
      </c>
      <c r="U113" s="26">
        <f t="shared" si="5"/>
        <v>0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27" t="s">
        <v>26</v>
      </c>
      <c r="B114" s="28">
        <f t="shared" si="6"/>
        <v>45767</v>
      </c>
      <c r="C114" s="29">
        <v>4.0</v>
      </c>
      <c r="D114" s="29" t="s">
        <v>29</v>
      </c>
      <c r="E114" s="30"/>
      <c r="F114" s="30" t="s">
        <v>32</v>
      </c>
      <c r="G114" s="32">
        <v>0.0</v>
      </c>
      <c r="H114" s="6"/>
      <c r="I114" s="32">
        <v>0.0</v>
      </c>
      <c r="J114" s="6"/>
      <c r="K114" s="32">
        <v>0.0</v>
      </c>
      <c r="L114" s="6"/>
      <c r="M114" s="32">
        <v>0.0</v>
      </c>
      <c r="N114" s="6"/>
      <c r="O114" s="32">
        <v>0.0</v>
      </c>
      <c r="P114" s="6"/>
      <c r="Q114" s="33">
        <f t="shared" si="1"/>
        <v>0</v>
      </c>
      <c r="R114" s="29">
        <f t="shared" si="2"/>
        <v>0</v>
      </c>
      <c r="S114" s="29">
        <f t="shared" si="3"/>
        <v>0</v>
      </c>
      <c r="T114" s="29">
        <f t="shared" si="4"/>
        <v>0</v>
      </c>
      <c r="U114" s="34">
        <f t="shared" si="5"/>
        <v>0</v>
      </c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14" t="s">
        <v>19</v>
      </c>
      <c r="B115" s="35">
        <f t="shared" si="6"/>
        <v>45768</v>
      </c>
      <c r="C115" s="16">
        <v>5.0</v>
      </c>
      <c r="D115" s="16" t="s">
        <v>20</v>
      </c>
      <c r="E115" s="17"/>
      <c r="F115" s="17" t="s">
        <v>32</v>
      </c>
      <c r="G115" s="18">
        <v>0.0</v>
      </c>
      <c r="I115" s="19">
        <v>0.0</v>
      </c>
      <c r="K115" s="19">
        <v>0.0</v>
      </c>
      <c r="M115" s="19">
        <v>0.0</v>
      </c>
      <c r="O115" s="19">
        <v>0.0</v>
      </c>
      <c r="Q115" s="20">
        <f t="shared" si="1"/>
        <v>0</v>
      </c>
      <c r="R115" s="16">
        <f t="shared" si="2"/>
        <v>0</v>
      </c>
      <c r="S115" s="16">
        <f t="shared" si="3"/>
        <v>0</v>
      </c>
      <c r="T115" s="16">
        <f t="shared" si="4"/>
        <v>0</v>
      </c>
      <c r="U115" s="36">
        <f t="shared" si="5"/>
        <v>0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22" t="s">
        <v>21</v>
      </c>
      <c r="B116" s="23">
        <f t="shared" si="6"/>
        <v>45769</v>
      </c>
      <c r="C116" s="24">
        <v>5.0</v>
      </c>
      <c r="D116" s="24" t="s">
        <v>20</v>
      </c>
      <c r="E116" s="37">
        <v>3.0</v>
      </c>
      <c r="F116" s="21" t="s">
        <v>33</v>
      </c>
      <c r="G116" s="18">
        <v>0.0</v>
      </c>
      <c r="I116" s="19">
        <v>45.0</v>
      </c>
      <c r="K116" s="19">
        <v>45.0</v>
      </c>
      <c r="M116" s="19">
        <v>0.0</v>
      </c>
      <c r="O116" s="19">
        <v>45.0</v>
      </c>
      <c r="Q116" s="25">
        <f t="shared" si="1"/>
        <v>2622.6</v>
      </c>
      <c r="R116" s="24">
        <f t="shared" si="2"/>
        <v>90</v>
      </c>
      <c r="S116" s="24">
        <f t="shared" si="3"/>
        <v>45</v>
      </c>
      <c r="T116" s="24">
        <f t="shared" si="4"/>
        <v>135</v>
      </c>
      <c r="U116" s="26">
        <f t="shared" si="5"/>
        <v>19.42666667</v>
      </c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22" t="s">
        <v>22</v>
      </c>
      <c r="B117" s="23">
        <f t="shared" si="6"/>
        <v>45770</v>
      </c>
      <c r="C117" s="24">
        <v>5.0</v>
      </c>
      <c r="D117" s="24" t="s">
        <v>20</v>
      </c>
      <c r="E117" s="37">
        <v>3.0</v>
      </c>
      <c r="F117" s="21" t="s">
        <v>31</v>
      </c>
      <c r="G117" s="18">
        <v>45.0</v>
      </c>
      <c r="I117" s="19">
        <v>45.0</v>
      </c>
      <c r="K117" s="19">
        <v>0.0</v>
      </c>
      <c r="M117" s="19">
        <v>0.0</v>
      </c>
      <c r="O117" s="19">
        <v>0.0</v>
      </c>
      <c r="Q117" s="25">
        <f t="shared" si="1"/>
        <v>2248.2</v>
      </c>
      <c r="R117" s="24">
        <f t="shared" si="2"/>
        <v>90</v>
      </c>
      <c r="S117" s="24">
        <f t="shared" si="3"/>
        <v>0</v>
      </c>
      <c r="T117" s="24">
        <f t="shared" si="4"/>
        <v>90</v>
      </c>
      <c r="U117" s="26">
        <f t="shared" si="5"/>
        <v>24.98</v>
      </c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22" t="s">
        <v>23</v>
      </c>
      <c r="B118" s="23">
        <f t="shared" si="6"/>
        <v>45771</v>
      </c>
      <c r="C118" s="24">
        <v>5.0</v>
      </c>
      <c r="D118" s="24" t="s">
        <v>20</v>
      </c>
      <c r="E118" s="37">
        <v>3.0</v>
      </c>
      <c r="F118" s="21" t="s">
        <v>33</v>
      </c>
      <c r="G118" s="18">
        <v>0.0</v>
      </c>
      <c r="I118" s="19">
        <v>45.0</v>
      </c>
      <c r="K118" s="19">
        <v>45.0</v>
      </c>
      <c r="M118" s="19">
        <v>0.0</v>
      </c>
      <c r="O118" s="19">
        <v>45.0</v>
      </c>
      <c r="Q118" s="25">
        <f t="shared" si="1"/>
        <v>2622.6</v>
      </c>
      <c r="R118" s="24">
        <f t="shared" si="2"/>
        <v>90</v>
      </c>
      <c r="S118" s="24">
        <f t="shared" si="3"/>
        <v>45</v>
      </c>
      <c r="T118" s="24">
        <f t="shared" si="4"/>
        <v>135</v>
      </c>
      <c r="U118" s="26">
        <f t="shared" si="5"/>
        <v>19.42666667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22" t="s">
        <v>24</v>
      </c>
      <c r="B119" s="23">
        <f t="shared" si="6"/>
        <v>45772</v>
      </c>
      <c r="C119" s="24">
        <v>5.0</v>
      </c>
      <c r="D119" s="24" t="s">
        <v>20</v>
      </c>
      <c r="E119" s="37">
        <v>3.0</v>
      </c>
      <c r="F119" s="21" t="s">
        <v>33</v>
      </c>
      <c r="G119" s="18">
        <v>0.0</v>
      </c>
      <c r="I119" s="19">
        <v>45.0</v>
      </c>
      <c r="K119" s="19">
        <v>45.0</v>
      </c>
      <c r="M119" s="19">
        <v>0.0</v>
      </c>
      <c r="O119" s="19">
        <v>45.0</v>
      </c>
      <c r="Q119" s="25">
        <f t="shared" si="1"/>
        <v>2622.6</v>
      </c>
      <c r="R119" s="24">
        <f t="shared" si="2"/>
        <v>90</v>
      </c>
      <c r="S119" s="24">
        <f t="shared" si="3"/>
        <v>45</v>
      </c>
      <c r="T119" s="24">
        <f t="shared" si="4"/>
        <v>135</v>
      </c>
      <c r="U119" s="26">
        <f t="shared" si="5"/>
        <v>19.42666667</v>
      </c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22" t="s">
        <v>25</v>
      </c>
      <c r="B120" s="23">
        <f t="shared" si="6"/>
        <v>45773</v>
      </c>
      <c r="C120" s="24">
        <v>5.0</v>
      </c>
      <c r="D120" s="24" t="s">
        <v>20</v>
      </c>
      <c r="E120" s="37">
        <v>3.0</v>
      </c>
      <c r="F120" s="21" t="s">
        <v>33</v>
      </c>
      <c r="G120" s="18">
        <v>0.0</v>
      </c>
      <c r="I120" s="19">
        <v>45.0</v>
      </c>
      <c r="K120" s="19">
        <v>45.0</v>
      </c>
      <c r="M120" s="19">
        <v>0.0</v>
      </c>
      <c r="O120" s="19">
        <v>45.0</v>
      </c>
      <c r="Q120" s="25">
        <f t="shared" si="1"/>
        <v>2622.6</v>
      </c>
      <c r="R120" s="24">
        <f t="shared" si="2"/>
        <v>90</v>
      </c>
      <c r="S120" s="24">
        <f t="shared" si="3"/>
        <v>45</v>
      </c>
      <c r="T120" s="24">
        <f t="shared" si="4"/>
        <v>135</v>
      </c>
      <c r="U120" s="26">
        <f t="shared" si="5"/>
        <v>19.42666667</v>
      </c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27" t="s">
        <v>26</v>
      </c>
      <c r="B121" s="28">
        <f t="shared" si="6"/>
        <v>45774</v>
      </c>
      <c r="C121" s="29">
        <v>5.0</v>
      </c>
      <c r="D121" s="29" t="s">
        <v>20</v>
      </c>
      <c r="E121" s="38">
        <v>3.0</v>
      </c>
      <c r="F121" s="30" t="s">
        <v>31</v>
      </c>
      <c r="G121" s="31">
        <v>45.0</v>
      </c>
      <c r="H121" s="6"/>
      <c r="I121" s="39">
        <v>0.0</v>
      </c>
      <c r="J121" s="6"/>
      <c r="K121" s="32">
        <v>0.0</v>
      </c>
      <c r="L121" s="6"/>
      <c r="M121" s="32">
        <v>0.0</v>
      </c>
      <c r="N121" s="6"/>
      <c r="O121" s="32">
        <v>0.0</v>
      </c>
      <c r="P121" s="6"/>
      <c r="Q121" s="33">
        <f t="shared" si="1"/>
        <v>1124.1</v>
      </c>
      <c r="R121" s="29">
        <f t="shared" si="2"/>
        <v>45</v>
      </c>
      <c r="S121" s="29">
        <f t="shared" si="3"/>
        <v>0</v>
      </c>
      <c r="T121" s="29">
        <f t="shared" si="4"/>
        <v>45</v>
      </c>
      <c r="U121" s="34">
        <f t="shared" si="5"/>
        <v>24.98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14" t="s">
        <v>19</v>
      </c>
      <c r="B122" s="35">
        <f t="shared" si="6"/>
        <v>45775</v>
      </c>
      <c r="C122" s="16">
        <v>5.0</v>
      </c>
      <c r="D122" s="16" t="s">
        <v>27</v>
      </c>
      <c r="E122" s="17"/>
      <c r="F122" s="17" t="s">
        <v>32</v>
      </c>
      <c r="G122" s="18">
        <v>0.0</v>
      </c>
      <c r="I122" s="19">
        <v>0.0</v>
      </c>
      <c r="K122" s="19">
        <v>0.0</v>
      </c>
      <c r="M122" s="19">
        <v>0.0</v>
      </c>
      <c r="O122" s="19">
        <v>0.0</v>
      </c>
      <c r="Q122" s="20">
        <f t="shared" si="1"/>
        <v>0</v>
      </c>
      <c r="R122" s="16">
        <f t="shared" si="2"/>
        <v>0</v>
      </c>
      <c r="S122" s="16">
        <f t="shared" si="3"/>
        <v>0</v>
      </c>
      <c r="T122" s="16">
        <f t="shared" si="4"/>
        <v>0</v>
      </c>
      <c r="U122" s="36">
        <f t="shared" si="5"/>
        <v>0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22" t="s">
        <v>21</v>
      </c>
      <c r="B123" s="23">
        <f t="shared" si="6"/>
        <v>45776</v>
      </c>
      <c r="C123" s="24">
        <v>5.0</v>
      </c>
      <c r="D123" s="24" t="s">
        <v>27</v>
      </c>
      <c r="E123" s="21"/>
      <c r="F123" s="21" t="s">
        <v>32</v>
      </c>
      <c r="G123" s="18">
        <v>0.0</v>
      </c>
      <c r="I123" s="19">
        <v>0.0</v>
      </c>
      <c r="K123" s="19">
        <v>0.0</v>
      </c>
      <c r="M123" s="19">
        <v>0.0</v>
      </c>
      <c r="O123" s="19">
        <v>0.0</v>
      </c>
      <c r="Q123" s="25">
        <f t="shared" si="1"/>
        <v>0</v>
      </c>
      <c r="R123" s="24">
        <f t="shared" si="2"/>
        <v>0</v>
      </c>
      <c r="S123" s="24">
        <f t="shared" si="3"/>
        <v>0</v>
      </c>
      <c r="T123" s="24">
        <f t="shared" si="4"/>
        <v>0</v>
      </c>
      <c r="U123" s="26">
        <f t="shared" si="5"/>
        <v>0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22" t="s">
        <v>22</v>
      </c>
      <c r="B124" s="23">
        <f t="shared" si="6"/>
        <v>45777</v>
      </c>
      <c r="C124" s="24">
        <v>5.0</v>
      </c>
      <c r="D124" s="24" t="s">
        <v>27</v>
      </c>
      <c r="E124" s="21"/>
      <c r="F124" s="21" t="s">
        <v>32</v>
      </c>
      <c r="G124" s="18">
        <v>0.0</v>
      </c>
      <c r="I124" s="19">
        <v>0.0</v>
      </c>
      <c r="K124" s="19">
        <v>0.0</v>
      </c>
      <c r="M124" s="19">
        <v>0.0</v>
      </c>
      <c r="O124" s="19">
        <v>0.0</v>
      </c>
      <c r="Q124" s="25">
        <f t="shared" si="1"/>
        <v>0</v>
      </c>
      <c r="R124" s="24">
        <f t="shared" si="2"/>
        <v>0</v>
      </c>
      <c r="S124" s="24">
        <f t="shared" si="3"/>
        <v>0</v>
      </c>
      <c r="T124" s="24">
        <f t="shared" si="4"/>
        <v>0</v>
      </c>
      <c r="U124" s="26">
        <f t="shared" si="5"/>
        <v>0</v>
      </c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22" t="s">
        <v>23</v>
      </c>
      <c r="B125" s="23">
        <f t="shared" si="6"/>
        <v>45778</v>
      </c>
      <c r="C125" s="24">
        <v>5.0</v>
      </c>
      <c r="D125" s="24" t="s">
        <v>27</v>
      </c>
      <c r="E125" s="21"/>
      <c r="F125" s="21" t="s">
        <v>32</v>
      </c>
      <c r="G125" s="18">
        <v>0.0</v>
      </c>
      <c r="I125" s="19">
        <v>0.0</v>
      </c>
      <c r="K125" s="19">
        <v>0.0</v>
      </c>
      <c r="M125" s="19">
        <v>0.0</v>
      </c>
      <c r="O125" s="19">
        <v>0.0</v>
      </c>
      <c r="Q125" s="25">
        <f t="shared" si="1"/>
        <v>0</v>
      </c>
      <c r="R125" s="24">
        <f t="shared" si="2"/>
        <v>0</v>
      </c>
      <c r="S125" s="24">
        <f t="shared" si="3"/>
        <v>0</v>
      </c>
      <c r="T125" s="24">
        <f t="shared" si="4"/>
        <v>0</v>
      </c>
      <c r="U125" s="26">
        <f t="shared" si="5"/>
        <v>0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22" t="s">
        <v>24</v>
      </c>
      <c r="B126" s="23">
        <f t="shared" si="6"/>
        <v>45779</v>
      </c>
      <c r="C126" s="24">
        <v>5.0</v>
      </c>
      <c r="D126" s="24" t="s">
        <v>27</v>
      </c>
      <c r="E126" s="21"/>
      <c r="F126" s="21" t="s">
        <v>32</v>
      </c>
      <c r="G126" s="18">
        <v>0.0</v>
      </c>
      <c r="I126" s="19">
        <v>0.0</v>
      </c>
      <c r="K126" s="19">
        <v>0.0</v>
      </c>
      <c r="M126" s="19">
        <v>0.0</v>
      </c>
      <c r="O126" s="19">
        <v>0.0</v>
      </c>
      <c r="Q126" s="25">
        <f t="shared" si="1"/>
        <v>0</v>
      </c>
      <c r="R126" s="24">
        <f t="shared" si="2"/>
        <v>0</v>
      </c>
      <c r="S126" s="24">
        <f t="shared" si="3"/>
        <v>0</v>
      </c>
      <c r="T126" s="24">
        <f t="shared" si="4"/>
        <v>0</v>
      </c>
      <c r="U126" s="26">
        <f t="shared" si="5"/>
        <v>0</v>
      </c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22" t="s">
        <v>25</v>
      </c>
      <c r="B127" s="23">
        <f t="shared" si="6"/>
        <v>45780</v>
      </c>
      <c r="C127" s="24">
        <v>5.0</v>
      </c>
      <c r="D127" s="24" t="s">
        <v>27</v>
      </c>
      <c r="E127" s="21"/>
      <c r="F127" s="21" t="s">
        <v>32</v>
      </c>
      <c r="G127" s="18">
        <v>0.0</v>
      </c>
      <c r="I127" s="19">
        <v>0.0</v>
      </c>
      <c r="K127" s="19">
        <v>0.0</v>
      </c>
      <c r="M127" s="19">
        <v>0.0</v>
      </c>
      <c r="O127" s="19">
        <v>0.0</v>
      </c>
      <c r="Q127" s="25">
        <f t="shared" si="1"/>
        <v>0</v>
      </c>
      <c r="R127" s="24">
        <f t="shared" si="2"/>
        <v>0</v>
      </c>
      <c r="S127" s="24">
        <f t="shared" si="3"/>
        <v>0</v>
      </c>
      <c r="T127" s="24">
        <f t="shared" si="4"/>
        <v>0</v>
      </c>
      <c r="U127" s="26">
        <f t="shared" si="5"/>
        <v>0</v>
      </c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27" t="s">
        <v>26</v>
      </c>
      <c r="B128" s="28">
        <f t="shared" si="6"/>
        <v>45781</v>
      </c>
      <c r="C128" s="29">
        <v>5.0</v>
      </c>
      <c r="D128" s="29" t="s">
        <v>27</v>
      </c>
      <c r="E128" s="30"/>
      <c r="F128" s="30" t="s">
        <v>32</v>
      </c>
      <c r="G128" s="32">
        <v>0.0</v>
      </c>
      <c r="H128" s="6"/>
      <c r="I128" s="32">
        <v>0.0</v>
      </c>
      <c r="J128" s="6"/>
      <c r="K128" s="32">
        <v>0.0</v>
      </c>
      <c r="L128" s="6"/>
      <c r="M128" s="32">
        <v>0.0</v>
      </c>
      <c r="N128" s="6"/>
      <c r="O128" s="32">
        <v>0.0</v>
      </c>
      <c r="P128" s="6"/>
      <c r="Q128" s="33">
        <f t="shared" si="1"/>
        <v>0</v>
      </c>
      <c r="R128" s="29">
        <f t="shared" si="2"/>
        <v>0</v>
      </c>
      <c r="S128" s="29">
        <f t="shared" si="3"/>
        <v>0</v>
      </c>
      <c r="T128" s="29">
        <f t="shared" si="4"/>
        <v>0</v>
      </c>
      <c r="U128" s="34">
        <f t="shared" si="5"/>
        <v>0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14" t="s">
        <v>19</v>
      </c>
      <c r="B129" s="35">
        <f t="shared" si="6"/>
        <v>45782</v>
      </c>
      <c r="C129" s="16">
        <v>5.0</v>
      </c>
      <c r="D129" s="16" t="s">
        <v>28</v>
      </c>
      <c r="E129" s="17"/>
      <c r="F129" s="17" t="s">
        <v>32</v>
      </c>
      <c r="G129" s="18">
        <v>0.0</v>
      </c>
      <c r="I129" s="19">
        <v>0.0</v>
      </c>
      <c r="K129" s="19">
        <v>0.0</v>
      </c>
      <c r="M129" s="19">
        <v>0.0</v>
      </c>
      <c r="O129" s="19">
        <v>0.0</v>
      </c>
      <c r="Q129" s="20">
        <f t="shared" si="1"/>
        <v>0</v>
      </c>
      <c r="R129" s="16">
        <f t="shared" si="2"/>
        <v>0</v>
      </c>
      <c r="S129" s="16">
        <f t="shared" si="3"/>
        <v>0</v>
      </c>
      <c r="T129" s="16">
        <f t="shared" si="4"/>
        <v>0</v>
      </c>
      <c r="U129" s="36">
        <f t="shared" si="5"/>
        <v>0</v>
      </c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22" t="s">
        <v>21</v>
      </c>
      <c r="B130" s="23">
        <f t="shared" si="6"/>
        <v>45783</v>
      </c>
      <c r="C130" s="24">
        <v>5.0</v>
      </c>
      <c r="D130" s="24" t="s">
        <v>28</v>
      </c>
      <c r="E130" s="37">
        <v>4.0</v>
      </c>
      <c r="F130" s="21" t="s">
        <v>33</v>
      </c>
      <c r="G130" s="18">
        <v>0.0</v>
      </c>
      <c r="I130" s="19">
        <v>45.0</v>
      </c>
      <c r="K130" s="19">
        <v>45.0</v>
      </c>
      <c r="M130" s="19">
        <v>0.0</v>
      </c>
      <c r="O130" s="19">
        <v>45.0</v>
      </c>
      <c r="Q130" s="25">
        <f t="shared" si="1"/>
        <v>2622.6</v>
      </c>
      <c r="R130" s="24">
        <f t="shared" si="2"/>
        <v>90</v>
      </c>
      <c r="S130" s="24">
        <f t="shared" si="3"/>
        <v>45</v>
      </c>
      <c r="T130" s="24">
        <f t="shared" si="4"/>
        <v>135</v>
      </c>
      <c r="U130" s="26">
        <f t="shared" si="5"/>
        <v>19.42666667</v>
      </c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22" t="s">
        <v>22</v>
      </c>
      <c r="B131" s="23">
        <f t="shared" si="6"/>
        <v>45784</v>
      </c>
      <c r="C131" s="24">
        <v>5.0</v>
      </c>
      <c r="D131" s="24" t="s">
        <v>28</v>
      </c>
      <c r="E131" s="37">
        <v>4.0</v>
      </c>
      <c r="F131" s="21" t="s">
        <v>31</v>
      </c>
      <c r="G131" s="18">
        <v>45.0</v>
      </c>
      <c r="I131" s="19">
        <v>45.0</v>
      </c>
      <c r="K131" s="19">
        <v>0.0</v>
      </c>
      <c r="M131" s="19">
        <v>0.0</v>
      </c>
      <c r="O131" s="19">
        <v>0.0</v>
      </c>
      <c r="Q131" s="25">
        <f t="shared" si="1"/>
        <v>2248.2</v>
      </c>
      <c r="R131" s="24">
        <f t="shared" si="2"/>
        <v>90</v>
      </c>
      <c r="S131" s="24">
        <f t="shared" si="3"/>
        <v>0</v>
      </c>
      <c r="T131" s="24">
        <f t="shared" si="4"/>
        <v>90</v>
      </c>
      <c r="U131" s="26">
        <f t="shared" si="5"/>
        <v>24.98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22" t="s">
        <v>23</v>
      </c>
      <c r="B132" s="23">
        <f t="shared" si="6"/>
        <v>45785</v>
      </c>
      <c r="C132" s="24">
        <v>5.0</v>
      </c>
      <c r="D132" s="24" t="s">
        <v>28</v>
      </c>
      <c r="E132" s="37">
        <v>4.0</v>
      </c>
      <c r="F132" s="21" t="s">
        <v>33</v>
      </c>
      <c r="G132" s="18">
        <v>0.0</v>
      </c>
      <c r="I132" s="19">
        <v>45.0</v>
      </c>
      <c r="K132" s="19">
        <v>45.0</v>
      </c>
      <c r="M132" s="19">
        <v>0.0</v>
      </c>
      <c r="O132" s="19">
        <v>45.0</v>
      </c>
      <c r="Q132" s="25">
        <f t="shared" si="1"/>
        <v>2622.6</v>
      </c>
      <c r="R132" s="24">
        <f t="shared" si="2"/>
        <v>90</v>
      </c>
      <c r="S132" s="24">
        <f t="shared" si="3"/>
        <v>45</v>
      </c>
      <c r="T132" s="24">
        <f t="shared" si="4"/>
        <v>135</v>
      </c>
      <c r="U132" s="26">
        <f t="shared" si="5"/>
        <v>19.42666667</v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22" t="s">
        <v>24</v>
      </c>
      <c r="B133" s="23">
        <f t="shared" si="6"/>
        <v>45786</v>
      </c>
      <c r="C133" s="24">
        <v>5.0</v>
      </c>
      <c r="D133" s="24" t="s">
        <v>28</v>
      </c>
      <c r="E133" s="37">
        <v>4.0</v>
      </c>
      <c r="F133" s="21" t="s">
        <v>33</v>
      </c>
      <c r="G133" s="18">
        <v>0.0</v>
      </c>
      <c r="I133" s="19">
        <v>45.0</v>
      </c>
      <c r="K133" s="19">
        <v>45.0</v>
      </c>
      <c r="M133" s="19">
        <v>0.0</v>
      </c>
      <c r="O133" s="19">
        <v>45.0</v>
      </c>
      <c r="Q133" s="25">
        <f t="shared" si="1"/>
        <v>2622.6</v>
      </c>
      <c r="R133" s="24">
        <f t="shared" si="2"/>
        <v>90</v>
      </c>
      <c r="S133" s="24">
        <f t="shared" si="3"/>
        <v>45</v>
      </c>
      <c r="T133" s="24">
        <f t="shared" si="4"/>
        <v>135</v>
      </c>
      <c r="U133" s="26">
        <f t="shared" si="5"/>
        <v>19.42666667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22" t="s">
        <v>25</v>
      </c>
      <c r="B134" s="23">
        <f t="shared" si="6"/>
        <v>45787</v>
      </c>
      <c r="C134" s="24">
        <v>5.0</v>
      </c>
      <c r="D134" s="24" t="s">
        <v>28</v>
      </c>
      <c r="E134" s="37">
        <v>4.0</v>
      </c>
      <c r="F134" s="21" t="s">
        <v>33</v>
      </c>
      <c r="G134" s="18">
        <v>0.0</v>
      </c>
      <c r="I134" s="19">
        <v>45.0</v>
      </c>
      <c r="K134" s="19">
        <v>45.0</v>
      </c>
      <c r="M134" s="19">
        <v>0.0</v>
      </c>
      <c r="O134" s="19">
        <v>45.0</v>
      </c>
      <c r="Q134" s="25">
        <f t="shared" si="1"/>
        <v>2622.6</v>
      </c>
      <c r="R134" s="24">
        <f t="shared" si="2"/>
        <v>90</v>
      </c>
      <c r="S134" s="24">
        <f t="shared" si="3"/>
        <v>45</v>
      </c>
      <c r="T134" s="24">
        <f t="shared" si="4"/>
        <v>135</v>
      </c>
      <c r="U134" s="26">
        <f t="shared" si="5"/>
        <v>19.42666667</v>
      </c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27" t="s">
        <v>26</v>
      </c>
      <c r="B135" s="28">
        <f t="shared" si="6"/>
        <v>45788</v>
      </c>
      <c r="C135" s="29">
        <v>5.0</v>
      </c>
      <c r="D135" s="29" t="s">
        <v>28</v>
      </c>
      <c r="E135" s="38">
        <v>4.0</v>
      </c>
      <c r="F135" s="30" t="s">
        <v>31</v>
      </c>
      <c r="G135" s="31">
        <v>45.0</v>
      </c>
      <c r="H135" s="6"/>
      <c r="I135" s="39">
        <v>0.0</v>
      </c>
      <c r="J135" s="6"/>
      <c r="K135" s="32">
        <v>0.0</v>
      </c>
      <c r="L135" s="6"/>
      <c r="M135" s="32">
        <v>0.0</v>
      </c>
      <c r="N135" s="6"/>
      <c r="O135" s="32">
        <v>0.0</v>
      </c>
      <c r="P135" s="6"/>
      <c r="Q135" s="33">
        <f t="shared" si="1"/>
        <v>1124.1</v>
      </c>
      <c r="R135" s="29">
        <f t="shared" si="2"/>
        <v>45</v>
      </c>
      <c r="S135" s="29">
        <f t="shared" si="3"/>
        <v>0</v>
      </c>
      <c r="T135" s="29">
        <f t="shared" si="4"/>
        <v>45</v>
      </c>
      <c r="U135" s="34">
        <f t="shared" si="5"/>
        <v>24.98</v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14" t="s">
        <v>19</v>
      </c>
      <c r="B136" s="35">
        <f t="shared" si="6"/>
        <v>45789</v>
      </c>
      <c r="C136" s="16">
        <v>5.0</v>
      </c>
      <c r="D136" s="16" t="s">
        <v>29</v>
      </c>
      <c r="E136" s="17"/>
      <c r="F136" s="17" t="s">
        <v>32</v>
      </c>
      <c r="G136" s="18">
        <v>0.0</v>
      </c>
      <c r="I136" s="19">
        <v>0.0</v>
      </c>
      <c r="K136" s="19">
        <v>0.0</v>
      </c>
      <c r="M136" s="19">
        <v>0.0</v>
      </c>
      <c r="O136" s="19">
        <v>0.0</v>
      </c>
      <c r="Q136" s="20">
        <f t="shared" si="1"/>
        <v>0</v>
      </c>
      <c r="R136" s="16">
        <f t="shared" si="2"/>
        <v>0</v>
      </c>
      <c r="S136" s="16">
        <f t="shared" si="3"/>
        <v>0</v>
      </c>
      <c r="T136" s="16">
        <f t="shared" si="4"/>
        <v>0</v>
      </c>
      <c r="U136" s="36">
        <f t="shared" si="5"/>
        <v>0</v>
      </c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22" t="s">
        <v>21</v>
      </c>
      <c r="B137" s="23">
        <f t="shared" si="6"/>
        <v>45790</v>
      </c>
      <c r="C137" s="24">
        <v>5.0</v>
      </c>
      <c r="D137" s="24" t="s">
        <v>29</v>
      </c>
      <c r="E137" s="21"/>
      <c r="F137" s="21" t="s">
        <v>32</v>
      </c>
      <c r="G137" s="18">
        <v>0.0</v>
      </c>
      <c r="I137" s="19">
        <v>0.0</v>
      </c>
      <c r="K137" s="19">
        <v>0.0</v>
      </c>
      <c r="M137" s="19">
        <v>0.0</v>
      </c>
      <c r="O137" s="19">
        <v>0.0</v>
      </c>
      <c r="Q137" s="25">
        <f t="shared" si="1"/>
        <v>0</v>
      </c>
      <c r="R137" s="24">
        <f t="shared" si="2"/>
        <v>0</v>
      </c>
      <c r="S137" s="24">
        <f t="shared" si="3"/>
        <v>0</v>
      </c>
      <c r="T137" s="24">
        <f t="shared" si="4"/>
        <v>0</v>
      </c>
      <c r="U137" s="26">
        <f t="shared" si="5"/>
        <v>0</v>
      </c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22" t="s">
        <v>22</v>
      </c>
      <c r="B138" s="23">
        <f t="shared" si="6"/>
        <v>45791</v>
      </c>
      <c r="C138" s="24">
        <v>5.0</v>
      </c>
      <c r="D138" s="24" t="s">
        <v>29</v>
      </c>
      <c r="E138" s="21"/>
      <c r="F138" s="21" t="s">
        <v>32</v>
      </c>
      <c r="G138" s="18">
        <v>0.0</v>
      </c>
      <c r="I138" s="19">
        <v>0.0</v>
      </c>
      <c r="K138" s="19">
        <v>0.0</v>
      </c>
      <c r="M138" s="19">
        <v>0.0</v>
      </c>
      <c r="O138" s="19">
        <v>0.0</v>
      </c>
      <c r="Q138" s="25">
        <f t="shared" si="1"/>
        <v>0</v>
      </c>
      <c r="R138" s="24">
        <f t="shared" si="2"/>
        <v>0</v>
      </c>
      <c r="S138" s="24">
        <f t="shared" si="3"/>
        <v>0</v>
      </c>
      <c r="T138" s="24">
        <f t="shared" si="4"/>
        <v>0</v>
      </c>
      <c r="U138" s="26">
        <f t="shared" si="5"/>
        <v>0</v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22" t="s">
        <v>23</v>
      </c>
      <c r="B139" s="23">
        <f t="shared" si="6"/>
        <v>45792</v>
      </c>
      <c r="C139" s="24">
        <v>5.0</v>
      </c>
      <c r="D139" s="24" t="s">
        <v>29</v>
      </c>
      <c r="E139" s="21"/>
      <c r="F139" s="21" t="s">
        <v>32</v>
      </c>
      <c r="G139" s="18">
        <v>0.0</v>
      </c>
      <c r="I139" s="19">
        <v>0.0</v>
      </c>
      <c r="K139" s="19">
        <v>0.0</v>
      </c>
      <c r="M139" s="19">
        <v>0.0</v>
      </c>
      <c r="O139" s="19">
        <v>0.0</v>
      </c>
      <c r="Q139" s="25">
        <f t="shared" si="1"/>
        <v>0</v>
      </c>
      <c r="R139" s="24">
        <f t="shared" si="2"/>
        <v>0</v>
      </c>
      <c r="S139" s="24">
        <f t="shared" si="3"/>
        <v>0</v>
      </c>
      <c r="T139" s="24">
        <f t="shared" si="4"/>
        <v>0</v>
      </c>
      <c r="U139" s="26">
        <f t="shared" si="5"/>
        <v>0</v>
      </c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22" t="s">
        <v>24</v>
      </c>
      <c r="B140" s="23">
        <f t="shared" si="6"/>
        <v>45793</v>
      </c>
      <c r="C140" s="24">
        <v>5.0</v>
      </c>
      <c r="D140" s="24" t="s">
        <v>29</v>
      </c>
      <c r="E140" s="21"/>
      <c r="F140" s="21" t="s">
        <v>32</v>
      </c>
      <c r="G140" s="18">
        <v>0.0</v>
      </c>
      <c r="I140" s="19">
        <v>0.0</v>
      </c>
      <c r="K140" s="19">
        <v>0.0</v>
      </c>
      <c r="M140" s="19">
        <v>0.0</v>
      </c>
      <c r="O140" s="19">
        <v>0.0</v>
      </c>
      <c r="Q140" s="25">
        <f t="shared" si="1"/>
        <v>0</v>
      </c>
      <c r="R140" s="24">
        <f t="shared" si="2"/>
        <v>0</v>
      </c>
      <c r="S140" s="24">
        <f t="shared" si="3"/>
        <v>0</v>
      </c>
      <c r="T140" s="24">
        <f t="shared" si="4"/>
        <v>0</v>
      </c>
      <c r="U140" s="26">
        <f t="shared" si="5"/>
        <v>0</v>
      </c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22" t="s">
        <v>25</v>
      </c>
      <c r="B141" s="23">
        <f t="shared" si="6"/>
        <v>45794</v>
      </c>
      <c r="C141" s="24">
        <v>5.0</v>
      </c>
      <c r="D141" s="24" t="s">
        <v>29</v>
      </c>
      <c r="E141" s="21"/>
      <c r="F141" s="21" t="s">
        <v>32</v>
      </c>
      <c r="G141" s="18">
        <v>0.0</v>
      </c>
      <c r="I141" s="19">
        <v>0.0</v>
      </c>
      <c r="K141" s="19">
        <v>0.0</v>
      </c>
      <c r="M141" s="19">
        <v>0.0</v>
      </c>
      <c r="O141" s="19">
        <v>0.0</v>
      </c>
      <c r="Q141" s="25">
        <f t="shared" si="1"/>
        <v>0</v>
      </c>
      <c r="R141" s="24">
        <f t="shared" si="2"/>
        <v>0</v>
      </c>
      <c r="S141" s="24">
        <f t="shared" si="3"/>
        <v>0</v>
      </c>
      <c r="T141" s="24">
        <f t="shared" si="4"/>
        <v>0</v>
      </c>
      <c r="U141" s="26">
        <f t="shared" si="5"/>
        <v>0</v>
      </c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27" t="s">
        <v>26</v>
      </c>
      <c r="B142" s="28">
        <f t="shared" si="6"/>
        <v>45795</v>
      </c>
      <c r="C142" s="29">
        <v>5.0</v>
      </c>
      <c r="D142" s="29" t="s">
        <v>29</v>
      </c>
      <c r="E142" s="30"/>
      <c r="F142" s="30" t="s">
        <v>32</v>
      </c>
      <c r="G142" s="32">
        <v>0.0</v>
      </c>
      <c r="H142" s="6"/>
      <c r="I142" s="32">
        <v>0.0</v>
      </c>
      <c r="J142" s="6"/>
      <c r="K142" s="32">
        <v>0.0</v>
      </c>
      <c r="L142" s="6"/>
      <c r="M142" s="32">
        <v>0.0</v>
      </c>
      <c r="N142" s="6"/>
      <c r="O142" s="32">
        <v>0.0</v>
      </c>
      <c r="P142" s="6"/>
      <c r="Q142" s="33">
        <f t="shared" si="1"/>
        <v>0</v>
      </c>
      <c r="R142" s="29">
        <f t="shared" si="2"/>
        <v>0</v>
      </c>
      <c r="S142" s="29">
        <f t="shared" si="3"/>
        <v>0</v>
      </c>
      <c r="T142" s="29">
        <f t="shared" si="4"/>
        <v>0</v>
      </c>
      <c r="U142" s="34">
        <f t="shared" si="5"/>
        <v>0</v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14" t="s">
        <v>19</v>
      </c>
      <c r="B143" s="35">
        <f t="shared" si="6"/>
        <v>45796</v>
      </c>
      <c r="C143" s="16">
        <v>6.0</v>
      </c>
      <c r="D143" s="16" t="s">
        <v>20</v>
      </c>
      <c r="E143" s="17"/>
      <c r="F143" s="17" t="s">
        <v>32</v>
      </c>
      <c r="G143" s="18">
        <v>0.0</v>
      </c>
      <c r="I143" s="19">
        <v>0.0</v>
      </c>
      <c r="K143" s="19">
        <v>0.0</v>
      </c>
      <c r="M143" s="19">
        <v>0.0</v>
      </c>
      <c r="O143" s="19">
        <v>0.0</v>
      </c>
      <c r="Q143" s="20">
        <f t="shared" si="1"/>
        <v>0</v>
      </c>
      <c r="R143" s="16">
        <f t="shared" si="2"/>
        <v>0</v>
      </c>
      <c r="S143" s="16">
        <f t="shared" si="3"/>
        <v>0</v>
      </c>
      <c r="T143" s="16">
        <f t="shared" si="4"/>
        <v>0</v>
      </c>
      <c r="U143" s="36">
        <f t="shared" si="5"/>
        <v>0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22" t="s">
        <v>21</v>
      </c>
      <c r="B144" s="23">
        <f t="shared" si="6"/>
        <v>45797</v>
      </c>
      <c r="C144" s="24">
        <v>6.0</v>
      </c>
      <c r="D144" s="24" t="s">
        <v>20</v>
      </c>
      <c r="E144" s="37">
        <v>5.0</v>
      </c>
      <c r="F144" s="21" t="s">
        <v>33</v>
      </c>
      <c r="G144" s="18">
        <v>0.0</v>
      </c>
      <c r="I144" s="19">
        <v>45.0</v>
      </c>
      <c r="K144" s="19">
        <v>45.0</v>
      </c>
      <c r="M144" s="19">
        <v>0.0</v>
      </c>
      <c r="O144" s="19">
        <v>45.0</v>
      </c>
      <c r="Q144" s="25">
        <f t="shared" si="1"/>
        <v>2622.6</v>
      </c>
      <c r="R144" s="24">
        <f t="shared" si="2"/>
        <v>90</v>
      </c>
      <c r="S144" s="24">
        <f t="shared" si="3"/>
        <v>45</v>
      </c>
      <c r="T144" s="24">
        <f t="shared" si="4"/>
        <v>135</v>
      </c>
      <c r="U144" s="26">
        <f t="shared" si="5"/>
        <v>19.42666667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22" t="s">
        <v>22</v>
      </c>
      <c r="B145" s="23">
        <f t="shared" si="6"/>
        <v>45798</v>
      </c>
      <c r="C145" s="24">
        <v>6.0</v>
      </c>
      <c r="D145" s="24" t="s">
        <v>20</v>
      </c>
      <c r="E145" s="37">
        <v>5.0</v>
      </c>
      <c r="F145" s="21" t="s">
        <v>33</v>
      </c>
      <c r="G145" s="18">
        <v>0.0</v>
      </c>
      <c r="I145" s="19">
        <v>45.0</v>
      </c>
      <c r="K145" s="19">
        <v>45.0</v>
      </c>
      <c r="M145" s="19">
        <v>0.0</v>
      </c>
      <c r="O145" s="19">
        <v>45.0</v>
      </c>
      <c r="Q145" s="25">
        <f t="shared" si="1"/>
        <v>2622.6</v>
      </c>
      <c r="R145" s="24">
        <f t="shared" si="2"/>
        <v>90</v>
      </c>
      <c r="S145" s="24">
        <f t="shared" si="3"/>
        <v>45</v>
      </c>
      <c r="T145" s="24">
        <f t="shared" si="4"/>
        <v>135</v>
      </c>
      <c r="U145" s="26">
        <f t="shared" si="5"/>
        <v>19.42666667</v>
      </c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22" t="s">
        <v>23</v>
      </c>
      <c r="B146" s="23">
        <f t="shared" si="6"/>
        <v>45799</v>
      </c>
      <c r="C146" s="24">
        <v>6.0</v>
      </c>
      <c r="D146" s="24" t="s">
        <v>20</v>
      </c>
      <c r="E146" s="37">
        <v>5.0</v>
      </c>
      <c r="F146" s="21" t="s">
        <v>33</v>
      </c>
      <c r="G146" s="18">
        <v>0.0</v>
      </c>
      <c r="I146" s="19">
        <v>45.0</v>
      </c>
      <c r="K146" s="19">
        <v>45.0</v>
      </c>
      <c r="M146" s="19">
        <v>0.0</v>
      </c>
      <c r="O146" s="19">
        <v>45.0</v>
      </c>
      <c r="Q146" s="25">
        <f t="shared" si="1"/>
        <v>2622.6</v>
      </c>
      <c r="R146" s="24">
        <f t="shared" si="2"/>
        <v>90</v>
      </c>
      <c r="S146" s="24">
        <f t="shared" si="3"/>
        <v>45</v>
      </c>
      <c r="T146" s="24">
        <f t="shared" si="4"/>
        <v>135</v>
      </c>
      <c r="U146" s="26">
        <f t="shared" si="5"/>
        <v>19.42666667</v>
      </c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22" t="s">
        <v>24</v>
      </c>
      <c r="B147" s="23">
        <f t="shared" si="6"/>
        <v>45800</v>
      </c>
      <c r="C147" s="24">
        <v>6.0</v>
      </c>
      <c r="D147" s="24" t="s">
        <v>20</v>
      </c>
      <c r="E147" s="37">
        <v>5.0</v>
      </c>
      <c r="F147" s="21" t="s">
        <v>33</v>
      </c>
      <c r="G147" s="18">
        <v>0.0</v>
      </c>
      <c r="I147" s="19">
        <v>45.0</v>
      </c>
      <c r="K147" s="19">
        <v>45.0</v>
      </c>
      <c r="M147" s="19">
        <v>0.0</v>
      </c>
      <c r="O147" s="19">
        <v>45.0</v>
      </c>
      <c r="Q147" s="25">
        <f t="shared" si="1"/>
        <v>2622.6</v>
      </c>
      <c r="R147" s="24">
        <f t="shared" si="2"/>
        <v>90</v>
      </c>
      <c r="S147" s="24">
        <f t="shared" si="3"/>
        <v>45</v>
      </c>
      <c r="T147" s="24">
        <f t="shared" si="4"/>
        <v>135</v>
      </c>
      <c r="U147" s="26">
        <f t="shared" si="5"/>
        <v>19.42666667</v>
      </c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22" t="s">
        <v>25</v>
      </c>
      <c r="B148" s="23">
        <f t="shared" si="6"/>
        <v>45801</v>
      </c>
      <c r="C148" s="24">
        <v>6.0</v>
      </c>
      <c r="D148" s="24" t="s">
        <v>20</v>
      </c>
      <c r="E148" s="37">
        <v>5.0</v>
      </c>
      <c r="F148" s="21" t="s">
        <v>33</v>
      </c>
      <c r="G148" s="18">
        <v>0.0</v>
      </c>
      <c r="I148" s="19">
        <v>45.0</v>
      </c>
      <c r="K148" s="19">
        <v>45.0</v>
      </c>
      <c r="M148" s="19">
        <v>0.0</v>
      </c>
      <c r="O148" s="19">
        <v>45.0</v>
      </c>
      <c r="Q148" s="25">
        <f t="shared" si="1"/>
        <v>2622.6</v>
      </c>
      <c r="R148" s="24">
        <f t="shared" si="2"/>
        <v>90</v>
      </c>
      <c r="S148" s="24">
        <f t="shared" si="3"/>
        <v>45</v>
      </c>
      <c r="T148" s="24">
        <f t="shared" si="4"/>
        <v>135</v>
      </c>
      <c r="U148" s="26">
        <f t="shared" si="5"/>
        <v>19.42666667</v>
      </c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27" t="s">
        <v>26</v>
      </c>
      <c r="B149" s="28">
        <f t="shared" si="6"/>
        <v>45802</v>
      </c>
      <c r="C149" s="29">
        <v>6.0</v>
      </c>
      <c r="D149" s="29" t="s">
        <v>20</v>
      </c>
      <c r="E149" s="38">
        <v>5.0</v>
      </c>
      <c r="F149" s="30" t="s">
        <v>33</v>
      </c>
      <c r="G149" s="31">
        <v>0.0</v>
      </c>
      <c r="H149" s="6"/>
      <c r="I149" s="32">
        <v>45.0</v>
      </c>
      <c r="J149" s="6"/>
      <c r="K149" s="39">
        <v>0.0</v>
      </c>
      <c r="L149" s="6"/>
      <c r="M149" s="32">
        <v>0.0</v>
      </c>
      <c r="N149" s="6"/>
      <c r="O149" s="32">
        <v>45.0</v>
      </c>
      <c r="P149" s="6"/>
      <c r="Q149" s="33">
        <f t="shared" si="1"/>
        <v>1498.5</v>
      </c>
      <c r="R149" s="29">
        <f t="shared" si="2"/>
        <v>45</v>
      </c>
      <c r="S149" s="29">
        <f t="shared" si="3"/>
        <v>45</v>
      </c>
      <c r="T149" s="29">
        <f t="shared" si="4"/>
        <v>90</v>
      </c>
      <c r="U149" s="34">
        <f t="shared" si="5"/>
        <v>16.65</v>
      </c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14" t="s">
        <v>19</v>
      </c>
      <c r="B150" s="35">
        <f t="shared" si="6"/>
        <v>45803</v>
      </c>
      <c r="C150" s="16">
        <v>6.0</v>
      </c>
      <c r="D150" s="16" t="s">
        <v>27</v>
      </c>
      <c r="E150" s="17"/>
      <c r="F150" s="17" t="s">
        <v>32</v>
      </c>
      <c r="G150" s="18">
        <v>0.0</v>
      </c>
      <c r="I150" s="19">
        <v>0.0</v>
      </c>
      <c r="K150" s="19">
        <v>0.0</v>
      </c>
      <c r="M150" s="19">
        <v>0.0</v>
      </c>
      <c r="O150" s="19">
        <v>0.0</v>
      </c>
      <c r="Q150" s="20">
        <f t="shared" si="1"/>
        <v>0</v>
      </c>
      <c r="R150" s="16">
        <f t="shared" si="2"/>
        <v>0</v>
      </c>
      <c r="S150" s="16">
        <f t="shared" si="3"/>
        <v>0</v>
      </c>
      <c r="T150" s="16">
        <f t="shared" si="4"/>
        <v>0</v>
      </c>
      <c r="U150" s="36">
        <f t="shared" si="5"/>
        <v>0</v>
      </c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22" t="s">
        <v>21</v>
      </c>
      <c r="B151" s="23">
        <f t="shared" si="6"/>
        <v>45804</v>
      </c>
      <c r="C151" s="24">
        <v>6.0</v>
      </c>
      <c r="D151" s="24" t="s">
        <v>27</v>
      </c>
      <c r="E151" s="21"/>
      <c r="F151" s="21" t="s">
        <v>32</v>
      </c>
      <c r="G151" s="18">
        <v>0.0</v>
      </c>
      <c r="I151" s="19">
        <v>0.0</v>
      </c>
      <c r="K151" s="19">
        <v>0.0</v>
      </c>
      <c r="M151" s="19">
        <v>0.0</v>
      </c>
      <c r="O151" s="19">
        <v>0.0</v>
      </c>
      <c r="Q151" s="25">
        <f t="shared" si="1"/>
        <v>0</v>
      </c>
      <c r="R151" s="24">
        <f t="shared" si="2"/>
        <v>0</v>
      </c>
      <c r="S151" s="24">
        <f t="shared" si="3"/>
        <v>0</v>
      </c>
      <c r="T151" s="24">
        <f t="shared" si="4"/>
        <v>0</v>
      </c>
      <c r="U151" s="26">
        <f t="shared" si="5"/>
        <v>0</v>
      </c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22" t="s">
        <v>22</v>
      </c>
      <c r="B152" s="23">
        <f t="shared" si="6"/>
        <v>45805</v>
      </c>
      <c r="C152" s="24">
        <v>6.0</v>
      </c>
      <c r="D152" s="24" t="s">
        <v>27</v>
      </c>
      <c r="E152" s="21"/>
      <c r="F152" s="21" t="s">
        <v>32</v>
      </c>
      <c r="G152" s="18">
        <v>0.0</v>
      </c>
      <c r="I152" s="19">
        <v>0.0</v>
      </c>
      <c r="K152" s="19">
        <v>0.0</v>
      </c>
      <c r="M152" s="19">
        <v>0.0</v>
      </c>
      <c r="O152" s="19">
        <v>0.0</v>
      </c>
      <c r="Q152" s="25">
        <f t="shared" si="1"/>
        <v>0</v>
      </c>
      <c r="R152" s="24">
        <f t="shared" si="2"/>
        <v>0</v>
      </c>
      <c r="S152" s="24">
        <f t="shared" si="3"/>
        <v>0</v>
      </c>
      <c r="T152" s="24">
        <f t="shared" si="4"/>
        <v>0</v>
      </c>
      <c r="U152" s="26">
        <f t="shared" si="5"/>
        <v>0</v>
      </c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22" t="s">
        <v>23</v>
      </c>
      <c r="B153" s="23">
        <f t="shared" si="6"/>
        <v>45806</v>
      </c>
      <c r="C153" s="24">
        <v>6.0</v>
      </c>
      <c r="D153" s="24" t="s">
        <v>27</v>
      </c>
      <c r="E153" s="21"/>
      <c r="F153" s="21" t="s">
        <v>32</v>
      </c>
      <c r="G153" s="18">
        <v>0.0</v>
      </c>
      <c r="I153" s="19">
        <v>0.0</v>
      </c>
      <c r="K153" s="19">
        <v>0.0</v>
      </c>
      <c r="M153" s="19">
        <v>0.0</v>
      </c>
      <c r="O153" s="19">
        <v>0.0</v>
      </c>
      <c r="Q153" s="25">
        <f t="shared" si="1"/>
        <v>0</v>
      </c>
      <c r="R153" s="24">
        <f t="shared" si="2"/>
        <v>0</v>
      </c>
      <c r="S153" s="24">
        <f t="shared" si="3"/>
        <v>0</v>
      </c>
      <c r="T153" s="24">
        <f t="shared" si="4"/>
        <v>0</v>
      </c>
      <c r="U153" s="26">
        <f t="shared" si="5"/>
        <v>0</v>
      </c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22" t="s">
        <v>24</v>
      </c>
      <c r="B154" s="23">
        <f t="shared" si="6"/>
        <v>45807</v>
      </c>
      <c r="C154" s="24">
        <v>6.0</v>
      </c>
      <c r="D154" s="24" t="s">
        <v>27</v>
      </c>
      <c r="E154" s="21"/>
      <c r="F154" s="21" t="s">
        <v>32</v>
      </c>
      <c r="G154" s="18">
        <v>0.0</v>
      </c>
      <c r="I154" s="19">
        <v>0.0</v>
      </c>
      <c r="K154" s="19">
        <v>0.0</v>
      </c>
      <c r="M154" s="19">
        <v>0.0</v>
      </c>
      <c r="O154" s="19">
        <v>0.0</v>
      </c>
      <c r="Q154" s="25">
        <f t="shared" si="1"/>
        <v>0</v>
      </c>
      <c r="R154" s="24">
        <f t="shared" si="2"/>
        <v>0</v>
      </c>
      <c r="S154" s="24">
        <f t="shared" si="3"/>
        <v>0</v>
      </c>
      <c r="T154" s="24">
        <f t="shared" si="4"/>
        <v>0</v>
      </c>
      <c r="U154" s="26">
        <f t="shared" si="5"/>
        <v>0</v>
      </c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22" t="s">
        <v>25</v>
      </c>
      <c r="B155" s="23">
        <f t="shared" si="6"/>
        <v>45808</v>
      </c>
      <c r="C155" s="24">
        <v>6.0</v>
      </c>
      <c r="D155" s="24" t="s">
        <v>27</v>
      </c>
      <c r="E155" s="21"/>
      <c r="F155" s="21" t="s">
        <v>32</v>
      </c>
      <c r="G155" s="18">
        <v>0.0</v>
      </c>
      <c r="I155" s="19">
        <v>0.0</v>
      </c>
      <c r="K155" s="19">
        <v>0.0</v>
      </c>
      <c r="M155" s="19">
        <v>0.0</v>
      </c>
      <c r="O155" s="19">
        <v>0.0</v>
      </c>
      <c r="Q155" s="25">
        <f t="shared" si="1"/>
        <v>0</v>
      </c>
      <c r="R155" s="24">
        <f t="shared" si="2"/>
        <v>0</v>
      </c>
      <c r="S155" s="24">
        <f t="shared" si="3"/>
        <v>0</v>
      </c>
      <c r="T155" s="24">
        <f t="shared" si="4"/>
        <v>0</v>
      </c>
      <c r="U155" s="26">
        <f t="shared" si="5"/>
        <v>0</v>
      </c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27" t="s">
        <v>26</v>
      </c>
      <c r="B156" s="28">
        <f t="shared" si="6"/>
        <v>45809</v>
      </c>
      <c r="C156" s="29">
        <v>6.0</v>
      </c>
      <c r="D156" s="29" t="s">
        <v>27</v>
      </c>
      <c r="E156" s="30"/>
      <c r="F156" s="30" t="s">
        <v>32</v>
      </c>
      <c r="G156" s="32">
        <v>0.0</v>
      </c>
      <c r="H156" s="6"/>
      <c r="I156" s="32">
        <v>0.0</v>
      </c>
      <c r="J156" s="6"/>
      <c r="K156" s="32">
        <v>0.0</v>
      </c>
      <c r="L156" s="6"/>
      <c r="M156" s="32">
        <v>0.0</v>
      </c>
      <c r="N156" s="6"/>
      <c r="O156" s="32">
        <v>0.0</v>
      </c>
      <c r="P156" s="6"/>
      <c r="Q156" s="33">
        <f t="shared" si="1"/>
        <v>0</v>
      </c>
      <c r="R156" s="29">
        <f t="shared" si="2"/>
        <v>0</v>
      </c>
      <c r="S156" s="29">
        <f t="shared" si="3"/>
        <v>0</v>
      </c>
      <c r="T156" s="29">
        <f t="shared" si="4"/>
        <v>0</v>
      </c>
      <c r="U156" s="34">
        <f t="shared" si="5"/>
        <v>0</v>
      </c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14" t="s">
        <v>19</v>
      </c>
      <c r="B157" s="35">
        <f t="shared" si="6"/>
        <v>45810</v>
      </c>
      <c r="C157" s="16">
        <v>6.0</v>
      </c>
      <c r="D157" s="16" t="s">
        <v>28</v>
      </c>
      <c r="E157" s="17"/>
      <c r="F157" s="17" t="s">
        <v>32</v>
      </c>
      <c r="G157" s="18">
        <v>0.0</v>
      </c>
      <c r="I157" s="19">
        <v>0.0</v>
      </c>
      <c r="K157" s="19">
        <v>0.0</v>
      </c>
      <c r="M157" s="19">
        <v>0.0</v>
      </c>
      <c r="O157" s="19">
        <v>0.0</v>
      </c>
      <c r="Q157" s="20">
        <f t="shared" si="1"/>
        <v>0</v>
      </c>
      <c r="R157" s="16">
        <f t="shared" si="2"/>
        <v>0</v>
      </c>
      <c r="S157" s="16">
        <f t="shared" si="3"/>
        <v>0</v>
      </c>
      <c r="T157" s="16">
        <f t="shared" si="4"/>
        <v>0</v>
      </c>
      <c r="U157" s="36">
        <f t="shared" si="5"/>
        <v>0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22" t="s">
        <v>21</v>
      </c>
      <c r="B158" s="23">
        <f t="shared" si="6"/>
        <v>45811</v>
      </c>
      <c r="C158" s="24">
        <v>6.0</v>
      </c>
      <c r="D158" s="24" t="s">
        <v>28</v>
      </c>
      <c r="E158" s="37"/>
      <c r="F158" s="21" t="s">
        <v>33</v>
      </c>
      <c r="G158" s="18">
        <v>0.0</v>
      </c>
      <c r="I158" s="19">
        <v>45.0</v>
      </c>
      <c r="K158" s="19">
        <v>45.0</v>
      </c>
      <c r="M158" s="19">
        <v>0.0</v>
      </c>
      <c r="O158" s="19">
        <v>45.0</v>
      </c>
      <c r="Q158" s="25">
        <f t="shared" si="1"/>
        <v>2622.6</v>
      </c>
      <c r="R158" s="24">
        <f t="shared" si="2"/>
        <v>90</v>
      </c>
      <c r="S158" s="24">
        <f t="shared" si="3"/>
        <v>45</v>
      </c>
      <c r="T158" s="24">
        <f t="shared" si="4"/>
        <v>135</v>
      </c>
      <c r="U158" s="26">
        <f t="shared" si="5"/>
        <v>19.42666667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22" t="s">
        <v>22</v>
      </c>
      <c r="B159" s="23">
        <f t="shared" si="6"/>
        <v>45812</v>
      </c>
      <c r="C159" s="24">
        <v>6.0</v>
      </c>
      <c r="D159" s="24" t="s">
        <v>28</v>
      </c>
      <c r="E159" s="37">
        <v>6.0</v>
      </c>
      <c r="F159" s="21" t="s">
        <v>33</v>
      </c>
      <c r="G159" s="18">
        <v>0.0</v>
      </c>
      <c r="I159" s="19">
        <v>45.0</v>
      </c>
      <c r="K159" s="19">
        <v>45.0</v>
      </c>
      <c r="M159" s="19">
        <v>0.0</v>
      </c>
      <c r="O159" s="19">
        <v>45.0</v>
      </c>
      <c r="Q159" s="25">
        <f t="shared" si="1"/>
        <v>2622.6</v>
      </c>
      <c r="R159" s="24">
        <f t="shared" si="2"/>
        <v>90</v>
      </c>
      <c r="S159" s="24">
        <f t="shared" si="3"/>
        <v>45</v>
      </c>
      <c r="T159" s="24">
        <f t="shared" si="4"/>
        <v>135</v>
      </c>
      <c r="U159" s="26">
        <f t="shared" si="5"/>
        <v>19.42666667</v>
      </c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22" t="s">
        <v>23</v>
      </c>
      <c r="B160" s="23">
        <f t="shared" si="6"/>
        <v>45813</v>
      </c>
      <c r="C160" s="24">
        <v>6.0</v>
      </c>
      <c r="D160" s="24" t="s">
        <v>28</v>
      </c>
      <c r="E160" s="37">
        <v>6.0</v>
      </c>
      <c r="F160" s="21" t="s">
        <v>33</v>
      </c>
      <c r="G160" s="18">
        <v>0.0</v>
      </c>
      <c r="I160" s="19">
        <v>45.0</v>
      </c>
      <c r="K160" s="19">
        <v>45.0</v>
      </c>
      <c r="M160" s="19">
        <v>0.0</v>
      </c>
      <c r="O160" s="19">
        <v>45.0</v>
      </c>
      <c r="Q160" s="25">
        <f t="shared" si="1"/>
        <v>2622.6</v>
      </c>
      <c r="R160" s="24">
        <f t="shared" si="2"/>
        <v>90</v>
      </c>
      <c r="S160" s="24">
        <f t="shared" si="3"/>
        <v>45</v>
      </c>
      <c r="T160" s="24">
        <f t="shared" si="4"/>
        <v>135</v>
      </c>
      <c r="U160" s="26">
        <f t="shared" si="5"/>
        <v>19.42666667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22" t="s">
        <v>24</v>
      </c>
      <c r="B161" s="23">
        <f t="shared" si="6"/>
        <v>45814</v>
      </c>
      <c r="C161" s="24">
        <v>6.0</v>
      </c>
      <c r="D161" s="24" t="s">
        <v>28</v>
      </c>
      <c r="E161" s="37">
        <v>6.0</v>
      </c>
      <c r="F161" s="21" t="s">
        <v>33</v>
      </c>
      <c r="G161" s="18">
        <v>0.0</v>
      </c>
      <c r="I161" s="19">
        <v>45.0</v>
      </c>
      <c r="K161" s="19">
        <v>45.0</v>
      </c>
      <c r="M161" s="19">
        <v>0.0</v>
      </c>
      <c r="O161" s="19">
        <v>45.0</v>
      </c>
      <c r="Q161" s="25">
        <f t="shared" si="1"/>
        <v>2622.6</v>
      </c>
      <c r="R161" s="24">
        <f t="shared" si="2"/>
        <v>90</v>
      </c>
      <c r="S161" s="24">
        <f t="shared" si="3"/>
        <v>45</v>
      </c>
      <c r="T161" s="24">
        <f t="shared" si="4"/>
        <v>135</v>
      </c>
      <c r="U161" s="26">
        <f t="shared" si="5"/>
        <v>19.42666667</v>
      </c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22" t="s">
        <v>25</v>
      </c>
      <c r="B162" s="23">
        <f t="shared" si="6"/>
        <v>45815</v>
      </c>
      <c r="C162" s="24">
        <v>6.0</v>
      </c>
      <c r="D162" s="24" t="s">
        <v>28</v>
      </c>
      <c r="E162" s="37">
        <v>6.0</v>
      </c>
      <c r="F162" s="21" t="s">
        <v>33</v>
      </c>
      <c r="G162" s="18">
        <v>0.0</v>
      </c>
      <c r="I162" s="19">
        <v>45.0</v>
      </c>
      <c r="K162" s="19">
        <v>45.0</v>
      </c>
      <c r="M162" s="19">
        <v>0.0</v>
      </c>
      <c r="O162" s="19">
        <v>45.0</v>
      </c>
      <c r="Q162" s="25">
        <f t="shared" si="1"/>
        <v>2622.6</v>
      </c>
      <c r="R162" s="24">
        <f t="shared" si="2"/>
        <v>90</v>
      </c>
      <c r="S162" s="24">
        <f t="shared" si="3"/>
        <v>45</v>
      </c>
      <c r="T162" s="24">
        <f t="shared" si="4"/>
        <v>135</v>
      </c>
      <c r="U162" s="26">
        <f t="shared" si="5"/>
        <v>19.42666667</v>
      </c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27" t="s">
        <v>26</v>
      </c>
      <c r="B163" s="28">
        <f t="shared" si="6"/>
        <v>45816</v>
      </c>
      <c r="C163" s="29">
        <v>6.0</v>
      </c>
      <c r="D163" s="29" t="s">
        <v>28</v>
      </c>
      <c r="E163" s="38">
        <v>6.0</v>
      </c>
      <c r="F163" s="30" t="s">
        <v>33</v>
      </c>
      <c r="G163" s="31">
        <v>0.0</v>
      </c>
      <c r="H163" s="6"/>
      <c r="I163" s="32">
        <v>45.0</v>
      </c>
      <c r="J163" s="6"/>
      <c r="K163" s="39">
        <v>0.0</v>
      </c>
      <c r="L163" s="6"/>
      <c r="M163" s="32">
        <v>0.0</v>
      </c>
      <c r="N163" s="6"/>
      <c r="O163" s="32">
        <v>45.0</v>
      </c>
      <c r="P163" s="6"/>
      <c r="Q163" s="33">
        <f t="shared" si="1"/>
        <v>1498.5</v>
      </c>
      <c r="R163" s="29">
        <f t="shared" si="2"/>
        <v>45</v>
      </c>
      <c r="S163" s="29">
        <f t="shared" si="3"/>
        <v>45</v>
      </c>
      <c r="T163" s="29">
        <f t="shared" si="4"/>
        <v>90</v>
      </c>
      <c r="U163" s="34">
        <f t="shared" si="5"/>
        <v>16.65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14" t="s">
        <v>19</v>
      </c>
      <c r="B164" s="35">
        <f t="shared" si="6"/>
        <v>45817</v>
      </c>
      <c r="C164" s="16">
        <v>6.0</v>
      </c>
      <c r="D164" s="16" t="s">
        <v>29</v>
      </c>
      <c r="E164" s="40"/>
      <c r="F164" s="17" t="s">
        <v>32</v>
      </c>
      <c r="G164" s="18">
        <v>0.0</v>
      </c>
      <c r="I164" s="19">
        <v>0.0</v>
      </c>
      <c r="K164" s="19">
        <v>0.0</v>
      </c>
      <c r="M164" s="19">
        <v>0.0</v>
      </c>
      <c r="O164" s="19">
        <v>0.0</v>
      </c>
      <c r="Q164" s="20">
        <f t="shared" si="1"/>
        <v>0</v>
      </c>
      <c r="R164" s="16">
        <f t="shared" si="2"/>
        <v>0</v>
      </c>
      <c r="S164" s="16">
        <f t="shared" si="3"/>
        <v>0</v>
      </c>
      <c r="T164" s="16">
        <f t="shared" si="4"/>
        <v>0</v>
      </c>
      <c r="U164" s="36">
        <f t="shared" si="5"/>
        <v>0</v>
      </c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22" t="s">
        <v>21</v>
      </c>
      <c r="B165" s="23">
        <f t="shared" si="6"/>
        <v>45818</v>
      </c>
      <c r="C165" s="24">
        <v>6.0</v>
      </c>
      <c r="D165" s="24" t="s">
        <v>29</v>
      </c>
      <c r="E165" s="21"/>
      <c r="F165" s="21" t="s">
        <v>32</v>
      </c>
      <c r="G165" s="18">
        <v>0.0</v>
      </c>
      <c r="I165" s="19">
        <v>0.0</v>
      </c>
      <c r="K165" s="19">
        <v>0.0</v>
      </c>
      <c r="M165" s="19">
        <v>0.0</v>
      </c>
      <c r="O165" s="19">
        <v>0.0</v>
      </c>
      <c r="Q165" s="25">
        <f t="shared" si="1"/>
        <v>0</v>
      </c>
      <c r="R165" s="24">
        <f t="shared" si="2"/>
        <v>0</v>
      </c>
      <c r="S165" s="24">
        <f t="shared" si="3"/>
        <v>0</v>
      </c>
      <c r="T165" s="24">
        <f t="shared" si="4"/>
        <v>0</v>
      </c>
      <c r="U165" s="26">
        <f t="shared" si="5"/>
        <v>0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22" t="s">
        <v>22</v>
      </c>
      <c r="B166" s="23">
        <f t="shared" si="6"/>
        <v>45819</v>
      </c>
      <c r="C166" s="24">
        <v>6.0</v>
      </c>
      <c r="D166" s="24" t="s">
        <v>29</v>
      </c>
      <c r="E166" s="21"/>
      <c r="F166" s="21" t="s">
        <v>32</v>
      </c>
      <c r="G166" s="18">
        <v>0.0</v>
      </c>
      <c r="I166" s="19">
        <v>0.0</v>
      </c>
      <c r="K166" s="19">
        <v>0.0</v>
      </c>
      <c r="M166" s="19">
        <v>0.0</v>
      </c>
      <c r="O166" s="19">
        <v>0.0</v>
      </c>
      <c r="Q166" s="25">
        <f t="shared" si="1"/>
        <v>0</v>
      </c>
      <c r="R166" s="24">
        <f t="shared" si="2"/>
        <v>0</v>
      </c>
      <c r="S166" s="24">
        <f t="shared" si="3"/>
        <v>0</v>
      </c>
      <c r="T166" s="24">
        <f t="shared" si="4"/>
        <v>0</v>
      </c>
      <c r="U166" s="26">
        <f t="shared" si="5"/>
        <v>0</v>
      </c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22" t="s">
        <v>23</v>
      </c>
      <c r="B167" s="23">
        <f t="shared" si="6"/>
        <v>45820</v>
      </c>
      <c r="C167" s="24">
        <v>6.0</v>
      </c>
      <c r="D167" s="24" t="s">
        <v>29</v>
      </c>
      <c r="E167" s="21"/>
      <c r="F167" s="21" t="s">
        <v>32</v>
      </c>
      <c r="G167" s="18">
        <v>0.0</v>
      </c>
      <c r="I167" s="19">
        <v>0.0</v>
      </c>
      <c r="K167" s="19">
        <v>0.0</v>
      </c>
      <c r="M167" s="19">
        <v>0.0</v>
      </c>
      <c r="O167" s="19">
        <v>0.0</v>
      </c>
      <c r="Q167" s="25">
        <f t="shared" si="1"/>
        <v>0</v>
      </c>
      <c r="R167" s="24">
        <f t="shared" si="2"/>
        <v>0</v>
      </c>
      <c r="S167" s="24">
        <f t="shared" si="3"/>
        <v>0</v>
      </c>
      <c r="T167" s="24">
        <f t="shared" si="4"/>
        <v>0</v>
      </c>
      <c r="U167" s="26">
        <f t="shared" si="5"/>
        <v>0</v>
      </c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22" t="s">
        <v>24</v>
      </c>
      <c r="B168" s="23">
        <f t="shared" si="6"/>
        <v>45821</v>
      </c>
      <c r="C168" s="24">
        <v>6.0</v>
      </c>
      <c r="D168" s="24" t="s">
        <v>29</v>
      </c>
      <c r="E168" s="21"/>
      <c r="F168" s="21" t="s">
        <v>32</v>
      </c>
      <c r="G168" s="18">
        <v>0.0</v>
      </c>
      <c r="I168" s="19">
        <v>0.0</v>
      </c>
      <c r="K168" s="19">
        <v>0.0</v>
      </c>
      <c r="M168" s="19">
        <v>0.0</v>
      </c>
      <c r="O168" s="19">
        <v>0.0</v>
      </c>
      <c r="Q168" s="25">
        <f t="shared" si="1"/>
        <v>0</v>
      </c>
      <c r="R168" s="24">
        <f t="shared" si="2"/>
        <v>0</v>
      </c>
      <c r="S168" s="24">
        <f t="shared" si="3"/>
        <v>0</v>
      </c>
      <c r="T168" s="24">
        <f t="shared" si="4"/>
        <v>0</v>
      </c>
      <c r="U168" s="26">
        <f t="shared" si="5"/>
        <v>0</v>
      </c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22" t="s">
        <v>25</v>
      </c>
      <c r="B169" s="23">
        <f t="shared" si="6"/>
        <v>45822</v>
      </c>
      <c r="C169" s="24">
        <v>6.0</v>
      </c>
      <c r="D169" s="24" t="s">
        <v>29</v>
      </c>
      <c r="E169" s="21"/>
      <c r="F169" s="21" t="s">
        <v>32</v>
      </c>
      <c r="G169" s="18">
        <v>0.0</v>
      </c>
      <c r="I169" s="19">
        <v>0.0</v>
      </c>
      <c r="K169" s="19">
        <v>0.0</v>
      </c>
      <c r="M169" s="19">
        <v>0.0</v>
      </c>
      <c r="O169" s="19">
        <v>0.0</v>
      </c>
      <c r="Q169" s="25">
        <f t="shared" si="1"/>
        <v>0</v>
      </c>
      <c r="R169" s="24">
        <f t="shared" si="2"/>
        <v>0</v>
      </c>
      <c r="S169" s="24">
        <f t="shared" si="3"/>
        <v>0</v>
      </c>
      <c r="T169" s="24">
        <f t="shared" si="4"/>
        <v>0</v>
      </c>
      <c r="U169" s="26">
        <f t="shared" si="5"/>
        <v>0</v>
      </c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27" t="s">
        <v>26</v>
      </c>
      <c r="B170" s="28">
        <f t="shared" si="6"/>
        <v>45823</v>
      </c>
      <c r="C170" s="29">
        <v>6.0</v>
      </c>
      <c r="D170" s="29" t="s">
        <v>29</v>
      </c>
      <c r="E170" s="30"/>
      <c r="F170" s="30" t="s">
        <v>32</v>
      </c>
      <c r="G170" s="32">
        <v>0.0</v>
      </c>
      <c r="H170" s="6"/>
      <c r="I170" s="32">
        <v>0.0</v>
      </c>
      <c r="J170" s="6"/>
      <c r="K170" s="32">
        <v>0.0</v>
      </c>
      <c r="L170" s="6"/>
      <c r="M170" s="32">
        <v>0.0</v>
      </c>
      <c r="N170" s="6"/>
      <c r="O170" s="32">
        <v>0.0</v>
      </c>
      <c r="P170" s="6"/>
      <c r="Q170" s="33">
        <f t="shared" si="1"/>
        <v>0</v>
      </c>
      <c r="R170" s="29">
        <f t="shared" si="2"/>
        <v>0</v>
      </c>
      <c r="S170" s="29">
        <f t="shared" si="3"/>
        <v>0</v>
      </c>
      <c r="T170" s="29">
        <f t="shared" si="4"/>
        <v>0</v>
      </c>
      <c r="U170" s="34">
        <f t="shared" si="5"/>
        <v>0</v>
      </c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14" t="s">
        <v>19</v>
      </c>
      <c r="B171" s="35">
        <f t="shared" si="6"/>
        <v>45824</v>
      </c>
      <c r="C171" s="16">
        <v>7.0</v>
      </c>
      <c r="D171" s="16" t="s">
        <v>20</v>
      </c>
      <c r="E171" s="17"/>
      <c r="F171" s="17" t="s">
        <v>32</v>
      </c>
      <c r="G171" s="18">
        <v>0.0</v>
      </c>
      <c r="I171" s="19">
        <v>0.0</v>
      </c>
      <c r="K171" s="19">
        <v>0.0</v>
      </c>
      <c r="M171" s="19">
        <v>0.0</v>
      </c>
      <c r="O171" s="19">
        <v>0.0</v>
      </c>
      <c r="Q171" s="20">
        <f t="shared" si="1"/>
        <v>0</v>
      </c>
      <c r="R171" s="16">
        <f t="shared" si="2"/>
        <v>0</v>
      </c>
      <c r="S171" s="16">
        <f t="shared" si="3"/>
        <v>0</v>
      </c>
      <c r="T171" s="16">
        <f t="shared" si="4"/>
        <v>0</v>
      </c>
      <c r="U171" s="36">
        <f t="shared" si="5"/>
        <v>0</v>
      </c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22" t="s">
        <v>21</v>
      </c>
      <c r="B172" s="23">
        <f t="shared" si="6"/>
        <v>45825</v>
      </c>
      <c r="C172" s="24">
        <v>7.0</v>
      </c>
      <c r="D172" s="24" t="s">
        <v>20</v>
      </c>
      <c r="E172" s="37">
        <v>7.0</v>
      </c>
      <c r="F172" s="21" t="s">
        <v>33</v>
      </c>
      <c r="G172" s="18">
        <v>0.0</v>
      </c>
      <c r="I172" s="19">
        <v>45.0</v>
      </c>
      <c r="K172" s="19">
        <v>45.0</v>
      </c>
      <c r="M172" s="19">
        <v>0.0</v>
      </c>
      <c r="O172" s="19">
        <v>45.0</v>
      </c>
      <c r="Q172" s="25">
        <f t="shared" si="1"/>
        <v>2622.6</v>
      </c>
      <c r="R172" s="24">
        <f t="shared" si="2"/>
        <v>90</v>
      </c>
      <c r="S172" s="24">
        <f t="shared" si="3"/>
        <v>45</v>
      </c>
      <c r="T172" s="24">
        <f t="shared" si="4"/>
        <v>135</v>
      </c>
      <c r="U172" s="26">
        <f t="shared" si="5"/>
        <v>19.42666667</v>
      </c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22" t="s">
        <v>22</v>
      </c>
      <c r="B173" s="23">
        <f t="shared" si="6"/>
        <v>45826</v>
      </c>
      <c r="C173" s="24">
        <v>7.0</v>
      </c>
      <c r="D173" s="24" t="s">
        <v>20</v>
      </c>
      <c r="E173" s="37">
        <v>7.0</v>
      </c>
      <c r="F173" s="21" t="s">
        <v>33</v>
      </c>
      <c r="G173" s="18">
        <v>0.0</v>
      </c>
      <c r="I173" s="19">
        <v>45.0</v>
      </c>
      <c r="K173" s="19">
        <v>45.0</v>
      </c>
      <c r="M173" s="19">
        <v>0.0</v>
      </c>
      <c r="O173" s="19">
        <v>45.0</v>
      </c>
      <c r="Q173" s="25">
        <f t="shared" si="1"/>
        <v>2622.6</v>
      </c>
      <c r="R173" s="24">
        <f t="shared" si="2"/>
        <v>90</v>
      </c>
      <c r="S173" s="24">
        <f t="shared" si="3"/>
        <v>45</v>
      </c>
      <c r="T173" s="24">
        <f t="shared" si="4"/>
        <v>135</v>
      </c>
      <c r="U173" s="26">
        <f t="shared" si="5"/>
        <v>19.42666667</v>
      </c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22" t="s">
        <v>23</v>
      </c>
      <c r="B174" s="23">
        <f t="shared" si="6"/>
        <v>45827</v>
      </c>
      <c r="C174" s="24">
        <v>7.0</v>
      </c>
      <c r="D174" s="24" t="s">
        <v>20</v>
      </c>
      <c r="E174" s="37">
        <v>7.0</v>
      </c>
      <c r="F174" s="21" t="s">
        <v>33</v>
      </c>
      <c r="G174" s="18">
        <v>0.0</v>
      </c>
      <c r="I174" s="19">
        <v>45.0</v>
      </c>
      <c r="K174" s="19">
        <v>45.0</v>
      </c>
      <c r="M174" s="19">
        <v>0.0</v>
      </c>
      <c r="O174" s="19">
        <v>45.0</v>
      </c>
      <c r="Q174" s="25">
        <f t="shared" si="1"/>
        <v>2622.6</v>
      </c>
      <c r="R174" s="24">
        <f t="shared" si="2"/>
        <v>90</v>
      </c>
      <c r="S174" s="24">
        <f t="shared" si="3"/>
        <v>45</v>
      </c>
      <c r="T174" s="24">
        <f t="shared" si="4"/>
        <v>135</v>
      </c>
      <c r="U174" s="26">
        <f t="shared" si="5"/>
        <v>19.42666667</v>
      </c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22" t="s">
        <v>24</v>
      </c>
      <c r="B175" s="23">
        <f t="shared" si="6"/>
        <v>45828</v>
      </c>
      <c r="C175" s="24">
        <v>7.0</v>
      </c>
      <c r="D175" s="24" t="s">
        <v>20</v>
      </c>
      <c r="E175" s="37">
        <v>7.0</v>
      </c>
      <c r="F175" s="21" t="s">
        <v>33</v>
      </c>
      <c r="G175" s="18">
        <v>0.0</v>
      </c>
      <c r="I175" s="19">
        <v>45.0</v>
      </c>
      <c r="K175" s="19">
        <v>45.0</v>
      </c>
      <c r="M175" s="19">
        <v>0.0</v>
      </c>
      <c r="O175" s="19">
        <v>45.0</v>
      </c>
      <c r="Q175" s="25">
        <f t="shared" si="1"/>
        <v>2622.6</v>
      </c>
      <c r="R175" s="24">
        <f t="shared" si="2"/>
        <v>90</v>
      </c>
      <c r="S175" s="24">
        <f t="shared" si="3"/>
        <v>45</v>
      </c>
      <c r="T175" s="24">
        <f t="shared" si="4"/>
        <v>135</v>
      </c>
      <c r="U175" s="26">
        <f t="shared" si="5"/>
        <v>19.42666667</v>
      </c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22" t="s">
        <v>25</v>
      </c>
      <c r="B176" s="23">
        <f t="shared" si="6"/>
        <v>45829</v>
      </c>
      <c r="C176" s="24">
        <v>7.0</v>
      </c>
      <c r="D176" s="24" t="s">
        <v>20</v>
      </c>
      <c r="E176" s="37">
        <v>7.0</v>
      </c>
      <c r="F176" s="21" t="s">
        <v>33</v>
      </c>
      <c r="G176" s="18">
        <v>0.0</v>
      </c>
      <c r="I176" s="19">
        <v>45.0</v>
      </c>
      <c r="K176" s="19">
        <v>45.0</v>
      </c>
      <c r="M176" s="19">
        <v>0.0</v>
      </c>
      <c r="O176" s="19">
        <v>45.0</v>
      </c>
      <c r="Q176" s="25">
        <f t="shared" si="1"/>
        <v>2622.6</v>
      </c>
      <c r="R176" s="24">
        <f t="shared" si="2"/>
        <v>90</v>
      </c>
      <c r="S176" s="24">
        <f t="shared" si="3"/>
        <v>45</v>
      </c>
      <c r="T176" s="24">
        <f t="shared" si="4"/>
        <v>135</v>
      </c>
      <c r="U176" s="26">
        <f t="shared" si="5"/>
        <v>19.42666667</v>
      </c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27" t="s">
        <v>26</v>
      </c>
      <c r="B177" s="28">
        <f t="shared" si="6"/>
        <v>45830</v>
      </c>
      <c r="C177" s="29">
        <v>7.0</v>
      </c>
      <c r="D177" s="29" t="s">
        <v>20</v>
      </c>
      <c r="E177" s="38">
        <v>7.0</v>
      </c>
      <c r="F177" s="30" t="s">
        <v>33</v>
      </c>
      <c r="G177" s="31">
        <v>0.0</v>
      </c>
      <c r="H177" s="6"/>
      <c r="I177" s="32">
        <v>45.0</v>
      </c>
      <c r="J177" s="6"/>
      <c r="K177" s="39">
        <v>0.0</v>
      </c>
      <c r="L177" s="6"/>
      <c r="M177" s="32">
        <v>0.0</v>
      </c>
      <c r="N177" s="6"/>
      <c r="O177" s="32">
        <v>45.0</v>
      </c>
      <c r="P177" s="6"/>
      <c r="Q177" s="33">
        <f t="shared" si="1"/>
        <v>1498.5</v>
      </c>
      <c r="R177" s="29">
        <f t="shared" si="2"/>
        <v>45</v>
      </c>
      <c r="S177" s="29">
        <f t="shared" si="3"/>
        <v>45</v>
      </c>
      <c r="T177" s="29">
        <f t="shared" si="4"/>
        <v>90</v>
      </c>
      <c r="U177" s="34">
        <f t="shared" si="5"/>
        <v>16.65</v>
      </c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14" t="s">
        <v>19</v>
      </c>
      <c r="B178" s="35">
        <f t="shared" si="6"/>
        <v>45831</v>
      </c>
      <c r="C178" s="16">
        <v>7.0</v>
      </c>
      <c r="D178" s="16" t="s">
        <v>27</v>
      </c>
      <c r="E178" s="17"/>
      <c r="F178" s="17" t="s">
        <v>32</v>
      </c>
      <c r="G178" s="18">
        <v>0.0</v>
      </c>
      <c r="I178" s="19">
        <v>0.0</v>
      </c>
      <c r="K178" s="19">
        <v>0.0</v>
      </c>
      <c r="M178" s="19">
        <v>0.0</v>
      </c>
      <c r="O178" s="19">
        <v>0.0</v>
      </c>
      <c r="Q178" s="20">
        <f t="shared" si="1"/>
        <v>0</v>
      </c>
      <c r="R178" s="16">
        <f t="shared" si="2"/>
        <v>0</v>
      </c>
      <c r="S178" s="16">
        <f t="shared" si="3"/>
        <v>0</v>
      </c>
      <c r="T178" s="16">
        <f t="shared" si="4"/>
        <v>0</v>
      </c>
      <c r="U178" s="36">
        <f t="shared" si="5"/>
        <v>0</v>
      </c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22" t="s">
        <v>21</v>
      </c>
      <c r="B179" s="23">
        <f t="shared" si="6"/>
        <v>45832</v>
      </c>
      <c r="C179" s="24">
        <v>7.0</v>
      </c>
      <c r="D179" s="24" t="s">
        <v>27</v>
      </c>
      <c r="E179" s="21"/>
      <c r="F179" s="21" t="s">
        <v>32</v>
      </c>
      <c r="G179" s="18">
        <v>0.0</v>
      </c>
      <c r="I179" s="19">
        <v>0.0</v>
      </c>
      <c r="K179" s="19">
        <v>0.0</v>
      </c>
      <c r="M179" s="19">
        <v>0.0</v>
      </c>
      <c r="O179" s="19">
        <v>0.0</v>
      </c>
      <c r="Q179" s="25">
        <f t="shared" si="1"/>
        <v>0</v>
      </c>
      <c r="R179" s="24">
        <f t="shared" si="2"/>
        <v>0</v>
      </c>
      <c r="S179" s="24">
        <f t="shared" si="3"/>
        <v>0</v>
      </c>
      <c r="T179" s="24">
        <f t="shared" si="4"/>
        <v>0</v>
      </c>
      <c r="U179" s="26">
        <f t="shared" si="5"/>
        <v>0</v>
      </c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22" t="s">
        <v>22</v>
      </c>
      <c r="B180" s="23">
        <f t="shared" si="6"/>
        <v>45833</v>
      </c>
      <c r="C180" s="24">
        <v>7.0</v>
      </c>
      <c r="D180" s="24" t="s">
        <v>27</v>
      </c>
      <c r="E180" s="21"/>
      <c r="F180" s="21" t="s">
        <v>32</v>
      </c>
      <c r="G180" s="18">
        <v>0.0</v>
      </c>
      <c r="I180" s="19">
        <v>0.0</v>
      </c>
      <c r="K180" s="19">
        <v>0.0</v>
      </c>
      <c r="M180" s="19">
        <v>0.0</v>
      </c>
      <c r="O180" s="19">
        <v>0.0</v>
      </c>
      <c r="Q180" s="25">
        <f t="shared" si="1"/>
        <v>0</v>
      </c>
      <c r="R180" s="24">
        <f t="shared" si="2"/>
        <v>0</v>
      </c>
      <c r="S180" s="24">
        <f t="shared" si="3"/>
        <v>0</v>
      </c>
      <c r="T180" s="24">
        <f t="shared" si="4"/>
        <v>0</v>
      </c>
      <c r="U180" s="26">
        <f t="shared" si="5"/>
        <v>0</v>
      </c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22" t="s">
        <v>23</v>
      </c>
      <c r="B181" s="23">
        <f t="shared" si="6"/>
        <v>45834</v>
      </c>
      <c r="C181" s="24">
        <v>7.0</v>
      </c>
      <c r="D181" s="24" t="s">
        <v>27</v>
      </c>
      <c r="E181" s="21"/>
      <c r="F181" s="21" t="s">
        <v>32</v>
      </c>
      <c r="G181" s="18">
        <v>0.0</v>
      </c>
      <c r="I181" s="19">
        <v>0.0</v>
      </c>
      <c r="K181" s="19">
        <v>0.0</v>
      </c>
      <c r="M181" s="19">
        <v>0.0</v>
      </c>
      <c r="O181" s="19">
        <v>0.0</v>
      </c>
      <c r="Q181" s="25">
        <f t="shared" si="1"/>
        <v>0</v>
      </c>
      <c r="R181" s="24">
        <f t="shared" si="2"/>
        <v>0</v>
      </c>
      <c r="S181" s="24">
        <f t="shared" si="3"/>
        <v>0</v>
      </c>
      <c r="T181" s="24">
        <f t="shared" si="4"/>
        <v>0</v>
      </c>
      <c r="U181" s="26">
        <f t="shared" si="5"/>
        <v>0</v>
      </c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22" t="s">
        <v>24</v>
      </c>
      <c r="B182" s="23">
        <f t="shared" si="6"/>
        <v>45835</v>
      </c>
      <c r="C182" s="24">
        <v>7.0</v>
      </c>
      <c r="D182" s="24" t="s">
        <v>27</v>
      </c>
      <c r="E182" s="21"/>
      <c r="F182" s="21" t="s">
        <v>32</v>
      </c>
      <c r="G182" s="18">
        <v>0.0</v>
      </c>
      <c r="I182" s="19">
        <v>0.0</v>
      </c>
      <c r="K182" s="19">
        <v>0.0</v>
      </c>
      <c r="M182" s="19">
        <v>0.0</v>
      </c>
      <c r="O182" s="19">
        <v>0.0</v>
      </c>
      <c r="Q182" s="25">
        <f t="shared" si="1"/>
        <v>0</v>
      </c>
      <c r="R182" s="24">
        <f t="shared" si="2"/>
        <v>0</v>
      </c>
      <c r="S182" s="24">
        <f t="shared" si="3"/>
        <v>0</v>
      </c>
      <c r="T182" s="24">
        <f t="shared" si="4"/>
        <v>0</v>
      </c>
      <c r="U182" s="26">
        <f t="shared" si="5"/>
        <v>0</v>
      </c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22" t="s">
        <v>25</v>
      </c>
      <c r="B183" s="23">
        <f t="shared" si="6"/>
        <v>45836</v>
      </c>
      <c r="C183" s="24">
        <v>7.0</v>
      </c>
      <c r="D183" s="24" t="s">
        <v>27</v>
      </c>
      <c r="E183" s="21"/>
      <c r="F183" s="21" t="s">
        <v>32</v>
      </c>
      <c r="G183" s="18">
        <v>0.0</v>
      </c>
      <c r="I183" s="19">
        <v>0.0</v>
      </c>
      <c r="K183" s="19">
        <v>0.0</v>
      </c>
      <c r="M183" s="19">
        <v>0.0</v>
      </c>
      <c r="O183" s="19">
        <v>0.0</v>
      </c>
      <c r="Q183" s="25">
        <f t="shared" si="1"/>
        <v>0</v>
      </c>
      <c r="R183" s="24">
        <f t="shared" si="2"/>
        <v>0</v>
      </c>
      <c r="S183" s="24">
        <f t="shared" si="3"/>
        <v>0</v>
      </c>
      <c r="T183" s="24">
        <f t="shared" si="4"/>
        <v>0</v>
      </c>
      <c r="U183" s="26">
        <f t="shared" si="5"/>
        <v>0</v>
      </c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27" t="s">
        <v>26</v>
      </c>
      <c r="B184" s="28">
        <f t="shared" si="6"/>
        <v>45837</v>
      </c>
      <c r="C184" s="29">
        <v>7.0</v>
      </c>
      <c r="D184" s="29" t="s">
        <v>27</v>
      </c>
      <c r="E184" s="30"/>
      <c r="F184" s="30" t="s">
        <v>32</v>
      </c>
      <c r="G184" s="32">
        <v>0.0</v>
      </c>
      <c r="H184" s="6"/>
      <c r="I184" s="32">
        <v>0.0</v>
      </c>
      <c r="J184" s="6"/>
      <c r="K184" s="32">
        <v>0.0</v>
      </c>
      <c r="L184" s="6"/>
      <c r="M184" s="32">
        <v>0.0</v>
      </c>
      <c r="N184" s="6"/>
      <c r="O184" s="32">
        <v>0.0</v>
      </c>
      <c r="P184" s="6"/>
      <c r="Q184" s="33">
        <f t="shared" si="1"/>
        <v>0</v>
      </c>
      <c r="R184" s="29">
        <f t="shared" si="2"/>
        <v>0</v>
      </c>
      <c r="S184" s="29">
        <f t="shared" si="3"/>
        <v>0</v>
      </c>
      <c r="T184" s="29">
        <f t="shared" si="4"/>
        <v>0</v>
      </c>
      <c r="U184" s="34">
        <f t="shared" si="5"/>
        <v>0</v>
      </c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14" t="s">
        <v>19</v>
      </c>
      <c r="B185" s="35">
        <f t="shared" si="6"/>
        <v>45838</v>
      </c>
      <c r="C185" s="16">
        <v>7.0</v>
      </c>
      <c r="D185" s="16" t="s">
        <v>28</v>
      </c>
      <c r="E185" s="40"/>
      <c r="F185" s="40" t="s">
        <v>32</v>
      </c>
      <c r="G185" s="18">
        <v>0.0</v>
      </c>
      <c r="I185" s="41">
        <v>0.0</v>
      </c>
      <c r="K185" s="41">
        <v>0.0</v>
      </c>
      <c r="M185" s="19">
        <v>0.0</v>
      </c>
      <c r="O185" s="41">
        <v>0.0</v>
      </c>
      <c r="Q185" s="20">
        <f t="shared" si="1"/>
        <v>0</v>
      </c>
      <c r="R185" s="16">
        <f t="shared" si="2"/>
        <v>0</v>
      </c>
      <c r="S185" s="16">
        <f t="shared" si="3"/>
        <v>0</v>
      </c>
      <c r="T185" s="16">
        <f t="shared" si="4"/>
        <v>0</v>
      </c>
      <c r="U185" s="36">
        <f t="shared" si="5"/>
        <v>0</v>
      </c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22" t="s">
        <v>21</v>
      </c>
      <c r="B186" s="23">
        <f t="shared" si="6"/>
        <v>45839</v>
      </c>
      <c r="C186" s="24">
        <v>7.0</v>
      </c>
      <c r="D186" s="24" t="s">
        <v>28</v>
      </c>
      <c r="E186" s="37">
        <v>8.0</v>
      </c>
      <c r="F186" s="21" t="s">
        <v>33</v>
      </c>
      <c r="G186" s="18">
        <v>0.0</v>
      </c>
      <c r="I186" s="19">
        <v>45.0</v>
      </c>
      <c r="K186" s="19">
        <v>45.0</v>
      </c>
      <c r="M186" s="19">
        <v>0.0</v>
      </c>
      <c r="O186" s="19">
        <v>45.0</v>
      </c>
      <c r="Q186" s="25">
        <f t="shared" si="1"/>
        <v>2622.6</v>
      </c>
      <c r="R186" s="24">
        <f t="shared" si="2"/>
        <v>90</v>
      </c>
      <c r="S186" s="24">
        <f t="shared" si="3"/>
        <v>45</v>
      </c>
      <c r="T186" s="24">
        <f t="shared" si="4"/>
        <v>135</v>
      </c>
      <c r="U186" s="26">
        <f t="shared" si="5"/>
        <v>19.42666667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22" t="s">
        <v>22</v>
      </c>
      <c r="B187" s="23">
        <f t="shared" si="6"/>
        <v>45840</v>
      </c>
      <c r="C187" s="24">
        <v>7.0</v>
      </c>
      <c r="D187" s="24" t="s">
        <v>28</v>
      </c>
      <c r="E187" s="37">
        <v>8.0</v>
      </c>
      <c r="F187" s="21" t="s">
        <v>33</v>
      </c>
      <c r="G187" s="18">
        <v>0.0</v>
      </c>
      <c r="I187" s="19">
        <v>45.0</v>
      </c>
      <c r="K187" s="19">
        <v>45.0</v>
      </c>
      <c r="M187" s="19">
        <v>0.0</v>
      </c>
      <c r="O187" s="19">
        <v>45.0</v>
      </c>
      <c r="Q187" s="25">
        <f t="shared" si="1"/>
        <v>2622.6</v>
      </c>
      <c r="R187" s="24">
        <f t="shared" si="2"/>
        <v>90</v>
      </c>
      <c r="S187" s="24">
        <f t="shared" si="3"/>
        <v>45</v>
      </c>
      <c r="T187" s="24">
        <f t="shared" si="4"/>
        <v>135</v>
      </c>
      <c r="U187" s="26">
        <f t="shared" si="5"/>
        <v>19.42666667</v>
      </c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22" t="s">
        <v>23</v>
      </c>
      <c r="B188" s="23">
        <f t="shared" si="6"/>
        <v>45841</v>
      </c>
      <c r="C188" s="24">
        <v>7.0</v>
      </c>
      <c r="D188" s="24" t="s">
        <v>28</v>
      </c>
      <c r="E188" s="37">
        <v>8.0</v>
      </c>
      <c r="F188" s="21" t="s">
        <v>33</v>
      </c>
      <c r="G188" s="18">
        <v>0.0</v>
      </c>
      <c r="I188" s="19">
        <v>45.0</v>
      </c>
      <c r="K188" s="19">
        <v>45.0</v>
      </c>
      <c r="M188" s="19">
        <v>0.0</v>
      </c>
      <c r="O188" s="19">
        <v>45.0</v>
      </c>
      <c r="Q188" s="25">
        <f t="shared" si="1"/>
        <v>2622.6</v>
      </c>
      <c r="R188" s="24">
        <f t="shared" si="2"/>
        <v>90</v>
      </c>
      <c r="S188" s="24">
        <f t="shared" si="3"/>
        <v>45</v>
      </c>
      <c r="T188" s="24">
        <f t="shared" si="4"/>
        <v>135</v>
      </c>
      <c r="U188" s="26">
        <f t="shared" si="5"/>
        <v>19.42666667</v>
      </c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22" t="s">
        <v>24</v>
      </c>
      <c r="B189" s="23">
        <f t="shared" si="6"/>
        <v>45842</v>
      </c>
      <c r="C189" s="24">
        <v>7.0</v>
      </c>
      <c r="D189" s="24" t="s">
        <v>28</v>
      </c>
      <c r="E189" s="21"/>
      <c r="F189" s="21" t="s">
        <v>32</v>
      </c>
      <c r="G189" s="18">
        <v>0.0</v>
      </c>
      <c r="I189" s="19">
        <v>0.0</v>
      </c>
      <c r="K189" s="19">
        <v>0.0</v>
      </c>
      <c r="M189" s="19">
        <v>0.0</v>
      </c>
      <c r="O189" s="19">
        <v>0.0</v>
      </c>
      <c r="Q189" s="25">
        <f t="shared" si="1"/>
        <v>0</v>
      </c>
      <c r="R189" s="24">
        <f t="shared" si="2"/>
        <v>0</v>
      </c>
      <c r="S189" s="24">
        <f t="shared" si="3"/>
        <v>0</v>
      </c>
      <c r="T189" s="24">
        <f t="shared" si="4"/>
        <v>0</v>
      </c>
      <c r="U189" s="26">
        <f t="shared" si="5"/>
        <v>0</v>
      </c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22" t="s">
        <v>25</v>
      </c>
      <c r="B190" s="23">
        <f t="shared" si="6"/>
        <v>45843</v>
      </c>
      <c r="C190" s="24">
        <v>7.0</v>
      </c>
      <c r="D190" s="24" t="s">
        <v>28</v>
      </c>
      <c r="E190" s="21"/>
      <c r="F190" s="21" t="s">
        <v>32</v>
      </c>
      <c r="G190" s="18">
        <v>0.0</v>
      </c>
      <c r="I190" s="19">
        <v>0.0</v>
      </c>
      <c r="K190" s="19">
        <v>0.0</v>
      </c>
      <c r="M190" s="19">
        <v>0.0</v>
      </c>
      <c r="O190" s="19">
        <v>0.0</v>
      </c>
      <c r="Q190" s="25">
        <f t="shared" si="1"/>
        <v>0</v>
      </c>
      <c r="R190" s="24">
        <f t="shared" si="2"/>
        <v>0</v>
      </c>
      <c r="S190" s="24">
        <f t="shared" si="3"/>
        <v>0</v>
      </c>
      <c r="T190" s="24">
        <f t="shared" si="4"/>
        <v>0</v>
      </c>
      <c r="U190" s="26">
        <f t="shared" si="5"/>
        <v>0</v>
      </c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27" t="s">
        <v>26</v>
      </c>
      <c r="B191" s="28">
        <f t="shared" si="6"/>
        <v>45844</v>
      </c>
      <c r="C191" s="29">
        <v>7.0</v>
      </c>
      <c r="D191" s="29" t="s">
        <v>28</v>
      </c>
      <c r="E191" s="30"/>
      <c r="F191" s="30" t="s">
        <v>32</v>
      </c>
      <c r="G191" s="31">
        <v>0.0</v>
      </c>
      <c r="H191" s="6"/>
      <c r="I191" s="32">
        <v>0.0</v>
      </c>
      <c r="J191" s="6"/>
      <c r="K191" s="32">
        <v>0.0</v>
      </c>
      <c r="L191" s="6"/>
      <c r="M191" s="32">
        <v>0.0</v>
      </c>
      <c r="N191" s="6"/>
      <c r="O191" s="32">
        <v>0.0</v>
      </c>
      <c r="P191" s="6"/>
      <c r="Q191" s="33">
        <f t="shared" si="1"/>
        <v>0</v>
      </c>
      <c r="R191" s="29">
        <f t="shared" si="2"/>
        <v>0</v>
      </c>
      <c r="S191" s="29">
        <f t="shared" si="3"/>
        <v>0</v>
      </c>
      <c r="T191" s="29">
        <f t="shared" si="4"/>
        <v>0</v>
      </c>
      <c r="U191" s="34">
        <f t="shared" si="5"/>
        <v>0</v>
      </c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14" t="s">
        <v>19</v>
      </c>
      <c r="B192" s="35">
        <f t="shared" si="6"/>
        <v>45845</v>
      </c>
      <c r="C192" s="16">
        <v>7.0</v>
      </c>
      <c r="D192" s="16" t="s">
        <v>29</v>
      </c>
      <c r="E192" s="17"/>
      <c r="F192" s="17" t="s">
        <v>32</v>
      </c>
      <c r="G192" s="18">
        <v>0.0</v>
      </c>
      <c r="I192" s="19">
        <v>0.0</v>
      </c>
      <c r="K192" s="19">
        <v>0.0</v>
      </c>
      <c r="M192" s="19">
        <v>0.0</v>
      </c>
      <c r="O192" s="19">
        <v>0.0</v>
      </c>
      <c r="Q192" s="20">
        <f t="shared" si="1"/>
        <v>0</v>
      </c>
      <c r="R192" s="16">
        <f t="shared" si="2"/>
        <v>0</v>
      </c>
      <c r="S192" s="16">
        <f t="shared" si="3"/>
        <v>0</v>
      </c>
      <c r="T192" s="16">
        <f t="shared" si="4"/>
        <v>0</v>
      </c>
      <c r="U192" s="36">
        <f t="shared" si="5"/>
        <v>0</v>
      </c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22" t="s">
        <v>21</v>
      </c>
      <c r="B193" s="23">
        <f t="shared" si="6"/>
        <v>45846</v>
      </c>
      <c r="C193" s="24">
        <v>7.0</v>
      </c>
      <c r="D193" s="24" t="s">
        <v>29</v>
      </c>
      <c r="E193" s="21"/>
      <c r="F193" s="21" t="s">
        <v>32</v>
      </c>
      <c r="G193" s="18">
        <v>0.0</v>
      </c>
      <c r="I193" s="19">
        <v>0.0</v>
      </c>
      <c r="K193" s="19">
        <v>0.0</v>
      </c>
      <c r="M193" s="19">
        <v>0.0</v>
      </c>
      <c r="O193" s="19">
        <v>0.0</v>
      </c>
      <c r="Q193" s="25">
        <f t="shared" si="1"/>
        <v>0</v>
      </c>
      <c r="R193" s="24">
        <f t="shared" si="2"/>
        <v>0</v>
      </c>
      <c r="S193" s="24">
        <f t="shared" si="3"/>
        <v>0</v>
      </c>
      <c r="T193" s="24">
        <f t="shared" si="4"/>
        <v>0</v>
      </c>
      <c r="U193" s="26">
        <f t="shared" si="5"/>
        <v>0</v>
      </c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22" t="s">
        <v>22</v>
      </c>
      <c r="B194" s="23">
        <f t="shared" si="6"/>
        <v>45847</v>
      </c>
      <c r="C194" s="24">
        <v>7.0</v>
      </c>
      <c r="D194" s="24" t="s">
        <v>29</v>
      </c>
      <c r="E194" s="21"/>
      <c r="F194" s="21" t="s">
        <v>32</v>
      </c>
      <c r="G194" s="18">
        <v>0.0</v>
      </c>
      <c r="I194" s="19">
        <v>0.0</v>
      </c>
      <c r="K194" s="19">
        <v>0.0</v>
      </c>
      <c r="M194" s="19">
        <v>0.0</v>
      </c>
      <c r="O194" s="19">
        <v>0.0</v>
      </c>
      <c r="Q194" s="25">
        <f t="shared" si="1"/>
        <v>0</v>
      </c>
      <c r="R194" s="24">
        <f t="shared" si="2"/>
        <v>0</v>
      </c>
      <c r="S194" s="24">
        <f t="shared" si="3"/>
        <v>0</v>
      </c>
      <c r="T194" s="24">
        <f t="shared" si="4"/>
        <v>0</v>
      </c>
      <c r="U194" s="26">
        <f t="shared" si="5"/>
        <v>0</v>
      </c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22" t="s">
        <v>23</v>
      </c>
      <c r="B195" s="23">
        <f t="shared" si="6"/>
        <v>45848</v>
      </c>
      <c r="C195" s="24">
        <v>7.0</v>
      </c>
      <c r="D195" s="24" t="s">
        <v>29</v>
      </c>
      <c r="E195" s="21"/>
      <c r="F195" s="21" t="s">
        <v>32</v>
      </c>
      <c r="G195" s="18">
        <v>0.0</v>
      </c>
      <c r="I195" s="19">
        <v>0.0</v>
      </c>
      <c r="K195" s="19">
        <v>0.0</v>
      </c>
      <c r="M195" s="19">
        <v>0.0</v>
      </c>
      <c r="O195" s="19">
        <v>0.0</v>
      </c>
      <c r="Q195" s="25">
        <f t="shared" si="1"/>
        <v>0</v>
      </c>
      <c r="R195" s="24">
        <f t="shared" si="2"/>
        <v>0</v>
      </c>
      <c r="S195" s="24">
        <f t="shared" si="3"/>
        <v>0</v>
      </c>
      <c r="T195" s="24">
        <f t="shared" si="4"/>
        <v>0</v>
      </c>
      <c r="U195" s="26">
        <f t="shared" si="5"/>
        <v>0</v>
      </c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22" t="s">
        <v>24</v>
      </c>
      <c r="B196" s="23">
        <f t="shared" si="6"/>
        <v>45849</v>
      </c>
      <c r="C196" s="24">
        <v>7.0</v>
      </c>
      <c r="D196" s="24" t="s">
        <v>29</v>
      </c>
      <c r="E196" s="21"/>
      <c r="F196" s="21" t="s">
        <v>32</v>
      </c>
      <c r="G196" s="18">
        <v>0.0</v>
      </c>
      <c r="I196" s="19">
        <v>0.0</v>
      </c>
      <c r="K196" s="19">
        <v>0.0</v>
      </c>
      <c r="M196" s="19">
        <v>0.0</v>
      </c>
      <c r="O196" s="19">
        <v>0.0</v>
      </c>
      <c r="Q196" s="25">
        <f t="shared" si="1"/>
        <v>0</v>
      </c>
      <c r="R196" s="24">
        <f t="shared" si="2"/>
        <v>0</v>
      </c>
      <c r="S196" s="24">
        <f t="shared" si="3"/>
        <v>0</v>
      </c>
      <c r="T196" s="24">
        <f t="shared" si="4"/>
        <v>0</v>
      </c>
      <c r="U196" s="26">
        <f t="shared" si="5"/>
        <v>0</v>
      </c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22" t="s">
        <v>25</v>
      </c>
      <c r="B197" s="23">
        <f t="shared" si="6"/>
        <v>45850</v>
      </c>
      <c r="C197" s="24">
        <v>7.0</v>
      </c>
      <c r="D197" s="24" t="s">
        <v>29</v>
      </c>
      <c r="E197" s="21"/>
      <c r="F197" s="21" t="s">
        <v>32</v>
      </c>
      <c r="G197" s="18">
        <v>0.0</v>
      </c>
      <c r="I197" s="19">
        <v>0.0</v>
      </c>
      <c r="K197" s="19">
        <v>0.0</v>
      </c>
      <c r="M197" s="19">
        <v>0.0</v>
      </c>
      <c r="O197" s="19">
        <v>0.0</v>
      </c>
      <c r="Q197" s="25">
        <f t="shared" si="1"/>
        <v>0</v>
      </c>
      <c r="R197" s="24">
        <f t="shared" si="2"/>
        <v>0</v>
      </c>
      <c r="S197" s="24">
        <f t="shared" si="3"/>
        <v>0</v>
      </c>
      <c r="T197" s="24">
        <f t="shared" si="4"/>
        <v>0</v>
      </c>
      <c r="U197" s="26">
        <f t="shared" si="5"/>
        <v>0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27" t="s">
        <v>26</v>
      </c>
      <c r="B198" s="28">
        <f t="shared" si="6"/>
        <v>45851</v>
      </c>
      <c r="C198" s="29">
        <v>7.0</v>
      </c>
      <c r="D198" s="29" t="s">
        <v>29</v>
      </c>
      <c r="E198" s="30"/>
      <c r="F198" s="30" t="s">
        <v>32</v>
      </c>
      <c r="G198" s="32">
        <v>0.0</v>
      </c>
      <c r="H198" s="6"/>
      <c r="I198" s="32">
        <v>0.0</v>
      </c>
      <c r="J198" s="6"/>
      <c r="K198" s="32">
        <v>0.0</v>
      </c>
      <c r="L198" s="6"/>
      <c r="M198" s="32">
        <v>0.0</v>
      </c>
      <c r="N198" s="6"/>
      <c r="O198" s="32">
        <v>0.0</v>
      </c>
      <c r="P198" s="6"/>
      <c r="Q198" s="33">
        <f t="shared" si="1"/>
        <v>0</v>
      </c>
      <c r="R198" s="29">
        <f t="shared" si="2"/>
        <v>0</v>
      </c>
      <c r="S198" s="29">
        <f t="shared" si="3"/>
        <v>0</v>
      </c>
      <c r="T198" s="29">
        <f t="shared" si="4"/>
        <v>0</v>
      </c>
      <c r="U198" s="34">
        <f t="shared" si="5"/>
        <v>0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14" t="s">
        <v>19</v>
      </c>
      <c r="B199" s="35">
        <f t="shared" si="6"/>
        <v>45852</v>
      </c>
      <c r="C199" s="16">
        <v>8.0</v>
      </c>
      <c r="D199" s="16" t="s">
        <v>20</v>
      </c>
      <c r="E199" s="17"/>
      <c r="F199" s="17" t="s">
        <v>32</v>
      </c>
      <c r="G199" s="18">
        <v>0.0</v>
      </c>
      <c r="I199" s="19">
        <v>0.0</v>
      </c>
      <c r="K199" s="19">
        <v>0.0</v>
      </c>
      <c r="M199" s="19">
        <v>0.0</v>
      </c>
      <c r="O199" s="19">
        <v>0.0</v>
      </c>
      <c r="Q199" s="20">
        <f t="shared" si="1"/>
        <v>0</v>
      </c>
      <c r="R199" s="16">
        <f t="shared" si="2"/>
        <v>0</v>
      </c>
      <c r="S199" s="16">
        <f t="shared" si="3"/>
        <v>0</v>
      </c>
      <c r="T199" s="16">
        <f t="shared" si="4"/>
        <v>0</v>
      </c>
      <c r="U199" s="36">
        <f t="shared" si="5"/>
        <v>0</v>
      </c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22" t="s">
        <v>21</v>
      </c>
      <c r="B200" s="23">
        <f t="shared" si="6"/>
        <v>45853</v>
      </c>
      <c r="C200" s="24">
        <v>8.0</v>
      </c>
      <c r="D200" s="24" t="s">
        <v>20</v>
      </c>
      <c r="E200" s="21"/>
      <c r="F200" s="21" t="s">
        <v>32</v>
      </c>
      <c r="G200" s="18">
        <v>0.0</v>
      </c>
      <c r="I200" s="19">
        <v>0.0</v>
      </c>
      <c r="K200" s="19">
        <v>0.0</v>
      </c>
      <c r="M200" s="19">
        <v>0.0</v>
      </c>
      <c r="O200" s="19">
        <v>0.0</v>
      </c>
      <c r="Q200" s="25">
        <f t="shared" si="1"/>
        <v>0</v>
      </c>
      <c r="R200" s="24">
        <f t="shared" si="2"/>
        <v>0</v>
      </c>
      <c r="S200" s="24">
        <f t="shared" si="3"/>
        <v>0</v>
      </c>
      <c r="T200" s="24">
        <f t="shared" si="4"/>
        <v>0</v>
      </c>
      <c r="U200" s="26">
        <f t="shared" si="5"/>
        <v>0</v>
      </c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22" t="s">
        <v>22</v>
      </c>
      <c r="B201" s="23">
        <f t="shared" si="6"/>
        <v>45854</v>
      </c>
      <c r="C201" s="24">
        <v>8.0</v>
      </c>
      <c r="D201" s="24" t="s">
        <v>20</v>
      </c>
      <c r="E201" s="21"/>
      <c r="F201" s="21" t="s">
        <v>32</v>
      </c>
      <c r="G201" s="18">
        <v>0.0</v>
      </c>
      <c r="I201" s="19">
        <v>0.0</v>
      </c>
      <c r="K201" s="19">
        <v>0.0</v>
      </c>
      <c r="M201" s="19">
        <v>0.0</v>
      </c>
      <c r="O201" s="19">
        <v>0.0</v>
      </c>
      <c r="Q201" s="25">
        <f t="shared" si="1"/>
        <v>0</v>
      </c>
      <c r="R201" s="24">
        <f t="shared" si="2"/>
        <v>0</v>
      </c>
      <c r="S201" s="24">
        <f t="shared" si="3"/>
        <v>0</v>
      </c>
      <c r="T201" s="24">
        <f t="shared" si="4"/>
        <v>0</v>
      </c>
      <c r="U201" s="26">
        <f t="shared" si="5"/>
        <v>0</v>
      </c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22" t="s">
        <v>23</v>
      </c>
      <c r="B202" s="23">
        <f t="shared" si="6"/>
        <v>45855</v>
      </c>
      <c r="C202" s="24">
        <v>8.0</v>
      </c>
      <c r="D202" s="24" t="s">
        <v>20</v>
      </c>
      <c r="E202" s="21"/>
      <c r="F202" s="21" t="s">
        <v>32</v>
      </c>
      <c r="G202" s="18">
        <v>0.0</v>
      </c>
      <c r="I202" s="19">
        <v>0.0</v>
      </c>
      <c r="K202" s="19">
        <v>0.0</v>
      </c>
      <c r="M202" s="19">
        <v>0.0</v>
      </c>
      <c r="O202" s="19">
        <v>0.0</v>
      </c>
      <c r="Q202" s="25">
        <f t="shared" si="1"/>
        <v>0</v>
      </c>
      <c r="R202" s="24">
        <f t="shared" si="2"/>
        <v>0</v>
      </c>
      <c r="S202" s="24">
        <f t="shared" si="3"/>
        <v>0</v>
      </c>
      <c r="T202" s="24">
        <f t="shared" si="4"/>
        <v>0</v>
      </c>
      <c r="U202" s="26">
        <f t="shared" si="5"/>
        <v>0</v>
      </c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22" t="s">
        <v>24</v>
      </c>
      <c r="B203" s="23">
        <f t="shared" si="6"/>
        <v>45856</v>
      </c>
      <c r="C203" s="24">
        <v>8.0</v>
      </c>
      <c r="D203" s="24" t="s">
        <v>20</v>
      </c>
      <c r="E203" s="37">
        <v>9.0</v>
      </c>
      <c r="F203" s="21" t="s">
        <v>33</v>
      </c>
      <c r="G203" s="18">
        <v>0.0</v>
      </c>
      <c r="I203" s="19">
        <v>45.0</v>
      </c>
      <c r="K203" s="19">
        <v>45.0</v>
      </c>
      <c r="M203" s="19">
        <v>0.0</v>
      </c>
      <c r="O203" s="19">
        <v>45.0</v>
      </c>
      <c r="Q203" s="25">
        <f t="shared" si="1"/>
        <v>2622.6</v>
      </c>
      <c r="R203" s="24">
        <f t="shared" si="2"/>
        <v>90</v>
      </c>
      <c r="S203" s="24">
        <f t="shared" si="3"/>
        <v>45</v>
      </c>
      <c r="T203" s="24">
        <f t="shared" si="4"/>
        <v>135</v>
      </c>
      <c r="U203" s="26">
        <f t="shared" si="5"/>
        <v>19.42666667</v>
      </c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22" t="s">
        <v>25</v>
      </c>
      <c r="B204" s="23">
        <f t="shared" si="6"/>
        <v>45857</v>
      </c>
      <c r="C204" s="24">
        <v>8.0</v>
      </c>
      <c r="D204" s="24" t="s">
        <v>20</v>
      </c>
      <c r="E204" s="37">
        <v>9.0</v>
      </c>
      <c r="F204" s="21" t="s">
        <v>33</v>
      </c>
      <c r="G204" s="18">
        <v>0.0</v>
      </c>
      <c r="I204" s="19">
        <v>45.0</v>
      </c>
      <c r="K204" s="19">
        <v>45.0</v>
      </c>
      <c r="M204" s="19">
        <v>0.0</v>
      </c>
      <c r="O204" s="19">
        <v>45.0</v>
      </c>
      <c r="Q204" s="25">
        <f t="shared" si="1"/>
        <v>2622.6</v>
      </c>
      <c r="R204" s="24">
        <f t="shared" si="2"/>
        <v>90</v>
      </c>
      <c r="S204" s="24">
        <f t="shared" si="3"/>
        <v>45</v>
      </c>
      <c r="T204" s="24">
        <f t="shared" si="4"/>
        <v>135</v>
      </c>
      <c r="U204" s="26">
        <f t="shared" si="5"/>
        <v>19.42666667</v>
      </c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27" t="s">
        <v>26</v>
      </c>
      <c r="B205" s="28">
        <f t="shared" si="6"/>
        <v>45858</v>
      </c>
      <c r="C205" s="29">
        <v>8.0</v>
      </c>
      <c r="D205" s="29" t="s">
        <v>20</v>
      </c>
      <c r="E205" s="38">
        <v>9.0</v>
      </c>
      <c r="F205" s="30" t="s">
        <v>33</v>
      </c>
      <c r="G205" s="31">
        <v>0.0</v>
      </c>
      <c r="H205" s="6"/>
      <c r="I205" s="32">
        <v>45.0</v>
      </c>
      <c r="J205" s="6"/>
      <c r="K205" s="32">
        <v>45.0</v>
      </c>
      <c r="L205" s="6"/>
      <c r="M205" s="32">
        <v>0.0</v>
      </c>
      <c r="N205" s="6"/>
      <c r="O205" s="32">
        <v>45.0</v>
      </c>
      <c r="P205" s="6"/>
      <c r="Q205" s="33">
        <f t="shared" si="1"/>
        <v>2622.6</v>
      </c>
      <c r="R205" s="29">
        <f t="shared" si="2"/>
        <v>90</v>
      </c>
      <c r="S205" s="29">
        <f t="shared" si="3"/>
        <v>45</v>
      </c>
      <c r="T205" s="29">
        <f t="shared" si="4"/>
        <v>135</v>
      </c>
      <c r="U205" s="34">
        <f t="shared" si="5"/>
        <v>19.42666667</v>
      </c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14" t="s">
        <v>19</v>
      </c>
      <c r="B206" s="35">
        <f t="shared" si="6"/>
        <v>45859</v>
      </c>
      <c r="C206" s="16">
        <v>8.0</v>
      </c>
      <c r="D206" s="16" t="s">
        <v>27</v>
      </c>
      <c r="E206" s="17"/>
      <c r="F206" s="17" t="s">
        <v>32</v>
      </c>
      <c r="G206" s="18">
        <v>0.0</v>
      </c>
      <c r="I206" s="19">
        <v>0.0</v>
      </c>
      <c r="K206" s="19">
        <v>0.0</v>
      </c>
      <c r="M206" s="19">
        <v>0.0</v>
      </c>
      <c r="O206" s="19">
        <v>0.0</v>
      </c>
      <c r="Q206" s="20">
        <f t="shared" si="1"/>
        <v>0</v>
      </c>
      <c r="R206" s="16">
        <f t="shared" si="2"/>
        <v>0</v>
      </c>
      <c r="S206" s="16">
        <f t="shared" si="3"/>
        <v>0</v>
      </c>
      <c r="T206" s="16">
        <f t="shared" si="4"/>
        <v>0</v>
      </c>
      <c r="U206" s="36">
        <f t="shared" si="5"/>
        <v>0</v>
      </c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22" t="s">
        <v>21</v>
      </c>
      <c r="B207" s="23">
        <f t="shared" si="6"/>
        <v>45860</v>
      </c>
      <c r="C207" s="24">
        <v>8.0</v>
      </c>
      <c r="D207" s="24" t="s">
        <v>27</v>
      </c>
      <c r="E207" s="37">
        <v>10.0</v>
      </c>
      <c r="F207" s="21" t="s">
        <v>33</v>
      </c>
      <c r="G207" s="18">
        <v>0.0</v>
      </c>
      <c r="I207" s="19">
        <v>45.0</v>
      </c>
      <c r="K207" s="19">
        <v>45.0</v>
      </c>
      <c r="M207" s="19">
        <v>0.0</v>
      </c>
      <c r="O207" s="19">
        <v>45.0</v>
      </c>
      <c r="Q207" s="25">
        <f t="shared" si="1"/>
        <v>2622.6</v>
      </c>
      <c r="R207" s="24">
        <f t="shared" si="2"/>
        <v>90</v>
      </c>
      <c r="S207" s="24">
        <f t="shared" si="3"/>
        <v>45</v>
      </c>
      <c r="T207" s="24">
        <f t="shared" si="4"/>
        <v>135</v>
      </c>
      <c r="U207" s="26">
        <f t="shared" si="5"/>
        <v>19.42666667</v>
      </c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22" t="s">
        <v>22</v>
      </c>
      <c r="B208" s="23">
        <f t="shared" si="6"/>
        <v>45861</v>
      </c>
      <c r="C208" s="24">
        <v>8.0</v>
      </c>
      <c r="D208" s="24" t="s">
        <v>27</v>
      </c>
      <c r="E208" s="37">
        <v>10.0</v>
      </c>
      <c r="F208" s="21" t="s">
        <v>33</v>
      </c>
      <c r="G208" s="18">
        <v>0.0</v>
      </c>
      <c r="I208" s="19">
        <v>45.0</v>
      </c>
      <c r="K208" s="19">
        <v>45.0</v>
      </c>
      <c r="M208" s="19">
        <v>0.0</v>
      </c>
      <c r="O208" s="19">
        <v>45.0</v>
      </c>
      <c r="Q208" s="25">
        <f t="shared" si="1"/>
        <v>2622.6</v>
      </c>
      <c r="R208" s="24">
        <f t="shared" si="2"/>
        <v>90</v>
      </c>
      <c r="S208" s="24">
        <f t="shared" si="3"/>
        <v>45</v>
      </c>
      <c r="T208" s="24">
        <f t="shared" si="4"/>
        <v>135</v>
      </c>
      <c r="U208" s="26">
        <f t="shared" si="5"/>
        <v>19.42666667</v>
      </c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22" t="s">
        <v>23</v>
      </c>
      <c r="B209" s="23">
        <f t="shared" si="6"/>
        <v>45862</v>
      </c>
      <c r="C209" s="24">
        <v>8.0</v>
      </c>
      <c r="D209" s="24" t="s">
        <v>27</v>
      </c>
      <c r="E209" s="37">
        <v>10.0</v>
      </c>
      <c r="F209" s="21" t="s">
        <v>33</v>
      </c>
      <c r="G209" s="18">
        <v>0.0</v>
      </c>
      <c r="I209" s="19">
        <v>45.0</v>
      </c>
      <c r="K209" s="19">
        <v>45.0</v>
      </c>
      <c r="M209" s="19">
        <v>0.0</v>
      </c>
      <c r="O209" s="19">
        <v>45.0</v>
      </c>
      <c r="Q209" s="25">
        <f t="shared" si="1"/>
        <v>2622.6</v>
      </c>
      <c r="R209" s="24">
        <f t="shared" si="2"/>
        <v>90</v>
      </c>
      <c r="S209" s="24">
        <f t="shared" si="3"/>
        <v>45</v>
      </c>
      <c r="T209" s="24">
        <f t="shared" si="4"/>
        <v>135</v>
      </c>
      <c r="U209" s="26">
        <f t="shared" si="5"/>
        <v>19.42666667</v>
      </c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22" t="s">
        <v>24</v>
      </c>
      <c r="B210" s="23">
        <f t="shared" si="6"/>
        <v>45863</v>
      </c>
      <c r="C210" s="24">
        <v>8.0</v>
      </c>
      <c r="D210" s="24" t="s">
        <v>27</v>
      </c>
      <c r="E210" s="37">
        <v>10.0</v>
      </c>
      <c r="F210" s="21" t="s">
        <v>33</v>
      </c>
      <c r="G210" s="18">
        <v>0.0</v>
      </c>
      <c r="I210" s="19">
        <v>45.0</v>
      </c>
      <c r="K210" s="19">
        <v>45.0</v>
      </c>
      <c r="M210" s="19">
        <v>0.0</v>
      </c>
      <c r="O210" s="19">
        <v>45.0</v>
      </c>
      <c r="Q210" s="25">
        <f t="shared" si="1"/>
        <v>2622.6</v>
      </c>
      <c r="R210" s="24">
        <f t="shared" si="2"/>
        <v>90</v>
      </c>
      <c r="S210" s="24">
        <f t="shared" si="3"/>
        <v>45</v>
      </c>
      <c r="T210" s="24">
        <f t="shared" si="4"/>
        <v>135</v>
      </c>
      <c r="U210" s="26">
        <f t="shared" si="5"/>
        <v>19.42666667</v>
      </c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22" t="s">
        <v>25</v>
      </c>
      <c r="B211" s="23">
        <f t="shared" si="6"/>
        <v>45864</v>
      </c>
      <c r="C211" s="24">
        <v>8.0</v>
      </c>
      <c r="D211" s="24" t="s">
        <v>27</v>
      </c>
      <c r="E211" s="37">
        <v>10.0</v>
      </c>
      <c r="F211" s="21" t="s">
        <v>33</v>
      </c>
      <c r="G211" s="18">
        <v>0.0</v>
      </c>
      <c r="I211" s="19">
        <v>45.0</v>
      </c>
      <c r="K211" s="19">
        <v>45.0</v>
      </c>
      <c r="M211" s="19">
        <v>0.0</v>
      </c>
      <c r="O211" s="19">
        <v>45.0</v>
      </c>
      <c r="Q211" s="25">
        <f t="shared" si="1"/>
        <v>2622.6</v>
      </c>
      <c r="R211" s="24">
        <f t="shared" si="2"/>
        <v>90</v>
      </c>
      <c r="S211" s="24">
        <f t="shared" si="3"/>
        <v>45</v>
      </c>
      <c r="T211" s="24">
        <f t="shared" si="4"/>
        <v>135</v>
      </c>
      <c r="U211" s="26">
        <f t="shared" si="5"/>
        <v>19.42666667</v>
      </c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27" t="s">
        <v>26</v>
      </c>
      <c r="B212" s="28">
        <f t="shared" si="6"/>
        <v>45865</v>
      </c>
      <c r="C212" s="29">
        <v>8.0</v>
      </c>
      <c r="D212" s="29" t="s">
        <v>27</v>
      </c>
      <c r="E212" s="38">
        <v>10.0</v>
      </c>
      <c r="F212" s="30" t="s">
        <v>33</v>
      </c>
      <c r="G212" s="31">
        <v>0.0</v>
      </c>
      <c r="H212" s="6"/>
      <c r="I212" s="32">
        <v>45.0</v>
      </c>
      <c r="J212" s="6"/>
      <c r="K212" s="39">
        <v>0.0</v>
      </c>
      <c r="L212" s="6"/>
      <c r="M212" s="32">
        <v>0.0</v>
      </c>
      <c r="N212" s="6"/>
      <c r="O212" s="32">
        <v>45.0</v>
      </c>
      <c r="P212" s="6"/>
      <c r="Q212" s="33">
        <f t="shared" si="1"/>
        <v>1498.5</v>
      </c>
      <c r="R212" s="29">
        <f t="shared" si="2"/>
        <v>45</v>
      </c>
      <c r="S212" s="29">
        <f t="shared" si="3"/>
        <v>45</v>
      </c>
      <c r="T212" s="29">
        <f t="shared" si="4"/>
        <v>90</v>
      </c>
      <c r="U212" s="34">
        <f t="shared" si="5"/>
        <v>16.65</v>
      </c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14" t="s">
        <v>19</v>
      </c>
      <c r="B213" s="35">
        <f t="shared" si="6"/>
        <v>45866</v>
      </c>
      <c r="C213" s="16">
        <v>8.0</v>
      </c>
      <c r="D213" s="16" t="s">
        <v>28</v>
      </c>
      <c r="E213" s="17"/>
      <c r="F213" s="17" t="s">
        <v>32</v>
      </c>
      <c r="G213" s="18">
        <v>0.0</v>
      </c>
      <c r="I213" s="19">
        <v>0.0</v>
      </c>
      <c r="K213" s="19">
        <v>0.0</v>
      </c>
      <c r="M213" s="19">
        <v>0.0</v>
      </c>
      <c r="O213" s="19">
        <v>0.0</v>
      </c>
      <c r="Q213" s="20">
        <f t="shared" si="1"/>
        <v>0</v>
      </c>
      <c r="R213" s="16">
        <f t="shared" si="2"/>
        <v>0</v>
      </c>
      <c r="S213" s="16">
        <f t="shared" si="3"/>
        <v>0</v>
      </c>
      <c r="T213" s="16">
        <f t="shared" si="4"/>
        <v>0</v>
      </c>
      <c r="U213" s="36">
        <f t="shared" si="5"/>
        <v>0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22" t="s">
        <v>21</v>
      </c>
      <c r="B214" s="23">
        <f t="shared" si="6"/>
        <v>45867</v>
      </c>
      <c r="C214" s="24">
        <v>8.0</v>
      </c>
      <c r="D214" s="24" t="s">
        <v>28</v>
      </c>
      <c r="E214" s="21"/>
      <c r="F214" s="21" t="s">
        <v>32</v>
      </c>
      <c r="G214" s="18">
        <v>0.0</v>
      </c>
      <c r="I214" s="19">
        <v>0.0</v>
      </c>
      <c r="K214" s="19">
        <v>0.0</v>
      </c>
      <c r="M214" s="19">
        <v>0.0</v>
      </c>
      <c r="O214" s="19">
        <v>0.0</v>
      </c>
      <c r="Q214" s="25">
        <f t="shared" si="1"/>
        <v>0</v>
      </c>
      <c r="R214" s="24">
        <f t="shared" si="2"/>
        <v>0</v>
      </c>
      <c r="S214" s="24">
        <f t="shared" si="3"/>
        <v>0</v>
      </c>
      <c r="T214" s="24">
        <f t="shared" si="4"/>
        <v>0</v>
      </c>
      <c r="U214" s="26">
        <f t="shared" si="5"/>
        <v>0</v>
      </c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22" t="s">
        <v>22</v>
      </c>
      <c r="B215" s="23">
        <f t="shared" si="6"/>
        <v>45868</v>
      </c>
      <c r="C215" s="24">
        <v>8.0</v>
      </c>
      <c r="D215" s="24" t="s">
        <v>28</v>
      </c>
      <c r="E215" s="21"/>
      <c r="F215" s="21" t="s">
        <v>32</v>
      </c>
      <c r="G215" s="18">
        <v>0.0</v>
      </c>
      <c r="I215" s="19">
        <v>0.0</v>
      </c>
      <c r="K215" s="19">
        <v>0.0</v>
      </c>
      <c r="M215" s="19">
        <v>0.0</v>
      </c>
      <c r="O215" s="19">
        <v>0.0</v>
      </c>
      <c r="Q215" s="25">
        <f t="shared" si="1"/>
        <v>0</v>
      </c>
      <c r="R215" s="24">
        <f t="shared" si="2"/>
        <v>0</v>
      </c>
      <c r="S215" s="24">
        <f t="shared" si="3"/>
        <v>0</v>
      </c>
      <c r="T215" s="24">
        <f t="shared" si="4"/>
        <v>0</v>
      </c>
      <c r="U215" s="26">
        <f t="shared" si="5"/>
        <v>0</v>
      </c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22" t="s">
        <v>23</v>
      </c>
      <c r="B216" s="23">
        <f t="shared" si="6"/>
        <v>45869</v>
      </c>
      <c r="C216" s="24">
        <v>8.0</v>
      </c>
      <c r="D216" s="24" t="s">
        <v>28</v>
      </c>
      <c r="E216" s="21"/>
      <c r="F216" s="21" t="s">
        <v>32</v>
      </c>
      <c r="G216" s="18">
        <v>0.0</v>
      </c>
      <c r="I216" s="19">
        <v>0.0</v>
      </c>
      <c r="K216" s="19">
        <v>0.0</v>
      </c>
      <c r="M216" s="19">
        <v>0.0</v>
      </c>
      <c r="O216" s="19">
        <v>0.0</v>
      </c>
      <c r="Q216" s="25">
        <f t="shared" si="1"/>
        <v>0</v>
      </c>
      <c r="R216" s="24">
        <f t="shared" si="2"/>
        <v>0</v>
      </c>
      <c r="S216" s="24">
        <f t="shared" si="3"/>
        <v>0</v>
      </c>
      <c r="T216" s="24">
        <f t="shared" si="4"/>
        <v>0</v>
      </c>
      <c r="U216" s="26">
        <f t="shared" si="5"/>
        <v>0</v>
      </c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22" t="s">
        <v>24</v>
      </c>
      <c r="B217" s="23">
        <f t="shared" si="6"/>
        <v>45870</v>
      </c>
      <c r="C217" s="24">
        <v>8.0</v>
      </c>
      <c r="D217" s="24" t="s">
        <v>28</v>
      </c>
      <c r="E217" s="21"/>
      <c r="F217" s="21" t="s">
        <v>32</v>
      </c>
      <c r="G217" s="18">
        <v>0.0</v>
      </c>
      <c r="I217" s="19">
        <v>0.0</v>
      </c>
      <c r="K217" s="19">
        <v>0.0</v>
      </c>
      <c r="M217" s="19">
        <v>0.0</v>
      </c>
      <c r="O217" s="19">
        <v>0.0</v>
      </c>
      <c r="Q217" s="25">
        <f t="shared" si="1"/>
        <v>0</v>
      </c>
      <c r="R217" s="24">
        <f t="shared" si="2"/>
        <v>0</v>
      </c>
      <c r="S217" s="24">
        <f t="shared" si="3"/>
        <v>0</v>
      </c>
      <c r="T217" s="24">
        <f t="shared" si="4"/>
        <v>0</v>
      </c>
      <c r="U217" s="26">
        <f t="shared" si="5"/>
        <v>0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22" t="s">
        <v>25</v>
      </c>
      <c r="B218" s="23">
        <f t="shared" si="6"/>
        <v>45871</v>
      </c>
      <c r="C218" s="24">
        <v>8.0</v>
      </c>
      <c r="D218" s="24" t="s">
        <v>28</v>
      </c>
      <c r="E218" s="21"/>
      <c r="F218" s="21" t="s">
        <v>32</v>
      </c>
      <c r="G218" s="18">
        <v>0.0</v>
      </c>
      <c r="I218" s="19">
        <v>0.0</v>
      </c>
      <c r="K218" s="19">
        <v>0.0</v>
      </c>
      <c r="M218" s="19">
        <v>0.0</v>
      </c>
      <c r="O218" s="19">
        <v>0.0</v>
      </c>
      <c r="Q218" s="25">
        <f t="shared" si="1"/>
        <v>0</v>
      </c>
      <c r="R218" s="24">
        <f t="shared" si="2"/>
        <v>0</v>
      </c>
      <c r="S218" s="24">
        <f t="shared" si="3"/>
        <v>0</v>
      </c>
      <c r="T218" s="24">
        <f t="shared" si="4"/>
        <v>0</v>
      </c>
      <c r="U218" s="26">
        <f t="shared" si="5"/>
        <v>0</v>
      </c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27" t="s">
        <v>26</v>
      </c>
      <c r="B219" s="28">
        <f t="shared" si="6"/>
        <v>45872</v>
      </c>
      <c r="C219" s="29">
        <v>8.0</v>
      </c>
      <c r="D219" s="29" t="s">
        <v>28</v>
      </c>
      <c r="E219" s="30"/>
      <c r="F219" s="30" t="s">
        <v>32</v>
      </c>
      <c r="G219" s="32">
        <v>0.0</v>
      </c>
      <c r="H219" s="6"/>
      <c r="I219" s="32">
        <v>0.0</v>
      </c>
      <c r="J219" s="6"/>
      <c r="K219" s="32">
        <v>0.0</v>
      </c>
      <c r="L219" s="6"/>
      <c r="M219" s="32">
        <v>0.0</v>
      </c>
      <c r="N219" s="6"/>
      <c r="O219" s="32">
        <v>0.0</v>
      </c>
      <c r="P219" s="6"/>
      <c r="Q219" s="33">
        <f t="shared" si="1"/>
        <v>0</v>
      </c>
      <c r="R219" s="29">
        <f t="shared" si="2"/>
        <v>0</v>
      </c>
      <c r="S219" s="29">
        <f t="shared" si="3"/>
        <v>0</v>
      </c>
      <c r="T219" s="29">
        <f t="shared" si="4"/>
        <v>0</v>
      </c>
      <c r="U219" s="34">
        <f t="shared" si="5"/>
        <v>0</v>
      </c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14" t="s">
        <v>19</v>
      </c>
      <c r="B220" s="35">
        <f t="shared" si="6"/>
        <v>45873</v>
      </c>
      <c r="C220" s="16">
        <v>8.0</v>
      </c>
      <c r="D220" s="16" t="s">
        <v>29</v>
      </c>
      <c r="E220" s="17"/>
      <c r="F220" s="17" t="s">
        <v>32</v>
      </c>
      <c r="G220" s="18">
        <v>0.0</v>
      </c>
      <c r="I220" s="19">
        <v>0.0</v>
      </c>
      <c r="K220" s="19">
        <v>0.0</v>
      </c>
      <c r="M220" s="19">
        <v>0.0</v>
      </c>
      <c r="O220" s="19">
        <v>0.0</v>
      </c>
      <c r="Q220" s="20">
        <f t="shared" si="1"/>
        <v>0</v>
      </c>
      <c r="R220" s="16">
        <f t="shared" si="2"/>
        <v>0</v>
      </c>
      <c r="S220" s="16">
        <f t="shared" si="3"/>
        <v>0</v>
      </c>
      <c r="T220" s="16">
        <f t="shared" si="4"/>
        <v>0</v>
      </c>
      <c r="U220" s="36">
        <f t="shared" si="5"/>
        <v>0</v>
      </c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22" t="s">
        <v>21</v>
      </c>
      <c r="B221" s="23">
        <f t="shared" si="6"/>
        <v>45874</v>
      </c>
      <c r="C221" s="24">
        <v>8.0</v>
      </c>
      <c r="D221" s="24" t="s">
        <v>29</v>
      </c>
      <c r="E221" s="37">
        <v>11.0</v>
      </c>
      <c r="F221" s="21" t="s">
        <v>33</v>
      </c>
      <c r="G221" s="18">
        <v>0.0</v>
      </c>
      <c r="I221" s="19">
        <v>45.0</v>
      </c>
      <c r="K221" s="19">
        <v>45.0</v>
      </c>
      <c r="M221" s="19">
        <v>0.0</v>
      </c>
      <c r="O221" s="19">
        <v>45.0</v>
      </c>
      <c r="Q221" s="25">
        <f t="shared" si="1"/>
        <v>2622.6</v>
      </c>
      <c r="R221" s="24">
        <f t="shared" si="2"/>
        <v>90</v>
      </c>
      <c r="S221" s="24">
        <f t="shared" si="3"/>
        <v>45</v>
      </c>
      <c r="T221" s="24">
        <f t="shared" si="4"/>
        <v>135</v>
      </c>
      <c r="U221" s="26">
        <f t="shared" si="5"/>
        <v>19.42666667</v>
      </c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22" t="s">
        <v>22</v>
      </c>
      <c r="B222" s="23">
        <f t="shared" si="6"/>
        <v>45875</v>
      </c>
      <c r="C222" s="24">
        <v>8.0</v>
      </c>
      <c r="D222" s="24" t="s">
        <v>29</v>
      </c>
      <c r="E222" s="37">
        <v>11.0</v>
      </c>
      <c r="F222" s="21" t="s">
        <v>33</v>
      </c>
      <c r="G222" s="18">
        <v>0.0</v>
      </c>
      <c r="I222" s="19">
        <v>45.0</v>
      </c>
      <c r="K222" s="19">
        <v>45.0</v>
      </c>
      <c r="M222" s="19">
        <v>0.0</v>
      </c>
      <c r="O222" s="19">
        <v>45.0</v>
      </c>
      <c r="Q222" s="25">
        <f t="shared" si="1"/>
        <v>2622.6</v>
      </c>
      <c r="R222" s="24">
        <f t="shared" si="2"/>
        <v>90</v>
      </c>
      <c r="S222" s="24">
        <f t="shared" si="3"/>
        <v>45</v>
      </c>
      <c r="T222" s="24">
        <f t="shared" si="4"/>
        <v>135</v>
      </c>
      <c r="U222" s="26">
        <f t="shared" si="5"/>
        <v>19.42666667</v>
      </c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22" t="s">
        <v>23</v>
      </c>
      <c r="B223" s="23">
        <f t="shared" si="6"/>
        <v>45876</v>
      </c>
      <c r="C223" s="24">
        <v>8.0</v>
      </c>
      <c r="D223" s="24" t="s">
        <v>29</v>
      </c>
      <c r="E223" s="37">
        <v>11.0</v>
      </c>
      <c r="F223" s="21" t="s">
        <v>33</v>
      </c>
      <c r="G223" s="18">
        <v>0.0</v>
      </c>
      <c r="I223" s="19">
        <v>45.0</v>
      </c>
      <c r="K223" s="19">
        <v>45.0</v>
      </c>
      <c r="M223" s="19">
        <v>0.0</v>
      </c>
      <c r="O223" s="19">
        <v>45.0</v>
      </c>
      <c r="Q223" s="25">
        <f t="shared" si="1"/>
        <v>2622.6</v>
      </c>
      <c r="R223" s="24">
        <f t="shared" si="2"/>
        <v>90</v>
      </c>
      <c r="S223" s="24">
        <f t="shared" si="3"/>
        <v>45</v>
      </c>
      <c r="T223" s="24">
        <f t="shared" si="4"/>
        <v>135</v>
      </c>
      <c r="U223" s="26">
        <f t="shared" si="5"/>
        <v>19.42666667</v>
      </c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22" t="s">
        <v>24</v>
      </c>
      <c r="B224" s="23">
        <f t="shared" si="6"/>
        <v>45877</v>
      </c>
      <c r="C224" s="24">
        <v>8.0</v>
      </c>
      <c r="D224" s="24" t="s">
        <v>29</v>
      </c>
      <c r="E224" s="37">
        <v>11.0</v>
      </c>
      <c r="F224" s="21" t="s">
        <v>33</v>
      </c>
      <c r="G224" s="18">
        <v>0.0</v>
      </c>
      <c r="I224" s="19">
        <v>45.0</v>
      </c>
      <c r="K224" s="19">
        <v>45.0</v>
      </c>
      <c r="M224" s="19">
        <v>0.0</v>
      </c>
      <c r="O224" s="19">
        <v>45.0</v>
      </c>
      <c r="Q224" s="25">
        <f t="shared" si="1"/>
        <v>2622.6</v>
      </c>
      <c r="R224" s="24">
        <f t="shared" si="2"/>
        <v>90</v>
      </c>
      <c r="S224" s="24">
        <f t="shared" si="3"/>
        <v>45</v>
      </c>
      <c r="T224" s="24">
        <f t="shared" si="4"/>
        <v>135</v>
      </c>
      <c r="U224" s="26">
        <f t="shared" si="5"/>
        <v>19.42666667</v>
      </c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22" t="s">
        <v>25</v>
      </c>
      <c r="B225" s="23">
        <f t="shared" si="6"/>
        <v>45878</v>
      </c>
      <c r="C225" s="24">
        <v>8.0</v>
      </c>
      <c r="D225" s="24" t="s">
        <v>29</v>
      </c>
      <c r="E225" s="37">
        <v>11.0</v>
      </c>
      <c r="F225" s="21" t="s">
        <v>33</v>
      </c>
      <c r="G225" s="18">
        <v>0.0</v>
      </c>
      <c r="I225" s="19">
        <v>45.0</v>
      </c>
      <c r="K225" s="19">
        <v>45.0</v>
      </c>
      <c r="M225" s="19">
        <v>0.0</v>
      </c>
      <c r="O225" s="19">
        <v>45.0</v>
      </c>
      <c r="Q225" s="25">
        <f t="shared" si="1"/>
        <v>2622.6</v>
      </c>
      <c r="R225" s="24">
        <f t="shared" si="2"/>
        <v>90</v>
      </c>
      <c r="S225" s="24">
        <f t="shared" si="3"/>
        <v>45</v>
      </c>
      <c r="T225" s="24">
        <f t="shared" si="4"/>
        <v>135</v>
      </c>
      <c r="U225" s="26">
        <f t="shared" si="5"/>
        <v>19.42666667</v>
      </c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27" t="s">
        <v>26</v>
      </c>
      <c r="B226" s="28">
        <f t="shared" si="6"/>
        <v>45879</v>
      </c>
      <c r="C226" s="29">
        <v>8.0</v>
      </c>
      <c r="D226" s="29" t="s">
        <v>29</v>
      </c>
      <c r="E226" s="38">
        <v>11.0</v>
      </c>
      <c r="F226" s="30" t="s">
        <v>31</v>
      </c>
      <c r="G226" s="32">
        <v>45.0</v>
      </c>
      <c r="H226" s="6"/>
      <c r="I226" s="39">
        <v>0.0</v>
      </c>
      <c r="J226" s="6"/>
      <c r="K226" s="32">
        <v>0.0</v>
      </c>
      <c r="L226" s="6"/>
      <c r="M226" s="32">
        <v>0.0</v>
      </c>
      <c r="N226" s="6"/>
      <c r="O226" s="32">
        <v>0.0</v>
      </c>
      <c r="P226" s="6"/>
      <c r="Q226" s="33">
        <f t="shared" si="1"/>
        <v>1124.1</v>
      </c>
      <c r="R226" s="29">
        <f t="shared" si="2"/>
        <v>45</v>
      </c>
      <c r="S226" s="29">
        <f t="shared" si="3"/>
        <v>0</v>
      </c>
      <c r="T226" s="29">
        <f t="shared" si="4"/>
        <v>45</v>
      </c>
      <c r="U226" s="34">
        <f t="shared" si="5"/>
        <v>24.98</v>
      </c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14" t="s">
        <v>19</v>
      </c>
      <c r="B227" s="35">
        <f t="shared" si="6"/>
        <v>45880</v>
      </c>
      <c r="C227" s="16">
        <v>9.0</v>
      </c>
      <c r="D227" s="16" t="s">
        <v>20</v>
      </c>
      <c r="E227" s="17"/>
      <c r="F227" s="17" t="s">
        <v>32</v>
      </c>
      <c r="G227" s="18">
        <v>0.0</v>
      </c>
      <c r="I227" s="19">
        <v>0.0</v>
      </c>
      <c r="K227" s="19">
        <v>0.0</v>
      </c>
      <c r="M227" s="19">
        <v>0.0</v>
      </c>
      <c r="O227" s="19">
        <v>0.0</v>
      </c>
      <c r="Q227" s="20">
        <f t="shared" si="1"/>
        <v>0</v>
      </c>
      <c r="R227" s="16">
        <f t="shared" si="2"/>
        <v>0</v>
      </c>
      <c r="S227" s="16">
        <f t="shared" si="3"/>
        <v>0</v>
      </c>
      <c r="T227" s="16">
        <f t="shared" si="4"/>
        <v>0</v>
      </c>
      <c r="U227" s="36">
        <f t="shared" si="5"/>
        <v>0</v>
      </c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22" t="s">
        <v>21</v>
      </c>
      <c r="B228" s="23">
        <f t="shared" si="6"/>
        <v>45881</v>
      </c>
      <c r="C228" s="24">
        <v>9.0</v>
      </c>
      <c r="D228" s="24" t="s">
        <v>20</v>
      </c>
      <c r="E228" s="21"/>
      <c r="F228" s="21" t="s">
        <v>32</v>
      </c>
      <c r="G228" s="18">
        <v>0.0</v>
      </c>
      <c r="I228" s="19">
        <v>0.0</v>
      </c>
      <c r="K228" s="19">
        <v>0.0</v>
      </c>
      <c r="M228" s="19">
        <v>0.0</v>
      </c>
      <c r="O228" s="19">
        <v>0.0</v>
      </c>
      <c r="Q228" s="25">
        <f t="shared" si="1"/>
        <v>0</v>
      </c>
      <c r="R228" s="24">
        <f t="shared" si="2"/>
        <v>0</v>
      </c>
      <c r="S228" s="24">
        <f t="shared" si="3"/>
        <v>0</v>
      </c>
      <c r="T228" s="24">
        <f t="shared" si="4"/>
        <v>0</v>
      </c>
      <c r="U228" s="26">
        <f t="shared" si="5"/>
        <v>0</v>
      </c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22" t="s">
        <v>22</v>
      </c>
      <c r="B229" s="23">
        <f t="shared" si="6"/>
        <v>45882</v>
      </c>
      <c r="C229" s="24">
        <v>9.0</v>
      </c>
      <c r="D229" s="24" t="s">
        <v>20</v>
      </c>
      <c r="E229" s="21"/>
      <c r="F229" s="21" t="s">
        <v>32</v>
      </c>
      <c r="G229" s="18">
        <v>0.0</v>
      </c>
      <c r="I229" s="19">
        <v>0.0</v>
      </c>
      <c r="K229" s="19">
        <v>0.0</v>
      </c>
      <c r="M229" s="19">
        <v>0.0</v>
      </c>
      <c r="O229" s="19">
        <v>0.0</v>
      </c>
      <c r="Q229" s="25">
        <f t="shared" si="1"/>
        <v>0</v>
      </c>
      <c r="R229" s="24">
        <f t="shared" si="2"/>
        <v>0</v>
      </c>
      <c r="S229" s="24">
        <f t="shared" si="3"/>
        <v>0</v>
      </c>
      <c r="T229" s="24">
        <f t="shared" si="4"/>
        <v>0</v>
      </c>
      <c r="U229" s="26">
        <f t="shared" si="5"/>
        <v>0</v>
      </c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22" t="s">
        <v>23</v>
      </c>
      <c r="B230" s="23">
        <f t="shared" si="6"/>
        <v>45883</v>
      </c>
      <c r="C230" s="24">
        <v>9.0</v>
      </c>
      <c r="D230" s="24" t="s">
        <v>20</v>
      </c>
      <c r="E230" s="21"/>
      <c r="F230" s="21" t="s">
        <v>32</v>
      </c>
      <c r="G230" s="18">
        <v>0.0</v>
      </c>
      <c r="I230" s="19">
        <v>0.0</v>
      </c>
      <c r="K230" s="19">
        <v>0.0</v>
      </c>
      <c r="M230" s="19">
        <v>0.0</v>
      </c>
      <c r="O230" s="19">
        <v>0.0</v>
      </c>
      <c r="Q230" s="25">
        <f t="shared" si="1"/>
        <v>0</v>
      </c>
      <c r="R230" s="24">
        <f t="shared" si="2"/>
        <v>0</v>
      </c>
      <c r="S230" s="24">
        <f t="shared" si="3"/>
        <v>0</v>
      </c>
      <c r="T230" s="24">
        <f t="shared" si="4"/>
        <v>0</v>
      </c>
      <c r="U230" s="26">
        <f t="shared" si="5"/>
        <v>0</v>
      </c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22" t="s">
        <v>24</v>
      </c>
      <c r="B231" s="23">
        <f t="shared" si="6"/>
        <v>45884</v>
      </c>
      <c r="C231" s="24">
        <v>9.0</v>
      </c>
      <c r="D231" s="24" t="s">
        <v>20</v>
      </c>
      <c r="E231" s="21"/>
      <c r="F231" s="21" t="s">
        <v>32</v>
      </c>
      <c r="G231" s="18">
        <v>0.0</v>
      </c>
      <c r="I231" s="19">
        <v>0.0</v>
      </c>
      <c r="K231" s="19">
        <v>0.0</v>
      </c>
      <c r="M231" s="19">
        <v>0.0</v>
      </c>
      <c r="O231" s="19">
        <v>0.0</v>
      </c>
      <c r="Q231" s="25">
        <f t="shared" si="1"/>
        <v>0</v>
      </c>
      <c r="R231" s="24">
        <f t="shared" si="2"/>
        <v>0</v>
      </c>
      <c r="S231" s="24">
        <f t="shared" si="3"/>
        <v>0</v>
      </c>
      <c r="T231" s="24">
        <f t="shared" si="4"/>
        <v>0</v>
      </c>
      <c r="U231" s="26">
        <f t="shared" si="5"/>
        <v>0</v>
      </c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22" t="s">
        <v>25</v>
      </c>
      <c r="B232" s="23">
        <f t="shared" si="6"/>
        <v>45885</v>
      </c>
      <c r="C232" s="24">
        <v>9.0</v>
      </c>
      <c r="D232" s="24" t="s">
        <v>20</v>
      </c>
      <c r="E232" s="21"/>
      <c r="F232" s="21" t="s">
        <v>32</v>
      </c>
      <c r="G232" s="18">
        <v>0.0</v>
      </c>
      <c r="I232" s="19">
        <v>0.0</v>
      </c>
      <c r="K232" s="19">
        <v>0.0</v>
      </c>
      <c r="M232" s="19">
        <v>0.0</v>
      </c>
      <c r="O232" s="19">
        <v>0.0</v>
      </c>
      <c r="Q232" s="25">
        <f t="shared" si="1"/>
        <v>0</v>
      </c>
      <c r="R232" s="24">
        <f t="shared" si="2"/>
        <v>0</v>
      </c>
      <c r="S232" s="24">
        <f t="shared" si="3"/>
        <v>0</v>
      </c>
      <c r="T232" s="24">
        <f t="shared" si="4"/>
        <v>0</v>
      </c>
      <c r="U232" s="26">
        <f t="shared" si="5"/>
        <v>0</v>
      </c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27" t="s">
        <v>26</v>
      </c>
      <c r="B233" s="28">
        <f t="shared" si="6"/>
        <v>45886</v>
      </c>
      <c r="C233" s="29">
        <v>9.0</v>
      </c>
      <c r="D233" s="29" t="s">
        <v>20</v>
      </c>
      <c r="E233" s="30"/>
      <c r="F233" s="30" t="s">
        <v>32</v>
      </c>
      <c r="G233" s="32">
        <v>0.0</v>
      </c>
      <c r="H233" s="6"/>
      <c r="I233" s="32">
        <v>0.0</v>
      </c>
      <c r="J233" s="6"/>
      <c r="K233" s="32">
        <v>0.0</v>
      </c>
      <c r="L233" s="6"/>
      <c r="M233" s="32">
        <v>0.0</v>
      </c>
      <c r="N233" s="6"/>
      <c r="O233" s="32">
        <v>0.0</v>
      </c>
      <c r="P233" s="6"/>
      <c r="Q233" s="33">
        <f t="shared" si="1"/>
        <v>0</v>
      </c>
      <c r="R233" s="29">
        <f t="shared" si="2"/>
        <v>0</v>
      </c>
      <c r="S233" s="29">
        <f t="shared" si="3"/>
        <v>0</v>
      </c>
      <c r="T233" s="29">
        <f t="shared" si="4"/>
        <v>0</v>
      </c>
      <c r="U233" s="34">
        <f t="shared" si="5"/>
        <v>0</v>
      </c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14" t="s">
        <v>19</v>
      </c>
      <c r="B234" s="35">
        <f t="shared" si="6"/>
        <v>45887</v>
      </c>
      <c r="C234" s="16">
        <v>9.0</v>
      </c>
      <c r="D234" s="16" t="s">
        <v>27</v>
      </c>
      <c r="E234" s="17"/>
      <c r="F234" s="17" t="s">
        <v>32</v>
      </c>
      <c r="G234" s="18">
        <v>0.0</v>
      </c>
      <c r="I234" s="19">
        <v>0.0</v>
      </c>
      <c r="K234" s="19">
        <v>0.0</v>
      </c>
      <c r="M234" s="19">
        <v>0.0</v>
      </c>
      <c r="O234" s="19">
        <v>0.0</v>
      </c>
      <c r="Q234" s="20">
        <f t="shared" si="1"/>
        <v>0</v>
      </c>
      <c r="R234" s="16">
        <f t="shared" si="2"/>
        <v>0</v>
      </c>
      <c r="S234" s="16">
        <f t="shared" si="3"/>
        <v>0</v>
      </c>
      <c r="T234" s="16">
        <f t="shared" si="4"/>
        <v>0</v>
      </c>
      <c r="U234" s="36">
        <f t="shared" si="5"/>
        <v>0</v>
      </c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22" t="s">
        <v>21</v>
      </c>
      <c r="B235" s="23">
        <f t="shared" si="6"/>
        <v>45888</v>
      </c>
      <c r="C235" s="24">
        <v>9.0</v>
      </c>
      <c r="D235" s="24" t="s">
        <v>27</v>
      </c>
      <c r="E235" s="21"/>
      <c r="F235" s="21" t="s">
        <v>32</v>
      </c>
      <c r="G235" s="18">
        <v>0.0</v>
      </c>
      <c r="I235" s="19">
        <v>0.0</v>
      </c>
      <c r="K235" s="19">
        <v>0.0</v>
      </c>
      <c r="M235" s="19">
        <v>0.0</v>
      </c>
      <c r="O235" s="19">
        <v>0.0</v>
      </c>
      <c r="Q235" s="25">
        <f t="shared" si="1"/>
        <v>0</v>
      </c>
      <c r="R235" s="24">
        <f t="shared" si="2"/>
        <v>0</v>
      </c>
      <c r="S235" s="24">
        <f t="shared" si="3"/>
        <v>0</v>
      </c>
      <c r="T235" s="24">
        <f t="shared" si="4"/>
        <v>0</v>
      </c>
      <c r="U235" s="26">
        <f t="shared" si="5"/>
        <v>0</v>
      </c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22" t="s">
        <v>22</v>
      </c>
      <c r="B236" s="23">
        <f t="shared" si="6"/>
        <v>45889</v>
      </c>
      <c r="C236" s="24">
        <v>9.0</v>
      </c>
      <c r="D236" s="24" t="s">
        <v>27</v>
      </c>
      <c r="E236" s="21"/>
      <c r="F236" s="21" t="s">
        <v>32</v>
      </c>
      <c r="G236" s="18">
        <v>0.0</v>
      </c>
      <c r="I236" s="19">
        <v>0.0</v>
      </c>
      <c r="K236" s="19">
        <v>0.0</v>
      </c>
      <c r="M236" s="19">
        <v>0.0</v>
      </c>
      <c r="O236" s="19">
        <v>0.0</v>
      </c>
      <c r="Q236" s="25">
        <f t="shared" si="1"/>
        <v>0</v>
      </c>
      <c r="R236" s="24">
        <f t="shared" si="2"/>
        <v>0</v>
      </c>
      <c r="S236" s="24">
        <f t="shared" si="3"/>
        <v>0</v>
      </c>
      <c r="T236" s="24">
        <f t="shared" si="4"/>
        <v>0</v>
      </c>
      <c r="U236" s="26">
        <f t="shared" si="5"/>
        <v>0</v>
      </c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22" t="s">
        <v>23</v>
      </c>
      <c r="B237" s="23">
        <f t="shared" si="6"/>
        <v>45890</v>
      </c>
      <c r="C237" s="24">
        <v>9.0</v>
      </c>
      <c r="D237" s="24" t="s">
        <v>27</v>
      </c>
      <c r="E237" s="21"/>
      <c r="F237" s="21" t="s">
        <v>32</v>
      </c>
      <c r="G237" s="18">
        <v>0.0</v>
      </c>
      <c r="I237" s="19">
        <v>0.0</v>
      </c>
      <c r="K237" s="19">
        <v>0.0</v>
      </c>
      <c r="M237" s="19">
        <v>0.0</v>
      </c>
      <c r="O237" s="19">
        <v>0.0</v>
      </c>
      <c r="Q237" s="25">
        <f t="shared" si="1"/>
        <v>0</v>
      </c>
      <c r="R237" s="24">
        <f t="shared" si="2"/>
        <v>0</v>
      </c>
      <c r="S237" s="24">
        <f t="shared" si="3"/>
        <v>0</v>
      </c>
      <c r="T237" s="24">
        <f t="shared" si="4"/>
        <v>0</v>
      </c>
      <c r="U237" s="26">
        <f t="shared" si="5"/>
        <v>0</v>
      </c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22" t="s">
        <v>24</v>
      </c>
      <c r="B238" s="23">
        <f t="shared" si="6"/>
        <v>45891</v>
      </c>
      <c r="C238" s="24">
        <v>9.0</v>
      </c>
      <c r="D238" s="24" t="s">
        <v>27</v>
      </c>
      <c r="E238" s="21"/>
      <c r="F238" s="21" t="s">
        <v>32</v>
      </c>
      <c r="G238" s="18">
        <v>0.0</v>
      </c>
      <c r="I238" s="19">
        <v>0.0</v>
      </c>
      <c r="K238" s="19">
        <v>0.0</v>
      </c>
      <c r="M238" s="19">
        <v>0.0</v>
      </c>
      <c r="O238" s="19">
        <v>0.0</v>
      </c>
      <c r="Q238" s="25">
        <f t="shared" si="1"/>
        <v>0</v>
      </c>
      <c r="R238" s="24">
        <f t="shared" si="2"/>
        <v>0</v>
      </c>
      <c r="S238" s="24">
        <f t="shared" si="3"/>
        <v>0</v>
      </c>
      <c r="T238" s="24">
        <f t="shared" si="4"/>
        <v>0</v>
      </c>
      <c r="U238" s="26">
        <f t="shared" si="5"/>
        <v>0</v>
      </c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22" t="s">
        <v>25</v>
      </c>
      <c r="B239" s="23">
        <f t="shared" si="6"/>
        <v>45892</v>
      </c>
      <c r="C239" s="24">
        <v>9.0</v>
      </c>
      <c r="D239" s="24" t="s">
        <v>27</v>
      </c>
      <c r="E239" s="21"/>
      <c r="F239" s="21" t="s">
        <v>32</v>
      </c>
      <c r="G239" s="18">
        <v>0.0</v>
      </c>
      <c r="I239" s="19">
        <v>0.0</v>
      </c>
      <c r="K239" s="19">
        <v>0.0</v>
      </c>
      <c r="M239" s="19">
        <v>0.0</v>
      </c>
      <c r="O239" s="19">
        <v>0.0</v>
      </c>
      <c r="Q239" s="25">
        <f t="shared" si="1"/>
        <v>0</v>
      </c>
      <c r="R239" s="24">
        <f t="shared" si="2"/>
        <v>0</v>
      </c>
      <c r="S239" s="24">
        <f t="shared" si="3"/>
        <v>0</v>
      </c>
      <c r="T239" s="24">
        <f t="shared" si="4"/>
        <v>0</v>
      </c>
      <c r="U239" s="26">
        <f t="shared" si="5"/>
        <v>0</v>
      </c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27" t="s">
        <v>26</v>
      </c>
      <c r="B240" s="28">
        <f t="shared" si="6"/>
        <v>45893</v>
      </c>
      <c r="C240" s="29">
        <v>9.0</v>
      </c>
      <c r="D240" s="29" t="s">
        <v>27</v>
      </c>
      <c r="E240" s="30"/>
      <c r="F240" s="30" t="s">
        <v>32</v>
      </c>
      <c r="G240" s="32">
        <v>0.0</v>
      </c>
      <c r="H240" s="6"/>
      <c r="I240" s="32">
        <v>0.0</v>
      </c>
      <c r="J240" s="6"/>
      <c r="K240" s="32">
        <v>0.0</v>
      </c>
      <c r="L240" s="6"/>
      <c r="M240" s="32">
        <v>0.0</v>
      </c>
      <c r="N240" s="6"/>
      <c r="O240" s="32">
        <v>0.0</v>
      </c>
      <c r="P240" s="6"/>
      <c r="Q240" s="33">
        <f t="shared" si="1"/>
        <v>0</v>
      </c>
      <c r="R240" s="29">
        <f t="shared" si="2"/>
        <v>0</v>
      </c>
      <c r="S240" s="29">
        <f t="shared" si="3"/>
        <v>0</v>
      </c>
      <c r="T240" s="29">
        <f t="shared" si="4"/>
        <v>0</v>
      </c>
      <c r="U240" s="34">
        <f t="shared" si="5"/>
        <v>0</v>
      </c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14" t="s">
        <v>19</v>
      </c>
      <c r="B241" s="35">
        <f t="shared" si="6"/>
        <v>45894</v>
      </c>
      <c r="C241" s="16">
        <v>9.0</v>
      </c>
      <c r="D241" s="16" t="s">
        <v>28</v>
      </c>
      <c r="E241" s="17"/>
      <c r="F241" s="17" t="s">
        <v>32</v>
      </c>
      <c r="G241" s="18">
        <v>0.0</v>
      </c>
      <c r="I241" s="19">
        <v>0.0</v>
      </c>
      <c r="K241" s="19">
        <v>0.0</v>
      </c>
      <c r="M241" s="19">
        <v>0.0</v>
      </c>
      <c r="O241" s="19">
        <v>0.0</v>
      </c>
      <c r="Q241" s="20">
        <f t="shared" si="1"/>
        <v>0</v>
      </c>
      <c r="R241" s="16">
        <f t="shared" si="2"/>
        <v>0</v>
      </c>
      <c r="S241" s="16">
        <f t="shared" si="3"/>
        <v>0</v>
      </c>
      <c r="T241" s="16">
        <f t="shared" si="4"/>
        <v>0</v>
      </c>
      <c r="U241" s="36">
        <f t="shared" si="5"/>
        <v>0</v>
      </c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22" t="s">
        <v>21</v>
      </c>
      <c r="B242" s="23">
        <f t="shared" si="6"/>
        <v>45895</v>
      </c>
      <c r="C242" s="24">
        <v>9.0</v>
      </c>
      <c r="D242" s="24" t="s">
        <v>28</v>
      </c>
      <c r="E242" s="37">
        <v>12.0</v>
      </c>
      <c r="F242" s="21" t="s">
        <v>33</v>
      </c>
      <c r="G242" s="18">
        <v>0.0</v>
      </c>
      <c r="I242" s="19">
        <v>45.0</v>
      </c>
      <c r="K242" s="19">
        <v>45.0</v>
      </c>
      <c r="M242" s="19">
        <v>0.0</v>
      </c>
      <c r="O242" s="19">
        <v>45.0</v>
      </c>
      <c r="Q242" s="25">
        <f t="shared" si="1"/>
        <v>2622.6</v>
      </c>
      <c r="R242" s="24">
        <f t="shared" si="2"/>
        <v>90</v>
      </c>
      <c r="S242" s="24">
        <f t="shared" si="3"/>
        <v>45</v>
      </c>
      <c r="T242" s="24">
        <f t="shared" si="4"/>
        <v>135</v>
      </c>
      <c r="U242" s="26">
        <f t="shared" si="5"/>
        <v>19.42666667</v>
      </c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22" t="s">
        <v>22</v>
      </c>
      <c r="B243" s="23">
        <f t="shared" si="6"/>
        <v>45896</v>
      </c>
      <c r="C243" s="24">
        <v>9.0</v>
      </c>
      <c r="D243" s="24" t="s">
        <v>28</v>
      </c>
      <c r="E243" s="37">
        <v>12.0</v>
      </c>
      <c r="F243" s="21" t="s">
        <v>33</v>
      </c>
      <c r="G243" s="18">
        <v>0.0</v>
      </c>
      <c r="I243" s="19">
        <v>45.0</v>
      </c>
      <c r="K243" s="19">
        <v>45.0</v>
      </c>
      <c r="M243" s="19">
        <v>0.0</v>
      </c>
      <c r="O243" s="19">
        <v>45.0</v>
      </c>
      <c r="Q243" s="25">
        <f t="shared" si="1"/>
        <v>2622.6</v>
      </c>
      <c r="R243" s="24">
        <f t="shared" si="2"/>
        <v>90</v>
      </c>
      <c r="S243" s="24">
        <f t="shared" si="3"/>
        <v>45</v>
      </c>
      <c r="T243" s="24">
        <f t="shared" si="4"/>
        <v>135</v>
      </c>
      <c r="U243" s="26">
        <f t="shared" si="5"/>
        <v>19.42666667</v>
      </c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22" t="s">
        <v>23</v>
      </c>
      <c r="B244" s="23">
        <f t="shared" si="6"/>
        <v>45897</v>
      </c>
      <c r="C244" s="24">
        <v>9.0</v>
      </c>
      <c r="D244" s="24" t="s">
        <v>28</v>
      </c>
      <c r="E244" s="37">
        <v>12.0</v>
      </c>
      <c r="F244" s="21" t="s">
        <v>33</v>
      </c>
      <c r="G244" s="18">
        <v>0.0</v>
      </c>
      <c r="I244" s="19">
        <v>45.0</v>
      </c>
      <c r="K244" s="19">
        <v>45.0</v>
      </c>
      <c r="M244" s="19">
        <v>0.0</v>
      </c>
      <c r="O244" s="19">
        <v>45.0</v>
      </c>
      <c r="Q244" s="25">
        <f t="shared" si="1"/>
        <v>2622.6</v>
      </c>
      <c r="R244" s="24">
        <f t="shared" si="2"/>
        <v>90</v>
      </c>
      <c r="S244" s="24">
        <f t="shared" si="3"/>
        <v>45</v>
      </c>
      <c r="T244" s="24">
        <f t="shared" si="4"/>
        <v>135</v>
      </c>
      <c r="U244" s="26">
        <f t="shared" si="5"/>
        <v>19.42666667</v>
      </c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22" t="s">
        <v>24</v>
      </c>
      <c r="B245" s="23">
        <f t="shared" si="6"/>
        <v>45898</v>
      </c>
      <c r="C245" s="24">
        <v>9.0</v>
      </c>
      <c r="D245" s="24" t="s">
        <v>28</v>
      </c>
      <c r="E245" s="37">
        <v>12.0</v>
      </c>
      <c r="F245" s="21" t="s">
        <v>33</v>
      </c>
      <c r="G245" s="18">
        <v>0.0</v>
      </c>
      <c r="I245" s="19">
        <v>45.0</v>
      </c>
      <c r="K245" s="19">
        <v>45.0</v>
      </c>
      <c r="M245" s="19">
        <v>0.0</v>
      </c>
      <c r="O245" s="19">
        <v>45.0</v>
      </c>
      <c r="Q245" s="25">
        <f t="shared" si="1"/>
        <v>2622.6</v>
      </c>
      <c r="R245" s="24">
        <f t="shared" si="2"/>
        <v>90</v>
      </c>
      <c r="S245" s="24">
        <f t="shared" si="3"/>
        <v>45</v>
      </c>
      <c r="T245" s="24">
        <f t="shared" si="4"/>
        <v>135</v>
      </c>
      <c r="U245" s="26">
        <f t="shared" si="5"/>
        <v>19.42666667</v>
      </c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22" t="s">
        <v>25</v>
      </c>
      <c r="B246" s="23">
        <f t="shared" si="6"/>
        <v>45899</v>
      </c>
      <c r="C246" s="24">
        <v>9.0</v>
      </c>
      <c r="D246" s="24" t="s">
        <v>28</v>
      </c>
      <c r="E246" s="37">
        <v>12.0</v>
      </c>
      <c r="F246" s="21" t="s">
        <v>33</v>
      </c>
      <c r="G246" s="18">
        <v>0.0</v>
      </c>
      <c r="I246" s="19">
        <v>45.0</v>
      </c>
      <c r="K246" s="19">
        <v>45.0</v>
      </c>
      <c r="M246" s="19">
        <v>0.0</v>
      </c>
      <c r="O246" s="19">
        <v>45.0</v>
      </c>
      <c r="Q246" s="25">
        <f t="shared" si="1"/>
        <v>2622.6</v>
      </c>
      <c r="R246" s="24">
        <f t="shared" si="2"/>
        <v>90</v>
      </c>
      <c r="S246" s="24">
        <f t="shared" si="3"/>
        <v>45</v>
      </c>
      <c r="T246" s="24">
        <f t="shared" si="4"/>
        <v>135</v>
      </c>
      <c r="U246" s="26">
        <f t="shared" si="5"/>
        <v>19.42666667</v>
      </c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27" t="s">
        <v>26</v>
      </c>
      <c r="B247" s="28">
        <f t="shared" si="6"/>
        <v>45900</v>
      </c>
      <c r="C247" s="29">
        <v>9.0</v>
      </c>
      <c r="D247" s="29" t="s">
        <v>28</v>
      </c>
      <c r="E247" s="30"/>
      <c r="F247" s="30" t="s">
        <v>31</v>
      </c>
      <c r="G247" s="32">
        <v>45.0</v>
      </c>
      <c r="H247" s="6"/>
      <c r="I247" s="39">
        <v>0.0</v>
      </c>
      <c r="J247" s="6"/>
      <c r="K247" s="32">
        <v>0.0</v>
      </c>
      <c r="L247" s="6"/>
      <c r="M247" s="32">
        <v>0.0</v>
      </c>
      <c r="N247" s="6"/>
      <c r="O247" s="32">
        <v>0.0</v>
      </c>
      <c r="P247" s="6"/>
      <c r="Q247" s="33">
        <f t="shared" si="1"/>
        <v>1124.1</v>
      </c>
      <c r="R247" s="29">
        <f t="shared" si="2"/>
        <v>45</v>
      </c>
      <c r="S247" s="29">
        <f t="shared" si="3"/>
        <v>0</v>
      </c>
      <c r="T247" s="29">
        <f t="shared" si="4"/>
        <v>45</v>
      </c>
      <c r="U247" s="34">
        <f t="shared" si="5"/>
        <v>24.98</v>
      </c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14" t="s">
        <v>19</v>
      </c>
      <c r="B248" s="35">
        <f t="shared" si="6"/>
        <v>45901</v>
      </c>
      <c r="C248" s="16">
        <v>9.0</v>
      </c>
      <c r="D248" s="16" t="s">
        <v>29</v>
      </c>
      <c r="E248" s="17"/>
      <c r="F248" s="17" t="s">
        <v>32</v>
      </c>
      <c r="G248" s="18">
        <v>0.0</v>
      </c>
      <c r="I248" s="19">
        <v>0.0</v>
      </c>
      <c r="K248" s="19">
        <v>0.0</v>
      </c>
      <c r="M248" s="19">
        <v>0.0</v>
      </c>
      <c r="O248" s="19">
        <v>0.0</v>
      </c>
      <c r="Q248" s="20">
        <f t="shared" si="1"/>
        <v>0</v>
      </c>
      <c r="R248" s="16">
        <f t="shared" si="2"/>
        <v>0</v>
      </c>
      <c r="S248" s="16">
        <f t="shared" si="3"/>
        <v>0</v>
      </c>
      <c r="T248" s="16">
        <f t="shared" si="4"/>
        <v>0</v>
      </c>
      <c r="U248" s="36">
        <f t="shared" si="5"/>
        <v>0</v>
      </c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22" t="s">
        <v>21</v>
      </c>
      <c r="B249" s="23">
        <f t="shared" si="6"/>
        <v>45902</v>
      </c>
      <c r="C249" s="24">
        <v>9.0</v>
      </c>
      <c r="D249" s="24" t="s">
        <v>29</v>
      </c>
      <c r="E249" s="37">
        <v>13.0</v>
      </c>
      <c r="F249" s="21" t="s">
        <v>33</v>
      </c>
      <c r="G249" s="18">
        <v>0.0</v>
      </c>
      <c r="I249" s="19">
        <v>45.0</v>
      </c>
      <c r="K249" s="19">
        <v>45.0</v>
      </c>
      <c r="M249" s="19">
        <v>0.0</v>
      </c>
      <c r="O249" s="19">
        <v>45.0</v>
      </c>
      <c r="Q249" s="25">
        <f t="shared" si="1"/>
        <v>2622.6</v>
      </c>
      <c r="R249" s="24">
        <f t="shared" si="2"/>
        <v>90</v>
      </c>
      <c r="S249" s="24">
        <f t="shared" si="3"/>
        <v>45</v>
      </c>
      <c r="T249" s="24">
        <f t="shared" si="4"/>
        <v>135</v>
      </c>
      <c r="U249" s="26">
        <f t="shared" si="5"/>
        <v>19.42666667</v>
      </c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22" t="s">
        <v>22</v>
      </c>
      <c r="B250" s="23">
        <f t="shared" si="6"/>
        <v>45903</v>
      </c>
      <c r="C250" s="24">
        <v>9.0</v>
      </c>
      <c r="D250" s="24" t="s">
        <v>29</v>
      </c>
      <c r="E250" s="37">
        <v>13.0</v>
      </c>
      <c r="F250" s="21" t="s">
        <v>33</v>
      </c>
      <c r="G250" s="18">
        <v>0.0</v>
      </c>
      <c r="I250" s="19">
        <v>45.0</v>
      </c>
      <c r="K250" s="19">
        <v>45.0</v>
      </c>
      <c r="M250" s="19">
        <v>0.0</v>
      </c>
      <c r="O250" s="19">
        <v>45.0</v>
      </c>
      <c r="Q250" s="25">
        <f t="shared" si="1"/>
        <v>2622.6</v>
      </c>
      <c r="R250" s="24">
        <f t="shared" si="2"/>
        <v>90</v>
      </c>
      <c r="S250" s="24">
        <f t="shared" si="3"/>
        <v>45</v>
      </c>
      <c r="T250" s="24">
        <f t="shared" si="4"/>
        <v>135</v>
      </c>
      <c r="U250" s="26">
        <f t="shared" si="5"/>
        <v>19.42666667</v>
      </c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22" t="s">
        <v>23</v>
      </c>
      <c r="B251" s="23">
        <f t="shared" si="6"/>
        <v>45904</v>
      </c>
      <c r="C251" s="24">
        <v>9.0</v>
      </c>
      <c r="D251" s="24" t="s">
        <v>29</v>
      </c>
      <c r="E251" s="37">
        <v>13.0</v>
      </c>
      <c r="F251" s="21" t="s">
        <v>33</v>
      </c>
      <c r="G251" s="18">
        <v>0.0</v>
      </c>
      <c r="I251" s="19">
        <v>45.0</v>
      </c>
      <c r="K251" s="19">
        <v>45.0</v>
      </c>
      <c r="M251" s="19">
        <v>0.0</v>
      </c>
      <c r="O251" s="19">
        <v>45.0</v>
      </c>
      <c r="Q251" s="25">
        <f t="shared" si="1"/>
        <v>2622.6</v>
      </c>
      <c r="R251" s="24">
        <f t="shared" si="2"/>
        <v>90</v>
      </c>
      <c r="S251" s="24">
        <f t="shared" si="3"/>
        <v>45</v>
      </c>
      <c r="T251" s="24">
        <f t="shared" si="4"/>
        <v>135</v>
      </c>
      <c r="U251" s="26">
        <f t="shared" si="5"/>
        <v>19.42666667</v>
      </c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22" t="s">
        <v>24</v>
      </c>
      <c r="B252" s="23">
        <f t="shared" si="6"/>
        <v>45905</v>
      </c>
      <c r="C252" s="24">
        <v>9.0</v>
      </c>
      <c r="D252" s="24" t="s">
        <v>29</v>
      </c>
      <c r="E252" s="37">
        <v>13.0</v>
      </c>
      <c r="F252" s="21" t="s">
        <v>33</v>
      </c>
      <c r="G252" s="18">
        <v>0.0</v>
      </c>
      <c r="I252" s="19">
        <v>45.0</v>
      </c>
      <c r="K252" s="19">
        <v>45.0</v>
      </c>
      <c r="M252" s="19">
        <v>0.0</v>
      </c>
      <c r="O252" s="19">
        <v>45.0</v>
      </c>
      <c r="Q252" s="25">
        <f t="shared" si="1"/>
        <v>2622.6</v>
      </c>
      <c r="R252" s="24">
        <f t="shared" si="2"/>
        <v>90</v>
      </c>
      <c r="S252" s="24">
        <f t="shared" si="3"/>
        <v>45</v>
      </c>
      <c r="T252" s="24">
        <f t="shared" si="4"/>
        <v>135</v>
      </c>
      <c r="U252" s="26">
        <f t="shared" si="5"/>
        <v>19.42666667</v>
      </c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22" t="s">
        <v>25</v>
      </c>
      <c r="B253" s="23">
        <f t="shared" si="6"/>
        <v>45906</v>
      </c>
      <c r="C253" s="24">
        <v>9.0</v>
      </c>
      <c r="D253" s="24" t="s">
        <v>29</v>
      </c>
      <c r="E253" s="37">
        <v>13.0</v>
      </c>
      <c r="F253" s="21" t="s">
        <v>33</v>
      </c>
      <c r="G253" s="18">
        <v>0.0</v>
      </c>
      <c r="I253" s="19">
        <v>45.0</v>
      </c>
      <c r="K253" s="19">
        <v>45.0</v>
      </c>
      <c r="M253" s="19">
        <v>0.0</v>
      </c>
      <c r="O253" s="19">
        <v>45.0</v>
      </c>
      <c r="Q253" s="25">
        <f t="shared" si="1"/>
        <v>2622.6</v>
      </c>
      <c r="R253" s="24">
        <f t="shared" si="2"/>
        <v>90</v>
      </c>
      <c r="S253" s="24">
        <f t="shared" si="3"/>
        <v>45</v>
      </c>
      <c r="T253" s="24">
        <f t="shared" si="4"/>
        <v>135</v>
      </c>
      <c r="U253" s="26">
        <f t="shared" si="5"/>
        <v>19.42666667</v>
      </c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27" t="s">
        <v>26</v>
      </c>
      <c r="B254" s="28">
        <f t="shared" si="6"/>
        <v>45907</v>
      </c>
      <c r="C254" s="29">
        <v>9.0</v>
      </c>
      <c r="D254" s="29" t="s">
        <v>29</v>
      </c>
      <c r="E254" s="38">
        <v>13.0</v>
      </c>
      <c r="F254" s="30" t="s">
        <v>31</v>
      </c>
      <c r="G254" s="32">
        <v>45.0</v>
      </c>
      <c r="H254" s="6"/>
      <c r="I254" s="39">
        <v>0.0</v>
      </c>
      <c r="J254" s="6"/>
      <c r="K254" s="32">
        <v>0.0</v>
      </c>
      <c r="L254" s="6"/>
      <c r="M254" s="32">
        <v>0.0</v>
      </c>
      <c r="N254" s="6"/>
      <c r="O254" s="32">
        <v>0.0</v>
      </c>
      <c r="P254" s="6"/>
      <c r="Q254" s="33">
        <f t="shared" si="1"/>
        <v>1124.1</v>
      </c>
      <c r="R254" s="29">
        <f t="shared" si="2"/>
        <v>45</v>
      </c>
      <c r="S254" s="29">
        <f t="shared" si="3"/>
        <v>0</v>
      </c>
      <c r="T254" s="29">
        <f t="shared" si="4"/>
        <v>45</v>
      </c>
      <c r="U254" s="34">
        <f t="shared" si="5"/>
        <v>24.98</v>
      </c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14" t="s">
        <v>19</v>
      </c>
      <c r="B255" s="35">
        <f t="shared" si="6"/>
        <v>45908</v>
      </c>
      <c r="C255" s="16">
        <v>10.0</v>
      </c>
      <c r="D255" s="16" t="s">
        <v>20</v>
      </c>
      <c r="E255" s="17"/>
      <c r="F255" s="17" t="s">
        <v>32</v>
      </c>
      <c r="G255" s="18">
        <v>0.0</v>
      </c>
      <c r="I255" s="19">
        <v>0.0</v>
      </c>
      <c r="K255" s="19">
        <v>0.0</v>
      </c>
      <c r="M255" s="19">
        <v>0.0</v>
      </c>
      <c r="O255" s="19">
        <v>0.0</v>
      </c>
      <c r="Q255" s="20">
        <f t="shared" si="1"/>
        <v>0</v>
      </c>
      <c r="R255" s="16">
        <f t="shared" si="2"/>
        <v>0</v>
      </c>
      <c r="S255" s="16">
        <f t="shared" si="3"/>
        <v>0</v>
      </c>
      <c r="T255" s="16">
        <f t="shared" si="4"/>
        <v>0</v>
      </c>
      <c r="U255" s="36">
        <f t="shared" si="5"/>
        <v>0</v>
      </c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22" t="s">
        <v>21</v>
      </c>
      <c r="B256" s="23">
        <f t="shared" si="6"/>
        <v>45909</v>
      </c>
      <c r="C256" s="24">
        <v>10.0</v>
      </c>
      <c r="D256" s="24" t="s">
        <v>20</v>
      </c>
      <c r="E256" s="21"/>
      <c r="F256" s="21" t="s">
        <v>32</v>
      </c>
      <c r="G256" s="18">
        <v>0.0</v>
      </c>
      <c r="I256" s="19">
        <v>0.0</v>
      </c>
      <c r="K256" s="19">
        <v>0.0</v>
      </c>
      <c r="M256" s="19">
        <v>0.0</v>
      </c>
      <c r="O256" s="19">
        <v>0.0</v>
      </c>
      <c r="Q256" s="25">
        <f t="shared" si="1"/>
        <v>0</v>
      </c>
      <c r="R256" s="24">
        <f t="shared" si="2"/>
        <v>0</v>
      </c>
      <c r="S256" s="24">
        <f t="shared" si="3"/>
        <v>0</v>
      </c>
      <c r="T256" s="24">
        <f t="shared" si="4"/>
        <v>0</v>
      </c>
      <c r="U256" s="26">
        <f t="shared" si="5"/>
        <v>0</v>
      </c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22" t="s">
        <v>22</v>
      </c>
      <c r="B257" s="23">
        <f t="shared" si="6"/>
        <v>45910</v>
      </c>
      <c r="C257" s="24">
        <v>10.0</v>
      </c>
      <c r="D257" s="24" t="s">
        <v>20</v>
      </c>
      <c r="E257" s="21"/>
      <c r="F257" s="21" t="s">
        <v>32</v>
      </c>
      <c r="G257" s="18">
        <v>0.0</v>
      </c>
      <c r="I257" s="19">
        <v>0.0</v>
      </c>
      <c r="K257" s="19">
        <v>0.0</v>
      </c>
      <c r="M257" s="19">
        <v>0.0</v>
      </c>
      <c r="O257" s="19">
        <v>0.0</v>
      </c>
      <c r="Q257" s="25">
        <f t="shared" si="1"/>
        <v>0</v>
      </c>
      <c r="R257" s="24">
        <f t="shared" si="2"/>
        <v>0</v>
      </c>
      <c r="S257" s="24">
        <f t="shared" si="3"/>
        <v>0</v>
      </c>
      <c r="T257" s="24">
        <f t="shared" si="4"/>
        <v>0</v>
      </c>
      <c r="U257" s="26">
        <f t="shared" si="5"/>
        <v>0</v>
      </c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22" t="s">
        <v>23</v>
      </c>
      <c r="B258" s="23">
        <f t="shared" si="6"/>
        <v>45911</v>
      </c>
      <c r="C258" s="24">
        <v>10.0</v>
      </c>
      <c r="D258" s="24" t="s">
        <v>20</v>
      </c>
      <c r="E258" s="21"/>
      <c r="F258" s="21" t="s">
        <v>32</v>
      </c>
      <c r="G258" s="18">
        <v>0.0</v>
      </c>
      <c r="I258" s="19">
        <v>0.0</v>
      </c>
      <c r="K258" s="19">
        <v>0.0</v>
      </c>
      <c r="M258" s="19">
        <v>0.0</v>
      </c>
      <c r="O258" s="19">
        <v>0.0</v>
      </c>
      <c r="Q258" s="25">
        <f t="shared" si="1"/>
        <v>0</v>
      </c>
      <c r="R258" s="24">
        <f t="shared" si="2"/>
        <v>0</v>
      </c>
      <c r="S258" s="24">
        <f t="shared" si="3"/>
        <v>0</v>
      </c>
      <c r="T258" s="24">
        <f t="shared" si="4"/>
        <v>0</v>
      </c>
      <c r="U258" s="26">
        <f t="shared" si="5"/>
        <v>0</v>
      </c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22" t="s">
        <v>24</v>
      </c>
      <c r="B259" s="23">
        <f t="shared" si="6"/>
        <v>45912</v>
      </c>
      <c r="C259" s="24">
        <v>10.0</v>
      </c>
      <c r="D259" s="24" t="s">
        <v>20</v>
      </c>
      <c r="E259" s="21"/>
      <c r="F259" s="21" t="s">
        <v>32</v>
      </c>
      <c r="G259" s="18">
        <v>0.0</v>
      </c>
      <c r="I259" s="19">
        <v>0.0</v>
      </c>
      <c r="K259" s="19">
        <v>0.0</v>
      </c>
      <c r="M259" s="19">
        <v>0.0</v>
      </c>
      <c r="O259" s="19">
        <v>0.0</v>
      </c>
      <c r="Q259" s="25">
        <f t="shared" si="1"/>
        <v>0</v>
      </c>
      <c r="R259" s="24">
        <f t="shared" si="2"/>
        <v>0</v>
      </c>
      <c r="S259" s="24">
        <f t="shared" si="3"/>
        <v>0</v>
      </c>
      <c r="T259" s="24">
        <f t="shared" si="4"/>
        <v>0</v>
      </c>
      <c r="U259" s="26">
        <f t="shared" si="5"/>
        <v>0</v>
      </c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22" t="s">
        <v>25</v>
      </c>
      <c r="B260" s="23">
        <f t="shared" si="6"/>
        <v>45913</v>
      </c>
      <c r="C260" s="24">
        <v>10.0</v>
      </c>
      <c r="D260" s="24" t="s">
        <v>20</v>
      </c>
      <c r="E260" s="21"/>
      <c r="F260" s="21" t="s">
        <v>32</v>
      </c>
      <c r="G260" s="18">
        <v>0.0</v>
      </c>
      <c r="I260" s="19">
        <v>0.0</v>
      </c>
      <c r="K260" s="19">
        <v>0.0</v>
      </c>
      <c r="M260" s="19">
        <v>0.0</v>
      </c>
      <c r="O260" s="19">
        <v>0.0</v>
      </c>
      <c r="Q260" s="25">
        <f t="shared" si="1"/>
        <v>0</v>
      </c>
      <c r="R260" s="24">
        <f t="shared" si="2"/>
        <v>0</v>
      </c>
      <c r="S260" s="24">
        <f t="shared" si="3"/>
        <v>0</v>
      </c>
      <c r="T260" s="24">
        <f t="shared" si="4"/>
        <v>0</v>
      </c>
      <c r="U260" s="26">
        <f t="shared" si="5"/>
        <v>0</v>
      </c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27" t="s">
        <v>26</v>
      </c>
      <c r="B261" s="28">
        <f t="shared" si="6"/>
        <v>45914</v>
      </c>
      <c r="C261" s="29">
        <v>10.0</v>
      </c>
      <c r="D261" s="29" t="s">
        <v>20</v>
      </c>
      <c r="E261" s="30"/>
      <c r="F261" s="30" t="s">
        <v>32</v>
      </c>
      <c r="G261" s="32">
        <v>0.0</v>
      </c>
      <c r="H261" s="6"/>
      <c r="I261" s="32">
        <v>0.0</v>
      </c>
      <c r="J261" s="6"/>
      <c r="K261" s="32">
        <v>0.0</v>
      </c>
      <c r="L261" s="6"/>
      <c r="M261" s="32">
        <v>0.0</v>
      </c>
      <c r="N261" s="6"/>
      <c r="O261" s="32">
        <v>0.0</v>
      </c>
      <c r="P261" s="6"/>
      <c r="Q261" s="33">
        <f t="shared" si="1"/>
        <v>0</v>
      </c>
      <c r="R261" s="29">
        <f t="shared" si="2"/>
        <v>0</v>
      </c>
      <c r="S261" s="29">
        <f t="shared" si="3"/>
        <v>0</v>
      </c>
      <c r="T261" s="29">
        <f t="shared" si="4"/>
        <v>0</v>
      </c>
      <c r="U261" s="34">
        <f t="shared" si="5"/>
        <v>0</v>
      </c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14" t="s">
        <v>19</v>
      </c>
      <c r="B262" s="35">
        <f t="shared" si="6"/>
        <v>45915</v>
      </c>
      <c r="C262" s="16">
        <v>10.0</v>
      </c>
      <c r="D262" s="16" t="s">
        <v>27</v>
      </c>
      <c r="E262" s="17"/>
      <c r="F262" s="17" t="s">
        <v>32</v>
      </c>
      <c r="G262" s="18">
        <v>0.0</v>
      </c>
      <c r="I262" s="19">
        <v>0.0</v>
      </c>
      <c r="K262" s="19">
        <v>0.0</v>
      </c>
      <c r="M262" s="19">
        <v>0.0</v>
      </c>
      <c r="O262" s="19">
        <v>0.0</v>
      </c>
      <c r="Q262" s="20">
        <f t="shared" si="1"/>
        <v>0</v>
      </c>
      <c r="R262" s="16">
        <f t="shared" si="2"/>
        <v>0</v>
      </c>
      <c r="S262" s="16">
        <f t="shared" si="3"/>
        <v>0</v>
      </c>
      <c r="T262" s="16">
        <f t="shared" si="4"/>
        <v>0</v>
      </c>
      <c r="U262" s="36">
        <f t="shared" si="5"/>
        <v>0</v>
      </c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22" t="s">
        <v>21</v>
      </c>
      <c r="B263" s="23">
        <f t="shared" si="6"/>
        <v>45916</v>
      </c>
      <c r="C263" s="24">
        <v>10.0</v>
      </c>
      <c r="D263" s="24" t="s">
        <v>27</v>
      </c>
      <c r="E263" s="37">
        <v>14.0</v>
      </c>
      <c r="F263" s="21" t="s">
        <v>33</v>
      </c>
      <c r="G263" s="18">
        <v>0.0</v>
      </c>
      <c r="I263" s="19">
        <v>45.0</v>
      </c>
      <c r="K263" s="19">
        <v>45.0</v>
      </c>
      <c r="M263" s="19">
        <v>0.0</v>
      </c>
      <c r="O263" s="19">
        <v>45.0</v>
      </c>
      <c r="Q263" s="25">
        <f t="shared" si="1"/>
        <v>2622.6</v>
      </c>
      <c r="R263" s="24">
        <f t="shared" si="2"/>
        <v>90</v>
      </c>
      <c r="S263" s="24">
        <f t="shared" si="3"/>
        <v>45</v>
      </c>
      <c r="T263" s="24">
        <f t="shared" si="4"/>
        <v>135</v>
      </c>
      <c r="U263" s="26">
        <f t="shared" si="5"/>
        <v>19.42666667</v>
      </c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22" t="s">
        <v>22</v>
      </c>
      <c r="B264" s="23">
        <f t="shared" si="6"/>
        <v>45917</v>
      </c>
      <c r="C264" s="24">
        <v>10.0</v>
      </c>
      <c r="D264" s="24" t="s">
        <v>27</v>
      </c>
      <c r="E264" s="37">
        <v>14.0</v>
      </c>
      <c r="F264" s="21" t="s">
        <v>31</v>
      </c>
      <c r="G264" s="18">
        <v>45.0</v>
      </c>
      <c r="I264" s="19">
        <v>45.0</v>
      </c>
      <c r="K264" s="19">
        <v>0.0</v>
      </c>
      <c r="M264" s="19">
        <v>0.0</v>
      </c>
      <c r="O264" s="19">
        <v>0.0</v>
      </c>
      <c r="Q264" s="25">
        <f t="shared" si="1"/>
        <v>2248.2</v>
      </c>
      <c r="R264" s="24">
        <f t="shared" si="2"/>
        <v>90</v>
      </c>
      <c r="S264" s="24">
        <f t="shared" si="3"/>
        <v>0</v>
      </c>
      <c r="T264" s="24">
        <f t="shared" si="4"/>
        <v>90</v>
      </c>
      <c r="U264" s="26">
        <f t="shared" si="5"/>
        <v>24.98</v>
      </c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22" t="s">
        <v>23</v>
      </c>
      <c r="B265" s="23">
        <f t="shared" si="6"/>
        <v>45918</v>
      </c>
      <c r="C265" s="24">
        <v>10.0</v>
      </c>
      <c r="D265" s="24" t="s">
        <v>27</v>
      </c>
      <c r="E265" s="37">
        <v>14.0</v>
      </c>
      <c r="F265" s="21" t="s">
        <v>33</v>
      </c>
      <c r="G265" s="18">
        <v>0.0</v>
      </c>
      <c r="I265" s="19">
        <v>45.0</v>
      </c>
      <c r="K265" s="19">
        <v>45.0</v>
      </c>
      <c r="M265" s="19">
        <v>0.0</v>
      </c>
      <c r="O265" s="19">
        <v>45.0</v>
      </c>
      <c r="Q265" s="25">
        <f t="shared" si="1"/>
        <v>2622.6</v>
      </c>
      <c r="R265" s="24">
        <f t="shared" si="2"/>
        <v>90</v>
      </c>
      <c r="S265" s="24">
        <f t="shared" si="3"/>
        <v>45</v>
      </c>
      <c r="T265" s="24">
        <f t="shared" si="4"/>
        <v>135</v>
      </c>
      <c r="U265" s="26">
        <f t="shared" si="5"/>
        <v>19.42666667</v>
      </c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22" t="s">
        <v>24</v>
      </c>
      <c r="B266" s="23">
        <f t="shared" si="6"/>
        <v>45919</v>
      </c>
      <c r="C266" s="24">
        <v>10.0</v>
      </c>
      <c r="D266" s="24" t="s">
        <v>27</v>
      </c>
      <c r="E266" s="37">
        <v>14.0</v>
      </c>
      <c r="F266" s="21" t="s">
        <v>33</v>
      </c>
      <c r="G266" s="18">
        <v>0.0</v>
      </c>
      <c r="I266" s="19">
        <v>45.0</v>
      </c>
      <c r="K266" s="19">
        <v>45.0</v>
      </c>
      <c r="M266" s="19">
        <v>0.0</v>
      </c>
      <c r="O266" s="19">
        <v>45.0</v>
      </c>
      <c r="Q266" s="25">
        <f t="shared" si="1"/>
        <v>2622.6</v>
      </c>
      <c r="R266" s="24">
        <f t="shared" si="2"/>
        <v>90</v>
      </c>
      <c r="S266" s="24">
        <f t="shared" si="3"/>
        <v>45</v>
      </c>
      <c r="T266" s="24">
        <f t="shared" si="4"/>
        <v>135</v>
      </c>
      <c r="U266" s="26">
        <f t="shared" si="5"/>
        <v>19.42666667</v>
      </c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22" t="s">
        <v>25</v>
      </c>
      <c r="B267" s="23">
        <f t="shared" si="6"/>
        <v>45920</v>
      </c>
      <c r="C267" s="24">
        <v>10.0</v>
      </c>
      <c r="D267" s="24" t="s">
        <v>27</v>
      </c>
      <c r="E267" s="37">
        <v>14.0</v>
      </c>
      <c r="F267" s="21" t="s">
        <v>33</v>
      </c>
      <c r="G267" s="18">
        <v>0.0</v>
      </c>
      <c r="I267" s="19">
        <v>45.0</v>
      </c>
      <c r="K267" s="19">
        <v>45.0</v>
      </c>
      <c r="M267" s="19">
        <v>0.0</v>
      </c>
      <c r="O267" s="19">
        <v>45.0</v>
      </c>
      <c r="Q267" s="25">
        <f t="shared" si="1"/>
        <v>2622.6</v>
      </c>
      <c r="R267" s="24">
        <f t="shared" si="2"/>
        <v>90</v>
      </c>
      <c r="S267" s="24">
        <f t="shared" si="3"/>
        <v>45</v>
      </c>
      <c r="T267" s="24">
        <f t="shared" si="4"/>
        <v>135</v>
      </c>
      <c r="U267" s="26">
        <f t="shared" si="5"/>
        <v>19.42666667</v>
      </c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27" t="s">
        <v>26</v>
      </c>
      <c r="B268" s="28">
        <f t="shared" si="6"/>
        <v>45921</v>
      </c>
      <c r="C268" s="29">
        <v>10.0</v>
      </c>
      <c r="D268" s="29" t="s">
        <v>27</v>
      </c>
      <c r="E268" s="38">
        <v>14.0</v>
      </c>
      <c r="F268" s="30" t="s">
        <v>31</v>
      </c>
      <c r="G268" s="32">
        <v>45.0</v>
      </c>
      <c r="H268" s="6"/>
      <c r="I268" s="39">
        <v>0.0</v>
      </c>
      <c r="J268" s="6"/>
      <c r="K268" s="32">
        <v>0.0</v>
      </c>
      <c r="L268" s="6"/>
      <c r="M268" s="32">
        <v>0.0</v>
      </c>
      <c r="N268" s="6"/>
      <c r="O268" s="32">
        <v>0.0</v>
      </c>
      <c r="P268" s="6"/>
      <c r="Q268" s="33">
        <f t="shared" si="1"/>
        <v>1124.1</v>
      </c>
      <c r="R268" s="29">
        <f t="shared" si="2"/>
        <v>45</v>
      </c>
      <c r="S268" s="29">
        <f t="shared" si="3"/>
        <v>0</v>
      </c>
      <c r="T268" s="29">
        <f t="shared" si="4"/>
        <v>45</v>
      </c>
      <c r="U268" s="34">
        <f t="shared" si="5"/>
        <v>24.98</v>
      </c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14" t="s">
        <v>19</v>
      </c>
      <c r="B269" s="35">
        <f t="shared" si="6"/>
        <v>45922</v>
      </c>
      <c r="C269" s="16">
        <v>10.0</v>
      </c>
      <c r="D269" s="16" t="s">
        <v>28</v>
      </c>
      <c r="E269" s="17"/>
      <c r="F269" s="17" t="s">
        <v>32</v>
      </c>
      <c r="G269" s="18">
        <v>0.0</v>
      </c>
      <c r="I269" s="19">
        <v>0.0</v>
      </c>
      <c r="K269" s="19">
        <v>0.0</v>
      </c>
      <c r="M269" s="19">
        <v>0.0</v>
      </c>
      <c r="O269" s="19">
        <v>0.0</v>
      </c>
      <c r="Q269" s="20">
        <f t="shared" si="1"/>
        <v>0</v>
      </c>
      <c r="R269" s="16">
        <f t="shared" si="2"/>
        <v>0</v>
      </c>
      <c r="S269" s="16">
        <f t="shared" si="3"/>
        <v>0</v>
      </c>
      <c r="T269" s="16">
        <f t="shared" si="4"/>
        <v>0</v>
      </c>
      <c r="U269" s="36">
        <f t="shared" si="5"/>
        <v>0</v>
      </c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22" t="s">
        <v>21</v>
      </c>
      <c r="B270" s="23">
        <f t="shared" si="6"/>
        <v>45923</v>
      </c>
      <c r="C270" s="24">
        <v>10.0</v>
      </c>
      <c r="D270" s="24" t="s">
        <v>28</v>
      </c>
      <c r="E270" s="21"/>
      <c r="F270" s="21" t="s">
        <v>32</v>
      </c>
      <c r="G270" s="18">
        <v>0.0</v>
      </c>
      <c r="I270" s="19">
        <v>0.0</v>
      </c>
      <c r="K270" s="19">
        <v>0.0</v>
      </c>
      <c r="M270" s="19">
        <v>0.0</v>
      </c>
      <c r="O270" s="19">
        <v>0.0</v>
      </c>
      <c r="Q270" s="25">
        <f t="shared" si="1"/>
        <v>0</v>
      </c>
      <c r="R270" s="24">
        <f t="shared" si="2"/>
        <v>0</v>
      </c>
      <c r="S270" s="24">
        <f t="shared" si="3"/>
        <v>0</v>
      </c>
      <c r="T270" s="24">
        <f t="shared" si="4"/>
        <v>0</v>
      </c>
      <c r="U270" s="26">
        <f t="shared" si="5"/>
        <v>0</v>
      </c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22" t="s">
        <v>22</v>
      </c>
      <c r="B271" s="23">
        <f t="shared" si="6"/>
        <v>45924</v>
      </c>
      <c r="C271" s="24">
        <v>10.0</v>
      </c>
      <c r="D271" s="24" t="s">
        <v>28</v>
      </c>
      <c r="E271" s="21"/>
      <c r="F271" s="21" t="s">
        <v>32</v>
      </c>
      <c r="G271" s="18">
        <v>0.0</v>
      </c>
      <c r="I271" s="19">
        <v>0.0</v>
      </c>
      <c r="K271" s="19">
        <v>0.0</v>
      </c>
      <c r="M271" s="19">
        <v>0.0</v>
      </c>
      <c r="O271" s="19">
        <v>0.0</v>
      </c>
      <c r="Q271" s="25">
        <f t="shared" si="1"/>
        <v>0</v>
      </c>
      <c r="R271" s="24">
        <f t="shared" si="2"/>
        <v>0</v>
      </c>
      <c r="S271" s="24">
        <f t="shared" si="3"/>
        <v>0</v>
      </c>
      <c r="T271" s="24">
        <f t="shared" si="4"/>
        <v>0</v>
      </c>
      <c r="U271" s="26">
        <f t="shared" si="5"/>
        <v>0</v>
      </c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22" t="s">
        <v>23</v>
      </c>
      <c r="B272" s="23">
        <f t="shared" si="6"/>
        <v>45925</v>
      </c>
      <c r="C272" s="24">
        <v>10.0</v>
      </c>
      <c r="D272" s="24" t="s">
        <v>28</v>
      </c>
      <c r="E272" s="21"/>
      <c r="F272" s="21" t="s">
        <v>32</v>
      </c>
      <c r="G272" s="18">
        <v>0.0</v>
      </c>
      <c r="I272" s="19">
        <v>0.0</v>
      </c>
      <c r="K272" s="19">
        <v>0.0</v>
      </c>
      <c r="M272" s="19">
        <v>0.0</v>
      </c>
      <c r="O272" s="19">
        <v>0.0</v>
      </c>
      <c r="Q272" s="25">
        <f t="shared" si="1"/>
        <v>0</v>
      </c>
      <c r="R272" s="24">
        <f t="shared" si="2"/>
        <v>0</v>
      </c>
      <c r="S272" s="24">
        <f t="shared" si="3"/>
        <v>0</v>
      </c>
      <c r="T272" s="24">
        <f t="shared" si="4"/>
        <v>0</v>
      </c>
      <c r="U272" s="26">
        <f t="shared" si="5"/>
        <v>0</v>
      </c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22" t="s">
        <v>24</v>
      </c>
      <c r="B273" s="23">
        <f t="shared" si="6"/>
        <v>45926</v>
      </c>
      <c r="C273" s="24">
        <v>10.0</v>
      </c>
      <c r="D273" s="24" t="s">
        <v>28</v>
      </c>
      <c r="E273" s="21"/>
      <c r="F273" s="21" t="s">
        <v>32</v>
      </c>
      <c r="G273" s="18">
        <v>0.0</v>
      </c>
      <c r="I273" s="19">
        <v>0.0</v>
      </c>
      <c r="K273" s="19">
        <v>0.0</v>
      </c>
      <c r="M273" s="19">
        <v>0.0</v>
      </c>
      <c r="O273" s="19">
        <v>0.0</v>
      </c>
      <c r="Q273" s="25">
        <f t="shared" si="1"/>
        <v>0</v>
      </c>
      <c r="R273" s="24">
        <f t="shared" si="2"/>
        <v>0</v>
      </c>
      <c r="S273" s="24">
        <f t="shared" si="3"/>
        <v>0</v>
      </c>
      <c r="T273" s="24">
        <f t="shared" si="4"/>
        <v>0</v>
      </c>
      <c r="U273" s="26">
        <f t="shared" si="5"/>
        <v>0</v>
      </c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22" t="s">
        <v>25</v>
      </c>
      <c r="B274" s="23">
        <f t="shared" si="6"/>
        <v>45927</v>
      </c>
      <c r="C274" s="24">
        <v>10.0</v>
      </c>
      <c r="D274" s="24" t="s">
        <v>28</v>
      </c>
      <c r="E274" s="21"/>
      <c r="F274" s="21" t="s">
        <v>32</v>
      </c>
      <c r="G274" s="18">
        <v>0.0</v>
      </c>
      <c r="I274" s="19">
        <v>0.0</v>
      </c>
      <c r="K274" s="19">
        <v>0.0</v>
      </c>
      <c r="M274" s="19">
        <v>0.0</v>
      </c>
      <c r="O274" s="19">
        <v>0.0</v>
      </c>
      <c r="Q274" s="25">
        <f t="shared" si="1"/>
        <v>0</v>
      </c>
      <c r="R274" s="24">
        <f t="shared" si="2"/>
        <v>0</v>
      </c>
      <c r="S274" s="24">
        <f t="shared" si="3"/>
        <v>0</v>
      </c>
      <c r="T274" s="24">
        <f t="shared" si="4"/>
        <v>0</v>
      </c>
      <c r="U274" s="26">
        <f t="shared" si="5"/>
        <v>0</v>
      </c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27" t="s">
        <v>26</v>
      </c>
      <c r="B275" s="28">
        <f t="shared" si="6"/>
        <v>45928</v>
      </c>
      <c r="C275" s="29">
        <v>10.0</v>
      </c>
      <c r="D275" s="29" t="s">
        <v>28</v>
      </c>
      <c r="E275" s="30"/>
      <c r="F275" s="30" t="s">
        <v>32</v>
      </c>
      <c r="G275" s="32">
        <v>0.0</v>
      </c>
      <c r="H275" s="6"/>
      <c r="I275" s="32">
        <v>0.0</v>
      </c>
      <c r="J275" s="6"/>
      <c r="K275" s="32">
        <v>0.0</v>
      </c>
      <c r="L275" s="6"/>
      <c r="M275" s="32">
        <v>0.0</v>
      </c>
      <c r="N275" s="6"/>
      <c r="O275" s="32">
        <v>0.0</v>
      </c>
      <c r="P275" s="6"/>
      <c r="Q275" s="33">
        <f t="shared" si="1"/>
        <v>0</v>
      </c>
      <c r="R275" s="29">
        <f t="shared" si="2"/>
        <v>0</v>
      </c>
      <c r="S275" s="29">
        <f t="shared" si="3"/>
        <v>0</v>
      </c>
      <c r="T275" s="29">
        <f t="shared" si="4"/>
        <v>0</v>
      </c>
      <c r="U275" s="34">
        <f t="shared" si="5"/>
        <v>0</v>
      </c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14" t="s">
        <v>19</v>
      </c>
      <c r="B276" s="35">
        <f t="shared" si="6"/>
        <v>45929</v>
      </c>
      <c r="C276" s="16">
        <v>10.0</v>
      </c>
      <c r="D276" s="16" t="s">
        <v>29</v>
      </c>
      <c r="E276" s="17"/>
      <c r="F276" s="17"/>
      <c r="G276" s="18"/>
      <c r="I276" s="19"/>
      <c r="K276" s="19"/>
      <c r="M276" s="19"/>
      <c r="O276" s="19"/>
      <c r="Q276" s="20">
        <f t="shared" si="1"/>
        <v>0</v>
      </c>
      <c r="R276" s="16">
        <f t="shared" si="2"/>
        <v>0</v>
      </c>
      <c r="S276" s="16">
        <f t="shared" si="3"/>
        <v>0</v>
      </c>
      <c r="T276" s="16">
        <f t="shared" si="4"/>
        <v>0</v>
      </c>
      <c r="U276" s="36">
        <f t="shared" si="5"/>
        <v>0</v>
      </c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22" t="s">
        <v>21</v>
      </c>
      <c r="B277" s="23">
        <f t="shared" si="6"/>
        <v>45930</v>
      </c>
      <c r="C277" s="24">
        <v>10.0</v>
      </c>
      <c r="D277" s="24" t="s">
        <v>29</v>
      </c>
      <c r="E277" s="21"/>
      <c r="F277" s="21"/>
      <c r="G277" s="18"/>
      <c r="I277" s="19"/>
      <c r="K277" s="19"/>
      <c r="M277" s="19"/>
      <c r="O277" s="19"/>
      <c r="Q277" s="25">
        <f t="shared" si="1"/>
        <v>0</v>
      </c>
      <c r="R277" s="24">
        <f t="shared" si="2"/>
        <v>0</v>
      </c>
      <c r="S277" s="24">
        <f t="shared" si="3"/>
        <v>0</v>
      </c>
      <c r="T277" s="24">
        <f t="shared" si="4"/>
        <v>0</v>
      </c>
      <c r="U277" s="26">
        <f t="shared" si="5"/>
        <v>0</v>
      </c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22" t="s">
        <v>22</v>
      </c>
      <c r="B278" s="23">
        <f t="shared" si="6"/>
        <v>45931</v>
      </c>
      <c r="C278" s="24">
        <v>10.0</v>
      </c>
      <c r="D278" s="24" t="s">
        <v>29</v>
      </c>
      <c r="E278" s="21"/>
      <c r="F278" s="21"/>
      <c r="G278" s="18"/>
      <c r="I278" s="19"/>
      <c r="K278" s="19"/>
      <c r="M278" s="19"/>
      <c r="O278" s="19"/>
      <c r="Q278" s="25">
        <f t="shared" si="1"/>
        <v>0</v>
      </c>
      <c r="R278" s="24">
        <f t="shared" si="2"/>
        <v>0</v>
      </c>
      <c r="S278" s="24">
        <f t="shared" si="3"/>
        <v>0</v>
      </c>
      <c r="T278" s="24">
        <f t="shared" si="4"/>
        <v>0</v>
      </c>
      <c r="U278" s="26">
        <f t="shared" si="5"/>
        <v>0</v>
      </c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22" t="s">
        <v>23</v>
      </c>
      <c r="B279" s="23">
        <f t="shared" si="6"/>
        <v>45932</v>
      </c>
      <c r="C279" s="24">
        <v>10.0</v>
      </c>
      <c r="D279" s="24" t="s">
        <v>29</v>
      </c>
      <c r="E279" s="21"/>
      <c r="F279" s="21"/>
      <c r="G279" s="18"/>
      <c r="I279" s="19"/>
      <c r="K279" s="19"/>
      <c r="M279" s="19"/>
      <c r="O279" s="19"/>
      <c r="Q279" s="25">
        <f t="shared" si="1"/>
        <v>0</v>
      </c>
      <c r="R279" s="24">
        <f t="shared" si="2"/>
        <v>0</v>
      </c>
      <c r="S279" s="24">
        <f t="shared" si="3"/>
        <v>0</v>
      </c>
      <c r="T279" s="24">
        <f t="shared" si="4"/>
        <v>0</v>
      </c>
      <c r="U279" s="26">
        <f t="shared" si="5"/>
        <v>0</v>
      </c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22" t="s">
        <v>24</v>
      </c>
      <c r="B280" s="23">
        <f t="shared" si="6"/>
        <v>45933</v>
      </c>
      <c r="C280" s="24">
        <v>10.0</v>
      </c>
      <c r="D280" s="24" t="s">
        <v>29</v>
      </c>
      <c r="E280" s="21"/>
      <c r="F280" s="21"/>
      <c r="G280" s="18"/>
      <c r="I280" s="19"/>
      <c r="K280" s="19"/>
      <c r="M280" s="19"/>
      <c r="O280" s="19"/>
      <c r="Q280" s="25">
        <f t="shared" si="1"/>
        <v>0</v>
      </c>
      <c r="R280" s="24">
        <f t="shared" si="2"/>
        <v>0</v>
      </c>
      <c r="S280" s="24">
        <f t="shared" si="3"/>
        <v>0</v>
      </c>
      <c r="T280" s="24">
        <f t="shared" si="4"/>
        <v>0</v>
      </c>
      <c r="U280" s="26">
        <f t="shared" si="5"/>
        <v>0</v>
      </c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22" t="s">
        <v>25</v>
      </c>
      <c r="B281" s="23">
        <f t="shared" si="6"/>
        <v>45934</v>
      </c>
      <c r="C281" s="24">
        <v>10.0</v>
      </c>
      <c r="D281" s="24" t="s">
        <v>29</v>
      </c>
      <c r="E281" s="21"/>
      <c r="F281" s="21"/>
      <c r="G281" s="18"/>
      <c r="I281" s="19"/>
      <c r="K281" s="19"/>
      <c r="M281" s="19"/>
      <c r="O281" s="19"/>
      <c r="Q281" s="25">
        <f t="shared" si="1"/>
        <v>0</v>
      </c>
      <c r="R281" s="24">
        <f t="shared" si="2"/>
        <v>0</v>
      </c>
      <c r="S281" s="24">
        <f t="shared" si="3"/>
        <v>0</v>
      </c>
      <c r="T281" s="24">
        <f t="shared" si="4"/>
        <v>0</v>
      </c>
      <c r="U281" s="26">
        <f t="shared" si="5"/>
        <v>0</v>
      </c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27" t="s">
        <v>26</v>
      </c>
      <c r="B282" s="28">
        <f t="shared" si="6"/>
        <v>45935</v>
      </c>
      <c r="C282" s="29">
        <v>10.0</v>
      </c>
      <c r="D282" s="29" t="s">
        <v>29</v>
      </c>
      <c r="E282" s="30"/>
      <c r="F282" s="30"/>
      <c r="G282" s="31"/>
      <c r="H282" s="6"/>
      <c r="I282" s="32"/>
      <c r="J282" s="6"/>
      <c r="K282" s="32"/>
      <c r="L282" s="6"/>
      <c r="M282" s="32"/>
      <c r="N282" s="6"/>
      <c r="O282" s="32"/>
      <c r="P282" s="6"/>
      <c r="Q282" s="33">
        <f t="shared" si="1"/>
        <v>0</v>
      </c>
      <c r="R282" s="29">
        <f t="shared" si="2"/>
        <v>0</v>
      </c>
      <c r="S282" s="29">
        <f t="shared" si="3"/>
        <v>0</v>
      </c>
      <c r="T282" s="29">
        <f t="shared" si="4"/>
        <v>0</v>
      </c>
      <c r="U282" s="34">
        <f t="shared" si="5"/>
        <v>0</v>
      </c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14" t="s">
        <v>19</v>
      </c>
      <c r="B283" s="35">
        <f t="shared" si="6"/>
        <v>45936</v>
      </c>
      <c r="C283" s="16">
        <v>11.0</v>
      </c>
      <c r="D283" s="16" t="s">
        <v>20</v>
      </c>
      <c r="E283" s="17"/>
      <c r="F283" s="17"/>
      <c r="G283" s="18"/>
      <c r="I283" s="19"/>
      <c r="K283" s="19"/>
      <c r="M283" s="19"/>
      <c r="O283" s="19"/>
      <c r="Q283" s="20">
        <f t="shared" si="1"/>
        <v>0</v>
      </c>
      <c r="R283" s="16">
        <f t="shared" si="2"/>
        <v>0</v>
      </c>
      <c r="S283" s="16">
        <f t="shared" si="3"/>
        <v>0</v>
      </c>
      <c r="T283" s="16">
        <f t="shared" si="4"/>
        <v>0</v>
      </c>
      <c r="U283" s="36">
        <f t="shared" si="5"/>
        <v>0</v>
      </c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22" t="s">
        <v>21</v>
      </c>
      <c r="B284" s="23">
        <f t="shared" si="6"/>
        <v>45937</v>
      </c>
      <c r="C284" s="24">
        <v>11.0</v>
      </c>
      <c r="D284" s="24" t="s">
        <v>20</v>
      </c>
      <c r="E284" s="21"/>
      <c r="F284" s="21"/>
      <c r="G284" s="18"/>
      <c r="I284" s="19"/>
      <c r="K284" s="19"/>
      <c r="M284" s="19"/>
      <c r="O284" s="19"/>
      <c r="Q284" s="25">
        <f t="shared" si="1"/>
        <v>0</v>
      </c>
      <c r="R284" s="24">
        <f t="shared" si="2"/>
        <v>0</v>
      </c>
      <c r="S284" s="24">
        <f t="shared" si="3"/>
        <v>0</v>
      </c>
      <c r="T284" s="24">
        <f t="shared" si="4"/>
        <v>0</v>
      </c>
      <c r="U284" s="26">
        <f t="shared" si="5"/>
        <v>0</v>
      </c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22" t="s">
        <v>22</v>
      </c>
      <c r="B285" s="23">
        <f t="shared" si="6"/>
        <v>45938</v>
      </c>
      <c r="C285" s="24">
        <v>11.0</v>
      </c>
      <c r="D285" s="24" t="s">
        <v>20</v>
      </c>
      <c r="E285" s="21"/>
      <c r="F285" s="21"/>
      <c r="G285" s="18"/>
      <c r="I285" s="19"/>
      <c r="K285" s="19"/>
      <c r="M285" s="19"/>
      <c r="O285" s="19"/>
      <c r="Q285" s="25">
        <f t="shared" si="1"/>
        <v>0</v>
      </c>
      <c r="R285" s="24">
        <f t="shared" si="2"/>
        <v>0</v>
      </c>
      <c r="S285" s="24">
        <f t="shared" si="3"/>
        <v>0</v>
      </c>
      <c r="T285" s="24">
        <f t="shared" si="4"/>
        <v>0</v>
      </c>
      <c r="U285" s="26">
        <f t="shared" si="5"/>
        <v>0</v>
      </c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22" t="s">
        <v>23</v>
      </c>
      <c r="B286" s="23">
        <f t="shared" si="6"/>
        <v>45939</v>
      </c>
      <c r="C286" s="24">
        <v>11.0</v>
      </c>
      <c r="D286" s="24" t="s">
        <v>20</v>
      </c>
      <c r="E286" s="21"/>
      <c r="F286" s="21"/>
      <c r="G286" s="18"/>
      <c r="I286" s="19"/>
      <c r="K286" s="19"/>
      <c r="M286" s="19"/>
      <c r="O286" s="19"/>
      <c r="Q286" s="25">
        <f t="shared" si="1"/>
        <v>0</v>
      </c>
      <c r="R286" s="24">
        <f t="shared" si="2"/>
        <v>0</v>
      </c>
      <c r="S286" s="24">
        <f t="shared" si="3"/>
        <v>0</v>
      </c>
      <c r="T286" s="24">
        <f t="shared" si="4"/>
        <v>0</v>
      </c>
      <c r="U286" s="26">
        <f t="shared" si="5"/>
        <v>0</v>
      </c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22" t="s">
        <v>24</v>
      </c>
      <c r="B287" s="23">
        <f t="shared" si="6"/>
        <v>45940</v>
      </c>
      <c r="C287" s="24">
        <v>11.0</v>
      </c>
      <c r="D287" s="24" t="s">
        <v>20</v>
      </c>
      <c r="E287" s="21"/>
      <c r="F287" s="21"/>
      <c r="G287" s="18"/>
      <c r="I287" s="19"/>
      <c r="K287" s="19"/>
      <c r="M287" s="19"/>
      <c r="O287" s="19"/>
      <c r="Q287" s="25">
        <f t="shared" si="1"/>
        <v>0</v>
      </c>
      <c r="R287" s="24">
        <f t="shared" si="2"/>
        <v>0</v>
      </c>
      <c r="S287" s="24">
        <f t="shared" si="3"/>
        <v>0</v>
      </c>
      <c r="T287" s="24">
        <f t="shared" si="4"/>
        <v>0</v>
      </c>
      <c r="U287" s="26">
        <f t="shared" si="5"/>
        <v>0</v>
      </c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22" t="s">
        <v>25</v>
      </c>
      <c r="B288" s="23">
        <f t="shared" si="6"/>
        <v>45941</v>
      </c>
      <c r="C288" s="24">
        <v>11.0</v>
      </c>
      <c r="D288" s="24" t="s">
        <v>20</v>
      </c>
      <c r="E288" s="21"/>
      <c r="F288" s="21"/>
      <c r="G288" s="18"/>
      <c r="I288" s="19"/>
      <c r="K288" s="19"/>
      <c r="M288" s="19"/>
      <c r="O288" s="19"/>
      <c r="Q288" s="25">
        <f t="shared" si="1"/>
        <v>0</v>
      </c>
      <c r="R288" s="24">
        <f t="shared" si="2"/>
        <v>0</v>
      </c>
      <c r="S288" s="24">
        <f t="shared" si="3"/>
        <v>0</v>
      </c>
      <c r="T288" s="24">
        <f t="shared" si="4"/>
        <v>0</v>
      </c>
      <c r="U288" s="26">
        <f t="shared" si="5"/>
        <v>0</v>
      </c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27" t="s">
        <v>26</v>
      </c>
      <c r="B289" s="28">
        <f t="shared" si="6"/>
        <v>45942</v>
      </c>
      <c r="C289" s="29">
        <v>11.0</v>
      </c>
      <c r="D289" s="29" t="s">
        <v>20</v>
      </c>
      <c r="E289" s="30"/>
      <c r="F289" s="30"/>
      <c r="G289" s="31"/>
      <c r="H289" s="6"/>
      <c r="I289" s="32"/>
      <c r="J289" s="6"/>
      <c r="K289" s="32"/>
      <c r="L289" s="6"/>
      <c r="M289" s="32"/>
      <c r="N289" s="6"/>
      <c r="O289" s="32"/>
      <c r="P289" s="6"/>
      <c r="Q289" s="33">
        <f t="shared" si="1"/>
        <v>0</v>
      </c>
      <c r="R289" s="29">
        <f t="shared" si="2"/>
        <v>0</v>
      </c>
      <c r="S289" s="29">
        <f t="shared" si="3"/>
        <v>0</v>
      </c>
      <c r="T289" s="29">
        <f t="shared" si="4"/>
        <v>0</v>
      </c>
      <c r="U289" s="34">
        <f t="shared" si="5"/>
        <v>0</v>
      </c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14" t="s">
        <v>19</v>
      </c>
      <c r="B290" s="35">
        <f t="shared" si="6"/>
        <v>45943</v>
      </c>
      <c r="C290" s="16">
        <v>11.0</v>
      </c>
      <c r="D290" s="16" t="s">
        <v>27</v>
      </c>
      <c r="E290" s="17"/>
      <c r="F290" s="17"/>
      <c r="G290" s="18"/>
      <c r="I290" s="19"/>
      <c r="K290" s="19"/>
      <c r="M290" s="19"/>
      <c r="O290" s="19"/>
      <c r="Q290" s="20">
        <f t="shared" si="1"/>
        <v>0</v>
      </c>
      <c r="R290" s="16">
        <f t="shared" si="2"/>
        <v>0</v>
      </c>
      <c r="S290" s="16">
        <f t="shared" si="3"/>
        <v>0</v>
      </c>
      <c r="T290" s="16">
        <f t="shared" si="4"/>
        <v>0</v>
      </c>
      <c r="U290" s="36">
        <f t="shared" si="5"/>
        <v>0</v>
      </c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22" t="s">
        <v>21</v>
      </c>
      <c r="B291" s="23">
        <f t="shared" si="6"/>
        <v>45944</v>
      </c>
      <c r="C291" s="24">
        <v>11.0</v>
      </c>
      <c r="D291" s="24" t="s">
        <v>27</v>
      </c>
      <c r="E291" s="21"/>
      <c r="F291" s="21"/>
      <c r="G291" s="18"/>
      <c r="I291" s="19"/>
      <c r="K291" s="19"/>
      <c r="M291" s="19"/>
      <c r="O291" s="19"/>
      <c r="Q291" s="25">
        <f t="shared" si="1"/>
        <v>0</v>
      </c>
      <c r="R291" s="24">
        <f t="shared" si="2"/>
        <v>0</v>
      </c>
      <c r="S291" s="24">
        <f t="shared" si="3"/>
        <v>0</v>
      </c>
      <c r="T291" s="24">
        <f t="shared" si="4"/>
        <v>0</v>
      </c>
      <c r="U291" s="26">
        <f t="shared" si="5"/>
        <v>0</v>
      </c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22" t="s">
        <v>22</v>
      </c>
      <c r="B292" s="23">
        <f t="shared" si="6"/>
        <v>45945</v>
      </c>
      <c r="C292" s="24">
        <v>11.0</v>
      </c>
      <c r="D292" s="24" t="s">
        <v>27</v>
      </c>
      <c r="E292" s="21"/>
      <c r="F292" s="21"/>
      <c r="G292" s="18"/>
      <c r="I292" s="19"/>
      <c r="K292" s="19"/>
      <c r="M292" s="19"/>
      <c r="O292" s="19"/>
      <c r="Q292" s="25">
        <f t="shared" si="1"/>
        <v>0</v>
      </c>
      <c r="R292" s="24">
        <f t="shared" si="2"/>
        <v>0</v>
      </c>
      <c r="S292" s="24">
        <f t="shared" si="3"/>
        <v>0</v>
      </c>
      <c r="T292" s="24">
        <f t="shared" si="4"/>
        <v>0</v>
      </c>
      <c r="U292" s="26">
        <f t="shared" si="5"/>
        <v>0</v>
      </c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22" t="s">
        <v>23</v>
      </c>
      <c r="B293" s="23">
        <f t="shared" si="6"/>
        <v>45946</v>
      </c>
      <c r="C293" s="24">
        <v>11.0</v>
      </c>
      <c r="D293" s="24" t="s">
        <v>27</v>
      </c>
      <c r="E293" s="21"/>
      <c r="F293" s="21"/>
      <c r="G293" s="18"/>
      <c r="I293" s="19"/>
      <c r="K293" s="19"/>
      <c r="M293" s="19"/>
      <c r="O293" s="19"/>
      <c r="Q293" s="25">
        <f t="shared" si="1"/>
        <v>0</v>
      </c>
      <c r="R293" s="24">
        <f t="shared" si="2"/>
        <v>0</v>
      </c>
      <c r="S293" s="24">
        <f t="shared" si="3"/>
        <v>0</v>
      </c>
      <c r="T293" s="24">
        <f t="shared" si="4"/>
        <v>0</v>
      </c>
      <c r="U293" s="26">
        <f t="shared" si="5"/>
        <v>0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22" t="s">
        <v>24</v>
      </c>
      <c r="B294" s="23">
        <f t="shared" si="6"/>
        <v>45947</v>
      </c>
      <c r="C294" s="24">
        <v>11.0</v>
      </c>
      <c r="D294" s="24" t="s">
        <v>27</v>
      </c>
      <c r="E294" s="21"/>
      <c r="F294" s="21"/>
      <c r="G294" s="18"/>
      <c r="I294" s="19"/>
      <c r="K294" s="19"/>
      <c r="M294" s="19"/>
      <c r="O294" s="19"/>
      <c r="Q294" s="25">
        <f t="shared" si="1"/>
        <v>0</v>
      </c>
      <c r="R294" s="24">
        <f t="shared" si="2"/>
        <v>0</v>
      </c>
      <c r="S294" s="24">
        <f t="shared" si="3"/>
        <v>0</v>
      </c>
      <c r="T294" s="24">
        <f t="shared" si="4"/>
        <v>0</v>
      </c>
      <c r="U294" s="26">
        <f t="shared" si="5"/>
        <v>0</v>
      </c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22" t="s">
        <v>25</v>
      </c>
      <c r="B295" s="23">
        <f t="shared" si="6"/>
        <v>45948</v>
      </c>
      <c r="C295" s="24">
        <v>11.0</v>
      </c>
      <c r="D295" s="24" t="s">
        <v>27</v>
      </c>
      <c r="E295" s="21"/>
      <c r="F295" s="21"/>
      <c r="G295" s="18"/>
      <c r="I295" s="19"/>
      <c r="K295" s="19"/>
      <c r="M295" s="19"/>
      <c r="O295" s="19"/>
      <c r="Q295" s="25">
        <f t="shared" si="1"/>
        <v>0</v>
      </c>
      <c r="R295" s="24">
        <f t="shared" si="2"/>
        <v>0</v>
      </c>
      <c r="S295" s="24">
        <f t="shared" si="3"/>
        <v>0</v>
      </c>
      <c r="T295" s="24">
        <f t="shared" si="4"/>
        <v>0</v>
      </c>
      <c r="U295" s="26">
        <f t="shared" si="5"/>
        <v>0</v>
      </c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27" t="s">
        <v>26</v>
      </c>
      <c r="B296" s="28">
        <f t="shared" si="6"/>
        <v>45949</v>
      </c>
      <c r="C296" s="29">
        <v>11.0</v>
      </c>
      <c r="D296" s="29" t="s">
        <v>27</v>
      </c>
      <c r="E296" s="30"/>
      <c r="F296" s="30"/>
      <c r="G296" s="31"/>
      <c r="H296" s="6"/>
      <c r="I296" s="32"/>
      <c r="J296" s="6"/>
      <c r="K296" s="32"/>
      <c r="L296" s="6"/>
      <c r="M296" s="32"/>
      <c r="N296" s="6"/>
      <c r="O296" s="32"/>
      <c r="P296" s="6"/>
      <c r="Q296" s="33">
        <f t="shared" si="1"/>
        <v>0</v>
      </c>
      <c r="R296" s="29">
        <f t="shared" si="2"/>
        <v>0</v>
      </c>
      <c r="S296" s="29">
        <f t="shared" si="3"/>
        <v>0</v>
      </c>
      <c r="T296" s="29">
        <f t="shared" si="4"/>
        <v>0</v>
      </c>
      <c r="U296" s="34">
        <f t="shared" si="5"/>
        <v>0</v>
      </c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14" t="s">
        <v>19</v>
      </c>
      <c r="B297" s="35">
        <f t="shared" si="6"/>
        <v>45950</v>
      </c>
      <c r="C297" s="16">
        <v>11.0</v>
      </c>
      <c r="D297" s="16" t="s">
        <v>28</v>
      </c>
      <c r="E297" s="17"/>
      <c r="F297" s="17"/>
      <c r="G297" s="18"/>
      <c r="I297" s="19"/>
      <c r="K297" s="19"/>
      <c r="M297" s="19"/>
      <c r="O297" s="19"/>
      <c r="Q297" s="20">
        <f t="shared" si="1"/>
        <v>0</v>
      </c>
      <c r="R297" s="16">
        <f t="shared" si="2"/>
        <v>0</v>
      </c>
      <c r="S297" s="16">
        <f t="shared" si="3"/>
        <v>0</v>
      </c>
      <c r="T297" s="16">
        <f t="shared" si="4"/>
        <v>0</v>
      </c>
      <c r="U297" s="36">
        <f t="shared" si="5"/>
        <v>0</v>
      </c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22" t="s">
        <v>21</v>
      </c>
      <c r="B298" s="23">
        <f t="shared" si="6"/>
        <v>45951</v>
      </c>
      <c r="C298" s="24">
        <v>11.0</v>
      </c>
      <c r="D298" s="24" t="s">
        <v>28</v>
      </c>
      <c r="E298" s="21"/>
      <c r="F298" s="21"/>
      <c r="G298" s="18"/>
      <c r="I298" s="19"/>
      <c r="K298" s="19"/>
      <c r="M298" s="19"/>
      <c r="O298" s="19"/>
      <c r="Q298" s="25">
        <f t="shared" si="1"/>
        <v>0</v>
      </c>
      <c r="R298" s="24">
        <f t="shared" si="2"/>
        <v>0</v>
      </c>
      <c r="S298" s="24">
        <f t="shared" si="3"/>
        <v>0</v>
      </c>
      <c r="T298" s="24">
        <f t="shared" si="4"/>
        <v>0</v>
      </c>
      <c r="U298" s="26">
        <f t="shared" si="5"/>
        <v>0</v>
      </c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22" t="s">
        <v>22</v>
      </c>
      <c r="B299" s="23">
        <f t="shared" si="6"/>
        <v>45952</v>
      </c>
      <c r="C299" s="24">
        <v>11.0</v>
      </c>
      <c r="D299" s="24" t="s">
        <v>28</v>
      </c>
      <c r="E299" s="21"/>
      <c r="F299" s="21"/>
      <c r="G299" s="18"/>
      <c r="I299" s="19"/>
      <c r="K299" s="19"/>
      <c r="M299" s="19"/>
      <c r="O299" s="19"/>
      <c r="Q299" s="25">
        <f t="shared" si="1"/>
        <v>0</v>
      </c>
      <c r="R299" s="24">
        <f t="shared" si="2"/>
        <v>0</v>
      </c>
      <c r="S299" s="24">
        <f t="shared" si="3"/>
        <v>0</v>
      </c>
      <c r="T299" s="24">
        <f t="shared" si="4"/>
        <v>0</v>
      </c>
      <c r="U299" s="26">
        <f t="shared" si="5"/>
        <v>0</v>
      </c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22" t="s">
        <v>23</v>
      </c>
      <c r="B300" s="23">
        <f t="shared" si="6"/>
        <v>45953</v>
      </c>
      <c r="C300" s="24">
        <v>11.0</v>
      </c>
      <c r="D300" s="24" t="s">
        <v>28</v>
      </c>
      <c r="E300" s="21"/>
      <c r="F300" s="21"/>
      <c r="G300" s="18"/>
      <c r="I300" s="19"/>
      <c r="K300" s="19"/>
      <c r="M300" s="19"/>
      <c r="O300" s="19"/>
      <c r="Q300" s="25">
        <f t="shared" si="1"/>
        <v>0</v>
      </c>
      <c r="R300" s="24">
        <f t="shared" si="2"/>
        <v>0</v>
      </c>
      <c r="S300" s="24">
        <f t="shared" si="3"/>
        <v>0</v>
      </c>
      <c r="T300" s="24">
        <f t="shared" si="4"/>
        <v>0</v>
      </c>
      <c r="U300" s="26">
        <f t="shared" si="5"/>
        <v>0</v>
      </c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22" t="s">
        <v>24</v>
      </c>
      <c r="B301" s="23">
        <f t="shared" si="6"/>
        <v>45954</v>
      </c>
      <c r="C301" s="24">
        <v>11.0</v>
      </c>
      <c r="D301" s="24" t="s">
        <v>28</v>
      </c>
      <c r="E301" s="21"/>
      <c r="F301" s="21"/>
      <c r="G301" s="18"/>
      <c r="I301" s="19"/>
      <c r="K301" s="19"/>
      <c r="M301" s="19"/>
      <c r="O301" s="19"/>
      <c r="Q301" s="25">
        <f t="shared" si="1"/>
        <v>0</v>
      </c>
      <c r="R301" s="24">
        <f t="shared" si="2"/>
        <v>0</v>
      </c>
      <c r="S301" s="24">
        <f t="shared" si="3"/>
        <v>0</v>
      </c>
      <c r="T301" s="24">
        <f t="shared" si="4"/>
        <v>0</v>
      </c>
      <c r="U301" s="26">
        <f t="shared" si="5"/>
        <v>0</v>
      </c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22" t="s">
        <v>25</v>
      </c>
      <c r="B302" s="23">
        <f t="shared" si="6"/>
        <v>45955</v>
      </c>
      <c r="C302" s="24">
        <v>11.0</v>
      </c>
      <c r="D302" s="24" t="s">
        <v>28</v>
      </c>
      <c r="E302" s="21"/>
      <c r="F302" s="21"/>
      <c r="G302" s="18"/>
      <c r="I302" s="19"/>
      <c r="K302" s="19"/>
      <c r="M302" s="19"/>
      <c r="O302" s="19"/>
      <c r="Q302" s="25">
        <f t="shared" si="1"/>
        <v>0</v>
      </c>
      <c r="R302" s="24">
        <f t="shared" si="2"/>
        <v>0</v>
      </c>
      <c r="S302" s="24">
        <f t="shared" si="3"/>
        <v>0</v>
      </c>
      <c r="T302" s="24">
        <f t="shared" si="4"/>
        <v>0</v>
      </c>
      <c r="U302" s="26">
        <f t="shared" si="5"/>
        <v>0</v>
      </c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27" t="s">
        <v>26</v>
      </c>
      <c r="B303" s="28">
        <f t="shared" si="6"/>
        <v>45956</v>
      </c>
      <c r="C303" s="29">
        <v>11.0</v>
      </c>
      <c r="D303" s="29" t="s">
        <v>28</v>
      </c>
      <c r="E303" s="30"/>
      <c r="F303" s="30"/>
      <c r="G303" s="31"/>
      <c r="H303" s="6"/>
      <c r="I303" s="32"/>
      <c r="J303" s="6"/>
      <c r="K303" s="32"/>
      <c r="L303" s="6"/>
      <c r="M303" s="32"/>
      <c r="N303" s="6"/>
      <c r="O303" s="32"/>
      <c r="P303" s="6"/>
      <c r="Q303" s="33">
        <f t="shared" si="1"/>
        <v>0</v>
      </c>
      <c r="R303" s="29">
        <f t="shared" si="2"/>
        <v>0</v>
      </c>
      <c r="S303" s="29">
        <f t="shared" si="3"/>
        <v>0</v>
      </c>
      <c r="T303" s="29">
        <f t="shared" si="4"/>
        <v>0</v>
      </c>
      <c r="U303" s="34">
        <f t="shared" si="5"/>
        <v>0</v>
      </c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14" t="s">
        <v>19</v>
      </c>
      <c r="B304" s="35">
        <f t="shared" si="6"/>
        <v>45957</v>
      </c>
      <c r="C304" s="16">
        <v>11.0</v>
      </c>
      <c r="D304" s="16" t="s">
        <v>29</v>
      </c>
      <c r="E304" s="17"/>
      <c r="F304" s="17"/>
      <c r="G304" s="18"/>
      <c r="I304" s="19"/>
      <c r="K304" s="19"/>
      <c r="M304" s="19"/>
      <c r="O304" s="19"/>
      <c r="Q304" s="20">
        <f t="shared" si="1"/>
        <v>0</v>
      </c>
      <c r="R304" s="16">
        <f t="shared" si="2"/>
        <v>0</v>
      </c>
      <c r="S304" s="16">
        <f t="shared" si="3"/>
        <v>0</v>
      </c>
      <c r="T304" s="16">
        <f t="shared" si="4"/>
        <v>0</v>
      </c>
      <c r="U304" s="36">
        <f t="shared" si="5"/>
        <v>0</v>
      </c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22" t="s">
        <v>21</v>
      </c>
      <c r="B305" s="23">
        <f t="shared" si="6"/>
        <v>45958</v>
      </c>
      <c r="C305" s="24">
        <v>11.0</v>
      </c>
      <c r="D305" s="24" t="s">
        <v>29</v>
      </c>
      <c r="E305" s="21"/>
      <c r="F305" s="21"/>
      <c r="G305" s="18"/>
      <c r="I305" s="19"/>
      <c r="K305" s="19"/>
      <c r="M305" s="19"/>
      <c r="O305" s="19"/>
      <c r="Q305" s="25">
        <f t="shared" si="1"/>
        <v>0</v>
      </c>
      <c r="R305" s="24">
        <f t="shared" si="2"/>
        <v>0</v>
      </c>
      <c r="S305" s="24">
        <f t="shared" si="3"/>
        <v>0</v>
      </c>
      <c r="T305" s="24">
        <f t="shared" si="4"/>
        <v>0</v>
      </c>
      <c r="U305" s="26">
        <f t="shared" si="5"/>
        <v>0</v>
      </c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22" t="s">
        <v>22</v>
      </c>
      <c r="B306" s="23">
        <f t="shared" si="6"/>
        <v>45959</v>
      </c>
      <c r="C306" s="24">
        <v>11.0</v>
      </c>
      <c r="D306" s="24" t="s">
        <v>29</v>
      </c>
      <c r="E306" s="21"/>
      <c r="F306" s="21"/>
      <c r="G306" s="18"/>
      <c r="I306" s="19"/>
      <c r="K306" s="19"/>
      <c r="M306" s="19"/>
      <c r="O306" s="19"/>
      <c r="Q306" s="25">
        <f t="shared" si="1"/>
        <v>0</v>
      </c>
      <c r="R306" s="24">
        <f t="shared" si="2"/>
        <v>0</v>
      </c>
      <c r="S306" s="24">
        <f t="shared" si="3"/>
        <v>0</v>
      </c>
      <c r="T306" s="24">
        <f t="shared" si="4"/>
        <v>0</v>
      </c>
      <c r="U306" s="26">
        <f t="shared" si="5"/>
        <v>0</v>
      </c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22" t="s">
        <v>23</v>
      </c>
      <c r="B307" s="23">
        <f t="shared" si="6"/>
        <v>45960</v>
      </c>
      <c r="C307" s="24">
        <v>11.0</v>
      </c>
      <c r="D307" s="24" t="s">
        <v>29</v>
      </c>
      <c r="E307" s="21"/>
      <c r="F307" s="21"/>
      <c r="G307" s="18"/>
      <c r="I307" s="19"/>
      <c r="K307" s="19"/>
      <c r="M307" s="19"/>
      <c r="O307" s="19"/>
      <c r="Q307" s="25">
        <f t="shared" si="1"/>
        <v>0</v>
      </c>
      <c r="R307" s="24">
        <f t="shared" si="2"/>
        <v>0</v>
      </c>
      <c r="S307" s="24">
        <f t="shared" si="3"/>
        <v>0</v>
      </c>
      <c r="T307" s="24">
        <f t="shared" si="4"/>
        <v>0</v>
      </c>
      <c r="U307" s="26">
        <f t="shared" si="5"/>
        <v>0</v>
      </c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22" t="s">
        <v>24</v>
      </c>
      <c r="B308" s="23">
        <f t="shared" si="6"/>
        <v>45961</v>
      </c>
      <c r="C308" s="24">
        <v>11.0</v>
      </c>
      <c r="D308" s="24" t="s">
        <v>29</v>
      </c>
      <c r="E308" s="21"/>
      <c r="F308" s="21"/>
      <c r="G308" s="18"/>
      <c r="I308" s="19"/>
      <c r="K308" s="19"/>
      <c r="M308" s="19"/>
      <c r="O308" s="19"/>
      <c r="Q308" s="25">
        <f t="shared" si="1"/>
        <v>0</v>
      </c>
      <c r="R308" s="24">
        <f t="shared" si="2"/>
        <v>0</v>
      </c>
      <c r="S308" s="24">
        <f t="shared" si="3"/>
        <v>0</v>
      </c>
      <c r="T308" s="24">
        <f t="shared" si="4"/>
        <v>0</v>
      </c>
      <c r="U308" s="26">
        <f t="shared" si="5"/>
        <v>0</v>
      </c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22" t="s">
        <v>25</v>
      </c>
      <c r="B309" s="23">
        <f t="shared" si="6"/>
        <v>45962</v>
      </c>
      <c r="C309" s="24">
        <v>11.0</v>
      </c>
      <c r="D309" s="24" t="s">
        <v>29</v>
      </c>
      <c r="E309" s="21"/>
      <c r="F309" s="21"/>
      <c r="G309" s="18"/>
      <c r="I309" s="19"/>
      <c r="K309" s="19"/>
      <c r="M309" s="19"/>
      <c r="O309" s="19"/>
      <c r="Q309" s="25">
        <f t="shared" si="1"/>
        <v>0</v>
      </c>
      <c r="R309" s="24">
        <f t="shared" si="2"/>
        <v>0</v>
      </c>
      <c r="S309" s="24">
        <f t="shared" si="3"/>
        <v>0</v>
      </c>
      <c r="T309" s="24">
        <f t="shared" si="4"/>
        <v>0</v>
      </c>
      <c r="U309" s="26">
        <f t="shared" si="5"/>
        <v>0</v>
      </c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27" t="s">
        <v>26</v>
      </c>
      <c r="B310" s="28">
        <f t="shared" si="6"/>
        <v>45963</v>
      </c>
      <c r="C310" s="29">
        <v>11.0</v>
      </c>
      <c r="D310" s="29" t="s">
        <v>29</v>
      </c>
      <c r="E310" s="30"/>
      <c r="F310" s="30"/>
      <c r="G310" s="31"/>
      <c r="H310" s="6"/>
      <c r="I310" s="32"/>
      <c r="J310" s="6"/>
      <c r="K310" s="32"/>
      <c r="L310" s="6"/>
      <c r="M310" s="32"/>
      <c r="N310" s="6"/>
      <c r="O310" s="32"/>
      <c r="P310" s="6"/>
      <c r="Q310" s="33">
        <f t="shared" si="1"/>
        <v>0</v>
      </c>
      <c r="R310" s="29">
        <f t="shared" si="2"/>
        <v>0</v>
      </c>
      <c r="S310" s="29">
        <f t="shared" si="3"/>
        <v>0</v>
      </c>
      <c r="T310" s="29">
        <f t="shared" si="4"/>
        <v>0</v>
      </c>
      <c r="U310" s="34">
        <f t="shared" si="5"/>
        <v>0</v>
      </c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14" t="s">
        <v>19</v>
      </c>
      <c r="B311" s="35">
        <f t="shared" si="6"/>
        <v>45964</v>
      </c>
      <c r="C311" s="16">
        <v>12.0</v>
      </c>
      <c r="D311" s="16" t="s">
        <v>20</v>
      </c>
      <c r="E311" s="17"/>
      <c r="F311" s="17"/>
      <c r="G311" s="18"/>
      <c r="I311" s="19"/>
      <c r="K311" s="19"/>
      <c r="M311" s="19"/>
      <c r="O311" s="19"/>
      <c r="Q311" s="20">
        <f t="shared" si="1"/>
        <v>0</v>
      </c>
      <c r="R311" s="16">
        <f t="shared" si="2"/>
        <v>0</v>
      </c>
      <c r="S311" s="16">
        <f t="shared" si="3"/>
        <v>0</v>
      </c>
      <c r="T311" s="16">
        <f t="shared" si="4"/>
        <v>0</v>
      </c>
      <c r="U311" s="36">
        <f t="shared" si="5"/>
        <v>0</v>
      </c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22" t="s">
        <v>21</v>
      </c>
      <c r="B312" s="23">
        <f t="shared" si="6"/>
        <v>45965</v>
      </c>
      <c r="C312" s="24">
        <v>12.0</v>
      </c>
      <c r="D312" s="24" t="s">
        <v>20</v>
      </c>
      <c r="E312" s="21"/>
      <c r="F312" s="21"/>
      <c r="G312" s="18"/>
      <c r="I312" s="19"/>
      <c r="K312" s="19"/>
      <c r="M312" s="19"/>
      <c r="O312" s="19"/>
      <c r="Q312" s="25">
        <f t="shared" si="1"/>
        <v>0</v>
      </c>
      <c r="R312" s="24">
        <f t="shared" si="2"/>
        <v>0</v>
      </c>
      <c r="S312" s="24">
        <f t="shared" si="3"/>
        <v>0</v>
      </c>
      <c r="T312" s="24">
        <f t="shared" si="4"/>
        <v>0</v>
      </c>
      <c r="U312" s="26">
        <f t="shared" si="5"/>
        <v>0</v>
      </c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22" t="s">
        <v>22</v>
      </c>
      <c r="B313" s="23">
        <f t="shared" si="6"/>
        <v>45966</v>
      </c>
      <c r="C313" s="24">
        <v>12.0</v>
      </c>
      <c r="D313" s="24" t="s">
        <v>20</v>
      </c>
      <c r="E313" s="21"/>
      <c r="F313" s="21"/>
      <c r="G313" s="42"/>
      <c r="H313" s="43"/>
      <c r="I313" s="44"/>
      <c r="J313" s="43"/>
      <c r="K313" s="44"/>
      <c r="L313" s="43"/>
      <c r="M313" s="44"/>
      <c r="N313" s="43"/>
      <c r="O313" s="44"/>
      <c r="P313" s="43"/>
      <c r="Q313" s="45">
        <f t="shared" si="1"/>
        <v>0</v>
      </c>
      <c r="R313" s="46">
        <f t="shared" si="2"/>
        <v>0</v>
      </c>
      <c r="S313" s="24">
        <f t="shared" si="3"/>
        <v>0</v>
      </c>
      <c r="T313" s="24">
        <f t="shared" si="4"/>
        <v>0</v>
      </c>
      <c r="U313" s="26">
        <f t="shared" si="5"/>
        <v>0</v>
      </c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22" t="s">
        <v>23</v>
      </c>
      <c r="B314" s="23">
        <f t="shared" si="6"/>
        <v>45967</v>
      </c>
      <c r="C314" s="24">
        <v>12.0</v>
      </c>
      <c r="D314" s="24" t="s">
        <v>20</v>
      </c>
      <c r="E314" s="21"/>
      <c r="F314" s="21"/>
      <c r="G314" s="42"/>
      <c r="H314" s="43"/>
      <c r="I314" s="44"/>
      <c r="J314" s="43"/>
      <c r="K314" s="44"/>
      <c r="L314" s="43"/>
      <c r="M314" s="44"/>
      <c r="N314" s="43"/>
      <c r="O314" s="44"/>
      <c r="P314" s="43"/>
      <c r="Q314" s="45">
        <f t="shared" si="1"/>
        <v>0</v>
      </c>
      <c r="R314" s="46">
        <f t="shared" si="2"/>
        <v>0</v>
      </c>
      <c r="S314" s="24">
        <f t="shared" si="3"/>
        <v>0</v>
      </c>
      <c r="T314" s="24">
        <f t="shared" si="4"/>
        <v>0</v>
      </c>
      <c r="U314" s="26">
        <f t="shared" si="5"/>
        <v>0</v>
      </c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22" t="s">
        <v>24</v>
      </c>
      <c r="B315" s="23">
        <f t="shared" si="6"/>
        <v>45968</v>
      </c>
      <c r="C315" s="24">
        <v>12.0</v>
      </c>
      <c r="D315" s="24" t="s">
        <v>20</v>
      </c>
      <c r="E315" s="21"/>
      <c r="F315" s="21"/>
      <c r="G315" s="42"/>
      <c r="H315" s="43"/>
      <c r="I315" s="44"/>
      <c r="J315" s="43"/>
      <c r="K315" s="44"/>
      <c r="L315" s="43"/>
      <c r="M315" s="44"/>
      <c r="N315" s="43"/>
      <c r="O315" s="44"/>
      <c r="P315" s="43"/>
      <c r="Q315" s="45">
        <f t="shared" si="1"/>
        <v>0</v>
      </c>
      <c r="R315" s="46">
        <f t="shared" si="2"/>
        <v>0</v>
      </c>
      <c r="S315" s="24">
        <f t="shared" si="3"/>
        <v>0</v>
      </c>
      <c r="T315" s="24">
        <f t="shared" si="4"/>
        <v>0</v>
      </c>
      <c r="U315" s="26">
        <f t="shared" si="5"/>
        <v>0</v>
      </c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22" t="s">
        <v>25</v>
      </c>
      <c r="B316" s="23">
        <f t="shared" si="6"/>
        <v>45969</v>
      </c>
      <c r="C316" s="24">
        <v>12.0</v>
      </c>
      <c r="D316" s="24" t="s">
        <v>20</v>
      </c>
      <c r="E316" s="21"/>
      <c r="F316" s="21"/>
      <c r="G316" s="42"/>
      <c r="H316" s="43"/>
      <c r="I316" s="44"/>
      <c r="J316" s="43"/>
      <c r="K316" s="44"/>
      <c r="L316" s="43"/>
      <c r="M316" s="44"/>
      <c r="N316" s="43"/>
      <c r="O316" s="44"/>
      <c r="P316" s="43"/>
      <c r="Q316" s="45">
        <f t="shared" si="1"/>
        <v>0</v>
      </c>
      <c r="R316" s="46">
        <f t="shared" si="2"/>
        <v>0</v>
      </c>
      <c r="S316" s="24">
        <f t="shared" si="3"/>
        <v>0</v>
      </c>
      <c r="T316" s="24">
        <f t="shared" si="4"/>
        <v>0</v>
      </c>
      <c r="U316" s="26">
        <f t="shared" si="5"/>
        <v>0</v>
      </c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27" t="s">
        <v>26</v>
      </c>
      <c r="B317" s="28">
        <f t="shared" si="6"/>
        <v>45970</v>
      </c>
      <c r="C317" s="29">
        <v>12.0</v>
      </c>
      <c r="D317" s="29" t="s">
        <v>20</v>
      </c>
      <c r="E317" s="30"/>
      <c r="F317" s="30"/>
      <c r="G317" s="47"/>
      <c r="H317" s="48"/>
      <c r="I317" s="49"/>
      <c r="J317" s="48"/>
      <c r="K317" s="49"/>
      <c r="L317" s="48"/>
      <c r="M317" s="49"/>
      <c r="N317" s="48"/>
      <c r="O317" s="49"/>
      <c r="P317" s="48"/>
      <c r="Q317" s="50">
        <f t="shared" si="1"/>
        <v>0</v>
      </c>
      <c r="R317" s="51">
        <f t="shared" si="2"/>
        <v>0</v>
      </c>
      <c r="S317" s="29">
        <f t="shared" si="3"/>
        <v>0</v>
      </c>
      <c r="T317" s="29">
        <f t="shared" si="4"/>
        <v>0</v>
      </c>
      <c r="U317" s="34">
        <f t="shared" si="5"/>
        <v>0</v>
      </c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14" t="s">
        <v>19</v>
      </c>
      <c r="B318" s="35">
        <f t="shared" si="6"/>
        <v>45971</v>
      </c>
      <c r="C318" s="16">
        <v>12.0</v>
      </c>
      <c r="D318" s="16" t="s">
        <v>27</v>
      </c>
      <c r="E318" s="17"/>
      <c r="F318" s="17"/>
      <c r="G318" s="42"/>
      <c r="H318" s="43"/>
      <c r="I318" s="44"/>
      <c r="J318" s="43"/>
      <c r="K318" s="44"/>
      <c r="L318" s="43"/>
      <c r="M318" s="44"/>
      <c r="N318" s="43"/>
      <c r="O318" s="44"/>
      <c r="P318" s="43"/>
      <c r="Q318" s="52">
        <f t="shared" si="1"/>
        <v>0</v>
      </c>
      <c r="R318" s="53">
        <f t="shared" si="2"/>
        <v>0</v>
      </c>
      <c r="S318" s="16">
        <f t="shared" si="3"/>
        <v>0</v>
      </c>
      <c r="T318" s="16">
        <f t="shared" si="4"/>
        <v>0</v>
      </c>
      <c r="U318" s="36">
        <f t="shared" si="5"/>
        <v>0</v>
      </c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22" t="s">
        <v>21</v>
      </c>
      <c r="B319" s="23">
        <f t="shared" si="6"/>
        <v>45972</v>
      </c>
      <c r="C319" s="24">
        <v>12.0</v>
      </c>
      <c r="D319" s="24" t="s">
        <v>27</v>
      </c>
      <c r="E319" s="21"/>
      <c r="F319" s="21"/>
      <c r="G319" s="42"/>
      <c r="H319" s="43"/>
      <c r="I319" s="44"/>
      <c r="J319" s="43"/>
      <c r="K319" s="44"/>
      <c r="L319" s="43"/>
      <c r="M319" s="44"/>
      <c r="N319" s="43"/>
      <c r="O319" s="44"/>
      <c r="P319" s="43"/>
      <c r="Q319" s="45">
        <f t="shared" si="1"/>
        <v>0</v>
      </c>
      <c r="R319" s="46">
        <f t="shared" si="2"/>
        <v>0</v>
      </c>
      <c r="S319" s="24">
        <f t="shared" si="3"/>
        <v>0</v>
      </c>
      <c r="T319" s="24">
        <f t="shared" si="4"/>
        <v>0</v>
      </c>
      <c r="U319" s="26">
        <f t="shared" si="5"/>
        <v>0</v>
      </c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22" t="s">
        <v>22</v>
      </c>
      <c r="B320" s="23">
        <f t="shared" si="6"/>
        <v>45973</v>
      </c>
      <c r="C320" s="24">
        <v>12.0</v>
      </c>
      <c r="D320" s="24" t="s">
        <v>27</v>
      </c>
      <c r="E320" s="21"/>
      <c r="F320" s="21"/>
      <c r="G320" s="42"/>
      <c r="H320" s="43"/>
      <c r="I320" s="44"/>
      <c r="J320" s="43"/>
      <c r="K320" s="44"/>
      <c r="L320" s="43"/>
      <c r="M320" s="44"/>
      <c r="N320" s="43"/>
      <c r="O320" s="44"/>
      <c r="P320" s="43"/>
      <c r="Q320" s="45">
        <f t="shared" si="1"/>
        <v>0</v>
      </c>
      <c r="R320" s="46">
        <f t="shared" si="2"/>
        <v>0</v>
      </c>
      <c r="S320" s="24">
        <f t="shared" si="3"/>
        <v>0</v>
      </c>
      <c r="T320" s="24">
        <f t="shared" si="4"/>
        <v>0</v>
      </c>
      <c r="U320" s="26">
        <f t="shared" si="5"/>
        <v>0</v>
      </c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22" t="s">
        <v>23</v>
      </c>
      <c r="B321" s="23">
        <f t="shared" si="6"/>
        <v>45974</v>
      </c>
      <c r="C321" s="24">
        <v>12.0</v>
      </c>
      <c r="D321" s="24" t="s">
        <v>27</v>
      </c>
      <c r="E321" s="21"/>
      <c r="F321" s="21"/>
      <c r="G321" s="42"/>
      <c r="H321" s="43"/>
      <c r="I321" s="44"/>
      <c r="J321" s="43"/>
      <c r="K321" s="44"/>
      <c r="L321" s="43"/>
      <c r="M321" s="44"/>
      <c r="N321" s="43"/>
      <c r="O321" s="44"/>
      <c r="P321" s="43"/>
      <c r="Q321" s="45">
        <f t="shared" si="1"/>
        <v>0</v>
      </c>
      <c r="R321" s="46">
        <f t="shared" si="2"/>
        <v>0</v>
      </c>
      <c r="S321" s="24">
        <f t="shared" si="3"/>
        <v>0</v>
      </c>
      <c r="T321" s="24">
        <f t="shared" si="4"/>
        <v>0</v>
      </c>
      <c r="U321" s="26">
        <f t="shared" si="5"/>
        <v>0</v>
      </c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22" t="s">
        <v>24</v>
      </c>
      <c r="B322" s="23">
        <f t="shared" si="6"/>
        <v>45975</v>
      </c>
      <c r="C322" s="24">
        <v>12.0</v>
      </c>
      <c r="D322" s="24" t="s">
        <v>27</v>
      </c>
      <c r="E322" s="21"/>
      <c r="F322" s="21"/>
      <c r="G322" s="42"/>
      <c r="H322" s="43"/>
      <c r="I322" s="44"/>
      <c r="J322" s="43"/>
      <c r="K322" s="44"/>
      <c r="L322" s="43"/>
      <c r="M322" s="44"/>
      <c r="N322" s="43"/>
      <c r="O322" s="44"/>
      <c r="P322" s="43"/>
      <c r="Q322" s="45">
        <f t="shared" si="1"/>
        <v>0</v>
      </c>
      <c r="R322" s="46">
        <f t="shared" si="2"/>
        <v>0</v>
      </c>
      <c r="S322" s="24">
        <f t="shared" si="3"/>
        <v>0</v>
      </c>
      <c r="T322" s="24">
        <f t="shared" si="4"/>
        <v>0</v>
      </c>
      <c r="U322" s="26">
        <f t="shared" si="5"/>
        <v>0</v>
      </c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22" t="s">
        <v>25</v>
      </c>
      <c r="B323" s="23">
        <f t="shared" si="6"/>
        <v>45976</v>
      </c>
      <c r="C323" s="24">
        <v>12.0</v>
      </c>
      <c r="D323" s="24" t="s">
        <v>27</v>
      </c>
      <c r="E323" s="21"/>
      <c r="F323" s="21"/>
      <c r="G323" s="42"/>
      <c r="H323" s="43"/>
      <c r="I323" s="44"/>
      <c r="J323" s="43"/>
      <c r="K323" s="44"/>
      <c r="L323" s="43"/>
      <c r="M323" s="44"/>
      <c r="N323" s="43"/>
      <c r="O323" s="44"/>
      <c r="P323" s="43"/>
      <c r="Q323" s="45">
        <f t="shared" si="1"/>
        <v>0</v>
      </c>
      <c r="R323" s="46">
        <f t="shared" si="2"/>
        <v>0</v>
      </c>
      <c r="S323" s="24">
        <f t="shared" si="3"/>
        <v>0</v>
      </c>
      <c r="T323" s="24">
        <f t="shared" si="4"/>
        <v>0</v>
      </c>
      <c r="U323" s="26">
        <f t="shared" si="5"/>
        <v>0</v>
      </c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27" t="s">
        <v>26</v>
      </c>
      <c r="B324" s="28">
        <f t="shared" si="6"/>
        <v>45977</v>
      </c>
      <c r="C324" s="29">
        <v>12.0</v>
      </c>
      <c r="D324" s="29" t="s">
        <v>27</v>
      </c>
      <c r="E324" s="30"/>
      <c r="F324" s="30"/>
      <c r="G324" s="47"/>
      <c r="H324" s="48"/>
      <c r="I324" s="49"/>
      <c r="J324" s="48"/>
      <c r="K324" s="49"/>
      <c r="L324" s="48"/>
      <c r="M324" s="49"/>
      <c r="N324" s="48"/>
      <c r="O324" s="49"/>
      <c r="P324" s="48"/>
      <c r="Q324" s="50">
        <f t="shared" si="1"/>
        <v>0</v>
      </c>
      <c r="R324" s="51">
        <f t="shared" si="2"/>
        <v>0</v>
      </c>
      <c r="S324" s="29">
        <f t="shared" si="3"/>
        <v>0</v>
      </c>
      <c r="T324" s="29">
        <f t="shared" si="4"/>
        <v>0</v>
      </c>
      <c r="U324" s="34">
        <f t="shared" si="5"/>
        <v>0</v>
      </c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14" t="s">
        <v>19</v>
      </c>
      <c r="B325" s="35">
        <f t="shared" si="6"/>
        <v>45978</v>
      </c>
      <c r="C325" s="16">
        <v>12.0</v>
      </c>
      <c r="D325" s="16" t="s">
        <v>28</v>
      </c>
      <c r="E325" s="17"/>
      <c r="F325" s="17"/>
      <c r="G325" s="42"/>
      <c r="H325" s="43"/>
      <c r="I325" s="44"/>
      <c r="J325" s="43"/>
      <c r="K325" s="44"/>
      <c r="L325" s="43"/>
      <c r="M325" s="44"/>
      <c r="N325" s="43"/>
      <c r="O325" s="44"/>
      <c r="P325" s="43"/>
      <c r="Q325" s="52">
        <f t="shared" si="1"/>
        <v>0</v>
      </c>
      <c r="R325" s="53">
        <f t="shared" si="2"/>
        <v>0</v>
      </c>
      <c r="S325" s="16">
        <f t="shared" si="3"/>
        <v>0</v>
      </c>
      <c r="T325" s="16">
        <f t="shared" si="4"/>
        <v>0</v>
      </c>
      <c r="U325" s="36">
        <f t="shared" si="5"/>
        <v>0</v>
      </c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22" t="s">
        <v>21</v>
      </c>
      <c r="B326" s="23">
        <f t="shared" si="6"/>
        <v>45979</v>
      </c>
      <c r="C326" s="24">
        <v>12.0</v>
      </c>
      <c r="D326" s="24" t="s">
        <v>28</v>
      </c>
      <c r="E326" s="21"/>
      <c r="F326" s="21"/>
      <c r="G326" s="42"/>
      <c r="H326" s="43"/>
      <c r="I326" s="44"/>
      <c r="J326" s="43"/>
      <c r="K326" s="44"/>
      <c r="L326" s="43"/>
      <c r="M326" s="44"/>
      <c r="N326" s="43"/>
      <c r="O326" s="44"/>
      <c r="P326" s="43"/>
      <c r="Q326" s="45">
        <f t="shared" si="1"/>
        <v>0</v>
      </c>
      <c r="R326" s="46">
        <f t="shared" si="2"/>
        <v>0</v>
      </c>
      <c r="S326" s="24">
        <f t="shared" si="3"/>
        <v>0</v>
      </c>
      <c r="T326" s="24">
        <f t="shared" si="4"/>
        <v>0</v>
      </c>
      <c r="U326" s="26">
        <f t="shared" si="5"/>
        <v>0</v>
      </c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22" t="s">
        <v>22</v>
      </c>
      <c r="B327" s="23">
        <f t="shared" si="6"/>
        <v>45980</v>
      </c>
      <c r="C327" s="24">
        <v>12.0</v>
      </c>
      <c r="D327" s="24" t="s">
        <v>28</v>
      </c>
      <c r="E327" s="21"/>
      <c r="F327" s="21"/>
      <c r="G327" s="42"/>
      <c r="H327" s="43"/>
      <c r="I327" s="44"/>
      <c r="J327" s="43"/>
      <c r="K327" s="44"/>
      <c r="L327" s="43"/>
      <c r="M327" s="44"/>
      <c r="N327" s="43"/>
      <c r="O327" s="44"/>
      <c r="P327" s="43"/>
      <c r="Q327" s="45">
        <f t="shared" si="1"/>
        <v>0</v>
      </c>
      <c r="R327" s="46">
        <f t="shared" si="2"/>
        <v>0</v>
      </c>
      <c r="S327" s="24">
        <f t="shared" si="3"/>
        <v>0</v>
      </c>
      <c r="T327" s="24">
        <f t="shared" si="4"/>
        <v>0</v>
      </c>
      <c r="U327" s="26">
        <f t="shared" si="5"/>
        <v>0</v>
      </c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22" t="s">
        <v>23</v>
      </c>
      <c r="B328" s="23">
        <f t="shared" si="6"/>
        <v>45981</v>
      </c>
      <c r="C328" s="24">
        <v>12.0</v>
      </c>
      <c r="D328" s="24" t="s">
        <v>28</v>
      </c>
      <c r="E328" s="21"/>
      <c r="F328" s="21"/>
      <c r="G328" s="18"/>
      <c r="I328" s="19"/>
      <c r="K328" s="19"/>
      <c r="M328" s="19"/>
      <c r="O328" s="19"/>
      <c r="Q328" s="25">
        <f t="shared" si="1"/>
        <v>0</v>
      </c>
      <c r="R328" s="24">
        <f t="shared" si="2"/>
        <v>0</v>
      </c>
      <c r="S328" s="24">
        <f t="shared" si="3"/>
        <v>0</v>
      </c>
      <c r="T328" s="24">
        <f t="shared" si="4"/>
        <v>0</v>
      </c>
      <c r="U328" s="26">
        <f t="shared" si="5"/>
        <v>0</v>
      </c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22" t="s">
        <v>24</v>
      </c>
      <c r="B329" s="23">
        <f t="shared" si="6"/>
        <v>45982</v>
      </c>
      <c r="C329" s="24">
        <v>12.0</v>
      </c>
      <c r="D329" s="24" t="s">
        <v>28</v>
      </c>
      <c r="E329" s="21"/>
      <c r="F329" s="21"/>
      <c r="G329" s="18"/>
      <c r="I329" s="19"/>
      <c r="K329" s="19"/>
      <c r="M329" s="19"/>
      <c r="O329" s="19"/>
      <c r="Q329" s="25">
        <f t="shared" si="1"/>
        <v>0</v>
      </c>
      <c r="R329" s="24">
        <f t="shared" si="2"/>
        <v>0</v>
      </c>
      <c r="S329" s="24">
        <f t="shared" si="3"/>
        <v>0</v>
      </c>
      <c r="T329" s="24">
        <f t="shared" si="4"/>
        <v>0</v>
      </c>
      <c r="U329" s="26">
        <f t="shared" si="5"/>
        <v>0</v>
      </c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22" t="s">
        <v>25</v>
      </c>
      <c r="B330" s="23">
        <f t="shared" si="6"/>
        <v>45983</v>
      </c>
      <c r="C330" s="24">
        <v>12.0</v>
      </c>
      <c r="D330" s="24" t="s">
        <v>28</v>
      </c>
      <c r="E330" s="21"/>
      <c r="F330" s="21"/>
      <c r="G330" s="18"/>
      <c r="I330" s="19"/>
      <c r="K330" s="19"/>
      <c r="M330" s="19"/>
      <c r="O330" s="19"/>
      <c r="Q330" s="25">
        <f t="shared" si="1"/>
        <v>0</v>
      </c>
      <c r="R330" s="24">
        <f t="shared" si="2"/>
        <v>0</v>
      </c>
      <c r="S330" s="24">
        <f t="shared" si="3"/>
        <v>0</v>
      </c>
      <c r="T330" s="24">
        <f t="shared" si="4"/>
        <v>0</v>
      </c>
      <c r="U330" s="26">
        <f t="shared" si="5"/>
        <v>0</v>
      </c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27" t="s">
        <v>26</v>
      </c>
      <c r="B331" s="28">
        <f t="shared" si="6"/>
        <v>45984</v>
      </c>
      <c r="C331" s="29">
        <v>12.0</v>
      </c>
      <c r="D331" s="29" t="s">
        <v>28</v>
      </c>
      <c r="E331" s="30"/>
      <c r="F331" s="30"/>
      <c r="G331" s="31"/>
      <c r="H331" s="6"/>
      <c r="I331" s="32"/>
      <c r="J331" s="6"/>
      <c r="K331" s="32"/>
      <c r="L331" s="6"/>
      <c r="M331" s="32"/>
      <c r="N331" s="6"/>
      <c r="O331" s="32"/>
      <c r="P331" s="6"/>
      <c r="Q331" s="33">
        <f t="shared" si="1"/>
        <v>0</v>
      </c>
      <c r="R331" s="29">
        <f t="shared" si="2"/>
        <v>0</v>
      </c>
      <c r="S331" s="29">
        <f t="shared" si="3"/>
        <v>0</v>
      </c>
      <c r="T331" s="29">
        <f t="shared" si="4"/>
        <v>0</v>
      </c>
      <c r="U331" s="34">
        <f t="shared" si="5"/>
        <v>0</v>
      </c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14" t="s">
        <v>19</v>
      </c>
      <c r="B332" s="35">
        <f t="shared" si="6"/>
        <v>45985</v>
      </c>
      <c r="C332" s="16">
        <v>12.0</v>
      </c>
      <c r="D332" s="16" t="s">
        <v>29</v>
      </c>
      <c r="E332" s="17"/>
      <c r="F332" s="17"/>
      <c r="G332" s="18"/>
      <c r="I332" s="19"/>
      <c r="K332" s="19"/>
      <c r="M332" s="19"/>
      <c r="O332" s="19"/>
      <c r="Q332" s="20">
        <f t="shared" si="1"/>
        <v>0</v>
      </c>
      <c r="R332" s="16">
        <f t="shared" si="2"/>
        <v>0</v>
      </c>
      <c r="S332" s="16">
        <f t="shared" si="3"/>
        <v>0</v>
      </c>
      <c r="T332" s="16">
        <f t="shared" si="4"/>
        <v>0</v>
      </c>
      <c r="U332" s="36">
        <f t="shared" si="5"/>
        <v>0</v>
      </c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22" t="s">
        <v>21</v>
      </c>
      <c r="B333" s="23">
        <f t="shared" si="6"/>
        <v>45986</v>
      </c>
      <c r="C333" s="24">
        <v>12.0</v>
      </c>
      <c r="D333" s="24" t="s">
        <v>29</v>
      </c>
      <c r="E333" s="21"/>
      <c r="F333" s="21"/>
      <c r="G333" s="18"/>
      <c r="I333" s="19"/>
      <c r="K333" s="19"/>
      <c r="M333" s="19"/>
      <c r="O333" s="19"/>
      <c r="Q333" s="25">
        <f t="shared" si="1"/>
        <v>0</v>
      </c>
      <c r="R333" s="24">
        <f t="shared" si="2"/>
        <v>0</v>
      </c>
      <c r="S333" s="24">
        <f t="shared" si="3"/>
        <v>0</v>
      </c>
      <c r="T333" s="24">
        <f t="shared" si="4"/>
        <v>0</v>
      </c>
      <c r="U333" s="26">
        <f t="shared" si="5"/>
        <v>0</v>
      </c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22" t="s">
        <v>22</v>
      </c>
      <c r="B334" s="23">
        <f t="shared" si="6"/>
        <v>45987</v>
      </c>
      <c r="C334" s="24">
        <v>12.0</v>
      </c>
      <c r="D334" s="24" t="s">
        <v>29</v>
      </c>
      <c r="E334" s="21"/>
      <c r="F334" s="21"/>
      <c r="G334" s="18"/>
      <c r="I334" s="19"/>
      <c r="K334" s="19"/>
      <c r="M334" s="19"/>
      <c r="O334" s="19"/>
      <c r="Q334" s="25">
        <f t="shared" si="1"/>
        <v>0</v>
      </c>
      <c r="R334" s="24">
        <f t="shared" si="2"/>
        <v>0</v>
      </c>
      <c r="S334" s="24">
        <f t="shared" si="3"/>
        <v>0</v>
      </c>
      <c r="T334" s="24">
        <f t="shared" si="4"/>
        <v>0</v>
      </c>
      <c r="U334" s="26">
        <f t="shared" si="5"/>
        <v>0</v>
      </c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22" t="s">
        <v>23</v>
      </c>
      <c r="B335" s="23">
        <f t="shared" si="6"/>
        <v>45988</v>
      </c>
      <c r="C335" s="24">
        <v>12.0</v>
      </c>
      <c r="D335" s="24" t="s">
        <v>29</v>
      </c>
      <c r="E335" s="21"/>
      <c r="F335" s="21"/>
      <c r="G335" s="18"/>
      <c r="I335" s="19"/>
      <c r="K335" s="19"/>
      <c r="M335" s="19"/>
      <c r="O335" s="19"/>
      <c r="Q335" s="25">
        <f t="shared" si="1"/>
        <v>0</v>
      </c>
      <c r="R335" s="24">
        <f t="shared" si="2"/>
        <v>0</v>
      </c>
      <c r="S335" s="24">
        <f t="shared" si="3"/>
        <v>0</v>
      </c>
      <c r="T335" s="24">
        <f t="shared" si="4"/>
        <v>0</v>
      </c>
      <c r="U335" s="26">
        <f t="shared" si="5"/>
        <v>0</v>
      </c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22" t="s">
        <v>24</v>
      </c>
      <c r="B336" s="23">
        <f t="shared" si="6"/>
        <v>45989</v>
      </c>
      <c r="C336" s="24">
        <v>12.0</v>
      </c>
      <c r="D336" s="24" t="s">
        <v>29</v>
      </c>
      <c r="E336" s="21"/>
      <c r="F336" s="21"/>
      <c r="G336" s="18"/>
      <c r="I336" s="19"/>
      <c r="K336" s="19"/>
      <c r="M336" s="19"/>
      <c r="O336" s="19"/>
      <c r="Q336" s="25">
        <f t="shared" si="1"/>
        <v>0</v>
      </c>
      <c r="R336" s="24">
        <f t="shared" si="2"/>
        <v>0</v>
      </c>
      <c r="S336" s="24">
        <f t="shared" si="3"/>
        <v>0</v>
      </c>
      <c r="T336" s="24">
        <f t="shared" si="4"/>
        <v>0</v>
      </c>
      <c r="U336" s="26">
        <f t="shared" si="5"/>
        <v>0</v>
      </c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22" t="s">
        <v>25</v>
      </c>
      <c r="B337" s="23">
        <f t="shared" si="6"/>
        <v>45990</v>
      </c>
      <c r="C337" s="24">
        <v>12.0</v>
      </c>
      <c r="D337" s="24" t="s">
        <v>29</v>
      </c>
      <c r="E337" s="21"/>
      <c r="F337" s="21"/>
      <c r="G337" s="18"/>
      <c r="I337" s="19"/>
      <c r="K337" s="19"/>
      <c r="M337" s="19"/>
      <c r="O337" s="19"/>
      <c r="Q337" s="25">
        <f t="shared" si="1"/>
        <v>0</v>
      </c>
      <c r="R337" s="24">
        <f t="shared" si="2"/>
        <v>0</v>
      </c>
      <c r="S337" s="24">
        <f t="shared" si="3"/>
        <v>0</v>
      </c>
      <c r="T337" s="24">
        <f t="shared" si="4"/>
        <v>0</v>
      </c>
      <c r="U337" s="26">
        <f t="shared" si="5"/>
        <v>0</v>
      </c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27" t="s">
        <v>26</v>
      </c>
      <c r="B338" s="28">
        <f t="shared" si="6"/>
        <v>45991</v>
      </c>
      <c r="C338" s="29">
        <v>12.0</v>
      </c>
      <c r="D338" s="29" t="s">
        <v>29</v>
      </c>
      <c r="E338" s="30"/>
      <c r="F338" s="30"/>
      <c r="G338" s="31"/>
      <c r="H338" s="6"/>
      <c r="I338" s="32"/>
      <c r="J338" s="6"/>
      <c r="K338" s="32"/>
      <c r="L338" s="6"/>
      <c r="M338" s="32"/>
      <c r="N338" s="6"/>
      <c r="O338" s="32"/>
      <c r="P338" s="6"/>
      <c r="Q338" s="33">
        <f t="shared" si="1"/>
        <v>0</v>
      </c>
      <c r="R338" s="29">
        <f t="shared" si="2"/>
        <v>0</v>
      </c>
      <c r="S338" s="29">
        <f t="shared" si="3"/>
        <v>0</v>
      </c>
      <c r="T338" s="29">
        <f t="shared" si="4"/>
        <v>0</v>
      </c>
      <c r="U338" s="34">
        <f t="shared" si="5"/>
        <v>0</v>
      </c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14" t="s">
        <v>19</v>
      </c>
      <c r="B339" s="35">
        <f t="shared" si="6"/>
        <v>45992</v>
      </c>
      <c r="C339" s="16">
        <v>13.0</v>
      </c>
      <c r="D339" s="16" t="s">
        <v>27</v>
      </c>
      <c r="E339" s="17"/>
      <c r="F339" s="17"/>
      <c r="G339" s="18"/>
      <c r="I339" s="19"/>
      <c r="K339" s="19"/>
      <c r="M339" s="19"/>
      <c r="O339" s="19"/>
      <c r="Q339" s="20">
        <f t="shared" si="1"/>
        <v>0</v>
      </c>
      <c r="R339" s="16">
        <f t="shared" si="2"/>
        <v>0</v>
      </c>
      <c r="S339" s="16">
        <f t="shared" si="3"/>
        <v>0</v>
      </c>
      <c r="T339" s="16">
        <f t="shared" si="4"/>
        <v>0</v>
      </c>
      <c r="U339" s="36">
        <f t="shared" si="5"/>
        <v>0</v>
      </c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22" t="s">
        <v>21</v>
      </c>
      <c r="B340" s="23">
        <f t="shared" si="6"/>
        <v>45993</v>
      </c>
      <c r="C340" s="24">
        <v>13.0</v>
      </c>
      <c r="D340" s="24" t="s">
        <v>27</v>
      </c>
      <c r="E340" s="21"/>
      <c r="F340" s="21"/>
      <c r="G340" s="18"/>
      <c r="I340" s="19"/>
      <c r="K340" s="19"/>
      <c r="M340" s="19"/>
      <c r="O340" s="19"/>
      <c r="Q340" s="25">
        <f t="shared" si="1"/>
        <v>0</v>
      </c>
      <c r="R340" s="24">
        <f t="shared" si="2"/>
        <v>0</v>
      </c>
      <c r="S340" s="24">
        <f t="shared" si="3"/>
        <v>0</v>
      </c>
      <c r="T340" s="24">
        <f t="shared" si="4"/>
        <v>0</v>
      </c>
      <c r="U340" s="26">
        <f t="shared" si="5"/>
        <v>0</v>
      </c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22" t="s">
        <v>22</v>
      </c>
      <c r="B341" s="23">
        <f t="shared" si="6"/>
        <v>45994</v>
      </c>
      <c r="C341" s="24">
        <v>13.0</v>
      </c>
      <c r="D341" s="24" t="s">
        <v>27</v>
      </c>
      <c r="E341" s="21"/>
      <c r="F341" s="21"/>
      <c r="G341" s="18"/>
      <c r="I341" s="19"/>
      <c r="K341" s="19"/>
      <c r="M341" s="19"/>
      <c r="O341" s="19"/>
      <c r="Q341" s="25">
        <f t="shared" si="1"/>
        <v>0</v>
      </c>
      <c r="R341" s="24">
        <f t="shared" si="2"/>
        <v>0</v>
      </c>
      <c r="S341" s="24">
        <f t="shared" si="3"/>
        <v>0</v>
      </c>
      <c r="T341" s="24">
        <f t="shared" si="4"/>
        <v>0</v>
      </c>
      <c r="U341" s="26">
        <f t="shared" si="5"/>
        <v>0</v>
      </c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22" t="s">
        <v>23</v>
      </c>
      <c r="B342" s="23">
        <f t="shared" si="6"/>
        <v>45995</v>
      </c>
      <c r="C342" s="24">
        <v>13.0</v>
      </c>
      <c r="D342" s="24" t="s">
        <v>27</v>
      </c>
      <c r="E342" s="21"/>
      <c r="F342" s="21"/>
      <c r="G342" s="18"/>
      <c r="I342" s="19"/>
      <c r="K342" s="19"/>
      <c r="M342" s="19"/>
      <c r="O342" s="19"/>
      <c r="Q342" s="25">
        <f t="shared" si="1"/>
        <v>0</v>
      </c>
      <c r="R342" s="24">
        <f t="shared" si="2"/>
        <v>0</v>
      </c>
      <c r="S342" s="24">
        <f t="shared" si="3"/>
        <v>0</v>
      </c>
      <c r="T342" s="24">
        <f t="shared" si="4"/>
        <v>0</v>
      </c>
      <c r="U342" s="26">
        <f t="shared" si="5"/>
        <v>0</v>
      </c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22" t="s">
        <v>24</v>
      </c>
      <c r="B343" s="23">
        <f t="shared" si="6"/>
        <v>45996</v>
      </c>
      <c r="C343" s="24">
        <v>13.0</v>
      </c>
      <c r="D343" s="24" t="s">
        <v>27</v>
      </c>
      <c r="E343" s="21"/>
      <c r="F343" s="21"/>
      <c r="G343" s="18"/>
      <c r="I343" s="19"/>
      <c r="K343" s="19"/>
      <c r="M343" s="19"/>
      <c r="O343" s="19"/>
      <c r="Q343" s="25">
        <f t="shared" si="1"/>
        <v>0</v>
      </c>
      <c r="R343" s="24">
        <f t="shared" si="2"/>
        <v>0</v>
      </c>
      <c r="S343" s="24">
        <f t="shared" si="3"/>
        <v>0</v>
      </c>
      <c r="T343" s="24">
        <f t="shared" si="4"/>
        <v>0</v>
      </c>
      <c r="U343" s="26">
        <f t="shared" si="5"/>
        <v>0</v>
      </c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22" t="s">
        <v>25</v>
      </c>
      <c r="B344" s="23">
        <f t="shared" si="6"/>
        <v>45997</v>
      </c>
      <c r="C344" s="24">
        <v>13.0</v>
      </c>
      <c r="D344" s="24" t="s">
        <v>27</v>
      </c>
      <c r="E344" s="21"/>
      <c r="F344" s="21"/>
      <c r="G344" s="18"/>
      <c r="I344" s="19"/>
      <c r="K344" s="19"/>
      <c r="M344" s="19"/>
      <c r="O344" s="19"/>
      <c r="Q344" s="25">
        <f t="shared" si="1"/>
        <v>0</v>
      </c>
      <c r="R344" s="24">
        <f t="shared" si="2"/>
        <v>0</v>
      </c>
      <c r="S344" s="24">
        <f t="shared" si="3"/>
        <v>0</v>
      </c>
      <c r="T344" s="24">
        <f t="shared" si="4"/>
        <v>0</v>
      </c>
      <c r="U344" s="26">
        <f t="shared" si="5"/>
        <v>0</v>
      </c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27" t="s">
        <v>26</v>
      </c>
      <c r="B345" s="28">
        <f t="shared" si="6"/>
        <v>45998</v>
      </c>
      <c r="C345" s="29">
        <v>13.0</v>
      </c>
      <c r="D345" s="29" t="s">
        <v>27</v>
      </c>
      <c r="E345" s="30"/>
      <c r="F345" s="30"/>
      <c r="G345" s="31"/>
      <c r="H345" s="6"/>
      <c r="I345" s="32"/>
      <c r="J345" s="6"/>
      <c r="K345" s="32"/>
      <c r="L345" s="6"/>
      <c r="M345" s="32"/>
      <c r="N345" s="6"/>
      <c r="O345" s="32"/>
      <c r="P345" s="6"/>
      <c r="Q345" s="33">
        <f t="shared" si="1"/>
        <v>0</v>
      </c>
      <c r="R345" s="29">
        <f t="shared" si="2"/>
        <v>0</v>
      </c>
      <c r="S345" s="29">
        <f t="shared" si="3"/>
        <v>0</v>
      </c>
      <c r="T345" s="29">
        <f t="shared" si="4"/>
        <v>0</v>
      </c>
      <c r="U345" s="34">
        <f t="shared" si="5"/>
        <v>0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14" t="s">
        <v>19</v>
      </c>
      <c r="B346" s="35">
        <f t="shared" si="6"/>
        <v>45999</v>
      </c>
      <c r="C346" s="16">
        <v>13.0</v>
      </c>
      <c r="D346" s="16" t="s">
        <v>28</v>
      </c>
      <c r="E346" s="17"/>
      <c r="F346" s="17"/>
      <c r="G346" s="18"/>
      <c r="I346" s="19"/>
      <c r="K346" s="19"/>
      <c r="M346" s="19"/>
      <c r="O346" s="19"/>
      <c r="Q346" s="20">
        <f t="shared" si="1"/>
        <v>0</v>
      </c>
      <c r="R346" s="16">
        <f t="shared" si="2"/>
        <v>0</v>
      </c>
      <c r="S346" s="16">
        <f t="shared" si="3"/>
        <v>0</v>
      </c>
      <c r="T346" s="16">
        <f t="shared" si="4"/>
        <v>0</v>
      </c>
      <c r="U346" s="36">
        <f t="shared" si="5"/>
        <v>0</v>
      </c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22" t="s">
        <v>21</v>
      </c>
      <c r="B347" s="23">
        <f t="shared" si="6"/>
        <v>46000</v>
      </c>
      <c r="C347" s="24">
        <v>13.0</v>
      </c>
      <c r="D347" s="24" t="s">
        <v>28</v>
      </c>
      <c r="E347" s="21"/>
      <c r="F347" s="21"/>
      <c r="G347" s="18"/>
      <c r="I347" s="19"/>
      <c r="K347" s="19"/>
      <c r="M347" s="19"/>
      <c r="O347" s="19"/>
      <c r="Q347" s="25">
        <f t="shared" si="1"/>
        <v>0</v>
      </c>
      <c r="R347" s="24">
        <f t="shared" si="2"/>
        <v>0</v>
      </c>
      <c r="S347" s="24">
        <f t="shared" si="3"/>
        <v>0</v>
      </c>
      <c r="T347" s="24">
        <f t="shared" si="4"/>
        <v>0</v>
      </c>
      <c r="U347" s="26">
        <f t="shared" si="5"/>
        <v>0</v>
      </c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22" t="s">
        <v>22</v>
      </c>
      <c r="B348" s="23">
        <f t="shared" si="6"/>
        <v>46001</v>
      </c>
      <c r="C348" s="24">
        <v>13.0</v>
      </c>
      <c r="D348" s="24" t="s">
        <v>28</v>
      </c>
      <c r="E348" s="21"/>
      <c r="F348" s="21"/>
      <c r="G348" s="18"/>
      <c r="I348" s="19"/>
      <c r="K348" s="19"/>
      <c r="M348" s="19"/>
      <c r="O348" s="19"/>
      <c r="Q348" s="25">
        <f t="shared" si="1"/>
        <v>0</v>
      </c>
      <c r="R348" s="24">
        <f t="shared" si="2"/>
        <v>0</v>
      </c>
      <c r="S348" s="24">
        <f t="shared" si="3"/>
        <v>0</v>
      </c>
      <c r="T348" s="24">
        <f t="shared" si="4"/>
        <v>0</v>
      </c>
      <c r="U348" s="26">
        <f t="shared" si="5"/>
        <v>0</v>
      </c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22" t="s">
        <v>23</v>
      </c>
      <c r="B349" s="23">
        <f t="shared" si="6"/>
        <v>46002</v>
      </c>
      <c r="C349" s="24">
        <v>13.0</v>
      </c>
      <c r="D349" s="24" t="s">
        <v>28</v>
      </c>
      <c r="E349" s="21"/>
      <c r="F349" s="21"/>
      <c r="G349" s="18"/>
      <c r="I349" s="19"/>
      <c r="K349" s="19"/>
      <c r="M349" s="19"/>
      <c r="O349" s="19"/>
      <c r="Q349" s="25">
        <f t="shared" si="1"/>
        <v>0</v>
      </c>
      <c r="R349" s="24">
        <f t="shared" si="2"/>
        <v>0</v>
      </c>
      <c r="S349" s="24">
        <f t="shared" si="3"/>
        <v>0</v>
      </c>
      <c r="T349" s="24">
        <f t="shared" si="4"/>
        <v>0</v>
      </c>
      <c r="U349" s="26">
        <f t="shared" si="5"/>
        <v>0</v>
      </c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22" t="s">
        <v>24</v>
      </c>
      <c r="B350" s="23">
        <f t="shared" si="6"/>
        <v>46003</v>
      </c>
      <c r="C350" s="24">
        <v>13.0</v>
      </c>
      <c r="D350" s="24" t="s">
        <v>28</v>
      </c>
      <c r="E350" s="21"/>
      <c r="F350" s="21"/>
      <c r="G350" s="18"/>
      <c r="I350" s="19"/>
      <c r="K350" s="19"/>
      <c r="M350" s="19"/>
      <c r="O350" s="19"/>
      <c r="Q350" s="25">
        <f t="shared" si="1"/>
        <v>0</v>
      </c>
      <c r="R350" s="24">
        <f t="shared" si="2"/>
        <v>0</v>
      </c>
      <c r="S350" s="24">
        <f t="shared" si="3"/>
        <v>0</v>
      </c>
      <c r="T350" s="24">
        <f t="shared" si="4"/>
        <v>0</v>
      </c>
      <c r="U350" s="26">
        <f t="shared" si="5"/>
        <v>0</v>
      </c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22" t="s">
        <v>25</v>
      </c>
      <c r="B351" s="23">
        <f t="shared" si="6"/>
        <v>46004</v>
      </c>
      <c r="C351" s="24">
        <v>13.0</v>
      </c>
      <c r="D351" s="24" t="s">
        <v>28</v>
      </c>
      <c r="E351" s="21"/>
      <c r="F351" s="21"/>
      <c r="G351" s="18"/>
      <c r="I351" s="19"/>
      <c r="K351" s="19"/>
      <c r="M351" s="19"/>
      <c r="O351" s="19"/>
      <c r="Q351" s="25">
        <f t="shared" si="1"/>
        <v>0</v>
      </c>
      <c r="R351" s="24">
        <f t="shared" si="2"/>
        <v>0</v>
      </c>
      <c r="S351" s="24">
        <f t="shared" si="3"/>
        <v>0</v>
      </c>
      <c r="T351" s="24">
        <f t="shared" si="4"/>
        <v>0</v>
      </c>
      <c r="U351" s="26">
        <f t="shared" si="5"/>
        <v>0</v>
      </c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27" t="s">
        <v>26</v>
      </c>
      <c r="B352" s="28">
        <f t="shared" si="6"/>
        <v>46005</v>
      </c>
      <c r="C352" s="29">
        <v>13.0</v>
      </c>
      <c r="D352" s="29" t="s">
        <v>28</v>
      </c>
      <c r="E352" s="30"/>
      <c r="F352" s="30"/>
      <c r="G352" s="31"/>
      <c r="H352" s="6"/>
      <c r="I352" s="32"/>
      <c r="J352" s="6"/>
      <c r="K352" s="32"/>
      <c r="L352" s="6"/>
      <c r="M352" s="32"/>
      <c r="N352" s="6"/>
      <c r="O352" s="32"/>
      <c r="P352" s="6"/>
      <c r="Q352" s="33">
        <f t="shared" si="1"/>
        <v>0</v>
      </c>
      <c r="R352" s="29">
        <f t="shared" si="2"/>
        <v>0</v>
      </c>
      <c r="S352" s="29">
        <f t="shared" si="3"/>
        <v>0</v>
      </c>
      <c r="T352" s="29">
        <f t="shared" si="4"/>
        <v>0</v>
      </c>
      <c r="U352" s="34">
        <f t="shared" si="5"/>
        <v>0</v>
      </c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14" t="s">
        <v>19</v>
      </c>
      <c r="B353" s="35">
        <f t="shared" si="6"/>
        <v>46006</v>
      </c>
      <c r="C353" s="16">
        <v>13.0</v>
      </c>
      <c r="D353" s="16" t="s">
        <v>29</v>
      </c>
      <c r="E353" s="17"/>
      <c r="F353" s="17"/>
      <c r="G353" s="18"/>
      <c r="I353" s="19"/>
      <c r="K353" s="19"/>
      <c r="M353" s="19"/>
      <c r="O353" s="19"/>
      <c r="Q353" s="20">
        <f t="shared" si="1"/>
        <v>0</v>
      </c>
      <c r="R353" s="16">
        <f t="shared" si="2"/>
        <v>0</v>
      </c>
      <c r="S353" s="16">
        <f t="shared" si="3"/>
        <v>0</v>
      </c>
      <c r="T353" s="16">
        <f t="shared" si="4"/>
        <v>0</v>
      </c>
      <c r="U353" s="36">
        <f t="shared" si="5"/>
        <v>0</v>
      </c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22" t="s">
        <v>21</v>
      </c>
      <c r="B354" s="23">
        <f t="shared" si="6"/>
        <v>46007</v>
      </c>
      <c r="C354" s="24">
        <v>13.0</v>
      </c>
      <c r="D354" s="24" t="s">
        <v>29</v>
      </c>
      <c r="E354" s="21"/>
      <c r="F354" s="21"/>
      <c r="G354" s="18"/>
      <c r="I354" s="19"/>
      <c r="K354" s="19"/>
      <c r="M354" s="19"/>
      <c r="O354" s="19"/>
      <c r="Q354" s="25">
        <f t="shared" si="1"/>
        <v>0</v>
      </c>
      <c r="R354" s="24">
        <f t="shared" si="2"/>
        <v>0</v>
      </c>
      <c r="S354" s="24">
        <f t="shared" si="3"/>
        <v>0</v>
      </c>
      <c r="T354" s="24">
        <f t="shared" si="4"/>
        <v>0</v>
      </c>
      <c r="U354" s="26">
        <f t="shared" si="5"/>
        <v>0</v>
      </c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22" t="s">
        <v>22</v>
      </c>
      <c r="B355" s="23">
        <f t="shared" si="6"/>
        <v>46008</v>
      </c>
      <c r="C355" s="24">
        <v>13.0</v>
      </c>
      <c r="D355" s="24" t="s">
        <v>29</v>
      </c>
      <c r="E355" s="21"/>
      <c r="F355" s="21"/>
      <c r="G355" s="18"/>
      <c r="I355" s="19"/>
      <c r="K355" s="19"/>
      <c r="M355" s="19"/>
      <c r="O355" s="19"/>
      <c r="Q355" s="25">
        <f t="shared" si="1"/>
        <v>0</v>
      </c>
      <c r="R355" s="24">
        <f t="shared" si="2"/>
        <v>0</v>
      </c>
      <c r="S355" s="24">
        <f t="shared" si="3"/>
        <v>0</v>
      </c>
      <c r="T355" s="24">
        <f t="shared" si="4"/>
        <v>0</v>
      </c>
      <c r="U355" s="26">
        <f t="shared" si="5"/>
        <v>0</v>
      </c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22" t="s">
        <v>23</v>
      </c>
      <c r="B356" s="23">
        <f t="shared" si="6"/>
        <v>46009</v>
      </c>
      <c r="C356" s="24">
        <v>13.0</v>
      </c>
      <c r="D356" s="24" t="s">
        <v>29</v>
      </c>
      <c r="E356" s="21"/>
      <c r="F356" s="21"/>
      <c r="G356" s="18"/>
      <c r="I356" s="19"/>
      <c r="K356" s="19"/>
      <c r="M356" s="19"/>
      <c r="O356" s="19"/>
      <c r="Q356" s="25">
        <f t="shared" si="1"/>
        <v>0</v>
      </c>
      <c r="R356" s="24">
        <f t="shared" si="2"/>
        <v>0</v>
      </c>
      <c r="S356" s="24">
        <f t="shared" si="3"/>
        <v>0</v>
      </c>
      <c r="T356" s="24">
        <f t="shared" si="4"/>
        <v>0</v>
      </c>
      <c r="U356" s="26">
        <f t="shared" si="5"/>
        <v>0</v>
      </c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22" t="s">
        <v>24</v>
      </c>
      <c r="B357" s="23">
        <f t="shared" si="6"/>
        <v>46010</v>
      </c>
      <c r="C357" s="24">
        <v>13.0</v>
      </c>
      <c r="D357" s="24" t="s">
        <v>29</v>
      </c>
      <c r="E357" s="21"/>
      <c r="F357" s="21"/>
      <c r="G357" s="18"/>
      <c r="I357" s="19"/>
      <c r="K357" s="19"/>
      <c r="M357" s="19"/>
      <c r="O357" s="19"/>
      <c r="Q357" s="25">
        <f t="shared" si="1"/>
        <v>0</v>
      </c>
      <c r="R357" s="24">
        <f t="shared" si="2"/>
        <v>0</v>
      </c>
      <c r="S357" s="24">
        <f t="shared" si="3"/>
        <v>0</v>
      </c>
      <c r="T357" s="24">
        <f t="shared" si="4"/>
        <v>0</v>
      </c>
      <c r="U357" s="26">
        <f t="shared" si="5"/>
        <v>0</v>
      </c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22" t="s">
        <v>25</v>
      </c>
      <c r="B358" s="23">
        <f t="shared" si="6"/>
        <v>46011</v>
      </c>
      <c r="C358" s="24">
        <v>13.0</v>
      </c>
      <c r="D358" s="24" t="s">
        <v>29</v>
      </c>
      <c r="E358" s="21"/>
      <c r="F358" s="21"/>
      <c r="G358" s="18"/>
      <c r="I358" s="19"/>
      <c r="K358" s="19"/>
      <c r="M358" s="19"/>
      <c r="O358" s="19"/>
      <c r="Q358" s="25">
        <f t="shared" si="1"/>
        <v>0</v>
      </c>
      <c r="R358" s="24">
        <f t="shared" si="2"/>
        <v>0</v>
      </c>
      <c r="S358" s="24">
        <f t="shared" si="3"/>
        <v>0</v>
      </c>
      <c r="T358" s="24">
        <f t="shared" si="4"/>
        <v>0</v>
      </c>
      <c r="U358" s="26">
        <f t="shared" si="5"/>
        <v>0</v>
      </c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27" t="s">
        <v>26</v>
      </c>
      <c r="B359" s="28">
        <f t="shared" si="6"/>
        <v>46012</v>
      </c>
      <c r="C359" s="29">
        <v>13.0</v>
      </c>
      <c r="D359" s="29" t="s">
        <v>29</v>
      </c>
      <c r="E359" s="30"/>
      <c r="F359" s="30"/>
      <c r="G359" s="31"/>
      <c r="H359" s="6"/>
      <c r="I359" s="32"/>
      <c r="J359" s="6"/>
      <c r="K359" s="32"/>
      <c r="L359" s="6"/>
      <c r="M359" s="32"/>
      <c r="N359" s="6"/>
      <c r="O359" s="32"/>
      <c r="P359" s="6"/>
      <c r="Q359" s="33">
        <f t="shared" si="1"/>
        <v>0</v>
      </c>
      <c r="R359" s="29">
        <f t="shared" si="2"/>
        <v>0</v>
      </c>
      <c r="S359" s="29">
        <f t="shared" si="3"/>
        <v>0</v>
      </c>
      <c r="T359" s="29">
        <f t="shared" si="4"/>
        <v>0</v>
      </c>
      <c r="U359" s="34">
        <f t="shared" si="5"/>
        <v>0</v>
      </c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54"/>
      <c r="B360" s="55"/>
      <c r="C360" s="19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7" t="s">
        <v>34</v>
      </c>
      <c r="W360" s="57">
        <v>1.0</v>
      </c>
      <c r="X360" s="57">
        <v>2.0</v>
      </c>
      <c r="Y360" s="57">
        <v>3.0</v>
      </c>
      <c r="Z360" s="57">
        <v>4.0</v>
      </c>
      <c r="AA360" s="57">
        <v>5.0</v>
      </c>
      <c r="AB360" s="57">
        <v>6.0</v>
      </c>
      <c r="AC360" s="57">
        <v>7.0</v>
      </c>
      <c r="AD360" s="57">
        <v>8.0</v>
      </c>
      <c r="AE360" s="57">
        <v>9.0</v>
      </c>
      <c r="AF360" s="57">
        <v>10.0</v>
      </c>
      <c r="AG360" s="57">
        <v>11.0</v>
      </c>
      <c r="AH360" s="57">
        <v>12.0</v>
      </c>
      <c r="AI360" s="57">
        <v>13.0</v>
      </c>
      <c r="AJ360" s="57" t="s">
        <v>35</v>
      </c>
      <c r="AK360" s="58"/>
    </row>
    <row r="361" ht="15.75" customHeight="1">
      <c r="A361" s="54"/>
      <c r="B361" s="55"/>
      <c r="C361" s="19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9">
        <f>SUM(Q3:Q359)</f>
        <v>179462.7</v>
      </c>
      <c r="R361" s="56"/>
      <c r="S361" s="56"/>
      <c r="T361" s="60">
        <f>SUM(T3:T359)</f>
        <v>9045</v>
      </c>
      <c r="U361" s="56"/>
      <c r="V361" s="57" t="s">
        <v>36</v>
      </c>
      <c r="W361" s="58">
        <f t="shared" ref="W361:AI361" si="7">SUMIF($C$3:$C$359, W360, $T$3:$T$359)</f>
        <v>0</v>
      </c>
      <c r="X361" s="58">
        <f t="shared" si="7"/>
        <v>0</v>
      </c>
      <c r="Y361" s="58">
        <f t="shared" si="7"/>
        <v>0</v>
      </c>
      <c r="Z361" s="58">
        <f t="shared" si="7"/>
        <v>990</v>
      </c>
      <c r="AA361" s="58">
        <f t="shared" si="7"/>
        <v>1350</v>
      </c>
      <c r="AB361" s="58">
        <f t="shared" si="7"/>
        <v>1530</v>
      </c>
      <c r="AC361" s="58">
        <f t="shared" si="7"/>
        <v>1170</v>
      </c>
      <c r="AD361" s="58">
        <f t="shared" si="7"/>
        <v>1890</v>
      </c>
      <c r="AE361" s="58">
        <f t="shared" si="7"/>
        <v>1440</v>
      </c>
      <c r="AF361" s="58">
        <f t="shared" si="7"/>
        <v>675</v>
      </c>
      <c r="AG361" s="58">
        <f t="shared" si="7"/>
        <v>0</v>
      </c>
      <c r="AH361" s="58">
        <f t="shared" si="7"/>
        <v>0</v>
      </c>
      <c r="AI361" s="58">
        <f t="shared" si="7"/>
        <v>0</v>
      </c>
      <c r="AJ361" s="57">
        <f>SUM(W361:AI361)</f>
        <v>9045</v>
      </c>
      <c r="AK361" s="58"/>
    </row>
    <row r="362" ht="15.75" customHeight="1">
      <c r="A362" s="54"/>
      <c r="B362" s="55"/>
      <c r="C362" s="19"/>
      <c r="D362" s="56"/>
      <c r="E362" s="61"/>
      <c r="F362" s="61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7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7"/>
      <c r="AK362" s="58"/>
    </row>
    <row r="363" ht="15.75" customHeight="1">
      <c r="A363" s="54"/>
      <c r="B363" s="55"/>
      <c r="C363" s="19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7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7"/>
      <c r="AK363" s="58"/>
    </row>
    <row r="364" ht="15.75" customHeight="1">
      <c r="A364" s="54"/>
      <c r="B364" s="55"/>
      <c r="C364" s="19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7" t="s">
        <v>37</v>
      </c>
      <c r="W364" s="62">
        <f t="shared" ref="W364:AI364" si="8">SUMIF($C$3:$C$359, W360, $Q$3:$Q$359)</f>
        <v>0</v>
      </c>
      <c r="X364" s="62">
        <f t="shared" si="8"/>
        <v>0</v>
      </c>
      <c r="Y364" s="62">
        <f t="shared" si="8"/>
        <v>0</v>
      </c>
      <c r="Z364" s="62">
        <f t="shared" si="8"/>
        <v>20981.7</v>
      </c>
      <c r="AA364" s="62">
        <f t="shared" si="8"/>
        <v>27725.4</v>
      </c>
      <c r="AB364" s="62">
        <f t="shared" si="8"/>
        <v>29223</v>
      </c>
      <c r="AC364" s="62">
        <f t="shared" si="8"/>
        <v>22479.3</v>
      </c>
      <c r="AD364" s="62">
        <f t="shared" si="8"/>
        <v>36716.4</v>
      </c>
      <c r="AE364" s="62">
        <f t="shared" si="8"/>
        <v>28474.2</v>
      </c>
      <c r="AF364" s="62">
        <f t="shared" si="8"/>
        <v>13862.7</v>
      </c>
      <c r="AG364" s="62">
        <f t="shared" si="8"/>
        <v>0</v>
      </c>
      <c r="AH364" s="62">
        <f t="shared" si="8"/>
        <v>0</v>
      </c>
      <c r="AI364" s="62">
        <f t="shared" si="8"/>
        <v>0</v>
      </c>
      <c r="AJ364" s="63">
        <f>SUM(W364:AI364)</f>
        <v>179462.7</v>
      </c>
      <c r="AK364" s="58"/>
    </row>
    <row r="365" ht="15.75" customHeight="1">
      <c r="A365" s="54"/>
      <c r="B365" s="55"/>
      <c r="C365" s="19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7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3"/>
      <c r="AK365" s="58"/>
    </row>
    <row r="366" ht="15.75" customHeight="1">
      <c r="A366" s="64"/>
      <c r="B366" s="56"/>
      <c r="C366" s="19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7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3"/>
      <c r="AK366" s="58"/>
    </row>
    <row r="367" ht="15.75" customHeight="1">
      <c r="A367" s="64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7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63"/>
      <c r="AK367" s="58"/>
    </row>
    <row r="368" ht="15.75" customHeight="1">
      <c r="A368" s="64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7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63"/>
      <c r="AK368" s="58"/>
    </row>
    <row r="369" ht="15.75" customHeight="1">
      <c r="A369" s="64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65" t="s">
        <v>38</v>
      </c>
      <c r="W369" s="66">
        <v>0.26</v>
      </c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63"/>
      <c r="AK369" s="58"/>
    </row>
    <row r="370" ht="15.75" customHeight="1">
      <c r="A370" s="64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7"/>
      <c r="W370" s="62">
        <f t="shared" ref="W370:AI370" si="9">SUM(W364:W366)*$W$369</f>
        <v>0</v>
      </c>
      <c r="X370" s="62">
        <f t="shared" si="9"/>
        <v>0</v>
      </c>
      <c r="Y370" s="62">
        <f t="shared" si="9"/>
        <v>0</v>
      </c>
      <c r="Z370" s="62">
        <f t="shared" si="9"/>
        <v>5455.242</v>
      </c>
      <c r="AA370" s="62">
        <f t="shared" si="9"/>
        <v>7208.604</v>
      </c>
      <c r="AB370" s="62">
        <f t="shared" si="9"/>
        <v>7597.98</v>
      </c>
      <c r="AC370" s="62">
        <f t="shared" si="9"/>
        <v>5844.618</v>
      </c>
      <c r="AD370" s="62">
        <f t="shared" si="9"/>
        <v>9546.264</v>
      </c>
      <c r="AE370" s="62">
        <f t="shared" si="9"/>
        <v>7403.292</v>
      </c>
      <c r="AF370" s="62">
        <f t="shared" si="9"/>
        <v>3604.302</v>
      </c>
      <c r="AG370" s="62">
        <f t="shared" si="9"/>
        <v>0</v>
      </c>
      <c r="AH370" s="62">
        <f t="shared" si="9"/>
        <v>0</v>
      </c>
      <c r="AI370" s="62">
        <f t="shared" si="9"/>
        <v>0</v>
      </c>
      <c r="AJ370" s="63">
        <f>SUM(W370:AI370)</f>
        <v>46660.302</v>
      </c>
      <c r="AK370" s="67">
        <f>AJ370/AJ364</f>
        <v>0.26</v>
      </c>
    </row>
    <row r="371" ht="15.75" customHeight="1">
      <c r="A371" s="64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7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63"/>
      <c r="AK371" s="58"/>
    </row>
    <row r="372" ht="15.75" customHeight="1">
      <c r="A372" s="64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65" t="s">
        <v>39</v>
      </c>
      <c r="W372" s="66">
        <v>0.0</v>
      </c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63"/>
      <c r="AK372" s="58"/>
    </row>
    <row r="373" ht="15.75" customHeight="1">
      <c r="A373" s="64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7"/>
      <c r="W373" s="62">
        <f t="shared" ref="W373:AI373" si="10">$AO$372*SUM(W364:W366)</f>
        <v>0</v>
      </c>
      <c r="X373" s="62">
        <f t="shared" si="10"/>
        <v>0</v>
      </c>
      <c r="Y373" s="62">
        <f t="shared" si="10"/>
        <v>0</v>
      </c>
      <c r="Z373" s="62">
        <f t="shared" si="10"/>
        <v>0</v>
      </c>
      <c r="AA373" s="62">
        <f t="shared" si="10"/>
        <v>0</v>
      </c>
      <c r="AB373" s="62">
        <f t="shared" si="10"/>
        <v>0</v>
      </c>
      <c r="AC373" s="62">
        <f t="shared" si="10"/>
        <v>0</v>
      </c>
      <c r="AD373" s="62">
        <f t="shared" si="10"/>
        <v>0</v>
      </c>
      <c r="AE373" s="62">
        <f t="shared" si="10"/>
        <v>0</v>
      </c>
      <c r="AF373" s="62">
        <f t="shared" si="10"/>
        <v>0</v>
      </c>
      <c r="AG373" s="62">
        <f t="shared" si="10"/>
        <v>0</v>
      </c>
      <c r="AH373" s="62">
        <f t="shared" si="10"/>
        <v>0</v>
      </c>
      <c r="AI373" s="62">
        <f t="shared" si="10"/>
        <v>0</v>
      </c>
      <c r="AJ373" s="63">
        <f>SUM(W373:AI373)</f>
        <v>0</v>
      </c>
      <c r="AK373" s="58"/>
    </row>
    <row r="374" ht="15.75" customHeight="1">
      <c r="A374" s="64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7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3"/>
      <c r="AK374" s="58"/>
    </row>
    <row r="375" ht="15.75" customHeight="1">
      <c r="A375" s="64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7" t="s">
        <v>40</v>
      </c>
      <c r="W375" s="62">
        <f>SUM(W376:W378)</f>
        <v>42000</v>
      </c>
      <c r="X375" s="68" t="s">
        <v>41</v>
      </c>
      <c r="Y375" s="69">
        <f>SUM(W376:W378)/SUM(Z376:Z378)-1</f>
        <v>0.05</v>
      </c>
      <c r="Z375" s="70" t="s">
        <v>42</v>
      </c>
      <c r="AA375" s="58"/>
      <c r="AB375" s="58"/>
      <c r="AC375" s="58"/>
      <c r="AD375" s="58"/>
      <c r="AE375" s="58"/>
      <c r="AF375" s="58"/>
      <c r="AG375" s="58"/>
      <c r="AH375" s="58"/>
      <c r="AI375" s="58"/>
      <c r="AJ375" s="63"/>
      <c r="AK375" s="58"/>
    </row>
    <row r="376" ht="15.75" customHeight="1">
      <c r="A376" s="64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7" t="s">
        <v>43</v>
      </c>
      <c r="W376" s="62">
        <v>42000.0</v>
      </c>
      <c r="X376" s="58"/>
      <c r="Y376" s="58"/>
      <c r="Z376" s="62">
        <v>40000.0</v>
      </c>
      <c r="AA376" s="58"/>
      <c r="AB376" s="58"/>
      <c r="AC376" s="58"/>
      <c r="AD376" s="58"/>
      <c r="AE376" s="58"/>
      <c r="AF376" s="58"/>
      <c r="AG376" s="58"/>
      <c r="AH376" s="58"/>
      <c r="AI376" s="58"/>
      <c r="AJ376" s="63"/>
      <c r="AK376" s="58"/>
    </row>
    <row r="377" ht="15.75" customHeight="1">
      <c r="A377" s="64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7" t="s">
        <v>44</v>
      </c>
      <c r="W377" s="62">
        <v>0.0</v>
      </c>
      <c r="X377" s="58"/>
      <c r="Y377" s="58"/>
      <c r="Z377" s="62">
        <v>0.0</v>
      </c>
      <c r="AA377" s="58"/>
      <c r="AB377" s="58"/>
      <c r="AC377" s="58"/>
      <c r="AD377" s="58"/>
      <c r="AE377" s="58"/>
      <c r="AF377" s="58"/>
      <c r="AG377" s="58"/>
      <c r="AH377" s="58"/>
      <c r="AI377" s="58"/>
      <c r="AJ377" s="63"/>
      <c r="AK377" s="58"/>
    </row>
    <row r="378" ht="15.75" customHeight="1">
      <c r="A378" s="64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7" t="s">
        <v>45</v>
      </c>
      <c r="W378" s="62">
        <v>0.0</v>
      </c>
      <c r="X378" s="58"/>
      <c r="Y378" s="58"/>
      <c r="Z378" s="62">
        <v>0.0</v>
      </c>
      <c r="AA378" s="58"/>
      <c r="AB378" s="58"/>
      <c r="AC378" s="58"/>
      <c r="AD378" s="58"/>
      <c r="AE378" s="58"/>
      <c r="AF378" s="58"/>
      <c r="AG378" s="58"/>
      <c r="AH378" s="58"/>
      <c r="AI378" s="58"/>
      <c r="AJ378" s="63"/>
      <c r="AK378" s="58"/>
    </row>
    <row r="379" ht="15.75" customHeight="1">
      <c r="A379" s="64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7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63"/>
      <c r="AK379" s="58"/>
    </row>
    <row r="380" ht="15.75" customHeight="1">
      <c r="A380" s="64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71" t="s">
        <v>46</v>
      </c>
      <c r="W380" s="72">
        <v>0.025</v>
      </c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63"/>
      <c r="AK380" s="58"/>
    </row>
    <row r="381" ht="15.75" customHeight="1">
      <c r="A381" s="64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71"/>
      <c r="W381" s="62">
        <f t="shared" ref="W381:AI381" si="11">$W$380 * W364</f>
        <v>0</v>
      </c>
      <c r="X381" s="62">
        <f t="shared" si="11"/>
        <v>0</v>
      </c>
      <c r="Y381" s="62">
        <f t="shared" si="11"/>
        <v>0</v>
      </c>
      <c r="Z381" s="62">
        <f t="shared" si="11"/>
        <v>524.5425</v>
      </c>
      <c r="AA381" s="62">
        <f t="shared" si="11"/>
        <v>693.135</v>
      </c>
      <c r="AB381" s="62">
        <f t="shared" si="11"/>
        <v>730.575</v>
      </c>
      <c r="AC381" s="62">
        <f t="shared" si="11"/>
        <v>561.9825</v>
      </c>
      <c r="AD381" s="62">
        <f t="shared" si="11"/>
        <v>917.91</v>
      </c>
      <c r="AE381" s="62">
        <f t="shared" si="11"/>
        <v>711.855</v>
      </c>
      <c r="AF381" s="62">
        <f t="shared" si="11"/>
        <v>346.5675</v>
      </c>
      <c r="AG381" s="62">
        <f t="shared" si="11"/>
        <v>0</v>
      </c>
      <c r="AH381" s="62">
        <f t="shared" si="11"/>
        <v>0</v>
      </c>
      <c r="AI381" s="62">
        <f t="shared" si="11"/>
        <v>0</v>
      </c>
      <c r="AJ381" s="63">
        <f>SUM(W381:AI381)</f>
        <v>4486.5675</v>
      </c>
      <c r="AK381" s="58"/>
    </row>
    <row r="382" ht="15.75" customHeight="1">
      <c r="A382" s="64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7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7"/>
      <c r="AK382" s="58"/>
    </row>
    <row r="383" ht="15.75" customHeight="1">
      <c r="A383" s="64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71" t="s">
        <v>47</v>
      </c>
      <c r="W383" s="72">
        <v>0.015</v>
      </c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63"/>
      <c r="AK383" s="58"/>
    </row>
    <row r="384" ht="15.75" customHeight="1">
      <c r="A384" s="64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7"/>
      <c r="W384" s="62">
        <f t="shared" ref="W384:AI384" si="12">$W$383 * W364</f>
        <v>0</v>
      </c>
      <c r="X384" s="62">
        <f t="shared" si="12"/>
        <v>0</v>
      </c>
      <c r="Y384" s="62">
        <f t="shared" si="12"/>
        <v>0</v>
      </c>
      <c r="Z384" s="62">
        <f t="shared" si="12"/>
        <v>314.7255</v>
      </c>
      <c r="AA384" s="62">
        <f t="shared" si="12"/>
        <v>415.881</v>
      </c>
      <c r="AB384" s="62">
        <f t="shared" si="12"/>
        <v>438.345</v>
      </c>
      <c r="AC384" s="62">
        <f t="shared" si="12"/>
        <v>337.1895</v>
      </c>
      <c r="AD384" s="62">
        <f t="shared" si="12"/>
        <v>550.746</v>
      </c>
      <c r="AE384" s="62">
        <f t="shared" si="12"/>
        <v>427.113</v>
      </c>
      <c r="AF384" s="62">
        <f t="shared" si="12"/>
        <v>207.9405</v>
      </c>
      <c r="AG384" s="62">
        <f t="shared" si="12"/>
        <v>0</v>
      </c>
      <c r="AH384" s="62">
        <f t="shared" si="12"/>
        <v>0</v>
      </c>
      <c r="AI384" s="62">
        <f t="shared" si="12"/>
        <v>0</v>
      </c>
      <c r="AJ384" s="63">
        <f>SUM(W384:AI384)</f>
        <v>2691.9405</v>
      </c>
      <c r="AK384" s="58"/>
    </row>
    <row r="385" ht="15.75" customHeight="1">
      <c r="A385" s="64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7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7"/>
      <c r="AK385" s="58"/>
    </row>
    <row r="386" ht="15.75" customHeight="1">
      <c r="A386" s="64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7" t="s">
        <v>48</v>
      </c>
      <c r="W386" s="62">
        <v>0.0</v>
      </c>
      <c r="X386" s="62">
        <v>0.0</v>
      </c>
      <c r="Y386" s="62">
        <v>0.0</v>
      </c>
      <c r="Z386" s="62">
        <v>500.0</v>
      </c>
      <c r="AA386" s="62">
        <v>20.0</v>
      </c>
      <c r="AB386" s="62">
        <v>20.0</v>
      </c>
      <c r="AC386" s="62">
        <v>20.0</v>
      </c>
      <c r="AD386" s="62">
        <v>20.0</v>
      </c>
      <c r="AE386" s="62">
        <v>20.0</v>
      </c>
      <c r="AF386" s="62">
        <v>20.0</v>
      </c>
      <c r="AG386" s="62">
        <v>0.0</v>
      </c>
      <c r="AH386" s="62">
        <v>0.0</v>
      </c>
      <c r="AI386" s="62">
        <v>0.0</v>
      </c>
      <c r="AJ386" s="63">
        <f>SUM(W386:AI386)</f>
        <v>620</v>
      </c>
      <c r="AK386" s="58"/>
    </row>
    <row r="387" ht="15.75" customHeight="1">
      <c r="A387" s="64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63"/>
      <c r="AK387" s="58"/>
    </row>
    <row r="388" ht="15.75" customHeight="1">
      <c r="A388" s="64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73" t="s">
        <v>49</v>
      </c>
      <c r="W388" s="74"/>
      <c r="X388" s="74"/>
      <c r="Y388" s="75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63"/>
      <c r="AK388" s="58"/>
    </row>
    <row r="389" ht="15.75" customHeight="1">
      <c r="A389" s="64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76" t="s">
        <v>50</v>
      </c>
      <c r="W389" s="58"/>
      <c r="X389" s="58"/>
      <c r="Y389" s="77">
        <v>1000.0</v>
      </c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63"/>
      <c r="AK389" s="58"/>
    </row>
    <row r="390" ht="15.75" customHeight="1">
      <c r="A390" s="64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78" t="s">
        <v>51</v>
      </c>
      <c r="W390" s="58"/>
      <c r="X390" s="58"/>
      <c r="Y390" s="77">
        <v>5000.0</v>
      </c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63"/>
      <c r="AK390" s="58"/>
    </row>
    <row r="391" ht="15.75" customHeight="1">
      <c r="A391" s="64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79" t="s">
        <v>52</v>
      </c>
      <c r="W391" s="58"/>
      <c r="X391" s="58"/>
      <c r="Y391" s="80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63"/>
      <c r="AK391" s="58"/>
    </row>
    <row r="392" ht="15.75" customHeight="1">
      <c r="A392" s="64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76"/>
      <c r="W392" s="58"/>
      <c r="X392" s="58"/>
      <c r="Y392" s="81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63"/>
      <c r="AK392" s="58"/>
    </row>
    <row r="393" ht="15.75" customHeight="1">
      <c r="A393" s="64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73" t="s">
        <v>53</v>
      </c>
      <c r="W393" s="58"/>
      <c r="X393" s="58"/>
      <c r="Y393" s="81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63"/>
      <c r="AK393" s="58"/>
    </row>
    <row r="394" ht="15.75" customHeight="1">
      <c r="A394" s="64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76" t="s">
        <v>54</v>
      </c>
      <c r="W394" s="58"/>
      <c r="X394" s="58"/>
      <c r="Y394" s="77"/>
      <c r="Z394" s="58"/>
      <c r="AA394" s="58" t="s">
        <v>55</v>
      </c>
      <c r="AB394" s="72">
        <v>0.05</v>
      </c>
      <c r="AC394" s="58"/>
      <c r="AD394" s="58"/>
      <c r="AE394" s="58"/>
      <c r="AF394" s="58"/>
      <c r="AG394" s="58"/>
      <c r="AH394" s="58"/>
      <c r="AI394" s="58"/>
      <c r="AJ394" s="63"/>
      <c r="AK394" s="58"/>
    </row>
    <row r="395" ht="15.75" customHeight="1">
      <c r="A395" s="64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78" t="s">
        <v>56</v>
      </c>
      <c r="W395" s="58"/>
      <c r="X395" s="58"/>
      <c r="Y395" s="77"/>
      <c r="Z395" s="58"/>
      <c r="AA395" s="58" t="s">
        <v>57</v>
      </c>
      <c r="AB395" s="72">
        <v>0.072</v>
      </c>
      <c r="AC395" s="58"/>
      <c r="AD395" s="58"/>
      <c r="AE395" s="58"/>
      <c r="AF395" s="58"/>
      <c r="AG395" s="58"/>
      <c r="AH395" s="58"/>
      <c r="AI395" s="58"/>
      <c r="AJ395" s="57"/>
      <c r="AK395" s="58"/>
    </row>
    <row r="396" ht="15.75" customHeight="1">
      <c r="A396" s="64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79" t="s">
        <v>58</v>
      </c>
      <c r="W396" s="58"/>
      <c r="X396" s="58"/>
      <c r="Y396" s="80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7"/>
      <c r="AK396" s="58"/>
    </row>
    <row r="397" ht="15.75" customHeight="1">
      <c r="A397" s="64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76"/>
      <c r="W397" s="58"/>
      <c r="X397" s="58"/>
      <c r="Y397" s="81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7"/>
      <c r="AK397" s="58"/>
    </row>
    <row r="398" ht="15.75" customHeight="1">
      <c r="A398" s="64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73" t="s">
        <v>59</v>
      </c>
      <c r="W398" s="58"/>
      <c r="X398" s="58"/>
      <c r="Y398" s="81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7"/>
      <c r="AK398" s="58"/>
    </row>
    <row r="399" ht="15.75" customHeight="1">
      <c r="A399" s="64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76" t="s">
        <v>60</v>
      </c>
      <c r="W399" s="58"/>
      <c r="X399" s="58"/>
      <c r="Y399" s="77">
        <v>12000.0</v>
      </c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7"/>
      <c r="AK399" s="58"/>
    </row>
    <row r="400" ht="15.75" customHeight="1">
      <c r="A400" s="64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78" t="s">
        <v>61</v>
      </c>
      <c r="W400" s="58"/>
      <c r="X400" s="58"/>
      <c r="Y400" s="77">
        <v>0.0</v>
      </c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7"/>
      <c r="AK400" s="58"/>
    </row>
    <row r="401" ht="15.75" customHeight="1">
      <c r="A401" s="64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79" t="s">
        <v>62</v>
      </c>
      <c r="W401" s="58"/>
      <c r="X401" s="58"/>
      <c r="Y401" s="80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7"/>
      <c r="AK401" s="58"/>
    </row>
    <row r="402" ht="15.75" customHeight="1">
      <c r="A402" s="64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76"/>
      <c r="W402" s="58"/>
      <c r="X402" s="58"/>
      <c r="Y402" s="81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7"/>
      <c r="AK402" s="58"/>
    </row>
    <row r="403" ht="15.75" customHeight="1">
      <c r="A403" s="64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73" t="s">
        <v>63</v>
      </c>
      <c r="W403" s="58"/>
      <c r="X403" s="58"/>
      <c r="Y403" s="82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7"/>
      <c r="AK403" s="58"/>
    </row>
    <row r="404" ht="15.75" customHeight="1">
      <c r="A404" s="64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76" t="s">
        <v>64</v>
      </c>
      <c r="W404" s="58"/>
      <c r="X404" s="58"/>
      <c r="Y404" s="77">
        <f>60*7</f>
        <v>420</v>
      </c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7"/>
      <c r="AK404" s="58"/>
    </row>
    <row r="405" ht="15.75" customHeight="1">
      <c r="A405" s="64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76" t="s">
        <v>65</v>
      </c>
      <c r="W405" s="58"/>
      <c r="X405" s="58"/>
      <c r="Y405" s="77">
        <v>0.0</v>
      </c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7"/>
      <c r="AK405" s="58"/>
    </row>
    <row r="406" ht="15.75" customHeight="1">
      <c r="A406" s="64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78" t="s">
        <v>66</v>
      </c>
      <c r="W406" s="58"/>
      <c r="X406" s="58"/>
      <c r="Y406" s="77">
        <v>0.0</v>
      </c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7"/>
      <c r="AK406" s="58"/>
    </row>
    <row r="407" ht="15.75" customHeight="1">
      <c r="A407" s="64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79" t="s">
        <v>67</v>
      </c>
      <c r="W407" s="58"/>
      <c r="X407" s="58"/>
      <c r="Y407" s="80">
        <v>0.0</v>
      </c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7"/>
      <c r="AK407" s="58"/>
    </row>
    <row r="408" ht="15.75" customHeight="1">
      <c r="A408" s="64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76"/>
      <c r="W408" s="58"/>
      <c r="X408" s="58"/>
      <c r="Y408" s="81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7"/>
      <c r="AK408" s="58"/>
    </row>
    <row r="409" ht="15.75" customHeight="1">
      <c r="A409" s="64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73" t="s">
        <v>68</v>
      </c>
      <c r="W409" s="58"/>
      <c r="X409" s="58"/>
      <c r="Y409" s="77">
        <v>0.0</v>
      </c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7"/>
      <c r="AK409" s="58"/>
    </row>
    <row r="410" ht="15.75" customHeight="1">
      <c r="A410" s="64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76" t="s">
        <v>69</v>
      </c>
      <c r="W410" s="58"/>
      <c r="X410" s="58"/>
      <c r="Y410" s="77">
        <v>2600.0</v>
      </c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7"/>
      <c r="AK410" s="58"/>
    </row>
    <row r="411" ht="15.75" customHeight="1">
      <c r="A411" s="64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78" t="s">
        <v>70</v>
      </c>
      <c r="W411" s="58"/>
      <c r="X411" s="58"/>
      <c r="Y411" s="77">
        <v>7500.0</v>
      </c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7"/>
      <c r="AK411" s="58"/>
    </row>
    <row r="412" ht="15.75" customHeight="1">
      <c r="A412" s="64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79" t="s">
        <v>71</v>
      </c>
      <c r="W412" s="58"/>
      <c r="X412" s="58"/>
      <c r="Y412" s="77">
        <v>0.0</v>
      </c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7"/>
      <c r="AK412" s="58"/>
    </row>
    <row r="413" ht="15.75" customHeight="1">
      <c r="A413" s="64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76"/>
      <c r="W413" s="58"/>
      <c r="X413" s="58"/>
      <c r="Y413" s="80">
        <v>0.0</v>
      </c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7"/>
      <c r="AK413" s="58"/>
    </row>
    <row r="414" ht="15.75" customHeight="1">
      <c r="A414" s="64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73" t="s">
        <v>72</v>
      </c>
      <c r="W414" s="58"/>
      <c r="X414" s="58"/>
      <c r="Y414" s="81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7"/>
      <c r="AK414" s="58"/>
    </row>
    <row r="415" ht="15.75" customHeight="1">
      <c r="A415" s="64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76" t="s">
        <v>73</v>
      </c>
      <c r="W415" s="58"/>
      <c r="X415" s="58"/>
      <c r="Y415" s="77">
        <v>0.0</v>
      </c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7"/>
      <c r="AK415" s="58"/>
    </row>
    <row r="416" ht="15.75" customHeight="1">
      <c r="A416" s="64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78" t="s">
        <v>74</v>
      </c>
      <c r="W416" s="58"/>
      <c r="X416" s="58"/>
      <c r="Y416" s="77">
        <v>500.0</v>
      </c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7"/>
      <c r="AK416" s="58"/>
    </row>
    <row r="417" ht="15.75" customHeight="1">
      <c r="A417" s="64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79" t="s">
        <v>75</v>
      </c>
      <c r="W417" s="58"/>
      <c r="X417" s="58"/>
      <c r="Y417" s="80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7"/>
      <c r="AK417" s="58"/>
    </row>
    <row r="418" ht="15.75" customHeight="1">
      <c r="A418" s="64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76"/>
      <c r="W418" s="58"/>
      <c r="X418" s="58"/>
      <c r="Y418" s="82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7"/>
      <c r="AK418" s="58"/>
    </row>
    <row r="419" ht="15.75" customHeight="1">
      <c r="A419" s="64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73" t="s">
        <v>76</v>
      </c>
      <c r="W419" s="58"/>
      <c r="X419" s="58"/>
      <c r="Y419" s="77">
        <v>0.0</v>
      </c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7"/>
      <c r="AK419" s="58"/>
    </row>
    <row r="420" ht="15.75" customHeight="1">
      <c r="A420" s="64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76" t="s">
        <v>77</v>
      </c>
      <c r="W420" s="58"/>
      <c r="X420" s="58"/>
      <c r="Y420" s="77">
        <v>350.0</v>
      </c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7"/>
      <c r="AK420" s="58"/>
    </row>
    <row r="421" ht="15.75" customHeight="1">
      <c r="A421" s="64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76" t="s">
        <v>78</v>
      </c>
      <c r="W421" s="58"/>
      <c r="X421" s="58"/>
      <c r="Y421" s="77">
        <v>350.0</v>
      </c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7"/>
      <c r="AK421" s="58"/>
    </row>
    <row r="422" ht="15.75" customHeight="1">
      <c r="A422" s="64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78" t="s">
        <v>79</v>
      </c>
      <c r="W422" s="58"/>
      <c r="X422" s="58"/>
      <c r="Y422" s="77">
        <v>0.0</v>
      </c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7"/>
      <c r="AK422" s="58"/>
    </row>
    <row r="423" ht="15.75" customHeight="1">
      <c r="A423" s="64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79" t="s">
        <v>80</v>
      </c>
      <c r="W423" s="58"/>
      <c r="X423" s="58"/>
      <c r="Y423" s="77">
        <v>0.0</v>
      </c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7"/>
      <c r="AK423" s="58"/>
    </row>
    <row r="424" ht="15.75" customHeight="1">
      <c r="A424" s="64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76"/>
      <c r="W424" s="58"/>
      <c r="X424" s="58"/>
      <c r="Y424" s="77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7"/>
      <c r="AK424" s="58"/>
    </row>
    <row r="425" ht="15.75" customHeight="1">
      <c r="A425" s="64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83" t="s">
        <v>81</v>
      </c>
      <c r="W425" s="58"/>
      <c r="X425" s="58"/>
      <c r="Y425" s="80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7"/>
      <c r="AK425" s="58"/>
    </row>
    <row r="426" ht="15.75" customHeight="1">
      <c r="A426" s="64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84"/>
      <c r="W426" s="58"/>
      <c r="X426" s="58"/>
      <c r="Y426" s="81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7"/>
      <c r="AK426" s="58"/>
    </row>
    <row r="427" ht="15.75" customHeight="1">
      <c r="A427" s="64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85"/>
      <c r="W427" s="58"/>
      <c r="X427" s="58"/>
      <c r="Y427" s="80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7"/>
      <c r="AK427" s="58"/>
    </row>
    <row r="428" ht="15.75" customHeight="1">
      <c r="A428" s="64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86"/>
      <c r="W428" s="58"/>
      <c r="X428" s="58"/>
      <c r="Y428" s="82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7"/>
      <c r="AK428" s="58"/>
    </row>
    <row r="429" ht="15.75" customHeight="1">
      <c r="A429" s="64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87"/>
      <c r="W429" s="88"/>
      <c r="X429" s="88"/>
      <c r="Y429" s="89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7"/>
      <c r="AK429" s="58"/>
    </row>
    <row r="430" ht="15.75" customHeight="1">
      <c r="A430" s="64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64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64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64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64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64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64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64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64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64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64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64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64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64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64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64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64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64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64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64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64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64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64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64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64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64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64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64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64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64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64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64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64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64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64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64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64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64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64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64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64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64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64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64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64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64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64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64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64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64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64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64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64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64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64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64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64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64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64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64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64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64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64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64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64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64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64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64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64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64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64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64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64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64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64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64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64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64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64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64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64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64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64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64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64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64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64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64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64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64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64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64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64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64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64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64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64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64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64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64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64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64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64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64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64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64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64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64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64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64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64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64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64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64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64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64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64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64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64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64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64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64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64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64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64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64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64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64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64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64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64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64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64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64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64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64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64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64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64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64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64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64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64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64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64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64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64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64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64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64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64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64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64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64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64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64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64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64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64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64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64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64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64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64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64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64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64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64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64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64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64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64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64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64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64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64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64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64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64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64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64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64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64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64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64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64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64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64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64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64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64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64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64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64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64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64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</sheetData>
  <mergeCells count="1788">
    <mergeCell ref="A1:F1"/>
    <mergeCell ref="G1:P1"/>
    <mergeCell ref="Q1:U1"/>
    <mergeCell ref="I3:J3"/>
    <mergeCell ref="K3:L3"/>
    <mergeCell ref="M3:N3"/>
    <mergeCell ref="O3:P3"/>
    <mergeCell ref="M5:N5"/>
    <mergeCell ref="O5:P5"/>
    <mergeCell ref="M6:N6"/>
    <mergeCell ref="O6:P6"/>
    <mergeCell ref="M7:N7"/>
    <mergeCell ref="O7:P7"/>
    <mergeCell ref="G3:H3"/>
    <mergeCell ref="G4:H4"/>
    <mergeCell ref="I4:J4"/>
    <mergeCell ref="K4:L4"/>
    <mergeCell ref="M4:N4"/>
    <mergeCell ref="O4:P4"/>
    <mergeCell ref="G5:H5"/>
    <mergeCell ref="I5:J5"/>
    <mergeCell ref="K5:L5"/>
    <mergeCell ref="G6:H6"/>
    <mergeCell ref="I6:J6"/>
    <mergeCell ref="K6:L6"/>
    <mergeCell ref="I7:J7"/>
    <mergeCell ref="K7:L7"/>
    <mergeCell ref="M9:N9"/>
    <mergeCell ref="O9:P9"/>
    <mergeCell ref="M10:N10"/>
    <mergeCell ref="O10:P10"/>
    <mergeCell ref="M11:N11"/>
    <mergeCell ref="O11:P11"/>
    <mergeCell ref="G7:H7"/>
    <mergeCell ref="G8:H8"/>
    <mergeCell ref="I8:J8"/>
    <mergeCell ref="K8:L8"/>
    <mergeCell ref="M8:N8"/>
    <mergeCell ref="O8:P8"/>
    <mergeCell ref="G9:H9"/>
    <mergeCell ref="I9:J9"/>
    <mergeCell ref="K9:L9"/>
    <mergeCell ref="G10:H10"/>
    <mergeCell ref="I10:J10"/>
    <mergeCell ref="K10:L10"/>
    <mergeCell ref="I11:J11"/>
    <mergeCell ref="K11:L11"/>
    <mergeCell ref="M21:N21"/>
    <mergeCell ref="O21:P21"/>
    <mergeCell ref="G19:H19"/>
    <mergeCell ref="G20:H20"/>
    <mergeCell ref="I20:J20"/>
    <mergeCell ref="K20:L20"/>
    <mergeCell ref="M20:N20"/>
    <mergeCell ref="O20:P20"/>
    <mergeCell ref="G21:H21"/>
    <mergeCell ref="M13:N13"/>
    <mergeCell ref="O13:P13"/>
    <mergeCell ref="M14:N14"/>
    <mergeCell ref="O14:P14"/>
    <mergeCell ref="M15:N15"/>
    <mergeCell ref="O15:P15"/>
    <mergeCell ref="G11:H11"/>
    <mergeCell ref="G12:H12"/>
    <mergeCell ref="I12:J12"/>
    <mergeCell ref="K12:L12"/>
    <mergeCell ref="M12:N12"/>
    <mergeCell ref="O12:P12"/>
    <mergeCell ref="G13:H13"/>
    <mergeCell ref="I13:J13"/>
    <mergeCell ref="K13:L13"/>
    <mergeCell ref="G14:H14"/>
    <mergeCell ref="I14:J14"/>
    <mergeCell ref="K14:L14"/>
    <mergeCell ref="I15:J15"/>
    <mergeCell ref="K15:L15"/>
    <mergeCell ref="M17:N17"/>
    <mergeCell ref="O17:P17"/>
    <mergeCell ref="M18:N18"/>
    <mergeCell ref="O18:P18"/>
    <mergeCell ref="M19:N19"/>
    <mergeCell ref="O19:P19"/>
    <mergeCell ref="G15:H15"/>
    <mergeCell ref="G16:H16"/>
    <mergeCell ref="I16:J16"/>
    <mergeCell ref="K16:L16"/>
    <mergeCell ref="M16:N16"/>
    <mergeCell ref="O16:P16"/>
    <mergeCell ref="G17:H17"/>
    <mergeCell ref="I17:J17"/>
    <mergeCell ref="K17:L17"/>
    <mergeCell ref="G18:H18"/>
    <mergeCell ref="I18:J18"/>
    <mergeCell ref="K18:L18"/>
    <mergeCell ref="I19:J19"/>
    <mergeCell ref="K19:L19"/>
    <mergeCell ref="I21:J21"/>
    <mergeCell ref="K21:L21"/>
    <mergeCell ref="G22:H22"/>
    <mergeCell ref="I22:J22"/>
    <mergeCell ref="K22:L22"/>
    <mergeCell ref="M22:N22"/>
    <mergeCell ref="O22:P22"/>
    <mergeCell ref="M30:N30"/>
    <mergeCell ref="O30:P30"/>
    <mergeCell ref="M31:N31"/>
    <mergeCell ref="O31:P31"/>
    <mergeCell ref="M32:N32"/>
    <mergeCell ref="O32:P32"/>
    <mergeCell ref="I30:J30"/>
    <mergeCell ref="K30:L30"/>
    <mergeCell ref="G31:H31"/>
    <mergeCell ref="I31:J31"/>
    <mergeCell ref="K31:L31"/>
    <mergeCell ref="I32:J32"/>
    <mergeCell ref="K32:L32"/>
    <mergeCell ref="M34:N34"/>
    <mergeCell ref="O34:P34"/>
    <mergeCell ref="G32:H32"/>
    <mergeCell ref="G33:H33"/>
    <mergeCell ref="I33:J33"/>
    <mergeCell ref="K33:L33"/>
    <mergeCell ref="M33:N33"/>
    <mergeCell ref="O33:P33"/>
    <mergeCell ref="G34:H34"/>
    <mergeCell ref="K24:L24"/>
    <mergeCell ref="M24:N24"/>
    <mergeCell ref="G23:H23"/>
    <mergeCell ref="I23:J23"/>
    <mergeCell ref="K23:L23"/>
    <mergeCell ref="M23:N23"/>
    <mergeCell ref="O23:P23"/>
    <mergeCell ref="I24:J24"/>
    <mergeCell ref="O24:P24"/>
    <mergeCell ref="M26:N26"/>
    <mergeCell ref="O26:P26"/>
    <mergeCell ref="M27:N27"/>
    <mergeCell ref="O27:P27"/>
    <mergeCell ref="M28:N28"/>
    <mergeCell ref="O28:P28"/>
    <mergeCell ref="G24:H24"/>
    <mergeCell ref="G25:H25"/>
    <mergeCell ref="I25:J25"/>
    <mergeCell ref="K25:L25"/>
    <mergeCell ref="M25:N25"/>
    <mergeCell ref="O25:P25"/>
    <mergeCell ref="G26:H26"/>
    <mergeCell ref="I26:J26"/>
    <mergeCell ref="K26:L26"/>
    <mergeCell ref="G27:H27"/>
    <mergeCell ref="I27:J27"/>
    <mergeCell ref="K27:L27"/>
    <mergeCell ref="I28:J28"/>
    <mergeCell ref="K28:L28"/>
    <mergeCell ref="G28:H28"/>
    <mergeCell ref="G29:H29"/>
    <mergeCell ref="I29:J29"/>
    <mergeCell ref="K29:L29"/>
    <mergeCell ref="M29:N29"/>
    <mergeCell ref="O29:P29"/>
    <mergeCell ref="G30:H30"/>
    <mergeCell ref="I34:J34"/>
    <mergeCell ref="K34:L34"/>
    <mergeCell ref="G35:H35"/>
    <mergeCell ref="I35:J35"/>
    <mergeCell ref="K35:L35"/>
    <mergeCell ref="M35:N35"/>
    <mergeCell ref="O35:P35"/>
    <mergeCell ref="M43:N43"/>
    <mergeCell ref="O43:P43"/>
    <mergeCell ref="M44:N44"/>
    <mergeCell ref="O44:P44"/>
    <mergeCell ref="M45:N45"/>
    <mergeCell ref="O45:P45"/>
    <mergeCell ref="I43:J43"/>
    <mergeCell ref="K43:L43"/>
    <mergeCell ref="G44:H44"/>
    <mergeCell ref="I44:J44"/>
    <mergeCell ref="K44:L44"/>
    <mergeCell ref="I45:J45"/>
    <mergeCell ref="K45:L45"/>
    <mergeCell ref="M73:N73"/>
    <mergeCell ref="O73:P73"/>
    <mergeCell ref="G71:H71"/>
    <mergeCell ref="G72:H72"/>
    <mergeCell ref="I72:J72"/>
    <mergeCell ref="K72:L72"/>
    <mergeCell ref="M72:N72"/>
    <mergeCell ref="O72:P72"/>
    <mergeCell ref="G73:H73"/>
    <mergeCell ref="K63:L63"/>
    <mergeCell ref="M63:N63"/>
    <mergeCell ref="G62:H62"/>
    <mergeCell ref="I62:J62"/>
    <mergeCell ref="K62:L62"/>
    <mergeCell ref="M62:N62"/>
    <mergeCell ref="O62:P62"/>
    <mergeCell ref="I63:J63"/>
    <mergeCell ref="O63:P63"/>
    <mergeCell ref="M65:N65"/>
    <mergeCell ref="O65:P65"/>
    <mergeCell ref="M66:N66"/>
    <mergeCell ref="O66:P66"/>
    <mergeCell ref="M67:N67"/>
    <mergeCell ref="O67:P67"/>
    <mergeCell ref="G63:H63"/>
    <mergeCell ref="G64:H64"/>
    <mergeCell ref="I64:J64"/>
    <mergeCell ref="K64:L64"/>
    <mergeCell ref="M64:N64"/>
    <mergeCell ref="O64:P64"/>
    <mergeCell ref="G65:H65"/>
    <mergeCell ref="I65:J65"/>
    <mergeCell ref="K65:L65"/>
    <mergeCell ref="G66:H66"/>
    <mergeCell ref="I66:J66"/>
    <mergeCell ref="K66:L66"/>
    <mergeCell ref="I67:J67"/>
    <mergeCell ref="K67:L67"/>
    <mergeCell ref="G67:H67"/>
    <mergeCell ref="G68:H68"/>
    <mergeCell ref="I68:J68"/>
    <mergeCell ref="K68:L68"/>
    <mergeCell ref="M68:N68"/>
    <mergeCell ref="O68:P68"/>
    <mergeCell ref="G69:H69"/>
    <mergeCell ref="I73:J73"/>
    <mergeCell ref="K73:L73"/>
    <mergeCell ref="G74:H74"/>
    <mergeCell ref="I74:J74"/>
    <mergeCell ref="K74:L74"/>
    <mergeCell ref="M74:N74"/>
    <mergeCell ref="O74:P74"/>
    <mergeCell ref="M47:N47"/>
    <mergeCell ref="O47:P47"/>
    <mergeCell ref="G45:H45"/>
    <mergeCell ref="G46:H46"/>
    <mergeCell ref="I46:J46"/>
    <mergeCell ref="K46:L46"/>
    <mergeCell ref="M46:N46"/>
    <mergeCell ref="O46:P46"/>
    <mergeCell ref="G47:H47"/>
    <mergeCell ref="K37:L37"/>
    <mergeCell ref="M37:N37"/>
    <mergeCell ref="G36:H36"/>
    <mergeCell ref="I36:J36"/>
    <mergeCell ref="K36:L36"/>
    <mergeCell ref="M36:N36"/>
    <mergeCell ref="O36:P36"/>
    <mergeCell ref="I37:J37"/>
    <mergeCell ref="O37:P37"/>
    <mergeCell ref="M39:N39"/>
    <mergeCell ref="O39:P39"/>
    <mergeCell ref="M40:N40"/>
    <mergeCell ref="O40:P40"/>
    <mergeCell ref="M41:N41"/>
    <mergeCell ref="O41:P41"/>
    <mergeCell ref="G37:H37"/>
    <mergeCell ref="G38:H38"/>
    <mergeCell ref="I38:J38"/>
    <mergeCell ref="K38:L38"/>
    <mergeCell ref="M38:N38"/>
    <mergeCell ref="O38:P38"/>
    <mergeCell ref="G39:H39"/>
    <mergeCell ref="I39:J39"/>
    <mergeCell ref="K39:L39"/>
    <mergeCell ref="G40:H40"/>
    <mergeCell ref="I40:J40"/>
    <mergeCell ref="K40:L40"/>
    <mergeCell ref="I41:J41"/>
    <mergeCell ref="K41:L41"/>
    <mergeCell ref="G41:H41"/>
    <mergeCell ref="G42:H42"/>
    <mergeCell ref="I42:J42"/>
    <mergeCell ref="K42:L42"/>
    <mergeCell ref="M42:N42"/>
    <mergeCell ref="O42:P42"/>
    <mergeCell ref="G43:H43"/>
    <mergeCell ref="I47:J47"/>
    <mergeCell ref="K47:L47"/>
    <mergeCell ref="G48:H48"/>
    <mergeCell ref="I48:J48"/>
    <mergeCell ref="K48:L48"/>
    <mergeCell ref="M48:N48"/>
    <mergeCell ref="O48:P48"/>
    <mergeCell ref="M56:N56"/>
    <mergeCell ref="O56:P56"/>
    <mergeCell ref="M57:N57"/>
    <mergeCell ref="O57:P57"/>
    <mergeCell ref="M58:N58"/>
    <mergeCell ref="O58:P58"/>
    <mergeCell ref="I56:J56"/>
    <mergeCell ref="K56:L56"/>
    <mergeCell ref="G57:H57"/>
    <mergeCell ref="I57:J57"/>
    <mergeCell ref="K57:L57"/>
    <mergeCell ref="I58:J58"/>
    <mergeCell ref="K58:L58"/>
    <mergeCell ref="M60:N60"/>
    <mergeCell ref="O60:P60"/>
    <mergeCell ref="G58:H58"/>
    <mergeCell ref="G59:H59"/>
    <mergeCell ref="I59:J59"/>
    <mergeCell ref="K59:L59"/>
    <mergeCell ref="M59:N59"/>
    <mergeCell ref="O59:P59"/>
    <mergeCell ref="G60:H60"/>
    <mergeCell ref="K50:L50"/>
    <mergeCell ref="M50:N50"/>
    <mergeCell ref="G49:H49"/>
    <mergeCell ref="I49:J49"/>
    <mergeCell ref="K49:L49"/>
    <mergeCell ref="M49:N49"/>
    <mergeCell ref="O49:P49"/>
    <mergeCell ref="I50:J50"/>
    <mergeCell ref="O50:P50"/>
    <mergeCell ref="M52:N52"/>
    <mergeCell ref="O52:P52"/>
    <mergeCell ref="M53:N53"/>
    <mergeCell ref="O53:P53"/>
    <mergeCell ref="M54:N54"/>
    <mergeCell ref="O54:P54"/>
    <mergeCell ref="G50:H50"/>
    <mergeCell ref="G51:H51"/>
    <mergeCell ref="I51:J51"/>
    <mergeCell ref="K51:L51"/>
    <mergeCell ref="M51:N51"/>
    <mergeCell ref="O51:P51"/>
    <mergeCell ref="G52:H52"/>
    <mergeCell ref="I52:J52"/>
    <mergeCell ref="K52:L52"/>
    <mergeCell ref="G53:H53"/>
    <mergeCell ref="I53:J53"/>
    <mergeCell ref="K53:L53"/>
    <mergeCell ref="I54:J54"/>
    <mergeCell ref="K54:L54"/>
    <mergeCell ref="G54:H54"/>
    <mergeCell ref="G55:H55"/>
    <mergeCell ref="I55:J55"/>
    <mergeCell ref="K55:L55"/>
    <mergeCell ref="M55:N55"/>
    <mergeCell ref="O55:P55"/>
    <mergeCell ref="G56:H56"/>
    <mergeCell ref="I60:J60"/>
    <mergeCell ref="K60:L60"/>
    <mergeCell ref="G61:H61"/>
    <mergeCell ref="I61:J61"/>
    <mergeCell ref="K61:L61"/>
    <mergeCell ref="M61:N61"/>
    <mergeCell ref="O61:P61"/>
    <mergeCell ref="M69:N69"/>
    <mergeCell ref="O69:P69"/>
    <mergeCell ref="M70:N70"/>
    <mergeCell ref="O70:P70"/>
    <mergeCell ref="M71:N71"/>
    <mergeCell ref="O71:P71"/>
    <mergeCell ref="I69:J69"/>
    <mergeCell ref="K69:L69"/>
    <mergeCell ref="G70:H70"/>
    <mergeCell ref="I70:J70"/>
    <mergeCell ref="K70:L70"/>
    <mergeCell ref="I71:J71"/>
    <mergeCell ref="K71:L71"/>
    <mergeCell ref="M82:N82"/>
    <mergeCell ref="O82:P82"/>
    <mergeCell ref="M83:N83"/>
    <mergeCell ref="O83:P83"/>
    <mergeCell ref="M84:N84"/>
    <mergeCell ref="O84:P84"/>
    <mergeCell ref="I82:J82"/>
    <mergeCell ref="K82:L82"/>
    <mergeCell ref="G83:H83"/>
    <mergeCell ref="I83:J83"/>
    <mergeCell ref="K83:L83"/>
    <mergeCell ref="I84:J84"/>
    <mergeCell ref="K84:L84"/>
    <mergeCell ref="M112:N112"/>
    <mergeCell ref="O112:P112"/>
    <mergeCell ref="G110:H110"/>
    <mergeCell ref="G111:H111"/>
    <mergeCell ref="I111:J111"/>
    <mergeCell ref="K111:L111"/>
    <mergeCell ref="M111:N111"/>
    <mergeCell ref="O111:P111"/>
    <mergeCell ref="G112:H112"/>
    <mergeCell ref="K102:L102"/>
    <mergeCell ref="M102:N102"/>
    <mergeCell ref="G101:H101"/>
    <mergeCell ref="I101:J101"/>
    <mergeCell ref="K101:L101"/>
    <mergeCell ref="M101:N101"/>
    <mergeCell ref="O101:P101"/>
    <mergeCell ref="I102:J102"/>
    <mergeCell ref="O102:P102"/>
    <mergeCell ref="M104:N104"/>
    <mergeCell ref="O104:P104"/>
    <mergeCell ref="M105:N105"/>
    <mergeCell ref="O105:P105"/>
    <mergeCell ref="M106:N106"/>
    <mergeCell ref="O106:P106"/>
    <mergeCell ref="G102:H102"/>
    <mergeCell ref="G103:H103"/>
    <mergeCell ref="I103:J103"/>
    <mergeCell ref="K103:L103"/>
    <mergeCell ref="M103:N103"/>
    <mergeCell ref="O103:P103"/>
    <mergeCell ref="G104:H104"/>
    <mergeCell ref="I104:J104"/>
    <mergeCell ref="K104:L104"/>
    <mergeCell ref="G105:H105"/>
    <mergeCell ref="I105:J105"/>
    <mergeCell ref="K105:L105"/>
    <mergeCell ref="I106:J106"/>
    <mergeCell ref="K106:L106"/>
    <mergeCell ref="G106:H106"/>
    <mergeCell ref="G107:H107"/>
    <mergeCell ref="I107:J107"/>
    <mergeCell ref="K107:L107"/>
    <mergeCell ref="M107:N107"/>
    <mergeCell ref="O107:P107"/>
    <mergeCell ref="G108:H108"/>
    <mergeCell ref="I112:J112"/>
    <mergeCell ref="K112:L112"/>
    <mergeCell ref="G113:H113"/>
    <mergeCell ref="I113:J113"/>
    <mergeCell ref="K113:L113"/>
    <mergeCell ref="M113:N113"/>
    <mergeCell ref="O113:P113"/>
    <mergeCell ref="M86:N86"/>
    <mergeCell ref="O86:P86"/>
    <mergeCell ref="G84:H84"/>
    <mergeCell ref="G85:H85"/>
    <mergeCell ref="I85:J85"/>
    <mergeCell ref="K85:L85"/>
    <mergeCell ref="M85:N85"/>
    <mergeCell ref="O85:P85"/>
    <mergeCell ref="G86:H86"/>
    <mergeCell ref="K76:L76"/>
    <mergeCell ref="M76:N76"/>
    <mergeCell ref="G75:H75"/>
    <mergeCell ref="I75:J75"/>
    <mergeCell ref="K75:L75"/>
    <mergeCell ref="M75:N75"/>
    <mergeCell ref="O75:P75"/>
    <mergeCell ref="I76:J76"/>
    <mergeCell ref="O76:P76"/>
    <mergeCell ref="M78:N78"/>
    <mergeCell ref="O78:P78"/>
    <mergeCell ref="M79:N79"/>
    <mergeCell ref="O79:P79"/>
    <mergeCell ref="M80:N80"/>
    <mergeCell ref="O80:P80"/>
    <mergeCell ref="G76:H76"/>
    <mergeCell ref="G77:H77"/>
    <mergeCell ref="I77:J77"/>
    <mergeCell ref="K77:L77"/>
    <mergeCell ref="M77:N77"/>
    <mergeCell ref="O77:P77"/>
    <mergeCell ref="G78:H78"/>
    <mergeCell ref="I78:J78"/>
    <mergeCell ref="K78:L78"/>
    <mergeCell ref="G79:H79"/>
    <mergeCell ref="I79:J79"/>
    <mergeCell ref="K79:L79"/>
    <mergeCell ref="I80:J80"/>
    <mergeCell ref="K80:L80"/>
    <mergeCell ref="G80:H80"/>
    <mergeCell ref="G81:H81"/>
    <mergeCell ref="I81:J81"/>
    <mergeCell ref="K81:L81"/>
    <mergeCell ref="M81:N81"/>
    <mergeCell ref="O81:P81"/>
    <mergeCell ref="G82:H82"/>
    <mergeCell ref="I86:J86"/>
    <mergeCell ref="K86:L86"/>
    <mergeCell ref="G87:H87"/>
    <mergeCell ref="I87:J87"/>
    <mergeCell ref="K87:L87"/>
    <mergeCell ref="M87:N87"/>
    <mergeCell ref="O87:P87"/>
    <mergeCell ref="M95:N95"/>
    <mergeCell ref="O95:P95"/>
    <mergeCell ref="M96:N96"/>
    <mergeCell ref="O96:P96"/>
    <mergeCell ref="M97:N97"/>
    <mergeCell ref="O97:P97"/>
    <mergeCell ref="I95:J95"/>
    <mergeCell ref="K95:L95"/>
    <mergeCell ref="G96:H96"/>
    <mergeCell ref="I96:J96"/>
    <mergeCell ref="K96:L96"/>
    <mergeCell ref="I97:J97"/>
    <mergeCell ref="K97:L97"/>
    <mergeCell ref="M99:N99"/>
    <mergeCell ref="O99:P99"/>
    <mergeCell ref="G97:H97"/>
    <mergeCell ref="G98:H98"/>
    <mergeCell ref="I98:J98"/>
    <mergeCell ref="K98:L98"/>
    <mergeCell ref="M98:N98"/>
    <mergeCell ref="O98:P98"/>
    <mergeCell ref="G99:H99"/>
    <mergeCell ref="K89:L89"/>
    <mergeCell ref="M89:N89"/>
    <mergeCell ref="G88:H88"/>
    <mergeCell ref="I88:J88"/>
    <mergeCell ref="K88:L88"/>
    <mergeCell ref="M88:N88"/>
    <mergeCell ref="O88:P88"/>
    <mergeCell ref="I89:J89"/>
    <mergeCell ref="O89:P89"/>
    <mergeCell ref="M91:N91"/>
    <mergeCell ref="O91:P91"/>
    <mergeCell ref="M92:N92"/>
    <mergeCell ref="O92:P92"/>
    <mergeCell ref="M93:N93"/>
    <mergeCell ref="O93:P93"/>
    <mergeCell ref="G89:H89"/>
    <mergeCell ref="G90:H90"/>
    <mergeCell ref="I90:J90"/>
    <mergeCell ref="K90:L90"/>
    <mergeCell ref="M90:N90"/>
    <mergeCell ref="O90:P90"/>
    <mergeCell ref="G91:H91"/>
    <mergeCell ref="I91:J91"/>
    <mergeCell ref="K91:L91"/>
    <mergeCell ref="G92:H92"/>
    <mergeCell ref="I92:J92"/>
    <mergeCell ref="K92:L92"/>
    <mergeCell ref="I93:J93"/>
    <mergeCell ref="K93:L93"/>
    <mergeCell ref="G93:H93"/>
    <mergeCell ref="G94:H94"/>
    <mergeCell ref="I94:J94"/>
    <mergeCell ref="K94:L94"/>
    <mergeCell ref="M94:N94"/>
    <mergeCell ref="O94:P94"/>
    <mergeCell ref="G95:H95"/>
    <mergeCell ref="I99:J99"/>
    <mergeCell ref="K99:L99"/>
    <mergeCell ref="G100:H100"/>
    <mergeCell ref="I100:J100"/>
    <mergeCell ref="K100:L100"/>
    <mergeCell ref="M100:N100"/>
    <mergeCell ref="O100:P100"/>
    <mergeCell ref="M108:N108"/>
    <mergeCell ref="O108:P108"/>
    <mergeCell ref="M109:N109"/>
    <mergeCell ref="O109:P109"/>
    <mergeCell ref="M110:N110"/>
    <mergeCell ref="O110:P110"/>
    <mergeCell ref="I108:J108"/>
    <mergeCell ref="K108:L108"/>
    <mergeCell ref="G109:H109"/>
    <mergeCell ref="I109:J109"/>
    <mergeCell ref="K109:L109"/>
    <mergeCell ref="I110:J110"/>
    <mergeCell ref="K110:L110"/>
    <mergeCell ref="M121:N121"/>
    <mergeCell ref="O121:P121"/>
    <mergeCell ref="M122:N122"/>
    <mergeCell ref="O122:P122"/>
    <mergeCell ref="M123:N123"/>
    <mergeCell ref="O123:P123"/>
    <mergeCell ref="I121:J121"/>
    <mergeCell ref="K121:L121"/>
    <mergeCell ref="G122:H122"/>
    <mergeCell ref="I122:J122"/>
    <mergeCell ref="K122:L122"/>
    <mergeCell ref="I123:J123"/>
    <mergeCell ref="K123:L123"/>
    <mergeCell ref="M151:N151"/>
    <mergeCell ref="O151:P151"/>
    <mergeCell ref="G149:H149"/>
    <mergeCell ref="G150:H150"/>
    <mergeCell ref="I150:J150"/>
    <mergeCell ref="K150:L150"/>
    <mergeCell ref="M150:N150"/>
    <mergeCell ref="O150:P150"/>
    <mergeCell ref="G151:H151"/>
    <mergeCell ref="K141:L141"/>
    <mergeCell ref="M141:N141"/>
    <mergeCell ref="G140:H140"/>
    <mergeCell ref="I140:J140"/>
    <mergeCell ref="K140:L140"/>
    <mergeCell ref="M140:N140"/>
    <mergeCell ref="O140:P140"/>
    <mergeCell ref="I141:J141"/>
    <mergeCell ref="O141:P141"/>
    <mergeCell ref="M143:N143"/>
    <mergeCell ref="O143:P143"/>
    <mergeCell ref="M144:N144"/>
    <mergeCell ref="O144:P144"/>
    <mergeCell ref="M145:N145"/>
    <mergeCell ref="O145:P145"/>
    <mergeCell ref="G141:H141"/>
    <mergeCell ref="G142:H142"/>
    <mergeCell ref="I142:J142"/>
    <mergeCell ref="K142:L142"/>
    <mergeCell ref="M142:N142"/>
    <mergeCell ref="O142:P142"/>
    <mergeCell ref="G143:H143"/>
    <mergeCell ref="I143:J143"/>
    <mergeCell ref="K143:L143"/>
    <mergeCell ref="G144:H144"/>
    <mergeCell ref="I144:J144"/>
    <mergeCell ref="K144:L144"/>
    <mergeCell ref="I145:J145"/>
    <mergeCell ref="K145:L145"/>
    <mergeCell ref="G145:H145"/>
    <mergeCell ref="G146:H146"/>
    <mergeCell ref="I146:J146"/>
    <mergeCell ref="K146:L146"/>
    <mergeCell ref="M146:N146"/>
    <mergeCell ref="O146:P146"/>
    <mergeCell ref="G147:H147"/>
    <mergeCell ref="I151:J151"/>
    <mergeCell ref="K151:L151"/>
    <mergeCell ref="G152:H152"/>
    <mergeCell ref="I152:J152"/>
    <mergeCell ref="K152:L152"/>
    <mergeCell ref="M152:N152"/>
    <mergeCell ref="O152:P152"/>
    <mergeCell ref="M125:N125"/>
    <mergeCell ref="O125:P125"/>
    <mergeCell ref="G123:H123"/>
    <mergeCell ref="G124:H124"/>
    <mergeCell ref="I124:J124"/>
    <mergeCell ref="K124:L124"/>
    <mergeCell ref="M124:N124"/>
    <mergeCell ref="O124:P124"/>
    <mergeCell ref="G125:H125"/>
    <mergeCell ref="K115:L115"/>
    <mergeCell ref="M115:N115"/>
    <mergeCell ref="G114:H114"/>
    <mergeCell ref="I114:J114"/>
    <mergeCell ref="K114:L114"/>
    <mergeCell ref="M114:N114"/>
    <mergeCell ref="O114:P114"/>
    <mergeCell ref="I115:J115"/>
    <mergeCell ref="O115:P115"/>
    <mergeCell ref="M117:N117"/>
    <mergeCell ref="O117:P117"/>
    <mergeCell ref="M118:N118"/>
    <mergeCell ref="O118:P118"/>
    <mergeCell ref="M119:N119"/>
    <mergeCell ref="O119:P119"/>
    <mergeCell ref="G115:H115"/>
    <mergeCell ref="G116:H116"/>
    <mergeCell ref="I116:J116"/>
    <mergeCell ref="K116:L116"/>
    <mergeCell ref="M116:N116"/>
    <mergeCell ref="O116:P116"/>
    <mergeCell ref="G117:H117"/>
    <mergeCell ref="I117:J117"/>
    <mergeCell ref="K117:L117"/>
    <mergeCell ref="G118:H118"/>
    <mergeCell ref="I118:J118"/>
    <mergeCell ref="K118:L118"/>
    <mergeCell ref="I119:J119"/>
    <mergeCell ref="K119:L119"/>
    <mergeCell ref="G119:H119"/>
    <mergeCell ref="G120:H120"/>
    <mergeCell ref="I120:J120"/>
    <mergeCell ref="K120:L120"/>
    <mergeCell ref="M120:N120"/>
    <mergeCell ref="O120:P120"/>
    <mergeCell ref="G121:H121"/>
    <mergeCell ref="I125:J125"/>
    <mergeCell ref="K125:L125"/>
    <mergeCell ref="G126:H126"/>
    <mergeCell ref="I126:J126"/>
    <mergeCell ref="K126:L126"/>
    <mergeCell ref="M126:N126"/>
    <mergeCell ref="O126:P126"/>
    <mergeCell ref="M134:N134"/>
    <mergeCell ref="O134:P134"/>
    <mergeCell ref="M135:N135"/>
    <mergeCell ref="O135:P135"/>
    <mergeCell ref="M136:N136"/>
    <mergeCell ref="O136:P136"/>
    <mergeCell ref="I134:J134"/>
    <mergeCell ref="K134:L134"/>
    <mergeCell ref="G135:H135"/>
    <mergeCell ref="I135:J135"/>
    <mergeCell ref="K135:L135"/>
    <mergeCell ref="I136:J136"/>
    <mergeCell ref="K136:L136"/>
    <mergeCell ref="M138:N138"/>
    <mergeCell ref="O138:P138"/>
    <mergeCell ref="G136:H136"/>
    <mergeCell ref="G137:H137"/>
    <mergeCell ref="I137:J137"/>
    <mergeCell ref="K137:L137"/>
    <mergeCell ref="M137:N137"/>
    <mergeCell ref="O137:P137"/>
    <mergeCell ref="G138:H138"/>
    <mergeCell ref="K128:L128"/>
    <mergeCell ref="M128:N128"/>
    <mergeCell ref="G127:H127"/>
    <mergeCell ref="I127:J127"/>
    <mergeCell ref="K127:L127"/>
    <mergeCell ref="M127:N127"/>
    <mergeCell ref="O127:P127"/>
    <mergeCell ref="I128:J128"/>
    <mergeCell ref="O128:P128"/>
    <mergeCell ref="M130:N130"/>
    <mergeCell ref="O130:P130"/>
    <mergeCell ref="M131:N131"/>
    <mergeCell ref="O131:P131"/>
    <mergeCell ref="M132:N132"/>
    <mergeCell ref="O132:P132"/>
    <mergeCell ref="G128:H128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G131:H131"/>
    <mergeCell ref="I131:J131"/>
    <mergeCell ref="K131:L131"/>
    <mergeCell ref="I132:J132"/>
    <mergeCell ref="K132:L132"/>
    <mergeCell ref="G132:H132"/>
    <mergeCell ref="G133:H133"/>
    <mergeCell ref="I133:J133"/>
    <mergeCell ref="K133:L133"/>
    <mergeCell ref="M133:N133"/>
    <mergeCell ref="O133:P133"/>
    <mergeCell ref="G134:H134"/>
    <mergeCell ref="I138:J138"/>
    <mergeCell ref="K138:L138"/>
    <mergeCell ref="G139:H139"/>
    <mergeCell ref="I139:J139"/>
    <mergeCell ref="K139:L139"/>
    <mergeCell ref="M139:N139"/>
    <mergeCell ref="O139:P139"/>
    <mergeCell ref="M147:N147"/>
    <mergeCell ref="O147:P147"/>
    <mergeCell ref="M148:N148"/>
    <mergeCell ref="O148:P148"/>
    <mergeCell ref="M149:N149"/>
    <mergeCell ref="O149:P149"/>
    <mergeCell ref="I147:J147"/>
    <mergeCell ref="K147:L147"/>
    <mergeCell ref="G148:H148"/>
    <mergeCell ref="I148:J148"/>
    <mergeCell ref="K148:L148"/>
    <mergeCell ref="I149:J149"/>
    <mergeCell ref="K149:L149"/>
    <mergeCell ref="M160:N160"/>
    <mergeCell ref="O160:P160"/>
    <mergeCell ref="M161:N161"/>
    <mergeCell ref="O161:P161"/>
    <mergeCell ref="M162:N162"/>
    <mergeCell ref="O162:P162"/>
    <mergeCell ref="I160:J160"/>
    <mergeCell ref="K160:L160"/>
    <mergeCell ref="G161:H161"/>
    <mergeCell ref="I161:J161"/>
    <mergeCell ref="K161:L161"/>
    <mergeCell ref="I162:J162"/>
    <mergeCell ref="K162:L162"/>
    <mergeCell ref="M307:N307"/>
    <mergeCell ref="O307:P307"/>
    <mergeCell ref="G305:H305"/>
    <mergeCell ref="G306:H306"/>
    <mergeCell ref="I306:J306"/>
    <mergeCell ref="K306:L306"/>
    <mergeCell ref="M306:N306"/>
    <mergeCell ref="O306:P306"/>
    <mergeCell ref="G307:H307"/>
    <mergeCell ref="K297:L297"/>
    <mergeCell ref="M297:N297"/>
    <mergeCell ref="G296:H296"/>
    <mergeCell ref="I296:J296"/>
    <mergeCell ref="K296:L296"/>
    <mergeCell ref="M296:N296"/>
    <mergeCell ref="O296:P296"/>
    <mergeCell ref="I297:J297"/>
    <mergeCell ref="O297:P297"/>
    <mergeCell ref="M299:N299"/>
    <mergeCell ref="O299:P299"/>
    <mergeCell ref="M300:N300"/>
    <mergeCell ref="O300:P300"/>
    <mergeCell ref="M301:N301"/>
    <mergeCell ref="O301:P301"/>
    <mergeCell ref="G297:H297"/>
    <mergeCell ref="G298:H298"/>
    <mergeCell ref="I298:J298"/>
    <mergeCell ref="K298:L298"/>
    <mergeCell ref="M298:N298"/>
    <mergeCell ref="O298:P298"/>
    <mergeCell ref="G299:H299"/>
    <mergeCell ref="I299:J299"/>
    <mergeCell ref="K299:L299"/>
    <mergeCell ref="G300:H300"/>
    <mergeCell ref="I300:J300"/>
    <mergeCell ref="K300:L300"/>
    <mergeCell ref="I301:J301"/>
    <mergeCell ref="K301:L301"/>
    <mergeCell ref="G301:H301"/>
    <mergeCell ref="G302:H302"/>
    <mergeCell ref="I302:J302"/>
    <mergeCell ref="K302:L302"/>
    <mergeCell ref="M302:N302"/>
    <mergeCell ref="O302:P302"/>
    <mergeCell ref="G303:H303"/>
    <mergeCell ref="I307:J307"/>
    <mergeCell ref="K307:L307"/>
    <mergeCell ref="G308:H308"/>
    <mergeCell ref="I308:J308"/>
    <mergeCell ref="K308:L308"/>
    <mergeCell ref="M308:N308"/>
    <mergeCell ref="O308:P308"/>
    <mergeCell ref="M281:N281"/>
    <mergeCell ref="O281:P281"/>
    <mergeCell ref="G279:H279"/>
    <mergeCell ref="G280:H280"/>
    <mergeCell ref="I280:J280"/>
    <mergeCell ref="K280:L280"/>
    <mergeCell ref="M280:N280"/>
    <mergeCell ref="O280:P280"/>
    <mergeCell ref="G281:H281"/>
    <mergeCell ref="K271:L271"/>
    <mergeCell ref="M271:N271"/>
    <mergeCell ref="G270:H270"/>
    <mergeCell ref="I270:J270"/>
    <mergeCell ref="K270:L270"/>
    <mergeCell ref="M270:N270"/>
    <mergeCell ref="O270:P270"/>
    <mergeCell ref="I271:J271"/>
    <mergeCell ref="O271:P271"/>
    <mergeCell ref="M273:N273"/>
    <mergeCell ref="O273:P273"/>
    <mergeCell ref="M274:N274"/>
    <mergeCell ref="O274:P274"/>
    <mergeCell ref="M275:N275"/>
    <mergeCell ref="O275:P275"/>
    <mergeCell ref="G271:H271"/>
    <mergeCell ref="G272:H272"/>
    <mergeCell ref="I272:J272"/>
    <mergeCell ref="K272:L272"/>
    <mergeCell ref="M272:N272"/>
    <mergeCell ref="O272:P272"/>
    <mergeCell ref="G273:H273"/>
    <mergeCell ref="I273:J273"/>
    <mergeCell ref="K273:L273"/>
    <mergeCell ref="G274:H274"/>
    <mergeCell ref="I274:J274"/>
    <mergeCell ref="K274:L274"/>
    <mergeCell ref="I275:J275"/>
    <mergeCell ref="K275:L275"/>
    <mergeCell ref="G275:H275"/>
    <mergeCell ref="G276:H276"/>
    <mergeCell ref="I276:J276"/>
    <mergeCell ref="K276:L276"/>
    <mergeCell ref="M276:N276"/>
    <mergeCell ref="O276:P276"/>
    <mergeCell ref="G277:H277"/>
    <mergeCell ref="I281:J281"/>
    <mergeCell ref="K281:L281"/>
    <mergeCell ref="G282:H282"/>
    <mergeCell ref="I282:J282"/>
    <mergeCell ref="K282:L282"/>
    <mergeCell ref="M282:N282"/>
    <mergeCell ref="O282:P282"/>
    <mergeCell ref="M290:N290"/>
    <mergeCell ref="O290:P290"/>
    <mergeCell ref="M291:N291"/>
    <mergeCell ref="O291:P291"/>
    <mergeCell ref="M292:N292"/>
    <mergeCell ref="O292:P292"/>
    <mergeCell ref="I290:J290"/>
    <mergeCell ref="K290:L290"/>
    <mergeCell ref="G291:H291"/>
    <mergeCell ref="I291:J291"/>
    <mergeCell ref="K291:L291"/>
    <mergeCell ref="I292:J292"/>
    <mergeCell ref="K292:L292"/>
    <mergeCell ref="M294:N294"/>
    <mergeCell ref="O294:P294"/>
    <mergeCell ref="G292:H292"/>
    <mergeCell ref="G293:H293"/>
    <mergeCell ref="I293:J293"/>
    <mergeCell ref="K293:L293"/>
    <mergeCell ref="M293:N293"/>
    <mergeCell ref="O293:P293"/>
    <mergeCell ref="G294:H294"/>
    <mergeCell ref="K284:L284"/>
    <mergeCell ref="M284:N284"/>
    <mergeCell ref="G283:H283"/>
    <mergeCell ref="I283:J283"/>
    <mergeCell ref="K283:L283"/>
    <mergeCell ref="M283:N283"/>
    <mergeCell ref="O283:P283"/>
    <mergeCell ref="I284:J284"/>
    <mergeCell ref="O284:P284"/>
    <mergeCell ref="M286:N286"/>
    <mergeCell ref="O286:P286"/>
    <mergeCell ref="M287:N287"/>
    <mergeCell ref="O287:P287"/>
    <mergeCell ref="M288:N288"/>
    <mergeCell ref="O288:P288"/>
    <mergeCell ref="G284:H284"/>
    <mergeCell ref="G285:H285"/>
    <mergeCell ref="I285:J285"/>
    <mergeCell ref="K285:L285"/>
    <mergeCell ref="M285:N285"/>
    <mergeCell ref="O285:P285"/>
    <mergeCell ref="G286:H286"/>
    <mergeCell ref="I286:J286"/>
    <mergeCell ref="K286:L286"/>
    <mergeCell ref="G287:H287"/>
    <mergeCell ref="I287:J287"/>
    <mergeCell ref="K287:L287"/>
    <mergeCell ref="I288:J288"/>
    <mergeCell ref="K288:L288"/>
    <mergeCell ref="G288:H288"/>
    <mergeCell ref="G289:H289"/>
    <mergeCell ref="I289:J289"/>
    <mergeCell ref="K289:L289"/>
    <mergeCell ref="M289:N289"/>
    <mergeCell ref="O289:P289"/>
    <mergeCell ref="G290:H290"/>
    <mergeCell ref="I294:J294"/>
    <mergeCell ref="K294:L294"/>
    <mergeCell ref="G295:H295"/>
    <mergeCell ref="I295:J295"/>
    <mergeCell ref="K295:L295"/>
    <mergeCell ref="M295:N295"/>
    <mergeCell ref="O295:P295"/>
    <mergeCell ref="M303:N303"/>
    <mergeCell ref="O303:P303"/>
    <mergeCell ref="M304:N304"/>
    <mergeCell ref="O304:P304"/>
    <mergeCell ref="M305:N305"/>
    <mergeCell ref="O305:P305"/>
    <mergeCell ref="I303:J303"/>
    <mergeCell ref="K303:L303"/>
    <mergeCell ref="G304:H304"/>
    <mergeCell ref="I304:J304"/>
    <mergeCell ref="K304:L304"/>
    <mergeCell ref="I305:J305"/>
    <mergeCell ref="K305:L305"/>
    <mergeCell ref="M316:N316"/>
    <mergeCell ref="O316:P316"/>
    <mergeCell ref="M317:N317"/>
    <mergeCell ref="O317:P317"/>
    <mergeCell ref="M318:N318"/>
    <mergeCell ref="O318:P318"/>
    <mergeCell ref="I316:J316"/>
    <mergeCell ref="K316:L316"/>
    <mergeCell ref="G317:H317"/>
    <mergeCell ref="I317:J317"/>
    <mergeCell ref="K317:L317"/>
    <mergeCell ref="I318:J318"/>
    <mergeCell ref="K318:L318"/>
    <mergeCell ref="M346:N346"/>
    <mergeCell ref="O346:P346"/>
    <mergeCell ref="G344:H344"/>
    <mergeCell ref="G345:H345"/>
    <mergeCell ref="I345:J345"/>
    <mergeCell ref="K345:L345"/>
    <mergeCell ref="M345:N345"/>
    <mergeCell ref="O345:P345"/>
    <mergeCell ref="G346:H346"/>
    <mergeCell ref="K336:L336"/>
    <mergeCell ref="M336:N336"/>
    <mergeCell ref="G335:H335"/>
    <mergeCell ref="I335:J335"/>
    <mergeCell ref="K335:L335"/>
    <mergeCell ref="M335:N335"/>
    <mergeCell ref="O335:P335"/>
    <mergeCell ref="I336:J336"/>
    <mergeCell ref="O336:P336"/>
    <mergeCell ref="M338:N338"/>
    <mergeCell ref="O338:P338"/>
    <mergeCell ref="M339:N339"/>
    <mergeCell ref="O339:P339"/>
    <mergeCell ref="M340:N340"/>
    <mergeCell ref="O340:P340"/>
    <mergeCell ref="G336:H336"/>
    <mergeCell ref="G337:H337"/>
    <mergeCell ref="I337:J337"/>
    <mergeCell ref="K337:L337"/>
    <mergeCell ref="M337:N337"/>
    <mergeCell ref="O337:P337"/>
    <mergeCell ref="G338:H338"/>
    <mergeCell ref="I338:J338"/>
    <mergeCell ref="K338:L338"/>
    <mergeCell ref="G339:H339"/>
    <mergeCell ref="I339:J339"/>
    <mergeCell ref="K339:L339"/>
    <mergeCell ref="I340:J340"/>
    <mergeCell ref="K340:L340"/>
    <mergeCell ref="G340:H340"/>
    <mergeCell ref="G341:H341"/>
    <mergeCell ref="I341:J341"/>
    <mergeCell ref="K341:L341"/>
    <mergeCell ref="M341:N341"/>
    <mergeCell ref="O341:P341"/>
    <mergeCell ref="G342:H342"/>
    <mergeCell ref="I346:J346"/>
    <mergeCell ref="K346:L346"/>
    <mergeCell ref="G347:H347"/>
    <mergeCell ref="I347:J347"/>
    <mergeCell ref="K347:L347"/>
    <mergeCell ref="M347:N347"/>
    <mergeCell ref="O347:P347"/>
    <mergeCell ref="M320:N320"/>
    <mergeCell ref="O320:P320"/>
    <mergeCell ref="G318:H318"/>
    <mergeCell ref="G319:H319"/>
    <mergeCell ref="I319:J319"/>
    <mergeCell ref="K319:L319"/>
    <mergeCell ref="M319:N319"/>
    <mergeCell ref="O319:P319"/>
    <mergeCell ref="G320:H320"/>
    <mergeCell ref="K310:L310"/>
    <mergeCell ref="M310:N310"/>
    <mergeCell ref="G309:H309"/>
    <mergeCell ref="I309:J309"/>
    <mergeCell ref="K309:L309"/>
    <mergeCell ref="M309:N309"/>
    <mergeCell ref="O309:P309"/>
    <mergeCell ref="I310:J310"/>
    <mergeCell ref="O310:P310"/>
    <mergeCell ref="M312:N312"/>
    <mergeCell ref="O312:P312"/>
    <mergeCell ref="M313:N313"/>
    <mergeCell ref="O313:P313"/>
    <mergeCell ref="M314:N314"/>
    <mergeCell ref="O314:P314"/>
    <mergeCell ref="G310:H310"/>
    <mergeCell ref="G311:H311"/>
    <mergeCell ref="I311:J311"/>
    <mergeCell ref="K311:L311"/>
    <mergeCell ref="M311:N311"/>
    <mergeCell ref="O311:P311"/>
    <mergeCell ref="G312:H312"/>
    <mergeCell ref="I312:J312"/>
    <mergeCell ref="K312:L312"/>
    <mergeCell ref="G313:H313"/>
    <mergeCell ref="I313:J313"/>
    <mergeCell ref="K313:L313"/>
    <mergeCell ref="I314:J314"/>
    <mergeCell ref="K314:L314"/>
    <mergeCell ref="G314:H314"/>
    <mergeCell ref="G315:H315"/>
    <mergeCell ref="I315:J315"/>
    <mergeCell ref="K315:L315"/>
    <mergeCell ref="M315:N315"/>
    <mergeCell ref="O315:P315"/>
    <mergeCell ref="G316:H316"/>
    <mergeCell ref="I320:J320"/>
    <mergeCell ref="K320:L320"/>
    <mergeCell ref="G321:H321"/>
    <mergeCell ref="I321:J321"/>
    <mergeCell ref="K321:L321"/>
    <mergeCell ref="M321:N321"/>
    <mergeCell ref="O321:P321"/>
    <mergeCell ref="M329:N329"/>
    <mergeCell ref="O329:P329"/>
    <mergeCell ref="M330:N330"/>
    <mergeCell ref="O330:P330"/>
    <mergeCell ref="M331:N331"/>
    <mergeCell ref="O331:P331"/>
    <mergeCell ref="I329:J329"/>
    <mergeCell ref="K329:L329"/>
    <mergeCell ref="G330:H330"/>
    <mergeCell ref="I330:J330"/>
    <mergeCell ref="K330:L330"/>
    <mergeCell ref="I331:J331"/>
    <mergeCell ref="K331:L331"/>
    <mergeCell ref="M333:N333"/>
    <mergeCell ref="O333:P333"/>
    <mergeCell ref="G331:H331"/>
    <mergeCell ref="G332:H332"/>
    <mergeCell ref="I332:J332"/>
    <mergeCell ref="K332:L332"/>
    <mergeCell ref="M332:N332"/>
    <mergeCell ref="O332:P332"/>
    <mergeCell ref="G333:H333"/>
    <mergeCell ref="K323:L323"/>
    <mergeCell ref="M323:N323"/>
    <mergeCell ref="G322:H322"/>
    <mergeCell ref="I322:J322"/>
    <mergeCell ref="K322:L322"/>
    <mergeCell ref="M322:N322"/>
    <mergeCell ref="O322:P322"/>
    <mergeCell ref="I323:J323"/>
    <mergeCell ref="O323:P323"/>
    <mergeCell ref="M325:N325"/>
    <mergeCell ref="O325:P325"/>
    <mergeCell ref="M326:N326"/>
    <mergeCell ref="O326:P326"/>
    <mergeCell ref="M327:N327"/>
    <mergeCell ref="O327:P327"/>
    <mergeCell ref="G323:H323"/>
    <mergeCell ref="G324:H324"/>
    <mergeCell ref="I324:J324"/>
    <mergeCell ref="K324:L324"/>
    <mergeCell ref="M324:N324"/>
    <mergeCell ref="O324:P324"/>
    <mergeCell ref="G325:H325"/>
    <mergeCell ref="I325:J325"/>
    <mergeCell ref="K325:L325"/>
    <mergeCell ref="G326:H326"/>
    <mergeCell ref="I326:J326"/>
    <mergeCell ref="K326:L326"/>
    <mergeCell ref="I327:J327"/>
    <mergeCell ref="K327:L327"/>
    <mergeCell ref="G327:H327"/>
    <mergeCell ref="G328:H328"/>
    <mergeCell ref="I328:J328"/>
    <mergeCell ref="K328:L328"/>
    <mergeCell ref="M328:N328"/>
    <mergeCell ref="O328:P328"/>
    <mergeCell ref="G329:H329"/>
    <mergeCell ref="I333:J333"/>
    <mergeCell ref="K333:L333"/>
    <mergeCell ref="G334:H334"/>
    <mergeCell ref="I334:J334"/>
    <mergeCell ref="K334:L334"/>
    <mergeCell ref="M334:N334"/>
    <mergeCell ref="O334:P334"/>
    <mergeCell ref="M342:N342"/>
    <mergeCell ref="O342:P342"/>
    <mergeCell ref="M343:N343"/>
    <mergeCell ref="O343:P343"/>
    <mergeCell ref="M344:N344"/>
    <mergeCell ref="O344:P344"/>
    <mergeCell ref="I342:J342"/>
    <mergeCell ref="K342:L342"/>
    <mergeCell ref="G343:H343"/>
    <mergeCell ref="I343:J343"/>
    <mergeCell ref="K343:L343"/>
    <mergeCell ref="I344:J344"/>
    <mergeCell ref="K344:L344"/>
    <mergeCell ref="M355:N355"/>
    <mergeCell ref="O355:P355"/>
    <mergeCell ref="M356:N356"/>
    <mergeCell ref="O356:P356"/>
    <mergeCell ref="M357:N357"/>
    <mergeCell ref="O357:P357"/>
    <mergeCell ref="I355:J355"/>
    <mergeCell ref="K355:L355"/>
    <mergeCell ref="G356:H356"/>
    <mergeCell ref="I356:J356"/>
    <mergeCell ref="K356:L356"/>
    <mergeCell ref="I357:J357"/>
    <mergeCell ref="K357:L357"/>
    <mergeCell ref="M190:N190"/>
    <mergeCell ref="O190:P190"/>
    <mergeCell ref="G188:H188"/>
    <mergeCell ref="G189:H189"/>
    <mergeCell ref="I189:J189"/>
    <mergeCell ref="K189:L189"/>
    <mergeCell ref="M189:N189"/>
    <mergeCell ref="O189:P189"/>
    <mergeCell ref="G190:H190"/>
    <mergeCell ref="K180:L180"/>
    <mergeCell ref="M180:N180"/>
    <mergeCell ref="G179:H179"/>
    <mergeCell ref="I179:J179"/>
    <mergeCell ref="K179:L179"/>
    <mergeCell ref="M179:N179"/>
    <mergeCell ref="O179:P179"/>
    <mergeCell ref="I180:J180"/>
    <mergeCell ref="O180:P180"/>
    <mergeCell ref="M182:N182"/>
    <mergeCell ref="O182:P182"/>
    <mergeCell ref="M183:N183"/>
    <mergeCell ref="O183:P183"/>
    <mergeCell ref="M184:N184"/>
    <mergeCell ref="O184:P184"/>
    <mergeCell ref="G180:H180"/>
    <mergeCell ref="G181:H181"/>
    <mergeCell ref="I181:J181"/>
    <mergeCell ref="K181:L181"/>
    <mergeCell ref="M181:N181"/>
    <mergeCell ref="O181:P181"/>
    <mergeCell ref="G182:H182"/>
    <mergeCell ref="I182:J182"/>
    <mergeCell ref="K182:L182"/>
    <mergeCell ref="G183:H183"/>
    <mergeCell ref="I183:J183"/>
    <mergeCell ref="K183:L183"/>
    <mergeCell ref="I184:J184"/>
    <mergeCell ref="K184:L184"/>
    <mergeCell ref="G184:H184"/>
    <mergeCell ref="G185:H185"/>
    <mergeCell ref="I185:J185"/>
    <mergeCell ref="K185:L185"/>
    <mergeCell ref="M185:N185"/>
    <mergeCell ref="O185:P185"/>
    <mergeCell ref="G186:H186"/>
    <mergeCell ref="I190:J190"/>
    <mergeCell ref="K190:L190"/>
    <mergeCell ref="G191:H191"/>
    <mergeCell ref="I191:J191"/>
    <mergeCell ref="K191:L191"/>
    <mergeCell ref="M191:N191"/>
    <mergeCell ref="O191:P191"/>
    <mergeCell ref="M164:N164"/>
    <mergeCell ref="O164:P164"/>
    <mergeCell ref="G162:H162"/>
    <mergeCell ref="G163:H163"/>
    <mergeCell ref="I163:J163"/>
    <mergeCell ref="K163:L163"/>
    <mergeCell ref="M163:N163"/>
    <mergeCell ref="O163:P163"/>
    <mergeCell ref="G164:H164"/>
    <mergeCell ref="K154:L154"/>
    <mergeCell ref="M154:N154"/>
    <mergeCell ref="G153:H153"/>
    <mergeCell ref="I153:J153"/>
    <mergeCell ref="K153:L153"/>
    <mergeCell ref="M153:N153"/>
    <mergeCell ref="O153:P153"/>
    <mergeCell ref="I154:J154"/>
    <mergeCell ref="O154:P154"/>
    <mergeCell ref="M156:N156"/>
    <mergeCell ref="O156:P156"/>
    <mergeCell ref="M157:N157"/>
    <mergeCell ref="O157:P157"/>
    <mergeCell ref="M158:N158"/>
    <mergeCell ref="O158:P158"/>
    <mergeCell ref="G154:H154"/>
    <mergeCell ref="G155:H155"/>
    <mergeCell ref="I155:J155"/>
    <mergeCell ref="K155:L155"/>
    <mergeCell ref="M155:N155"/>
    <mergeCell ref="O155:P155"/>
    <mergeCell ref="G156:H156"/>
    <mergeCell ref="I156:J156"/>
    <mergeCell ref="K156:L156"/>
    <mergeCell ref="G157:H157"/>
    <mergeCell ref="I157:J157"/>
    <mergeCell ref="K157:L157"/>
    <mergeCell ref="I158:J158"/>
    <mergeCell ref="K158:L158"/>
    <mergeCell ref="G158:H158"/>
    <mergeCell ref="G159:H159"/>
    <mergeCell ref="I159:J159"/>
    <mergeCell ref="K159:L159"/>
    <mergeCell ref="M159:N159"/>
    <mergeCell ref="O159:P159"/>
    <mergeCell ref="G160:H160"/>
    <mergeCell ref="I164:J164"/>
    <mergeCell ref="K164:L164"/>
    <mergeCell ref="G165:H165"/>
    <mergeCell ref="I165:J165"/>
    <mergeCell ref="K165:L165"/>
    <mergeCell ref="M165:N165"/>
    <mergeCell ref="O165:P165"/>
    <mergeCell ref="M173:N173"/>
    <mergeCell ref="O173:P173"/>
    <mergeCell ref="M174:N174"/>
    <mergeCell ref="O174:P174"/>
    <mergeCell ref="M175:N175"/>
    <mergeCell ref="O175:P175"/>
    <mergeCell ref="I173:J173"/>
    <mergeCell ref="K173:L173"/>
    <mergeCell ref="G174:H174"/>
    <mergeCell ref="I174:J174"/>
    <mergeCell ref="K174:L174"/>
    <mergeCell ref="I175:J175"/>
    <mergeCell ref="K175:L175"/>
    <mergeCell ref="M177:N177"/>
    <mergeCell ref="O177:P177"/>
    <mergeCell ref="G175:H175"/>
    <mergeCell ref="G176:H176"/>
    <mergeCell ref="I176:J176"/>
    <mergeCell ref="K176:L176"/>
    <mergeCell ref="M176:N176"/>
    <mergeCell ref="O176:P176"/>
    <mergeCell ref="G177:H177"/>
    <mergeCell ref="K167:L167"/>
    <mergeCell ref="M167:N167"/>
    <mergeCell ref="G166:H166"/>
    <mergeCell ref="I166:J166"/>
    <mergeCell ref="K166:L166"/>
    <mergeCell ref="M166:N166"/>
    <mergeCell ref="O166:P166"/>
    <mergeCell ref="I167:J167"/>
    <mergeCell ref="O167:P167"/>
    <mergeCell ref="M169:N169"/>
    <mergeCell ref="O169:P169"/>
    <mergeCell ref="M170:N170"/>
    <mergeCell ref="O170:P170"/>
    <mergeCell ref="M171:N171"/>
    <mergeCell ref="O171:P171"/>
    <mergeCell ref="G167:H167"/>
    <mergeCell ref="G168:H168"/>
    <mergeCell ref="I168:J168"/>
    <mergeCell ref="K168:L168"/>
    <mergeCell ref="M168:N168"/>
    <mergeCell ref="O168:P168"/>
    <mergeCell ref="G169:H169"/>
    <mergeCell ref="I169:J169"/>
    <mergeCell ref="K169:L169"/>
    <mergeCell ref="G170:H170"/>
    <mergeCell ref="I170:J170"/>
    <mergeCell ref="K170:L170"/>
    <mergeCell ref="I171:J171"/>
    <mergeCell ref="K171:L171"/>
    <mergeCell ref="G171:H171"/>
    <mergeCell ref="G172:H172"/>
    <mergeCell ref="I172:J172"/>
    <mergeCell ref="K172:L172"/>
    <mergeCell ref="M172:N172"/>
    <mergeCell ref="O172:P172"/>
    <mergeCell ref="G173:H173"/>
    <mergeCell ref="I177:J177"/>
    <mergeCell ref="K177:L177"/>
    <mergeCell ref="G178:H178"/>
    <mergeCell ref="I178:J178"/>
    <mergeCell ref="K178:L178"/>
    <mergeCell ref="M178:N178"/>
    <mergeCell ref="O178:P178"/>
    <mergeCell ref="M186:N186"/>
    <mergeCell ref="O186:P186"/>
    <mergeCell ref="M187:N187"/>
    <mergeCell ref="O187:P187"/>
    <mergeCell ref="M188:N188"/>
    <mergeCell ref="O188:P188"/>
    <mergeCell ref="I186:J186"/>
    <mergeCell ref="K186:L186"/>
    <mergeCell ref="G187:H187"/>
    <mergeCell ref="I187:J187"/>
    <mergeCell ref="K187:L187"/>
    <mergeCell ref="I188:J188"/>
    <mergeCell ref="K188:L188"/>
    <mergeCell ref="M199:N199"/>
    <mergeCell ref="O199:P199"/>
    <mergeCell ref="M200:N200"/>
    <mergeCell ref="O200:P200"/>
    <mergeCell ref="M201:N201"/>
    <mergeCell ref="O201:P201"/>
    <mergeCell ref="I199:J199"/>
    <mergeCell ref="K199:L199"/>
    <mergeCell ref="G200:H200"/>
    <mergeCell ref="I200:J200"/>
    <mergeCell ref="K200:L200"/>
    <mergeCell ref="I201:J201"/>
    <mergeCell ref="K201:L201"/>
    <mergeCell ref="M229:N229"/>
    <mergeCell ref="O229:P229"/>
    <mergeCell ref="G227:H227"/>
    <mergeCell ref="G228:H228"/>
    <mergeCell ref="I228:J228"/>
    <mergeCell ref="K228:L228"/>
    <mergeCell ref="M228:N228"/>
    <mergeCell ref="O228:P228"/>
    <mergeCell ref="G229:H229"/>
    <mergeCell ref="K219:L219"/>
    <mergeCell ref="M219:N219"/>
    <mergeCell ref="G218:H218"/>
    <mergeCell ref="I218:J218"/>
    <mergeCell ref="K218:L218"/>
    <mergeCell ref="M218:N218"/>
    <mergeCell ref="O218:P218"/>
    <mergeCell ref="I219:J219"/>
    <mergeCell ref="O219:P219"/>
    <mergeCell ref="M221:N221"/>
    <mergeCell ref="O221:P221"/>
    <mergeCell ref="M222:N222"/>
    <mergeCell ref="O222:P222"/>
    <mergeCell ref="M223:N223"/>
    <mergeCell ref="O223:P223"/>
    <mergeCell ref="G219:H219"/>
    <mergeCell ref="G220:H220"/>
    <mergeCell ref="I220:J220"/>
    <mergeCell ref="K220:L220"/>
    <mergeCell ref="M220:N220"/>
    <mergeCell ref="O220:P220"/>
    <mergeCell ref="G221:H221"/>
    <mergeCell ref="I221:J221"/>
    <mergeCell ref="K221:L221"/>
    <mergeCell ref="G222:H222"/>
    <mergeCell ref="I222:J222"/>
    <mergeCell ref="K222:L222"/>
    <mergeCell ref="I223:J223"/>
    <mergeCell ref="K223:L223"/>
    <mergeCell ref="G223:H223"/>
    <mergeCell ref="G224:H224"/>
    <mergeCell ref="I224:J224"/>
    <mergeCell ref="K224:L224"/>
    <mergeCell ref="M224:N224"/>
    <mergeCell ref="O224:P224"/>
    <mergeCell ref="G225:H225"/>
    <mergeCell ref="I229:J229"/>
    <mergeCell ref="K229:L229"/>
    <mergeCell ref="G230:H230"/>
    <mergeCell ref="I230:J230"/>
    <mergeCell ref="K230:L230"/>
    <mergeCell ref="M230:N230"/>
    <mergeCell ref="O230:P230"/>
    <mergeCell ref="M203:N203"/>
    <mergeCell ref="O203:P203"/>
    <mergeCell ref="G201:H201"/>
    <mergeCell ref="G202:H202"/>
    <mergeCell ref="I202:J202"/>
    <mergeCell ref="K202:L202"/>
    <mergeCell ref="M202:N202"/>
    <mergeCell ref="O202:P202"/>
    <mergeCell ref="G203:H203"/>
    <mergeCell ref="K193:L193"/>
    <mergeCell ref="M193:N193"/>
    <mergeCell ref="G192:H192"/>
    <mergeCell ref="I192:J192"/>
    <mergeCell ref="K192:L192"/>
    <mergeCell ref="M192:N192"/>
    <mergeCell ref="O192:P192"/>
    <mergeCell ref="I193:J193"/>
    <mergeCell ref="O193:P193"/>
    <mergeCell ref="M195:N195"/>
    <mergeCell ref="O195:P195"/>
    <mergeCell ref="M196:N196"/>
    <mergeCell ref="O196:P196"/>
    <mergeCell ref="M197:N197"/>
    <mergeCell ref="O197:P197"/>
    <mergeCell ref="G193:H193"/>
    <mergeCell ref="G194:H194"/>
    <mergeCell ref="I194:J194"/>
    <mergeCell ref="K194:L194"/>
    <mergeCell ref="M194:N194"/>
    <mergeCell ref="O194:P194"/>
    <mergeCell ref="G195:H195"/>
    <mergeCell ref="I195:J195"/>
    <mergeCell ref="K195:L195"/>
    <mergeCell ref="G196:H196"/>
    <mergeCell ref="I196:J196"/>
    <mergeCell ref="K196:L196"/>
    <mergeCell ref="I197:J197"/>
    <mergeCell ref="K197:L197"/>
    <mergeCell ref="G197:H197"/>
    <mergeCell ref="G198:H198"/>
    <mergeCell ref="I198:J198"/>
    <mergeCell ref="K198:L198"/>
    <mergeCell ref="M198:N198"/>
    <mergeCell ref="O198:P198"/>
    <mergeCell ref="G199:H199"/>
    <mergeCell ref="I203:J203"/>
    <mergeCell ref="K203:L203"/>
    <mergeCell ref="G204:H204"/>
    <mergeCell ref="I204:J204"/>
    <mergeCell ref="K204:L204"/>
    <mergeCell ref="M204:N204"/>
    <mergeCell ref="O204:P204"/>
    <mergeCell ref="M212:N212"/>
    <mergeCell ref="O212:P212"/>
    <mergeCell ref="M213:N213"/>
    <mergeCell ref="O213:P213"/>
    <mergeCell ref="M214:N214"/>
    <mergeCell ref="O214:P214"/>
    <mergeCell ref="I212:J212"/>
    <mergeCell ref="K212:L212"/>
    <mergeCell ref="G213:H213"/>
    <mergeCell ref="I213:J213"/>
    <mergeCell ref="K213:L213"/>
    <mergeCell ref="I214:J214"/>
    <mergeCell ref="K214:L214"/>
    <mergeCell ref="M216:N216"/>
    <mergeCell ref="O216:P216"/>
    <mergeCell ref="G214:H214"/>
    <mergeCell ref="G215:H215"/>
    <mergeCell ref="I215:J215"/>
    <mergeCell ref="K215:L215"/>
    <mergeCell ref="M215:N215"/>
    <mergeCell ref="O215:P215"/>
    <mergeCell ref="G216:H216"/>
    <mergeCell ref="K206:L206"/>
    <mergeCell ref="M206:N206"/>
    <mergeCell ref="G205:H205"/>
    <mergeCell ref="I205:J205"/>
    <mergeCell ref="K205:L205"/>
    <mergeCell ref="M205:N205"/>
    <mergeCell ref="O205:P205"/>
    <mergeCell ref="I206:J206"/>
    <mergeCell ref="O206:P206"/>
    <mergeCell ref="M208:N208"/>
    <mergeCell ref="O208:P208"/>
    <mergeCell ref="M209:N209"/>
    <mergeCell ref="O209:P209"/>
    <mergeCell ref="M210:N210"/>
    <mergeCell ref="O210:P210"/>
    <mergeCell ref="G206:H206"/>
    <mergeCell ref="G207:H207"/>
    <mergeCell ref="I207:J207"/>
    <mergeCell ref="K207:L207"/>
    <mergeCell ref="M207:N207"/>
    <mergeCell ref="O207:P207"/>
    <mergeCell ref="G208:H208"/>
    <mergeCell ref="I208:J208"/>
    <mergeCell ref="K208:L208"/>
    <mergeCell ref="G209:H209"/>
    <mergeCell ref="I209:J209"/>
    <mergeCell ref="K209:L209"/>
    <mergeCell ref="I210:J210"/>
    <mergeCell ref="K210:L210"/>
    <mergeCell ref="G210:H210"/>
    <mergeCell ref="G211:H211"/>
    <mergeCell ref="I211:J211"/>
    <mergeCell ref="K211:L211"/>
    <mergeCell ref="M211:N211"/>
    <mergeCell ref="O211:P211"/>
    <mergeCell ref="G212:H212"/>
    <mergeCell ref="I216:J216"/>
    <mergeCell ref="K216:L216"/>
    <mergeCell ref="G217:H217"/>
    <mergeCell ref="I217:J217"/>
    <mergeCell ref="K217:L217"/>
    <mergeCell ref="M217:N217"/>
    <mergeCell ref="O217:P217"/>
    <mergeCell ref="M225:N225"/>
    <mergeCell ref="O225:P225"/>
    <mergeCell ref="M226:N226"/>
    <mergeCell ref="O226:P226"/>
    <mergeCell ref="M227:N227"/>
    <mergeCell ref="O227:P227"/>
    <mergeCell ref="I225:J225"/>
    <mergeCell ref="K225:L225"/>
    <mergeCell ref="G226:H226"/>
    <mergeCell ref="I226:J226"/>
    <mergeCell ref="K226:L226"/>
    <mergeCell ref="I227:J227"/>
    <mergeCell ref="K227:L227"/>
    <mergeCell ref="M238:N238"/>
    <mergeCell ref="O238:P238"/>
    <mergeCell ref="M239:N239"/>
    <mergeCell ref="O239:P239"/>
    <mergeCell ref="M240:N240"/>
    <mergeCell ref="O240:P240"/>
    <mergeCell ref="I238:J238"/>
    <mergeCell ref="K238:L238"/>
    <mergeCell ref="G239:H239"/>
    <mergeCell ref="I239:J239"/>
    <mergeCell ref="K239:L239"/>
    <mergeCell ref="I240:J240"/>
    <mergeCell ref="K240:L240"/>
    <mergeCell ref="M268:N268"/>
    <mergeCell ref="O268:P268"/>
    <mergeCell ref="G266:H266"/>
    <mergeCell ref="G267:H267"/>
    <mergeCell ref="I267:J267"/>
    <mergeCell ref="K267:L267"/>
    <mergeCell ref="M267:N267"/>
    <mergeCell ref="O267:P267"/>
    <mergeCell ref="G268:H268"/>
    <mergeCell ref="K258:L258"/>
    <mergeCell ref="M258:N258"/>
    <mergeCell ref="G257:H257"/>
    <mergeCell ref="I257:J257"/>
    <mergeCell ref="K257:L257"/>
    <mergeCell ref="M257:N257"/>
    <mergeCell ref="O257:P257"/>
    <mergeCell ref="I258:J258"/>
    <mergeCell ref="O258:P258"/>
    <mergeCell ref="M260:N260"/>
    <mergeCell ref="O260:P260"/>
    <mergeCell ref="M261:N261"/>
    <mergeCell ref="O261:P261"/>
    <mergeCell ref="M262:N262"/>
    <mergeCell ref="O262:P262"/>
    <mergeCell ref="G258:H258"/>
    <mergeCell ref="G259:H259"/>
    <mergeCell ref="I259:J259"/>
    <mergeCell ref="K259:L259"/>
    <mergeCell ref="M259:N259"/>
    <mergeCell ref="O259:P259"/>
    <mergeCell ref="G260:H260"/>
    <mergeCell ref="I260:J260"/>
    <mergeCell ref="K260:L260"/>
    <mergeCell ref="G261:H261"/>
    <mergeCell ref="I261:J261"/>
    <mergeCell ref="K261:L261"/>
    <mergeCell ref="I262:J262"/>
    <mergeCell ref="K262:L262"/>
    <mergeCell ref="G262:H262"/>
    <mergeCell ref="G263:H263"/>
    <mergeCell ref="I263:J263"/>
    <mergeCell ref="K263:L263"/>
    <mergeCell ref="M263:N263"/>
    <mergeCell ref="O263:P263"/>
    <mergeCell ref="G264:H264"/>
    <mergeCell ref="I268:J268"/>
    <mergeCell ref="K268:L268"/>
    <mergeCell ref="G269:H269"/>
    <mergeCell ref="I269:J269"/>
    <mergeCell ref="K269:L269"/>
    <mergeCell ref="M269:N269"/>
    <mergeCell ref="O269:P269"/>
    <mergeCell ref="M242:N242"/>
    <mergeCell ref="O242:P242"/>
    <mergeCell ref="G240:H240"/>
    <mergeCell ref="G241:H241"/>
    <mergeCell ref="I241:J241"/>
    <mergeCell ref="K241:L241"/>
    <mergeCell ref="M241:N241"/>
    <mergeCell ref="O241:P241"/>
    <mergeCell ref="G242:H242"/>
    <mergeCell ref="K232:L232"/>
    <mergeCell ref="M232:N232"/>
    <mergeCell ref="G231:H231"/>
    <mergeCell ref="I231:J231"/>
    <mergeCell ref="K231:L231"/>
    <mergeCell ref="M231:N231"/>
    <mergeCell ref="O231:P231"/>
    <mergeCell ref="I232:J232"/>
    <mergeCell ref="O232:P232"/>
    <mergeCell ref="M234:N234"/>
    <mergeCell ref="O234:P234"/>
    <mergeCell ref="M235:N235"/>
    <mergeCell ref="O235:P235"/>
    <mergeCell ref="M236:N236"/>
    <mergeCell ref="O236:P236"/>
    <mergeCell ref="G232:H232"/>
    <mergeCell ref="G233:H233"/>
    <mergeCell ref="I233:J233"/>
    <mergeCell ref="K233:L233"/>
    <mergeCell ref="M233:N233"/>
    <mergeCell ref="O233:P233"/>
    <mergeCell ref="G234:H234"/>
    <mergeCell ref="I234:J234"/>
    <mergeCell ref="K234:L234"/>
    <mergeCell ref="G235:H235"/>
    <mergeCell ref="I235:J235"/>
    <mergeCell ref="K235:L235"/>
    <mergeCell ref="I236:J236"/>
    <mergeCell ref="K236:L236"/>
    <mergeCell ref="G236:H236"/>
    <mergeCell ref="G237:H237"/>
    <mergeCell ref="I237:J237"/>
    <mergeCell ref="K237:L237"/>
    <mergeCell ref="M237:N237"/>
    <mergeCell ref="O237:P237"/>
    <mergeCell ref="G238:H238"/>
    <mergeCell ref="I242:J242"/>
    <mergeCell ref="K242:L242"/>
    <mergeCell ref="G243:H243"/>
    <mergeCell ref="I243:J243"/>
    <mergeCell ref="K243:L243"/>
    <mergeCell ref="M243:N243"/>
    <mergeCell ref="O243:P243"/>
    <mergeCell ref="M251:N251"/>
    <mergeCell ref="O251:P251"/>
    <mergeCell ref="M252:N252"/>
    <mergeCell ref="O252:P252"/>
    <mergeCell ref="M253:N253"/>
    <mergeCell ref="O253:P253"/>
    <mergeCell ref="I251:J251"/>
    <mergeCell ref="K251:L251"/>
    <mergeCell ref="G252:H252"/>
    <mergeCell ref="I252:J252"/>
    <mergeCell ref="K252:L252"/>
    <mergeCell ref="I253:J253"/>
    <mergeCell ref="K253:L253"/>
    <mergeCell ref="M255:N255"/>
    <mergeCell ref="O255:P255"/>
    <mergeCell ref="G253:H253"/>
    <mergeCell ref="G254:H254"/>
    <mergeCell ref="I254:J254"/>
    <mergeCell ref="K254:L254"/>
    <mergeCell ref="M254:N254"/>
    <mergeCell ref="O254:P254"/>
    <mergeCell ref="G255:H255"/>
    <mergeCell ref="K245:L245"/>
    <mergeCell ref="M245:N245"/>
    <mergeCell ref="G244:H244"/>
    <mergeCell ref="I244:J244"/>
    <mergeCell ref="K244:L244"/>
    <mergeCell ref="M244:N244"/>
    <mergeCell ref="O244:P244"/>
    <mergeCell ref="I245:J245"/>
    <mergeCell ref="O245:P245"/>
    <mergeCell ref="M247:N247"/>
    <mergeCell ref="O247:P247"/>
    <mergeCell ref="M248:N248"/>
    <mergeCell ref="O248:P248"/>
    <mergeCell ref="M249:N249"/>
    <mergeCell ref="O249:P249"/>
    <mergeCell ref="G245:H245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G248:H248"/>
    <mergeCell ref="I248:J248"/>
    <mergeCell ref="K248:L248"/>
    <mergeCell ref="I249:J249"/>
    <mergeCell ref="K249:L249"/>
    <mergeCell ref="G249:H249"/>
    <mergeCell ref="G250:H250"/>
    <mergeCell ref="I250:J250"/>
    <mergeCell ref="K250:L250"/>
    <mergeCell ref="M250:N250"/>
    <mergeCell ref="O250:P250"/>
    <mergeCell ref="G251:H251"/>
    <mergeCell ref="I255:J255"/>
    <mergeCell ref="K255:L255"/>
    <mergeCell ref="G256:H256"/>
    <mergeCell ref="I256:J256"/>
    <mergeCell ref="K256:L256"/>
    <mergeCell ref="M256:N256"/>
    <mergeCell ref="O256:P256"/>
    <mergeCell ref="M264:N264"/>
    <mergeCell ref="O264:P264"/>
    <mergeCell ref="M265:N265"/>
    <mergeCell ref="O265:P265"/>
    <mergeCell ref="M266:N266"/>
    <mergeCell ref="O266:P266"/>
    <mergeCell ref="I264:J264"/>
    <mergeCell ref="K264:L264"/>
    <mergeCell ref="G265:H265"/>
    <mergeCell ref="I265:J265"/>
    <mergeCell ref="K265:L265"/>
    <mergeCell ref="I266:J266"/>
    <mergeCell ref="K266:L266"/>
    <mergeCell ref="M277:N277"/>
    <mergeCell ref="O277:P277"/>
    <mergeCell ref="M278:N278"/>
    <mergeCell ref="O278:P278"/>
    <mergeCell ref="M279:N279"/>
    <mergeCell ref="O279:P279"/>
    <mergeCell ref="I277:J277"/>
    <mergeCell ref="K277:L277"/>
    <mergeCell ref="G278:H278"/>
    <mergeCell ref="I278:J278"/>
    <mergeCell ref="K278:L278"/>
    <mergeCell ref="I279:J279"/>
    <mergeCell ref="K279:L279"/>
    <mergeCell ref="M359:N359"/>
    <mergeCell ref="O359:P359"/>
    <mergeCell ref="G357:H357"/>
    <mergeCell ref="G358:H358"/>
    <mergeCell ref="I358:J358"/>
    <mergeCell ref="K358:L358"/>
    <mergeCell ref="M358:N358"/>
    <mergeCell ref="O358:P358"/>
    <mergeCell ref="G359:H359"/>
    <mergeCell ref="K349:L349"/>
    <mergeCell ref="M349:N349"/>
    <mergeCell ref="G348:H348"/>
    <mergeCell ref="I348:J348"/>
    <mergeCell ref="K348:L348"/>
    <mergeCell ref="M348:N348"/>
    <mergeCell ref="O348:P348"/>
    <mergeCell ref="I349:J349"/>
    <mergeCell ref="O349:P349"/>
    <mergeCell ref="M351:N351"/>
    <mergeCell ref="O351:P351"/>
    <mergeCell ref="M352:N352"/>
    <mergeCell ref="O352:P352"/>
    <mergeCell ref="M353:N353"/>
    <mergeCell ref="O353:P353"/>
    <mergeCell ref="G349:H349"/>
    <mergeCell ref="G350:H350"/>
    <mergeCell ref="I350:J350"/>
    <mergeCell ref="K350:L350"/>
    <mergeCell ref="M350:N350"/>
    <mergeCell ref="O350:P350"/>
    <mergeCell ref="G351:H351"/>
    <mergeCell ref="I351:J351"/>
    <mergeCell ref="K351:L351"/>
    <mergeCell ref="G352:H352"/>
    <mergeCell ref="I352:J352"/>
    <mergeCell ref="K352:L352"/>
    <mergeCell ref="I353:J353"/>
    <mergeCell ref="K353:L353"/>
    <mergeCell ref="G353:H353"/>
    <mergeCell ref="G354:H354"/>
    <mergeCell ref="I354:J354"/>
    <mergeCell ref="K354:L354"/>
    <mergeCell ref="M354:N354"/>
    <mergeCell ref="O354:P354"/>
    <mergeCell ref="G355:H355"/>
    <mergeCell ref="I359:J359"/>
    <mergeCell ref="K359:L359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8" width="3.67"/>
    <col customWidth="1" hidden="1" min="19" max="29" width="3.67"/>
    <col customWidth="1" hidden="1" min="30" max="30" width="14.0"/>
    <col customWidth="1" min="31" max="31" width="10.78"/>
    <col customWidth="1" min="32" max="33" width="8.0"/>
    <col customWidth="1" min="34" max="34" width="11.44"/>
    <col customWidth="1" min="35" max="35" width="8.0"/>
    <col customWidth="1" min="36" max="38" width="11.11"/>
    <col customWidth="1" min="39" max="39" width="11.44"/>
    <col customWidth="1" min="40" max="51" width="11.11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0" t="s">
        <v>82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5" t="s">
        <v>2</v>
      </c>
      <c r="AF1" s="6"/>
      <c r="AG1" s="6"/>
      <c r="AH1" s="6"/>
      <c r="AI1" s="6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ht="130.5" customHeight="1">
      <c r="A2" s="8" t="s">
        <v>3</v>
      </c>
      <c r="B2" s="9" t="s">
        <v>4</v>
      </c>
      <c r="C2" s="9" t="s">
        <v>5</v>
      </c>
      <c r="D2" s="9" t="s">
        <v>6</v>
      </c>
      <c r="E2" s="10" t="s">
        <v>7</v>
      </c>
      <c r="F2" s="9" t="s">
        <v>8</v>
      </c>
      <c r="G2" s="11" t="s">
        <v>9</v>
      </c>
      <c r="H2" s="12">
        <v>24.98</v>
      </c>
      <c r="I2" s="11" t="s">
        <v>10</v>
      </c>
      <c r="J2" s="12">
        <v>24.98</v>
      </c>
      <c r="K2" s="11" t="s">
        <v>11</v>
      </c>
      <c r="L2" s="12">
        <v>24.98</v>
      </c>
      <c r="M2" s="11" t="s">
        <v>12</v>
      </c>
      <c r="N2" s="12">
        <v>24.98</v>
      </c>
      <c r="O2" s="11" t="s">
        <v>13</v>
      </c>
      <c r="P2" s="12">
        <v>8.32</v>
      </c>
      <c r="Q2" s="11"/>
      <c r="R2" s="91"/>
      <c r="S2" s="91" t="s">
        <v>83</v>
      </c>
      <c r="T2" s="91">
        <v>0.0</v>
      </c>
      <c r="U2" s="91" t="s">
        <v>83</v>
      </c>
      <c r="V2" s="91">
        <v>0.0</v>
      </c>
      <c r="W2" s="91" t="s">
        <v>83</v>
      </c>
      <c r="X2" s="91">
        <v>0.0</v>
      </c>
      <c r="Y2" s="91" t="s">
        <v>83</v>
      </c>
      <c r="Z2" s="91">
        <v>0.0</v>
      </c>
      <c r="AA2" s="91" t="s">
        <v>83</v>
      </c>
      <c r="AB2" s="91">
        <v>0.0</v>
      </c>
      <c r="AC2" s="91" t="s">
        <v>83</v>
      </c>
      <c r="AD2" s="91">
        <v>0.0</v>
      </c>
      <c r="AE2" s="13" t="s">
        <v>14</v>
      </c>
      <c r="AF2" s="13" t="s">
        <v>15</v>
      </c>
      <c r="AG2" s="13" t="s">
        <v>16</v>
      </c>
      <c r="AH2" s="13" t="s">
        <v>17</v>
      </c>
      <c r="AI2" s="13" t="s">
        <v>18</v>
      </c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ht="15.75" customHeight="1">
      <c r="A3" s="14" t="s">
        <v>19</v>
      </c>
      <c r="B3" s="15">
        <v>45656.0</v>
      </c>
      <c r="C3" s="16">
        <v>1.0</v>
      </c>
      <c r="D3" s="16" t="s">
        <v>20</v>
      </c>
      <c r="E3" s="17"/>
      <c r="F3" s="17"/>
      <c r="G3" s="18"/>
      <c r="I3" s="19"/>
      <c r="K3" s="19"/>
      <c r="M3" s="19"/>
      <c r="O3" s="19"/>
      <c r="Q3" s="19"/>
      <c r="R3" s="92"/>
      <c r="S3" s="18"/>
      <c r="U3" s="19"/>
      <c r="W3" s="19"/>
      <c r="Y3" s="19"/>
      <c r="AA3" s="19"/>
      <c r="AC3" s="19"/>
      <c r="AD3" s="92"/>
      <c r="AE3" s="20">
        <f t="shared" ref="AE3:AE359" si="1">(G3*H$2)+(I3*J$2)+(K3*L$2)+(M3*N$2)+(O3*P$2)+(Q3*R$2)+(S3*T$2)+(U3*V$2)+(W3*X$2)+(Y3*Z$2)+(AA3*AB$2)+(AC3*AD$2)</f>
        <v>0</v>
      </c>
      <c r="AF3" s="16">
        <f t="shared" ref="AF3:AF359" si="2">SUM(G3:N3)</f>
        <v>0</v>
      </c>
      <c r="AG3" s="16">
        <f t="shared" ref="AG3:AG359" si="3">SUM(O3:R3)</f>
        <v>0</v>
      </c>
      <c r="AH3" s="16">
        <f t="shared" ref="AH3:AH359" si="4">SUM(G3:AD3)</f>
        <v>0</v>
      </c>
      <c r="AI3" s="21">
        <f t="shared" ref="AI3:AI359" si="5">IFERROR(AE3/AH3,0)</f>
        <v>0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ht="15.75" customHeight="1">
      <c r="A4" s="22" t="s">
        <v>21</v>
      </c>
      <c r="B4" s="23">
        <f t="shared" ref="B4:B359" si="6">B3+1</f>
        <v>45657</v>
      </c>
      <c r="C4" s="24">
        <v>1.0</v>
      </c>
      <c r="D4" s="24" t="s">
        <v>20</v>
      </c>
      <c r="E4" s="21"/>
      <c r="F4" s="21"/>
      <c r="G4" s="18"/>
      <c r="I4" s="19"/>
      <c r="K4" s="19"/>
      <c r="M4" s="19"/>
      <c r="O4" s="19"/>
      <c r="Q4" s="19"/>
      <c r="R4" s="92"/>
      <c r="S4" s="18"/>
      <c r="U4" s="19"/>
      <c r="W4" s="19"/>
      <c r="Y4" s="19"/>
      <c r="AA4" s="19"/>
      <c r="AC4" s="19"/>
      <c r="AD4" s="92"/>
      <c r="AE4" s="25">
        <f t="shared" si="1"/>
        <v>0</v>
      </c>
      <c r="AF4" s="24">
        <f t="shared" si="2"/>
        <v>0</v>
      </c>
      <c r="AG4" s="24">
        <f t="shared" si="3"/>
        <v>0</v>
      </c>
      <c r="AH4" s="24">
        <f t="shared" si="4"/>
        <v>0</v>
      </c>
      <c r="AI4" s="26">
        <f t="shared" si="5"/>
        <v>0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ht="15.75" customHeight="1">
      <c r="A5" s="22" t="s">
        <v>22</v>
      </c>
      <c r="B5" s="23">
        <f t="shared" si="6"/>
        <v>45658</v>
      </c>
      <c r="C5" s="24">
        <v>1.0</v>
      </c>
      <c r="D5" s="24" t="s">
        <v>20</v>
      </c>
      <c r="E5" s="21"/>
      <c r="F5" s="21"/>
      <c r="G5" s="18"/>
      <c r="I5" s="19"/>
      <c r="K5" s="19"/>
      <c r="M5" s="19"/>
      <c r="O5" s="19"/>
      <c r="Q5" s="19"/>
      <c r="R5" s="92"/>
      <c r="S5" s="18"/>
      <c r="U5" s="19"/>
      <c r="W5" s="19"/>
      <c r="Y5" s="19"/>
      <c r="AA5" s="19"/>
      <c r="AC5" s="19"/>
      <c r="AD5" s="92"/>
      <c r="AE5" s="25">
        <f t="shared" si="1"/>
        <v>0</v>
      </c>
      <c r="AF5" s="24">
        <f t="shared" si="2"/>
        <v>0</v>
      </c>
      <c r="AG5" s="24">
        <f t="shared" si="3"/>
        <v>0</v>
      </c>
      <c r="AH5" s="24">
        <f t="shared" si="4"/>
        <v>0</v>
      </c>
      <c r="AI5" s="26">
        <f t="shared" si="5"/>
        <v>0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ht="15.75" customHeight="1">
      <c r="A6" s="22" t="s">
        <v>23</v>
      </c>
      <c r="B6" s="23">
        <f t="shared" si="6"/>
        <v>45659</v>
      </c>
      <c r="C6" s="24">
        <v>1.0</v>
      </c>
      <c r="D6" s="24" t="s">
        <v>20</v>
      </c>
      <c r="E6" s="21"/>
      <c r="F6" s="21"/>
      <c r="G6" s="18"/>
      <c r="I6" s="19"/>
      <c r="K6" s="19"/>
      <c r="M6" s="19"/>
      <c r="O6" s="19"/>
      <c r="Q6" s="19"/>
      <c r="R6" s="92"/>
      <c r="S6" s="18"/>
      <c r="U6" s="19"/>
      <c r="W6" s="19"/>
      <c r="Y6" s="19"/>
      <c r="AA6" s="19"/>
      <c r="AC6" s="19"/>
      <c r="AD6" s="92"/>
      <c r="AE6" s="25">
        <f t="shared" si="1"/>
        <v>0</v>
      </c>
      <c r="AF6" s="24">
        <f t="shared" si="2"/>
        <v>0</v>
      </c>
      <c r="AG6" s="24">
        <f t="shared" si="3"/>
        <v>0</v>
      </c>
      <c r="AH6" s="24">
        <f t="shared" si="4"/>
        <v>0</v>
      </c>
      <c r="AI6" s="26">
        <f t="shared" si="5"/>
        <v>0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ht="15.75" customHeight="1">
      <c r="A7" s="22" t="s">
        <v>24</v>
      </c>
      <c r="B7" s="23">
        <f t="shared" si="6"/>
        <v>45660</v>
      </c>
      <c r="C7" s="24">
        <v>1.0</v>
      </c>
      <c r="D7" s="24" t="s">
        <v>20</v>
      </c>
      <c r="E7" s="21"/>
      <c r="F7" s="21"/>
      <c r="G7" s="18"/>
      <c r="I7" s="19"/>
      <c r="K7" s="19"/>
      <c r="M7" s="19"/>
      <c r="O7" s="19"/>
      <c r="Q7" s="19"/>
      <c r="R7" s="92"/>
      <c r="S7" s="18"/>
      <c r="U7" s="19"/>
      <c r="W7" s="19"/>
      <c r="Y7" s="19"/>
      <c r="AA7" s="19"/>
      <c r="AC7" s="19"/>
      <c r="AD7" s="92"/>
      <c r="AE7" s="25">
        <f t="shared" si="1"/>
        <v>0</v>
      </c>
      <c r="AF7" s="24">
        <f t="shared" si="2"/>
        <v>0</v>
      </c>
      <c r="AG7" s="24">
        <f t="shared" si="3"/>
        <v>0</v>
      </c>
      <c r="AH7" s="24">
        <f t="shared" si="4"/>
        <v>0</v>
      </c>
      <c r="AI7" s="26">
        <f t="shared" si="5"/>
        <v>0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ht="15.75" customHeight="1">
      <c r="A8" s="22" t="s">
        <v>25</v>
      </c>
      <c r="B8" s="23">
        <f t="shared" si="6"/>
        <v>45661</v>
      </c>
      <c r="C8" s="24">
        <v>1.0</v>
      </c>
      <c r="D8" s="24" t="s">
        <v>20</v>
      </c>
      <c r="E8" s="21"/>
      <c r="F8" s="21"/>
      <c r="G8" s="18"/>
      <c r="I8" s="19"/>
      <c r="K8" s="19"/>
      <c r="M8" s="19"/>
      <c r="O8" s="19"/>
      <c r="Q8" s="19"/>
      <c r="R8" s="92"/>
      <c r="S8" s="18"/>
      <c r="U8" s="19"/>
      <c r="W8" s="19"/>
      <c r="Y8" s="19"/>
      <c r="AA8" s="19"/>
      <c r="AC8" s="19"/>
      <c r="AD8" s="92"/>
      <c r="AE8" s="25">
        <f t="shared" si="1"/>
        <v>0</v>
      </c>
      <c r="AF8" s="24">
        <f t="shared" si="2"/>
        <v>0</v>
      </c>
      <c r="AG8" s="24">
        <f t="shared" si="3"/>
        <v>0</v>
      </c>
      <c r="AH8" s="24">
        <f t="shared" si="4"/>
        <v>0</v>
      </c>
      <c r="AI8" s="26">
        <f t="shared" si="5"/>
        <v>0</v>
      </c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ht="15.75" customHeight="1">
      <c r="A9" s="27" t="s">
        <v>26</v>
      </c>
      <c r="B9" s="28">
        <f t="shared" si="6"/>
        <v>45662</v>
      </c>
      <c r="C9" s="29">
        <v>1.0</v>
      </c>
      <c r="D9" s="29" t="s">
        <v>20</v>
      </c>
      <c r="E9" s="30"/>
      <c r="F9" s="30"/>
      <c r="G9" s="31"/>
      <c r="H9" s="6"/>
      <c r="I9" s="32"/>
      <c r="J9" s="6"/>
      <c r="K9" s="32"/>
      <c r="L9" s="6"/>
      <c r="M9" s="32"/>
      <c r="N9" s="6"/>
      <c r="O9" s="32"/>
      <c r="P9" s="6"/>
      <c r="Q9" s="32"/>
      <c r="R9" s="93"/>
      <c r="S9" s="31"/>
      <c r="T9" s="6"/>
      <c r="U9" s="32"/>
      <c r="V9" s="6"/>
      <c r="W9" s="32"/>
      <c r="X9" s="6"/>
      <c r="Y9" s="32"/>
      <c r="Z9" s="6"/>
      <c r="AA9" s="32"/>
      <c r="AB9" s="6"/>
      <c r="AC9" s="32"/>
      <c r="AD9" s="93"/>
      <c r="AE9" s="33">
        <f t="shared" si="1"/>
        <v>0</v>
      </c>
      <c r="AF9" s="29">
        <f t="shared" si="2"/>
        <v>0</v>
      </c>
      <c r="AG9" s="29">
        <f t="shared" si="3"/>
        <v>0</v>
      </c>
      <c r="AH9" s="29">
        <f t="shared" si="4"/>
        <v>0</v>
      </c>
      <c r="AI9" s="34">
        <f t="shared" si="5"/>
        <v>0</v>
      </c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ht="15.75" customHeight="1">
      <c r="A10" s="14" t="s">
        <v>19</v>
      </c>
      <c r="B10" s="35">
        <f t="shared" si="6"/>
        <v>45663</v>
      </c>
      <c r="C10" s="16">
        <v>1.0</v>
      </c>
      <c r="D10" s="16" t="s">
        <v>27</v>
      </c>
      <c r="E10" s="17"/>
      <c r="F10" s="17"/>
      <c r="G10" s="18"/>
      <c r="I10" s="19"/>
      <c r="K10" s="19"/>
      <c r="M10" s="19"/>
      <c r="O10" s="19"/>
      <c r="Q10" s="19"/>
      <c r="R10" s="92"/>
      <c r="S10" s="18"/>
      <c r="U10" s="19"/>
      <c r="W10" s="19"/>
      <c r="Y10" s="19"/>
      <c r="AA10" s="19"/>
      <c r="AC10" s="19"/>
      <c r="AD10" s="92"/>
      <c r="AE10" s="20">
        <f t="shared" si="1"/>
        <v>0</v>
      </c>
      <c r="AF10" s="16">
        <f t="shared" si="2"/>
        <v>0</v>
      </c>
      <c r="AG10" s="16">
        <f t="shared" si="3"/>
        <v>0</v>
      </c>
      <c r="AH10" s="16">
        <f t="shared" si="4"/>
        <v>0</v>
      </c>
      <c r="AI10" s="36">
        <f t="shared" si="5"/>
        <v>0</v>
      </c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ht="15.75" customHeight="1">
      <c r="A11" s="22" t="s">
        <v>21</v>
      </c>
      <c r="B11" s="23">
        <f t="shared" si="6"/>
        <v>45664</v>
      </c>
      <c r="C11" s="24">
        <v>1.0</v>
      </c>
      <c r="D11" s="24" t="s">
        <v>27</v>
      </c>
      <c r="E11" s="21"/>
      <c r="F11" s="21"/>
      <c r="G11" s="18"/>
      <c r="I11" s="19"/>
      <c r="K11" s="19"/>
      <c r="M11" s="19"/>
      <c r="O11" s="19"/>
      <c r="Q11" s="19"/>
      <c r="R11" s="92"/>
      <c r="S11" s="18"/>
      <c r="U11" s="19"/>
      <c r="W11" s="19"/>
      <c r="Y11" s="19"/>
      <c r="AA11" s="19"/>
      <c r="AC11" s="19"/>
      <c r="AD11" s="92"/>
      <c r="AE11" s="25">
        <f t="shared" si="1"/>
        <v>0</v>
      </c>
      <c r="AF11" s="24">
        <f t="shared" si="2"/>
        <v>0</v>
      </c>
      <c r="AG11" s="24">
        <f t="shared" si="3"/>
        <v>0</v>
      </c>
      <c r="AH11" s="24">
        <f t="shared" si="4"/>
        <v>0</v>
      </c>
      <c r="AI11" s="26">
        <f t="shared" si="5"/>
        <v>0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ht="15.75" customHeight="1">
      <c r="A12" s="22" t="s">
        <v>22</v>
      </c>
      <c r="B12" s="23">
        <f t="shared" si="6"/>
        <v>45665</v>
      </c>
      <c r="C12" s="24">
        <v>1.0</v>
      </c>
      <c r="D12" s="24" t="s">
        <v>27</v>
      </c>
      <c r="E12" s="21"/>
      <c r="F12" s="21"/>
      <c r="G12" s="18"/>
      <c r="I12" s="19"/>
      <c r="K12" s="19"/>
      <c r="M12" s="19"/>
      <c r="O12" s="19"/>
      <c r="Q12" s="19"/>
      <c r="R12" s="92"/>
      <c r="S12" s="18"/>
      <c r="U12" s="19"/>
      <c r="W12" s="19"/>
      <c r="Y12" s="19"/>
      <c r="AA12" s="19"/>
      <c r="AC12" s="19"/>
      <c r="AD12" s="92"/>
      <c r="AE12" s="25">
        <f t="shared" si="1"/>
        <v>0</v>
      </c>
      <c r="AF12" s="24">
        <f t="shared" si="2"/>
        <v>0</v>
      </c>
      <c r="AG12" s="24">
        <f t="shared" si="3"/>
        <v>0</v>
      </c>
      <c r="AH12" s="24">
        <f t="shared" si="4"/>
        <v>0</v>
      </c>
      <c r="AI12" s="26">
        <f t="shared" si="5"/>
        <v>0</v>
      </c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ht="15.75" customHeight="1">
      <c r="A13" s="22" t="s">
        <v>23</v>
      </c>
      <c r="B13" s="23">
        <f t="shared" si="6"/>
        <v>45666</v>
      </c>
      <c r="C13" s="24">
        <v>1.0</v>
      </c>
      <c r="D13" s="24" t="s">
        <v>27</v>
      </c>
      <c r="E13" s="21"/>
      <c r="F13" s="21"/>
      <c r="G13" s="18"/>
      <c r="I13" s="19"/>
      <c r="K13" s="19"/>
      <c r="M13" s="19"/>
      <c r="O13" s="19"/>
      <c r="Q13" s="19"/>
      <c r="R13" s="92"/>
      <c r="S13" s="18"/>
      <c r="U13" s="19"/>
      <c r="W13" s="19"/>
      <c r="Y13" s="19"/>
      <c r="AA13" s="19"/>
      <c r="AC13" s="19"/>
      <c r="AD13" s="92"/>
      <c r="AE13" s="25">
        <f t="shared" si="1"/>
        <v>0</v>
      </c>
      <c r="AF13" s="24">
        <f t="shared" si="2"/>
        <v>0</v>
      </c>
      <c r="AG13" s="24">
        <f t="shared" si="3"/>
        <v>0</v>
      </c>
      <c r="AH13" s="24">
        <f t="shared" si="4"/>
        <v>0</v>
      </c>
      <c r="AI13" s="26">
        <f t="shared" si="5"/>
        <v>0</v>
      </c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ht="15.75" customHeight="1">
      <c r="A14" s="22" t="s">
        <v>24</v>
      </c>
      <c r="B14" s="23">
        <f t="shared" si="6"/>
        <v>45667</v>
      </c>
      <c r="C14" s="24">
        <v>1.0</v>
      </c>
      <c r="D14" s="24" t="s">
        <v>27</v>
      </c>
      <c r="E14" s="21"/>
      <c r="F14" s="21"/>
      <c r="G14" s="18"/>
      <c r="I14" s="19"/>
      <c r="K14" s="19"/>
      <c r="M14" s="19"/>
      <c r="O14" s="19"/>
      <c r="Q14" s="19"/>
      <c r="R14" s="92"/>
      <c r="S14" s="18"/>
      <c r="U14" s="19"/>
      <c r="W14" s="19"/>
      <c r="Y14" s="19"/>
      <c r="AA14" s="19"/>
      <c r="AC14" s="19"/>
      <c r="AD14" s="92"/>
      <c r="AE14" s="25">
        <f t="shared" si="1"/>
        <v>0</v>
      </c>
      <c r="AF14" s="24">
        <f t="shared" si="2"/>
        <v>0</v>
      </c>
      <c r="AG14" s="24">
        <f t="shared" si="3"/>
        <v>0</v>
      </c>
      <c r="AH14" s="24">
        <f t="shared" si="4"/>
        <v>0</v>
      </c>
      <c r="AI14" s="26">
        <f t="shared" si="5"/>
        <v>0</v>
      </c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ht="15.75" customHeight="1">
      <c r="A15" s="22" t="s">
        <v>25</v>
      </c>
      <c r="B15" s="23">
        <f t="shared" si="6"/>
        <v>45668</v>
      </c>
      <c r="C15" s="24">
        <v>1.0</v>
      </c>
      <c r="D15" s="24" t="s">
        <v>27</v>
      </c>
      <c r="E15" s="21"/>
      <c r="F15" s="21"/>
      <c r="G15" s="18"/>
      <c r="I15" s="19"/>
      <c r="K15" s="19"/>
      <c r="M15" s="19"/>
      <c r="O15" s="19"/>
      <c r="Q15" s="19"/>
      <c r="R15" s="92"/>
      <c r="S15" s="18"/>
      <c r="U15" s="19"/>
      <c r="W15" s="19"/>
      <c r="Y15" s="19"/>
      <c r="AA15" s="19"/>
      <c r="AC15" s="19"/>
      <c r="AD15" s="92"/>
      <c r="AE15" s="25">
        <f t="shared" si="1"/>
        <v>0</v>
      </c>
      <c r="AF15" s="24">
        <f t="shared" si="2"/>
        <v>0</v>
      </c>
      <c r="AG15" s="24">
        <f t="shared" si="3"/>
        <v>0</v>
      </c>
      <c r="AH15" s="24">
        <f t="shared" si="4"/>
        <v>0</v>
      </c>
      <c r="AI15" s="26">
        <f t="shared" si="5"/>
        <v>0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ht="15.75" customHeight="1">
      <c r="A16" s="27" t="s">
        <v>26</v>
      </c>
      <c r="B16" s="28">
        <f t="shared" si="6"/>
        <v>45669</v>
      </c>
      <c r="C16" s="29">
        <v>1.0</v>
      </c>
      <c r="D16" s="29" t="s">
        <v>27</v>
      </c>
      <c r="E16" s="30"/>
      <c r="F16" s="30"/>
      <c r="G16" s="31"/>
      <c r="H16" s="6"/>
      <c r="I16" s="32"/>
      <c r="J16" s="6"/>
      <c r="K16" s="32"/>
      <c r="L16" s="6"/>
      <c r="M16" s="32"/>
      <c r="N16" s="6"/>
      <c r="O16" s="32"/>
      <c r="P16" s="6"/>
      <c r="Q16" s="32"/>
      <c r="R16" s="93"/>
      <c r="S16" s="31"/>
      <c r="T16" s="6"/>
      <c r="U16" s="32"/>
      <c r="V16" s="6"/>
      <c r="W16" s="32"/>
      <c r="X16" s="6"/>
      <c r="Y16" s="32"/>
      <c r="Z16" s="6"/>
      <c r="AA16" s="32"/>
      <c r="AB16" s="6"/>
      <c r="AC16" s="32"/>
      <c r="AD16" s="93"/>
      <c r="AE16" s="33">
        <f t="shared" si="1"/>
        <v>0</v>
      </c>
      <c r="AF16" s="29">
        <f t="shared" si="2"/>
        <v>0</v>
      </c>
      <c r="AG16" s="29">
        <f t="shared" si="3"/>
        <v>0</v>
      </c>
      <c r="AH16" s="29">
        <f t="shared" si="4"/>
        <v>0</v>
      </c>
      <c r="AI16" s="34">
        <f t="shared" si="5"/>
        <v>0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ht="15.75" customHeight="1">
      <c r="A17" s="14" t="s">
        <v>19</v>
      </c>
      <c r="B17" s="35">
        <f t="shared" si="6"/>
        <v>45670</v>
      </c>
      <c r="C17" s="16">
        <v>1.0</v>
      </c>
      <c r="D17" s="16" t="s">
        <v>28</v>
      </c>
      <c r="E17" s="17"/>
      <c r="F17" s="17"/>
      <c r="G17" s="18"/>
      <c r="I17" s="19"/>
      <c r="K17" s="19"/>
      <c r="M17" s="19"/>
      <c r="O17" s="19"/>
      <c r="Q17" s="19"/>
      <c r="R17" s="92"/>
      <c r="S17" s="18"/>
      <c r="U17" s="19"/>
      <c r="W17" s="19"/>
      <c r="Y17" s="19"/>
      <c r="AA17" s="19"/>
      <c r="AC17" s="19"/>
      <c r="AD17" s="92"/>
      <c r="AE17" s="20">
        <f t="shared" si="1"/>
        <v>0</v>
      </c>
      <c r="AF17" s="16">
        <f t="shared" si="2"/>
        <v>0</v>
      </c>
      <c r="AG17" s="16">
        <f t="shared" si="3"/>
        <v>0</v>
      </c>
      <c r="AH17" s="16">
        <f t="shared" si="4"/>
        <v>0</v>
      </c>
      <c r="AI17" s="36">
        <f t="shared" si="5"/>
        <v>0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ht="15.75" customHeight="1">
      <c r="A18" s="22" t="s">
        <v>21</v>
      </c>
      <c r="B18" s="23">
        <f t="shared" si="6"/>
        <v>45671</v>
      </c>
      <c r="C18" s="24">
        <v>1.0</v>
      </c>
      <c r="D18" s="24" t="s">
        <v>28</v>
      </c>
      <c r="E18" s="21"/>
      <c r="F18" s="21"/>
      <c r="G18" s="18"/>
      <c r="I18" s="19"/>
      <c r="K18" s="19"/>
      <c r="M18" s="19"/>
      <c r="O18" s="19"/>
      <c r="Q18" s="19"/>
      <c r="R18" s="92"/>
      <c r="S18" s="18"/>
      <c r="U18" s="19"/>
      <c r="W18" s="19"/>
      <c r="Y18" s="19"/>
      <c r="AA18" s="19"/>
      <c r="AC18" s="19"/>
      <c r="AD18" s="92"/>
      <c r="AE18" s="25">
        <f t="shared" si="1"/>
        <v>0</v>
      </c>
      <c r="AF18" s="24">
        <f t="shared" si="2"/>
        <v>0</v>
      </c>
      <c r="AG18" s="24">
        <f t="shared" si="3"/>
        <v>0</v>
      </c>
      <c r="AH18" s="24">
        <f t="shared" si="4"/>
        <v>0</v>
      </c>
      <c r="AI18" s="26">
        <f t="shared" si="5"/>
        <v>0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ht="15.75" customHeight="1">
      <c r="A19" s="22" t="s">
        <v>22</v>
      </c>
      <c r="B19" s="23">
        <f t="shared" si="6"/>
        <v>45672</v>
      </c>
      <c r="C19" s="24">
        <v>1.0</v>
      </c>
      <c r="D19" s="24" t="s">
        <v>28</v>
      </c>
      <c r="E19" s="21"/>
      <c r="F19" s="21"/>
      <c r="G19" s="18"/>
      <c r="I19" s="19"/>
      <c r="K19" s="19"/>
      <c r="M19" s="19"/>
      <c r="O19" s="19"/>
      <c r="Q19" s="19"/>
      <c r="R19" s="92"/>
      <c r="S19" s="18"/>
      <c r="U19" s="19"/>
      <c r="W19" s="19"/>
      <c r="Y19" s="19"/>
      <c r="AA19" s="19"/>
      <c r="AC19" s="19"/>
      <c r="AD19" s="92"/>
      <c r="AE19" s="25">
        <f t="shared" si="1"/>
        <v>0</v>
      </c>
      <c r="AF19" s="24">
        <f t="shared" si="2"/>
        <v>0</v>
      </c>
      <c r="AG19" s="24">
        <f t="shared" si="3"/>
        <v>0</v>
      </c>
      <c r="AH19" s="24">
        <f t="shared" si="4"/>
        <v>0</v>
      </c>
      <c r="AI19" s="26">
        <f t="shared" si="5"/>
        <v>0</v>
      </c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ht="15.75" customHeight="1">
      <c r="A20" s="22" t="s">
        <v>23</v>
      </c>
      <c r="B20" s="23">
        <f t="shared" si="6"/>
        <v>45673</v>
      </c>
      <c r="C20" s="24">
        <v>1.0</v>
      </c>
      <c r="D20" s="24" t="s">
        <v>28</v>
      </c>
      <c r="E20" s="21"/>
      <c r="F20" s="21"/>
      <c r="G20" s="18"/>
      <c r="I20" s="19"/>
      <c r="K20" s="19"/>
      <c r="M20" s="19"/>
      <c r="O20" s="19"/>
      <c r="Q20" s="19"/>
      <c r="R20" s="92"/>
      <c r="S20" s="18"/>
      <c r="U20" s="19"/>
      <c r="W20" s="19"/>
      <c r="Y20" s="19"/>
      <c r="AA20" s="19"/>
      <c r="AC20" s="19"/>
      <c r="AD20" s="92"/>
      <c r="AE20" s="25">
        <f t="shared" si="1"/>
        <v>0</v>
      </c>
      <c r="AF20" s="24">
        <f t="shared" si="2"/>
        <v>0</v>
      </c>
      <c r="AG20" s="24">
        <f t="shared" si="3"/>
        <v>0</v>
      </c>
      <c r="AH20" s="24">
        <f t="shared" si="4"/>
        <v>0</v>
      </c>
      <c r="AI20" s="26">
        <f t="shared" si="5"/>
        <v>0</v>
      </c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ht="15.75" customHeight="1">
      <c r="A21" s="22" t="s">
        <v>24</v>
      </c>
      <c r="B21" s="23">
        <f t="shared" si="6"/>
        <v>45674</v>
      </c>
      <c r="C21" s="24">
        <v>1.0</v>
      </c>
      <c r="D21" s="24" t="s">
        <v>28</v>
      </c>
      <c r="E21" s="21"/>
      <c r="F21" s="21"/>
      <c r="G21" s="18"/>
      <c r="I21" s="19"/>
      <c r="K21" s="19"/>
      <c r="M21" s="19"/>
      <c r="O21" s="19"/>
      <c r="Q21" s="19"/>
      <c r="R21" s="92"/>
      <c r="S21" s="18"/>
      <c r="U21" s="19"/>
      <c r="W21" s="19"/>
      <c r="Y21" s="19"/>
      <c r="AA21" s="19"/>
      <c r="AC21" s="19"/>
      <c r="AD21" s="92"/>
      <c r="AE21" s="25">
        <f t="shared" si="1"/>
        <v>0</v>
      </c>
      <c r="AF21" s="24">
        <f t="shared" si="2"/>
        <v>0</v>
      </c>
      <c r="AG21" s="24">
        <f t="shared" si="3"/>
        <v>0</v>
      </c>
      <c r="AH21" s="24">
        <f t="shared" si="4"/>
        <v>0</v>
      </c>
      <c r="AI21" s="26">
        <f t="shared" si="5"/>
        <v>0</v>
      </c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ht="15.75" customHeight="1">
      <c r="A22" s="22" t="s">
        <v>25</v>
      </c>
      <c r="B22" s="23">
        <f t="shared" si="6"/>
        <v>45675</v>
      </c>
      <c r="C22" s="24">
        <v>1.0</v>
      </c>
      <c r="D22" s="24" t="s">
        <v>28</v>
      </c>
      <c r="E22" s="21"/>
      <c r="F22" s="21"/>
      <c r="G22" s="18"/>
      <c r="I22" s="19"/>
      <c r="K22" s="19"/>
      <c r="M22" s="19"/>
      <c r="O22" s="19"/>
      <c r="Q22" s="19"/>
      <c r="R22" s="92"/>
      <c r="S22" s="18"/>
      <c r="U22" s="19"/>
      <c r="W22" s="19"/>
      <c r="Y22" s="19"/>
      <c r="AA22" s="19"/>
      <c r="AC22" s="19"/>
      <c r="AD22" s="92"/>
      <c r="AE22" s="25">
        <f t="shared" si="1"/>
        <v>0</v>
      </c>
      <c r="AF22" s="24">
        <f t="shared" si="2"/>
        <v>0</v>
      </c>
      <c r="AG22" s="24">
        <f t="shared" si="3"/>
        <v>0</v>
      </c>
      <c r="AH22" s="24">
        <f t="shared" si="4"/>
        <v>0</v>
      </c>
      <c r="AI22" s="26">
        <f t="shared" si="5"/>
        <v>0</v>
      </c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ht="15.75" customHeight="1">
      <c r="A23" s="27" t="s">
        <v>26</v>
      </c>
      <c r="B23" s="28">
        <f t="shared" si="6"/>
        <v>45676</v>
      </c>
      <c r="C23" s="29">
        <v>1.0</v>
      </c>
      <c r="D23" s="29" t="s">
        <v>28</v>
      </c>
      <c r="E23" s="30"/>
      <c r="F23" s="30"/>
      <c r="G23" s="31"/>
      <c r="H23" s="6"/>
      <c r="I23" s="32"/>
      <c r="J23" s="6"/>
      <c r="K23" s="32"/>
      <c r="L23" s="6"/>
      <c r="M23" s="32"/>
      <c r="N23" s="6"/>
      <c r="O23" s="32"/>
      <c r="P23" s="6"/>
      <c r="Q23" s="32"/>
      <c r="R23" s="93"/>
      <c r="S23" s="31"/>
      <c r="T23" s="6"/>
      <c r="U23" s="32"/>
      <c r="V23" s="6"/>
      <c r="W23" s="32"/>
      <c r="X23" s="6"/>
      <c r="Y23" s="32"/>
      <c r="Z23" s="6"/>
      <c r="AA23" s="32"/>
      <c r="AB23" s="6"/>
      <c r="AC23" s="32"/>
      <c r="AD23" s="93"/>
      <c r="AE23" s="33">
        <f t="shared" si="1"/>
        <v>0</v>
      </c>
      <c r="AF23" s="29">
        <f t="shared" si="2"/>
        <v>0</v>
      </c>
      <c r="AG23" s="29">
        <f t="shared" si="3"/>
        <v>0</v>
      </c>
      <c r="AH23" s="29">
        <f t="shared" si="4"/>
        <v>0</v>
      </c>
      <c r="AI23" s="34">
        <f t="shared" si="5"/>
        <v>0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ht="15.75" customHeight="1">
      <c r="A24" s="14" t="s">
        <v>19</v>
      </c>
      <c r="B24" s="35">
        <f t="shared" si="6"/>
        <v>45677</v>
      </c>
      <c r="C24" s="16">
        <v>1.0</v>
      </c>
      <c r="D24" s="16" t="s">
        <v>29</v>
      </c>
      <c r="E24" s="17"/>
      <c r="F24" s="17"/>
      <c r="G24" s="18"/>
      <c r="I24" s="19"/>
      <c r="K24" s="19"/>
      <c r="M24" s="19"/>
      <c r="O24" s="19"/>
      <c r="Q24" s="19"/>
      <c r="R24" s="92"/>
      <c r="S24" s="18"/>
      <c r="U24" s="19"/>
      <c r="W24" s="19"/>
      <c r="Y24" s="19"/>
      <c r="AA24" s="19"/>
      <c r="AC24" s="19"/>
      <c r="AD24" s="92"/>
      <c r="AE24" s="20">
        <f t="shared" si="1"/>
        <v>0</v>
      </c>
      <c r="AF24" s="16">
        <f t="shared" si="2"/>
        <v>0</v>
      </c>
      <c r="AG24" s="16">
        <f t="shared" si="3"/>
        <v>0</v>
      </c>
      <c r="AH24" s="16">
        <f t="shared" si="4"/>
        <v>0</v>
      </c>
      <c r="AI24" s="36">
        <f t="shared" si="5"/>
        <v>0</v>
      </c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ht="15.75" customHeight="1">
      <c r="A25" s="22" t="s">
        <v>21</v>
      </c>
      <c r="B25" s="23">
        <f t="shared" si="6"/>
        <v>45678</v>
      </c>
      <c r="C25" s="24">
        <v>1.0</v>
      </c>
      <c r="D25" s="24" t="s">
        <v>29</v>
      </c>
      <c r="E25" s="21"/>
      <c r="F25" s="21"/>
      <c r="G25" s="18"/>
      <c r="I25" s="19"/>
      <c r="K25" s="19"/>
      <c r="M25" s="19"/>
      <c r="O25" s="19"/>
      <c r="Q25" s="19"/>
      <c r="R25" s="92"/>
      <c r="S25" s="18"/>
      <c r="U25" s="19"/>
      <c r="W25" s="19"/>
      <c r="Y25" s="19"/>
      <c r="AA25" s="19"/>
      <c r="AC25" s="19"/>
      <c r="AD25" s="92"/>
      <c r="AE25" s="25">
        <f t="shared" si="1"/>
        <v>0</v>
      </c>
      <c r="AF25" s="24">
        <f t="shared" si="2"/>
        <v>0</v>
      </c>
      <c r="AG25" s="24">
        <f t="shared" si="3"/>
        <v>0</v>
      </c>
      <c r="AH25" s="24">
        <f t="shared" si="4"/>
        <v>0</v>
      </c>
      <c r="AI25" s="26">
        <f t="shared" si="5"/>
        <v>0</v>
      </c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ht="15.75" customHeight="1">
      <c r="A26" s="22" t="s">
        <v>22</v>
      </c>
      <c r="B26" s="23">
        <f t="shared" si="6"/>
        <v>45679</v>
      </c>
      <c r="C26" s="24">
        <v>1.0</v>
      </c>
      <c r="D26" s="24" t="s">
        <v>29</v>
      </c>
      <c r="E26" s="21"/>
      <c r="F26" s="21"/>
      <c r="G26" s="18"/>
      <c r="I26" s="19"/>
      <c r="K26" s="19"/>
      <c r="M26" s="19"/>
      <c r="O26" s="19"/>
      <c r="Q26" s="19"/>
      <c r="R26" s="92"/>
      <c r="S26" s="18"/>
      <c r="U26" s="19"/>
      <c r="W26" s="19"/>
      <c r="Y26" s="19"/>
      <c r="AA26" s="19"/>
      <c r="AC26" s="19"/>
      <c r="AD26" s="92"/>
      <c r="AE26" s="25">
        <f t="shared" si="1"/>
        <v>0</v>
      </c>
      <c r="AF26" s="24">
        <f t="shared" si="2"/>
        <v>0</v>
      </c>
      <c r="AG26" s="24">
        <f t="shared" si="3"/>
        <v>0</v>
      </c>
      <c r="AH26" s="24">
        <f t="shared" si="4"/>
        <v>0</v>
      </c>
      <c r="AI26" s="26">
        <f t="shared" si="5"/>
        <v>0</v>
      </c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ht="15.75" customHeight="1">
      <c r="A27" s="22" t="s">
        <v>23</v>
      </c>
      <c r="B27" s="23">
        <f t="shared" si="6"/>
        <v>45680</v>
      </c>
      <c r="C27" s="24">
        <v>1.0</v>
      </c>
      <c r="D27" s="24" t="s">
        <v>29</v>
      </c>
      <c r="E27" s="21"/>
      <c r="F27" s="21"/>
      <c r="G27" s="18"/>
      <c r="I27" s="19"/>
      <c r="K27" s="19"/>
      <c r="M27" s="19"/>
      <c r="O27" s="19"/>
      <c r="Q27" s="19"/>
      <c r="R27" s="92"/>
      <c r="S27" s="18"/>
      <c r="U27" s="19"/>
      <c r="W27" s="19"/>
      <c r="Y27" s="19"/>
      <c r="AA27" s="19"/>
      <c r="AC27" s="19"/>
      <c r="AD27" s="92"/>
      <c r="AE27" s="25">
        <f t="shared" si="1"/>
        <v>0</v>
      </c>
      <c r="AF27" s="24">
        <f t="shared" si="2"/>
        <v>0</v>
      </c>
      <c r="AG27" s="24">
        <f t="shared" si="3"/>
        <v>0</v>
      </c>
      <c r="AH27" s="24">
        <f t="shared" si="4"/>
        <v>0</v>
      </c>
      <c r="AI27" s="26">
        <f t="shared" si="5"/>
        <v>0</v>
      </c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ht="15.75" customHeight="1">
      <c r="A28" s="22" t="s">
        <v>24</v>
      </c>
      <c r="B28" s="23">
        <f t="shared" si="6"/>
        <v>45681</v>
      </c>
      <c r="C28" s="24">
        <v>1.0</v>
      </c>
      <c r="D28" s="24" t="s">
        <v>29</v>
      </c>
      <c r="E28" s="21"/>
      <c r="F28" s="21"/>
      <c r="G28" s="18"/>
      <c r="I28" s="19"/>
      <c r="K28" s="19"/>
      <c r="M28" s="19"/>
      <c r="O28" s="19"/>
      <c r="Q28" s="19"/>
      <c r="R28" s="92"/>
      <c r="S28" s="18"/>
      <c r="U28" s="19"/>
      <c r="W28" s="19"/>
      <c r="Y28" s="19"/>
      <c r="AA28" s="19"/>
      <c r="AC28" s="19"/>
      <c r="AD28" s="92"/>
      <c r="AE28" s="25">
        <f t="shared" si="1"/>
        <v>0</v>
      </c>
      <c r="AF28" s="24">
        <f t="shared" si="2"/>
        <v>0</v>
      </c>
      <c r="AG28" s="24">
        <f t="shared" si="3"/>
        <v>0</v>
      </c>
      <c r="AH28" s="24">
        <f t="shared" si="4"/>
        <v>0</v>
      </c>
      <c r="AI28" s="26">
        <f t="shared" si="5"/>
        <v>0</v>
      </c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ht="15.75" customHeight="1">
      <c r="A29" s="22" t="s">
        <v>25</v>
      </c>
      <c r="B29" s="23">
        <f t="shared" si="6"/>
        <v>45682</v>
      </c>
      <c r="C29" s="24">
        <v>1.0</v>
      </c>
      <c r="D29" s="24" t="s">
        <v>29</v>
      </c>
      <c r="E29" s="21"/>
      <c r="F29" s="21"/>
      <c r="G29" s="18"/>
      <c r="I29" s="19"/>
      <c r="K29" s="19"/>
      <c r="M29" s="19"/>
      <c r="O29" s="19"/>
      <c r="Q29" s="19"/>
      <c r="R29" s="92"/>
      <c r="S29" s="18"/>
      <c r="U29" s="19"/>
      <c r="W29" s="19"/>
      <c r="Y29" s="19"/>
      <c r="AA29" s="19"/>
      <c r="AC29" s="19"/>
      <c r="AD29" s="92"/>
      <c r="AE29" s="25">
        <f t="shared" si="1"/>
        <v>0</v>
      </c>
      <c r="AF29" s="24">
        <f t="shared" si="2"/>
        <v>0</v>
      </c>
      <c r="AG29" s="24">
        <f t="shared" si="3"/>
        <v>0</v>
      </c>
      <c r="AH29" s="24">
        <f t="shared" si="4"/>
        <v>0</v>
      </c>
      <c r="AI29" s="26">
        <f t="shared" si="5"/>
        <v>0</v>
      </c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ht="15.75" customHeight="1">
      <c r="A30" s="27" t="s">
        <v>26</v>
      </c>
      <c r="B30" s="28">
        <f t="shared" si="6"/>
        <v>45683</v>
      </c>
      <c r="C30" s="29">
        <v>1.0</v>
      </c>
      <c r="D30" s="29" t="s">
        <v>29</v>
      </c>
      <c r="E30" s="30"/>
      <c r="F30" s="30"/>
      <c r="G30" s="31"/>
      <c r="H30" s="6"/>
      <c r="I30" s="32"/>
      <c r="J30" s="6"/>
      <c r="K30" s="32"/>
      <c r="L30" s="6"/>
      <c r="M30" s="32"/>
      <c r="N30" s="6"/>
      <c r="O30" s="32"/>
      <c r="P30" s="6"/>
      <c r="Q30" s="32"/>
      <c r="R30" s="93"/>
      <c r="S30" s="31"/>
      <c r="T30" s="6"/>
      <c r="U30" s="32"/>
      <c r="V30" s="6"/>
      <c r="W30" s="32"/>
      <c r="X30" s="6"/>
      <c r="Y30" s="32"/>
      <c r="Z30" s="6"/>
      <c r="AA30" s="32"/>
      <c r="AB30" s="6"/>
      <c r="AC30" s="32"/>
      <c r="AD30" s="93"/>
      <c r="AE30" s="33">
        <f t="shared" si="1"/>
        <v>0</v>
      </c>
      <c r="AF30" s="29">
        <f t="shared" si="2"/>
        <v>0</v>
      </c>
      <c r="AG30" s="29">
        <f t="shared" si="3"/>
        <v>0</v>
      </c>
      <c r="AH30" s="29">
        <f t="shared" si="4"/>
        <v>0</v>
      </c>
      <c r="AI30" s="34">
        <f t="shared" si="5"/>
        <v>0</v>
      </c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ht="15.75" customHeight="1">
      <c r="A31" s="14" t="s">
        <v>19</v>
      </c>
      <c r="B31" s="35">
        <f t="shared" si="6"/>
        <v>45684</v>
      </c>
      <c r="C31" s="16">
        <v>2.0</v>
      </c>
      <c r="D31" s="16" t="s">
        <v>20</v>
      </c>
      <c r="E31" s="17"/>
      <c r="F31" s="17"/>
      <c r="G31" s="18"/>
      <c r="I31" s="19"/>
      <c r="K31" s="19"/>
      <c r="M31" s="19"/>
      <c r="O31" s="19"/>
      <c r="Q31" s="19"/>
      <c r="R31" s="92"/>
      <c r="S31" s="18"/>
      <c r="U31" s="19"/>
      <c r="W31" s="19"/>
      <c r="Y31" s="19"/>
      <c r="AA31" s="19"/>
      <c r="AC31" s="19"/>
      <c r="AD31" s="92"/>
      <c r="AE31" s="20">
        <f t="shared" si="1"/>
        <v>0</v>
      </c>
      <c r="AF31" s="16">
        <f t="shared" si="2"/>
        <v>0</v>
      </c>
      <c r="AG31" s="16">
        <f t="shared" si="3"/>
        <v>0</v>
      </c>
      <c r="AH31" s="16">
        <f t="shared" si="4"/>
        <v>0</v>
      </c>
      <c r="AI31" s="36">
        <f t="shared" si="5"/>
        <v>0</v>
      </c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ht="15.75" customHeight="1">
      <c r="A32" s="22" t="s">
        <v>21</v>
      </c>
      <c r="B32" s="23">
        <f t="shared" si="6"/>
        <v>45685</v>
      </c>
      <c r="C32" s="24">
        <v>2.0</v>
      </c>
      <c r="D32" s="24" t="s">
        <v>20</v>
      </c>
      <c r="E32" s="21"/>
      <c r="F32" s="21"/>
      <c r="G32" s="18"/>
      <c r="I32" s="19"/>
      <c r="K32" s="19"/>
      <c r="M32" s="19"/>
      <c r="O32" s="19"/>
      <c r="Q32" s="19"/>
      <c r="R32" s="92"/>
      <c r="S32" s="18"/>
      <c r="U32" s="19"/>
      <c r="W32" s="19"/>
      <c r="Y32" s="19"/>
      <c r="AA32" s="19"/>
      <c r="AC32" s="19"/>
      <c r="AD32" s="92"/>
      <c r="AE32" s="25">
        <f t="shared" si="1"/>
        <v>0</v>
      </c>
      <c r="AF32" s="24">
        <f t="shared" si="2"/>
        <v>0</v>
      </c>
      <c r="AG32" s="24">
        <f t="shared" si="3"/>
        <v>0</v>
      </c>
      <c r="AH32" s="24">
        <f t="shared" si="4"/>
        <v>0</v>
      </c>
      <c r="AI32" s="26">
        <f t="shared" si="5"/>
        <v>0</v>
      </c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ht="15.75" customHeight="1">
      <c r="A33" s="22" t="s">
        <v>22</v>
      </c>
      <c r="B33" s="23">
        <f t="shared" si="6"/>
        <v>45686</v>
      </c>
      <c r="C33" s="24">
        <v>2.0</v>
      </c>
      <c r="D33" s="24" t="s">
        <v>20</v>
      </c>
      <c r="E33" s="21"/>
      <c r="F33" s="21"/>
      <c r="G33" s="18"/>
      <c r="I33" s="19"/>
      <c r="K33" s="19"/>
      <c r="M33" s="19"/>
      <c r="O33" s="19"/>
      <c r="Q33" s="19"/>
      <c r="R33" s="92"/>
      <c r="S33" s="18"/>
      <c r="U33" s="19"/>
      <c r="W33" s="19"/>
      <c r="Y33" s="19"/>
      <c r="AA33" s="19"/>
      <c r="AC33" s="19"/>
      <c r="AD33" s="92"/>
      <c r="AE33" s="25">
        <f t="shared" si="1"/>
        <v>0</v>
      </c>
      <c r="AF33" s="24">
        <f t="shared" si="2"/>
        <v>0</v>
      </c>
      <c r="AG33" s="24">
        <f t="shared" si="3"/>
        <v>0</v>
      </c>
      <c r="AH33" s="24">
        <f t="shared" si="4"/>
        <v>0</v>
      </c>
      <c r="AI33" s="26">
        <f t="shared" si="5"/>
        <v>0</v>
      </c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ht="15.75" customHeight="1">
      <c r="A34" s="22" t="s">
        <v>23</v>
      </c>
      <c r="B34" s="23">
        <f t="shared" si="6"/>
        <v>45687</v>
      </c>
      <c r="C34" s="24">
        <v>2.0</v>
      </c>
      <c r="D34" s="24" t="s">
        <v>20</v>
      </c>
      <c r="E34" s="21"/>
      <c r="F34" s="21"/>
      <c r="G34" s="18"/>
      <c r="I34" s="19"/>
      <c r="K34" s="19"/>
      <c r="M34" s="19"/>
      <c r="O34" s="19"/>
      <c r="Q34" s="19"/>
      <c r="R34" s="92"/>
      <c r="S34" s="18"/>
      <c r="U34" s="19"/>
      <c r="W34" s="19"/>
      <c r="Y34" s="19"/>
      <c r="AA34" s="19"/>
      <c r="AC34" s="19"/>
      <c r="AD34" s="92"/>
      <c r="AE34" s="25">
        <f t="shared" si="1"/>
        <v>0</v>
      </c>
      <c r="AF34" s="24">
        <f t="shared" si="2"/>
        <v>0</v>
      </c>
      <c r="AG34" s="24">
        <f t="shared" si="3"/>
        <v>0</v>
      </c>
      <c r="AH34" s="24">
        <f t="shared" si="4"/>
        <v>0</v>
      </c>
      <c r="AI34" s="26">
        <f t="shared" si="5"/>
        <v>0</v>
      </c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ht="15.75" customHeight="1">
      <c r="A35" s="22" t="s">
        <v>24</v>
      </c>
      <c r="B35" s="23">
        <f t="shared" si="6"/>
        <v>45688</v>
      </c>
      <c r="C35" s="24">
        <v>2.0</v>
      </c>
      <c r="D35" s="24" t="s">
        <v>20</v>
      </c>
      <c r="E35" s="21"/>
      <c r="F35" s="21"/>
      <c r="G35" s="18"/>
      <c r="I35" s="19"/>
      <c r="K35" s="19"/>
      <c r="M35" s="19"/>
      <c r="O35" s="19"/>
      <c r="Q35" s="19"/>
      <c r="R35" s="92"/>
      <c r="S35" s="18"/>
      <c r="U35" s="19"/>
      <c r="W35" s="19"/>
      <c r="Y35" s="19"/>
      <c r="AA35" s="19"/>
      <c r="AC35" s="19"/>
      <c r="AD35" s="92"/>
      <c r="AE35" s="25">
        <f t="shared" si="1"/>
        <v>0</v>
      </c>
      <c r="AF35" s="24">
        <f t="shared" si="2"/>
        <v>0</v>
      </c>
      <c r="AG35" s="24">
        <f t="shared" si="3"/>
        <v>0</v>
      </c>
      <c r="AH35" s="24">
        <f t="shared" si="4"/>
        <v>0</v>
      </c>
      <c r="AI35" s="26">
        <f t="shared" si="5"/>
        <v>0</v>
      </c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ht="15.75" customHeight="1">
      <c r="A36" s="22" t="s">
        <v>25</v>
      </c>
      <c r="B36" s="23">
        <f t="shared" si="6"/>
        <v>45689</v>
      </c>
      <c r="C36" s="24">
        <v>2.0</v>
      </c>
      <c r="D36" s="24" t="s">
        <v>20</v>
      </c>
      <c r="E36" s="21"/>
      <c r="F36" s="21"/>
      <c r="G36" s="18"/>
      <c r="I36" s="19"/>
      <c r="K36" s="19"/>
      <c r="M36" s="19"/>
      <c r="O36" s="19"/>
      <c r="Q36" s="19"/>
      <c r="R36" s="92"/>
      <c r="S36" s="18"/>
      <c r="U36" s="19"/>
      <c r="W36" s="19"/>
      <c r="Y36" s="19"/>
      <c r="AA36" s="19"/>
      <c r="AC36" s="19"/>
      <c r="AD36" s="92"/>
      <c r="AE36" s="25">
        <f t="shared" si="1"/>
        <v>0</v>
      </c>
      <c r="AF36" s="24">
        <f t="shared" si="2"/>
        <v>0</v>
      </c>
      <c r="AG36" s="24">
        <f t="shared" si="3"/>
        <v>0</v>
      </c>
      <c r="AH36" s="24">
        <f t="shared" si="4"/>
        <v>0</v>
      </c>
      <c r="AI36" s="26">
        <f t="shared" si="5"/>
        <v>0</v>
      </c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ht="15.75" customHeight="1">
      <c r="A37" s="27" t="s">
        <v>26</v>
      </c>
      <c r="B37" s="28">
        <f t="shared" si="6"/>
        <v>45690</v>
      </c>
      <c r="C37" s="29">
        <v>2.0</v>
      </c>
      <c r="D37" s="29" t="s">
        <v>20</v>
      </c>
      <c r="E37" s="30"/>
      <c r="F37" s="30"/>
      <c r="G37" s="31"/>
      <c r="H37" s="6"/>
      <c r="I37" s="32"/>
      <c r="J37" s="6"/>
      <c r="K37" s="32"/>
      <c r="L37" s="6"/>
      <c r="M37" s="32"/>
      <c r="N37" s="6"/>
      <c r="O37" s="32"/>
      <c r="P37" s="6"/>
      <c r="Q37" s="32"/>
      <c r="R37" s="93"/>
      <c r="S37" s="31"/>
      <c r="T37" s="6"/>
      <c r="U37" s="32"/>
      <c r="V37" s="6"/>
      <c r="W37" s="32"/>
      <c r="X37" s="6"/>
      <c r="Y37" s="32"/>
      <c r="Z37" s="6"/>
      <c r="AA37" s="32"/>
      <c r="AB37" s="6"/>
      <c r="AC37" s="32"/>
      <c r="AD37" s="93"/>
      <c r="AE37" s="33">
        <f t="shared" si="1"/>
        <v>0</v>
      </c>
      <c r="AF37" s="29">
        <f t="shared" si="2"/>
        <v>0</v>
      </c>
      <c r="AG37" s="29">
        <f t="shared" si="3"/>
        <v>0</v>
      </c>
      <c r="AH37" s="29">
        <f t="shared" si="4"/>
        <v>0</v>
      </c>
      <c r="AI37" s="34">
        <f t="shared" si="5"/>
        <v>0</v>
      </c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ht="15.75" customHeight="1">
      <c r="A38" s="14" t="s">
        <v>19</v>
      </c>
      <c r="B38" s="35">
        <f t="shared" si="6"/>
        <v>45691</v>
      </c>
      <c r="C38" s="16">
        <v>2.0</v>
      </c>
      <c r="D38" s="16" t="s">
        <v>27</v>
      </c>
      <c r="E38" s="17"/>
      <c r="F38" s="17"/>
      <c r="G38" s="18"/>
      <c r="I38" s="19"/>
      <c r="K38" s="19"/>
      <c r="M38" s="19"/>
      <c r="O38" s="19"/>
      <c r="Q38" s="19"/>
      <c r="R38" s="92"/>
      <c r="S38" s="18"/>
      <c r="U38" s="19"/>
      <c r="W38" s="19"/>
      <c r="Y38" s="19"/>
      <c r="AA38" s="19"/>
      <c r="AC38" s="19"/>
      <c r="AD38" s="92"/>
      <c r="AE38" s="20">
        <f t="shared" si="1"/>
        <v>0</v>
      </c>
      <c r="AF38" s="16">
        <f t="shared" si="2"/>
        <v>0</v>
      </c>
      <c r="AG38" s="16">
        <f t="shared" si="3"/>
        <v>0</v>
      </c>
      <c r="AH38" s="16">
        <f t="shared" si="4"/>
        <v>0</v>
      </c>
      <c r="AI38" s="36">
        <f t="shared" si="5"/>
        <v>0</v>
      </c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ht="15.75" customHeight="1">
      <c r="A39" s="22" t="s">
        <v>21</v>
      </c>
      <c r="B39" s="23">
        <f t="shared" si="6"/>
        <v>45692</v>
      </c>
      <c r="C39" s="24">
        <v>2.0</v>
      </c>
      <c r="D39" s="24" t="s">
        <v>27</v>
      </c>
      <c r="E39" s="21"/>
      <c r="F39" s="21"/>
      <c r="G39" s="18"/>
      <c r="I39" s="19"/>
      <c r="K39" s="19"/>
      <c r="M39" s="19"/>
      <c r="O39" s="19"/>
      <c r="Q39" s="19"/>
      <c r="R39" s="92"/>
      <c r="S39" s="18"/>
      <c r="U39" s="19"/>
      <c r="W39" s="19"/>
      <c r="Y39" s="19"/>
      <c r="AA39" s="19"/>
      <c r="AC39" s="19"/>
      <c r="AD39" s="92"/>
      <c r="AE39" s="25">
        <f t="shared" si="1"/>
        <v>0</v>
      </c>
      <c r="AF39" s="24">
        <f t="shared" si="2"/>
        <v>0</v>
      </c>
      <c r="AG39" s="24">
        <f t="shared" si="3"/>
        <v>0</v>
      </c>
      <c r="AH39" s="24">
        <f t="shared" si="4"/>
        <v>0</v>
      </c>
      <c r="AI39" s="26">
        <f t="shared" si="5"/>
        <v>0</v>
      </c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ht="15.75" customHeight="1">
      <c r="A40" s="22" t="s">
        <v>22</v>
      </c>
      <c r="B40" s="23">
        <f t="shared" si="6"/>
        <v>45693</v>
      </c>
      <c r="C40" s="24">
        <v>2.0</v>
      </c>
      <c r="D40" s="24" t="s">
        <v>27</v>
      </c>
      <c r="E40" s="21"/>
      <c r="F40" s="21"/>
      <c r="G40" s="18"/>
      <c r="I40" s="19"/>
      <c r="K40" s="19"/>
      <c r="M40" s="19"/>
      <c r="O40" s="19"/>
      <c r="Q40" s="19"/>
      <c r="R40" s="92"/>
      <c r="S40" s="18"/>
      <c r="U40" s="19"/>
      <c r="W40" s="19"/>
      <c r="Y40" s="19"/>
      <c r="AA40" s="19"/>
      <c r="AC40" s="19"/>
      <c r="AD40" s="92"/>
      <c r="AE40" s="25">
        <f t="shared" si="1"/>
        <v>0</v>
      </c>
      <c r="AF40" s="24">
        <f t="shared" si="2"/>
        <v>0</v>
      </c>
      <c r="AG40" s="24">
        <f t="shared" si="3"/>
        <v>0</v>
      </c>
      <c r="AH40" s="24">
        <f t="shared" si="4"/>
        <v>0</v>
      </c>
      <c r="AI40" s="26">
        <f t="shared" si="5"/>
        <v>0</v>
      </c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ht="15.75" customHeight="1">
      <c r="A41" s="22" t="s">
        <v>23</v>
      </c>
      <c r="B41" s="23">
        <f t="shared" si="6"/>
        <v>45694</v>
      </c>
      <c r="C41" s="24">
        <v>2.0</v>
      </c>
      <c r="D41" s="24" t="s">
        <v>27</v>
      </c>
      <c r="E41" s="21"/>
      <c r="F41" s="21"/>
      <c r="G41" s="18"/>
      <c r="I41" s="19"/>
      <c r="K41" s="19"/>
      <c r="M41" s="19"/>
      <c r="O41" s="19"/>
      <c r="Q41" s="19"/>
      <c r="R41" s="92"/>
      <c r="S41" s="18"/>
      <c r="U41" s="19"/>
      <c r="W41" s="19"/>
      <c r="Y41" s="19"/>
      <c r="AA41" s="19"/>
      <c r="AC41" s="19"/>
      <c r="AD41" s="92"/>
      <c r="AE41" s="25">
        <f t="shared" si="1"/>
        <v>0</v>
      </c>
      <c r="AF41" s="24">
        <f t="shared" si="2"/>
        <v>0</v>
      </c>
      <c r="AG41" s="24">
        <f t="shared" si="3"/>
        <v>0</v>
      </c>
      <c r="AH41" s="24">
        <f t="shared" si="4"/>
        <v>0</v>
      </c>
      <c r="AI41" s="26">
        <f t="shared" si="5"/>
        <v>0</v>
      </c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ht="15.75" customHeight="1">
      <c r="A42" s="22" t="s">
        <v>24</v>
      </c>
      <c r="B42" s="23">
        <f t="shared" si="6"/>
        <v>45695</v>
      </c>
      <c r="C42" s="24">
        <v>2.0</v>
      </c>
      <c r="D42" s="24" t="s">
        <v>27</v>
      </c>
      <c r="E42" s="21"/>
      <c r="F42" s="21"/>
      <c r="G42" s="18"/>
      <c r="I42" s="19"/>
      <c r="K42" s="19"/>
      <c r="M42" s="19"/>
      <c r="O42" s="19"/>
      <c r="Q42" s="19"/>
      <c r="R42" s="92"/>
      <c r="S42" s="18"/>
      <c r="U42" s="19"/>
      <c r="W42" s="19"/>
      <c r="Y42" s="19"/>
      <c r="AA42" s="19"/>
      <c r="AC42" s="19"/>
      <c r="AD42" s="92"/>
      <c r="AE42" s="25">
        <f t="shared" si="1"/>
        <v>0</v>
      </c>
      <c r="AF42" s="24">
        <f t="shared" si="2"/>
        <v>0</v>
      </c>
      <c r="AG42" s="24">
        <f t="shared" si="3"/>
        <v>0</v>
      </c>
      <c r="AH42" s="24">
        <f t="shared" si="4"/>
        <v>0</v>
      </c>
      <c r="AI42" s="26">
        <f t="shared" si="5"/>
        <v>0</v>
      </c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ht="15.75" customHeight="1">
      <c r="A43" s="22" t="s">
        <v>25</v>
      </c>
      <c r="B43" s="23">
        <f t="shared" si="6"/>
        <v>45696</v>
      </c>
      <c r="C43" s="24">
        <v>2.0</v>
      </c>
      <c r="D43" s="24" t="s">
        <v>27</v>
      </c>
      <c r="E43" s="21"/>
      <c r="F43" s="21"/>
      <c r="G43" s="18"/>
      <c r="I43" s="19"/>
      <c r="K43" s="19"/>
      <c r="M43" s="19"/>
      <c r="O43" s="19"/>
      <c r="Q43" s="19"/>
      <c r="R43" s="92"/>
      <c r="S43" s="18"/>
      <c r="U43" s="19"/>
      <c r="W43" s="19"/>
      <c r="Y43" s="19"/>
      <c r="AA43" s="19"/>
      <c r="AC43" s="19"/>
      <c r="AD43" s="92"/>
      <c r="AE43" s="25">
        <f t="shared" si="1"/>
        <v>0</v>
      </c>
      <c r="AF43" s="24">
        <f t="shared" si="2"/>
        <v>0</v>
      </c>
      <c r="AG43" s="24">
        <f t="shared" si="3"/>
        <v>0</v>
      </c>
      <c r="AH43" s="24">
        <f t="shared" si="4"/>
        <v>0</v>
      </c>
      <c r="AI43" s="26">
        <f t="shared" si="5"/>
        <v>0</v>
      </c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ht="15.75" customHeight="1">
      <c r="A44" s="27" t="s">
        <v>26</v>
      </c>
      <c r="B44" s="28">
        <f t="shared" si="6"/>
        <v>45697</v>
      </c>
      <c r="C44" s="29">
        <v>2.0</v>
      </c>
      <c r="D44" s="29" t="s">
        <v>27</v>
      </c>
      <c r="E44" s="30"/>
      <c r="F44" s="30"/>
      <c r="G44" s="31"/>
      <c r="H44" s="6"/>
      <c r="I44" s="32"/>
      <c r="J44" s="6"/>
      <c r="K44" s="32"/>
      <c r="L44" s="6"/>
      <c r="M44" s="32"/>
      <c r="N44" s="6"/>
      <c r="O44" s="32"/>
      <c r="P44" s="6"/>
      <c r="Q44" s="32"/>
      <c r="R44" s="93"/>
      <c r="S44" s="31"/>
      <c r="T44" s="6"/>
      <c r="U44" s="32"/>
      <c r="V44" s="6"/>
      <c r="W44" s="32"/>
      <c r="X44" s="6"/>
      <c r="Y44" s="32"/>
      <c r="Z44" s="6"/>
      <c r="AA44" s="32"/>
      <c r="AB44" s="6"/>
      <c r="AC44" s="32"/>
      <c r="AD44" s="93"/>
      <c r="AE44" s="33">
        <f t="shared" si="1"/>
        <v>0</v>
      </c>
      <c r="AF44" s="29">
        <f t="shared" si="2"/>
        <v>0</v>
      </c>
      <c r="AG44" s="29">
        <f t="shared" si="3"/>
        <v>0</v>
      </c>
      <c r="AH44" s="29">
        <f t="shared" si="4"/>
        <v>0</v>
      </c>
      <c r="AI44" s="34">
        <f t="shared" si="5"/>
        <v>0</v>
      </c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ht="15.75" customHeight="1">
      <c r="A45" s="14" t="s">
        <v>19</v>
      </c>
      <c r="B45" s="35">
        <f t="shared" si="6"/>
        <v>45698</v>
      </c>
      <c r="C45" s="16">
        <v>2.0</v>
      </c>
      <c r="D45" s="16" t="s">
        <v>28</v>
      </c>
      <c r="E45" s="17"/>
      <c r="F45" s="17"/>
      <c r="G45" s="18"/>
      <c r="I45" s="19"/>
      <c r="K45" s="19"/>
      <c r="M45" s="19"/>
      <c r="O45" s="19"/>
      <c r="Q45" s="19"/>
      <c r="R45" s="92"/>
      <c r="S45" s="18"/>
      <c r="U45" s="19"/>
      <c r="W45" s="19"/>
      <c r="Y45" s="19"/>
      <c r="AA45" s="19"/>
      <c r="AC45" s="19"/>
      <c r="AD45" s="92"/>
      <c r="AE45" s="20">
        <f t="shared" si="1"/>
        <v>0</v>
      </c>
      <c r="AF45" s="16">
        <f t="shared" si="2"/>
        <v>0</v>
      </c>
      <c r="AG45" s="16">
        <f t="shared" si="3"/>
        <v>0</v>
      </c>
      <c r="AH45" s="16">
        <f t="shared" si="4"/>
        <v>0</v>
      </c>
      <c r="AI45" s="36">
        <f t="shared" si="5"/>
        <v>0</v>
      </c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ht="15.75" customHeight="1">
      <c r="A46" s="22" t="s">
        <v>21</v>
      </c>
      <c r="B46" s="23">
        <f t="shared" si="6"/>
        <v>45699</v>
      </c>
      <c r="C46" s="24">
        <v>2.0</v>
      </c>
      <c r="D46" s="24" t="s">
        <v>28</v>
      </c>
      <c r="E46" s="21"/>
      <c r="F46" s="21"/>
      <c r="G46" s="18"/>
      <c r="I46" s="19"/>
      <c r="K46" s="19"/>
      <c r="M46" s="19"/>
      <c r="O46" s="19"/>
      <c r="Q46" s="19"/>
      <c r="R46" s="92"/>
      <c r="S46" s="18"/>
      <c r="U46" s="19"/>
      <c r="W46" s="19"/>
      <c r="Y46" s="19"/>
      <c r="AA46" s="19"/>
      <c r="AC46" s="19"/>
      <c r="AD46" s="92"/>
      <c r="AE46" s="25">
        <f t="shared" si="1"/>
        <v>0</v>
      </c>
      <c r="AF46" s="24">
        <f t="shared" si="2"/>
        <v>0</v>
      </c>
      <c r="AG46" s="24">
        <f t="shared" si="3"/>
        <v>0</v>
      </c>
      <c r="AH46" s="24">
        <f t="shared" si="4"/>
        <v>0</v>
      </c>
      <c r="AI46" s="26">
        <f t="shared" si="5"/>
        <v>0</v>
      </c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ht="15.75" customHeight="1">
      <c r="A47" s="22" t="s">
        <v>22</v>
      </c>
      <c r="B47" s="23">
        <f t="shared" si="6"/>
        <v>45700</v>
      </c>
      <c r="C47" s="24">
        <v>2.0</v>
      </c>
      <c r="D47" s="24" t="s">
        <v>28</v>
      </c>
      <c r="E47" s="21"/>
      <c r="F47" s="21"/>
      <c r="G47" s="18"/>
      <c r="I47" s="19"/>
      <c r="K47" s="19"/>
      <c r="M47" s="19"/>
      <c r="O47" s="19"/>
      <c r="Q47" s="19"/>
      <c r="R47" s="92"/>
      <c r="S47" s="18"/>
      <c r="U47" s="19"/>
      <c r="W47" s="19"/>
      <c r="Y47" s="19"/>
      <c r="AA47" s="19"/>
      <c r="AC47" s="19"/>
      <c r="AD47" s="92"/>
      <c r="AE47" s="25">
        <f t="shared" si="1"/>
        <v>0</v>
      </c>
      <c r="AF47" s="24">
        <f t="shared" si="2"/>
        <v>0</v>
      </c>
      <c r="AG47" s="24">
        <f t="shared" si="3"/>
        <v>0</v>
      </c>
      <c r="AH47" s="24">
        <f t="shared" si="4"/>
        <v>0</v>
      </c>
      <c r="AI47" s="26">
        <f t="shared" si="5"/>
        <v>0</v>
      </c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ht="15.75" customHeight="1">
      <c r="A48" s="22" t="s">
        <v>23</v>
      </c>
      <c r="B48" s="23">
        <f t="shared" si="6"/>
        <v>45701</v>
      </c>
      <c r="C48" s="24">
        <v>2.0</v>
      </c>
      <c r="D48" s="24" t="s">
        <v>28</v>
      </c>
      <c r="E48" s="21"/>
      <c r="F48" s="21"/>
      <c r="G48" s="18"/>
      <c r="I48" s="19"/>
      <c r="K48" s="19"/>
      <c r="M48" s="19"/>
      <c r="O48" s="19"/>
      <c r="Q48" s="19"/>
      <c r="R48" s="92"/>
      <c r="S48" s="18"/>
      <c r="U48" s="19"/>
      <c r="W48" s="19"/>
      <c r="Y48" s="19"/>
      <c r="AA48" s="19"/>
      <c r="AC48" s="19"/>
      <c r="AD48" s="92"/>
      <c r="AE48" s="25">
        <f t="shared" si="1"/>
        <v>0</v>
      </c>
      <c r="AF48" s="24">
        <f t="shared" si="2"/>
        <v>0</v>
      </c>
      <c r="AG48" s="24">
        <f t="shared" si="3"/>
        <v>0</v>
      </c>
      <c r="AH48" s="24">
        <f t="shared" si="4"/>
        <v>0</v>
      </c>
      <c r="AI48" s="26">
        <f t="shared" si="5"/>
        <v>0</v>
      </c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ht="15.75" customHeight="1">
      <c r="A49" s="22" t="s">
        <v>24</v>
      </c>
      <c r="B49" s="23">
        <f t="shared" si="6"/>
        <v>45702</v>
      </c>
      <c r="C49" s="24">
        <v>2.0</v>
      </c>
      <c r="D49" s="24" t="s">
        <v>28</v>
      </c>
      <c r="E49" s="21"/>
      <c r="F49" s="21"/>
      <c r="G49" s="18"/>
      <c r="I49" s="19"/>
      <c r="K49" s="19"/>
      <c r="M49" s="19"/>
      <c r="O49" s="19"/>
      <c r="Q49" s="19"/>
      <c r="R49" s="92"/>
      <c r="S49" s="18"/>
      <c r="U49" s="19"/>
      <c r="W49" s="19"/>
      <c r="Y49" s="19"/>
      <c r="AA49" s="19"/>
      <c r="AC49" s="19"/>
      <c r="AD49" s="92"/>
      <c r="AE49" s="25">
        <f t="shared" si="1"/>
        <v>0</v>
      </c>
      <c r="AF49" s="24">
        <f t="shared" si="2"/>
        <v>0</v>
      </c>
      <c r="AG49" s="24">
        <f t="shared" si="3"/>
        <v>0</v>
      </c>
      <c r="AH49" s="24">
        <f t="shared" si="4"/>
        <v>0</v>
      </c>
      <c r="AI49" s="26">
        <f t="shared" si="5"/>
        <v>0</v>
      </c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ht="15.75" customHeight="1">
      <c r="A50" s="22" t="s">
        <v>25</v>
      </c>
      <c r="B50" s="23">
        <f t="shared" si="6"/>
        <v>45703</v>
      </c>
      <c r="C50" s="24">
        <v>2.0</v>
      </c>
      <c r="D50" s="24" t="s">
        <v>28</v>
      </c>
      <c r="E50" s="21"/>
      <c r="F50" s="21"/>
      <c r="G50" s="18"/>
      <c r="I50" s="19"/>
      <c r="K50" s="19"/>
      <c r="M50" s="19"/>
      <c r="O50" s="19"/>
      <c r="Q50" s="19"/>
      <c r="R50" s="92"/>
      <c r="S50" s="18"/>
      <c r="U50" s="19"/>
      <c r="W50" s="19"/>
      <c r="Y50" s="19"/>
      <c r="AA50" s="19"/>
      <c r="AC50" s="19"/>
      <c r="AD50" s="92"/>
      <c r="AE50" s="25">
        <f t="shared" si="1"/>
        <v>0</v>
      </c>
      <c r="AF50" s="24">
        <f t="shared" si="2"/>
        <v>0</v>
      </c>
      <c r="AG50" s="24">
        <f t="shared" si="3"/>
        <v>0</v>
      </c>
      <c r="AH50" s="24">
        <f t="shared" si="4"/>
        <v>0</v>
      </c>
      <c r="AI50" s="26">
        <f t="shared" si="5"/>
        <v>0</v>
      </c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ht="15.75" customHeight="1">
      <c r="A51" s="27" t="s">
        <v>26</v>
      </c>
      <c r="B51" s="28">
        <f t="shared" si="6"/>
        <v>45704</v>
      </c>
      <c r="C51" s="29">
        <v>2.0</v>
      </c>
      <c r="D51" s="29" t="s">
        <v>28</v>
      </c>
      <c r="E51" s="30"/>
      <c r="F51" s="30"/>
      <c r="G51" s="31"/>
      <c r="H51" s="6"/>
      <c r="I51" s="32"/>
      <c r="J51" s="6"/>
      <c r="K51" s="32"/>
      <c r="L51" s="6"/>
      <c r="M51" s="32"/>
      <c r="N51" s="6"/>
      <c r="O51" s="32"/>
      <c r="P51" s="6"/>
      <c r="Q51" s="32"/>
      <c r="R51" s="93"/>
      <c r="S51" s="31"/>
      <c r="T51" s="6"/>
      <c r="U51" s="32"/>
      <c r="V51" s="6"/>
      <c r="W51" s="32"/>
      <c r="X51" s="6"/>
      <c r="Y51" s="32"/>
      <c r="Z51" s="6"/>
      <c r="AA51" s="32"/>
      <c r="AB51" s="6"/>
      <c r="AC51" s="32"/>
      <c r="AD51" s="93"/>
      <c r="AE51" s="33">
        <f t="shared" si="1"/>
        <v>0</v>
      </c>
      <c r="AF51" s="29">
        <f t="shared" si="2"/>
        <v>0</v>
      </c>
      <c r="AG51" s="29">
        <f t="shared" si="3"/>
        <v>0</v>
      </c>
      <c r="AH51" s="29">
        <f t="shared" si="4"/>
        <v>0</v>
      </c>
      <c r="AI51" s="34">
        <f t="shared" si="5"/>
        <v>0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ht="15.75" customHeight="1">
      <c r="A52" s="14" t="s">
        <v>19</v>
      </c>
      <c r="B52" s="35">
        <f t="shared" si="6"/>
        <v>45705</v>
      </c>
      <c r="C52" s="16">
        <v>2.0</v>
      </c>
      <c r="D52" s="16" t="s">
        <v>29</v>
      </c>
      <c r="E52" s="17"/>
      <c r="F52" s="17"/>
      <c r="G52" s="18"/>
      <c r="I52" s="19"/>
      <c r="K52" s="19"/>
      <c r="M52" s="19"/>
      <c r="O52" s="19"/>
      <c r="Q52" s="19"/>
      <c r="R52" s="92"/>
      <c r="S52" s="18"/>
      <c r="U52" s="19"/>
      <c r="W52" s="19"/>
      <c r="Y52" s="19"/>
      <c r="AA52" s="19"/>
      <c r="AC52" s="19"/>
      <c r="AD52" s="92"/>
      <c r="AE52" s="20">
        <f t="shared" si="1"/>
        <v>0</v>
      </c>
      <c r="AF52" s="16">
        <f t="shared" si="2"/>
        <v>0</v>
      </c>
      <c r="AG52" s="16">
        <f t="shared" si="3"/>
        <v>0</v>
      </c>
      <c r="AH52" s="16">
        <f t="shared" si="4"/>
        <v>0</v>
      </c>
      <c r="AI52" s="36">
        <f t="shared" si="5"/>
        <v>0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ht="15.75" customHeight="1">
      <c r="A53" s="22" t="s">
        <v>21</v>
      </c>
      <c r="B53" s="23">
        <f t="shared" si="6"/>
        <v>45706</v>
      </c>
      <c r="C53" s="24">
        <v>2.0</v>
      </c>
      <c r="D53" s="24" t="s">
        <v>29</v>
      </c>
      <c r="E53" s="21"/>
      <c r="F53" s="21"/>
      <c r="G53" s="18"/>
      <c r="I53" s="19"/>
      <c r="K53" s="19"/>
      <c r="M53" s="19"/>
      <c r="O53" s="19"/>
      <c r="Q53" s="19"/>
      <c r="R53" s="92"/>
      <c r="S53" s="18"/>
      <c r="U53" s="19"/>
      <c r="W53" s="19"/>
      <c r="Y53" s="19"/>
      <c r="AA53" s="19"/>
      <c r="AC53" s="19"/>
      <c r="AD53" s="92"/>
      <c r="AE53" s="25">
        <f t="shared" si="1"/>
        <v>0</v>
      </c>
      <c r="AF53" s="24">
        <f t="shared" si="2"/>
        <v>0</v>
      </c>
      <c r="AG53" s="24">
        <f t="shared" si="3"/>
        <v>0</v>
      </c>
      <c r="AH53" s="24">
        <f t="shared" si="4"/>
        <v>0</v>
      </c>
      <c r="AI53" s="26">
        <f t="shared" si="5"/>
        <v>0</v>
      </c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ht="15.75" customHeight="1">
      <c r="A54" s="22" t="s">
        <v>22</v>
      </c>
      <c r="B54" s="23">
        <f t="shared" si="6"/>
        <v>45707</v>
      </c>
      <c r="C54" s="24">
        <v>2.0</v>
      </c>
      <c r="D54" s="24" t="s">
        <v>29</v>
      </c>
      <c r="E54" s="21"/>
      <c r="F54" s="21"/>
      <c r="G54" s="18"/>
      <c r="I54" s="19"/>
      <c r="K54" s="19"/>
      <c r="M54" s="19"/>
      <c r="O54" s="19"/>
      <c r="Q54" s="19"/>
      <c r="R54" s="92"/>
      <c r="S54" s="18"/>
      <c r="U54" s="19"/>
      <c r="W54" s="19"/>
      <c r="Y54" s="19"/>
      <c r="AA54" s="19"/>
      <c r="AC54" s="19"/>
      <c r="AD54" s="92"/>
      <c r="AE54" s="25">
        <f t="shared" si="1"/>
        <v>0</v>
      </c>
      <c r="AF54" s="24">
        <f t="shared" si="2"/>
        <v>0</v>
      </c>
      <c r="AG54" s="24">
        <f t="shared" si="3"/>
        <v>0</v>
      </c>
      <c r="AH54" s="24">
        <f t="shared" si="4"/>
        <v>0</v>
      </c>
      <c r="AI54" s="26">
        <f t="shared" si="5"/>
        <v>0</v>
      </c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ht="15.75" customHeight="1">
      <c r="A55" s="22" t="s">
        <v>23</v>
      </c>
      <c r="B55" s="23">
        <f t="shared" si="6"/>
        <v>45708</v>
      </c>
      <c r="C55" s="24">
        <v>2.0</v>
      </c>
      <c r="D55" s="24" t="s">
        <v>29</v>
      </c>
      <c r="E55" s="21"/>
      <c r="F55" s="21"/>
      <c r="G55" s="18"/>
      <c r="I55" s="19"/>
      <c r="K55" s="19"/>
      <c r="M55" s="19"/>
      <c r="O55" s="19"/>
      <c r="Q55" s="19"/>
      <c r="R55" s="92"/>
      <c r="S55" s="18"/>
      <c r="U55" s="19"/>
      <c r="W55" s="19"/>
      <c r="Y55" s="19"/>
      <c r="AA55" s="19"/>
      <c r="AC55" s="19"/>
      <c r="AD55" s="92"/>
      <c r="AE55" s="25">
        <f t="shared" si="1"/>
        <v>0</v>
      </c>
      <c r="AF55" s="24">
        <f t="shared" si="2"/>
        <v>0</v>
      </c>
      <c r="AG55" s="24">
        <f t="shared" si="3"/>
        <v>0</v>
      </c>
      <c r="AH55" s="24">
        <f t="shared" si="4"/>
        <v>0</v>
      </c>
      <c r="AI55" s="26">
        <f t="shared" si="5"/>
        <v>0</v>
      </c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ht="15.75" customHeight="1">
      <c r="A56" s="22" t="s">
        <v>24</v>
      </c>
      <c r="B56" s="23">
        <f t="shared" si="6"/>
        <v>45709</v>
      </c>
      <c r="C56" s="24">
        <v>2.0</v>
      </c>
      <c r="D56" s="24" t="s">
        <v>29</v>
      </c>
      <c r="E56" s="21"/>
      <c r="F56" s="21"/>
      <c r="G56" s="18"/>
      <c r="I56" s="19"/>
      <c r="K56" s="19"/>
      <c r="M56" s="19"/>
      <c r="O56" s="19"/>
      <c r="Q56" s="19"/>
      <c r="R56" s="92"/>
      <c r="S56" s="18"/>
      <c r="U56" s="19"/>
      <c r="W56" s="19"/>
      <c r="Y56" s="19"/>
      <c r="AA56" s="19"/>
      <c r="AC56" s="19"/>
      <c r="AD56" s="92"/>
      <c r="AE56" s="25">
        <f t="shared" si="1"/>
        <v>0</v>
      </c>
      <c r="AF56" s="24">
        <f t="shared" si="2"/>
        <v>0</v>
      </c>
      <c r="AG56" s="24">
        <f t="shared" si="3"/>
        <v>0</v>
      </c>
      <c r="AH56" s="24">
        <f t="shared" si="4"/>
        <v>0</v>
      </c>
      <c r="AI56" s="26">
        <f t="shared" si="5"/>
        <v>0</v>
      </c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ht="15.75" customHeight="1">
      <c r="A57" s="22" t="s">
        <v>25</v>
      </c>
      <c r="B57" s="23">
        <f t="shared" si="6"/>
        <v>45710</v>
      </c>
      <c r="C57" s="24">
        <v>2.0</v>
      </c>
      <c r="D57" s="24" t="s">
        <v>29</v>
      </c>
      <c r="E57" s="21"/>
      <c r="F57" s="21"/>
      <c r="G57" s="18"/>
      <c r="I57" s="19"/>
      <c r="K57" s="19"/>
      <c r="M57" s="19"/>
      <c r="O57" s="19"/>
      <c r="Q57" s="19"/>
      <c r="R57" s="92"/>
      <c r="S57" s="18"/>
      <c r="U57" s="19"/>
      <c r="W57" s="19"/>
      <c r="Y57" s="19"/>
      <c r="AA57" s="19"/>
      <c r="AC57" s="19"/>
      <c r="AD57" s="92"/>
      <c r="AE57" s="25">
        <f t="shared" si="1"/>
        <v>0</v>
      </c>
      <c r="AF57" s="24">
        <f t="shared" si="2"/>
        <v>0</v>
      </c>
      <c r="AG57" s="24">
        <f t="shared" si="3"/>
        <v>0</v>
      </c>
      <c r="AH57" s="24">
        <f t="shared" si="4"/>
        <v>0</v>
      </c>
      <c r="AI57" s="26">
        <f t="shared" si="5"/>
        <v>0</v>
      </c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ht="15.75" customHeight="1">
      <c r="A58" s="27" t="s">
        <v>26</v>
      </c>
      <c r="B58" s="28">
        <f t="shared" si="6"/>
        <v>45711</v>
      </c>
      <c r="C58" s="29">
        <v>2.0</v>
      </c>
      <c r="D58" s="29" t="s">
        <v>29</v>
      </c>
      <c r="E58" s="30"/>
      <c r="F58" s="30"/>
      <c r="G58" s="31"/>
      <c r="H58" s="6"/>
      <c r="I58" s="32"/>
      <c r="J58" s="6"/>
      <c r="K58" s="32"/>
      <c r="L58" s="6"/>
      <c r="M58" s="32"/>
      <c r="N58" s="6"/>
      <c r="O58" s="32"/>
      <c r="P58" s="6"/>
      <c r="Q58" s="32"/>
      <c r="R58" s="93"/>
      <c r="S58" s="31"/>
      <c r="T58" s="6"/>
      <c r="U58" s="32"/>
      <c r="V58" s="6"/>
      <c r="W58" s="32"/>
      <c r="X58" s="6"/>
      <c r="Y58" s="32"/>
      <c r="Z58" s="6"/>
      <c r="AA58" s="32"/>
      <c r="AB58" s="6"/>
      <c r="AC58" s="32"/>
      <c r="AD58" s="93"/>
      <c r="AE58" s="33">
        <f t="shared" si="1"/>
        <v>0</v>
      </c>
      <c r="AF58" s="29">
        <f t="shared" si="2"/>
        <v>0</v>
      </c>
      <c r="AG58" s="29">
        <f t="shared" si="3"/>
        <v>0</v>
      </c>
      <c r="AH58" s="29">
        <f t="shared" si="4"/>
        <v>0</v>
      </c>
      <c r="AI58" s="34">
        <f t="shared" si="5"/>
        <v>0</v>
      </c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ht="15.75" customHeight="1">
      <c r="A59" s="14" t="s">
        <v>19</v>
      </c>
      <c r="B59" s="35">
        <f t="shared" si="6"/>
        <v>45712</v>
      </c>
      <c r="C59" s="16">
        <v>3.0</v>
      </c>
      <c r="D59" s="16" t="s">
        <v>20</v>
      </c>
      <c r="E59" s="17"/>
      <c r="F59" s="17"/>
      <c r="G59" s="18"/>
      <c r="I59" s="19"/>
      <c r="K59" s="19"/>
      <c r="M59" s="19"/>
      <c r="O59" s="19"/>
      <c r="Q59" s="19"/>
      <c r="R59" s="92"/>
      <c r="S59" s="18"/>
      <c r="U59" s="19"/>
      <c r="W59" s="19"/>
      <c r="Y59" s="19"/>
      <c r="AA59" s="19"/>
      <c r="AC59" s="19"/>
      <c r="AD59" s="92"/>
      <c r="AE59" s="20">
        <f t="shared" si="1"/>
        <v>0</v>
      </c>
      <c r="AF59" s="16">
        <f t="shared" si="2"/>
        <v>0</v>
      </c>
      <c r="AG59" s="16">
        <f t="shared" si="3"/>
        <v>0</v>
      </c>
      <c r="AH59" s="16">
        <f t="shared" si="4"/>
        <v>0</v>
      </c>
      <c r="AI59" s="36">
        <f t="shared" si="5"/>
        <v>0</v>
      </c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ht="15.75" customHeight="1">
      <c r="A60" s="22" t="s">
        <v>21</v>
      </c>
      <c r="B60" s="23">
        <f t="shared" si="6"/>
        <v>45713</v>
      </c>
      <c r="C60" s="24">
        <v>3.0</v>
      </c>
      <c r="D60" s="24" t="s">
        <v>20</v>
      </c>
      <c r="E60" s="21"/>
      <c r="F60" s="21"/>
      <c r="G60" s="18"/>
      <c r="I60" s="19"/>
      <c r="K60" s="19"/>
      <c r="M60" s="19"/>
      <c r="O60" s="19"/>
      <c r="Q60" s="19"/>
      <c r="R60" s="92"/>
      <c r="S60" s="18"/>
      <c r="U60" s="19"/>
      <c r="W60" s="19"/>
      <c r="Y60" s="19"/>
      <c r="AA60" s="19"/>
      <c r="AC60" s="19"/>
      <c r="AD60" s="92"/>
      <c r="AE60" s="25">
        <f t="shared" si="1"/>
        <v>0</v>
      </c>
      <c r="AF60" s="24">
        <f t="shared" si="2"/>
        <v>0</v>
      </c>
      <c r="AG60" s="24">
        <f t="shared" si="3"/>
        <v>0</v>
      </c>
      <c r="AH60" s="24">
        <f t="shared" si="4"/>
        <v>0</v>
      </c>
      <c r="AI60" s="26">
        <f t="shared" si="5"/>
        <v>0</v>
      </c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ht="15.75" customHeight="1">
      <c r="A61" s="22" t="s">
        <v>22</v>
      </c>
      <c r="B61" s="23">
        <f t="shared" si="6"/>
        <v>45714</v>
      </c>
      <c r="C61" s="24">
        <v>3.0</v>
      </c>
      <c r="D61" s="24" t="s">
        <v>20</v>
      </c>
      <c r="E61" s="21"/>
      <c r="F61" s="21"/>
      <c r="G61" s="18"/>
      <c r="I61" s="19"/>
      <c r="K61" s="19"/>
      <c r="M61" s="19"/>
      <c r="O61" s="19"/>
      <c r="Q61" s="19"/>
      <c r="R61" s="92"/>
      <c r="S61" s="18"/>
      <c r="U61" s="19"/>
      <c r="W61" s="19"/>
      <c r="Y61" s="19"/>
      <c r="AA61" s="19"/>
      <c r="AC61" s="19"/>
      <c r="AD61" s="92"/>
      <c r="AE61" s="25">
        <f t="shared" si="1"/>
        <v>0</v>
      </c>
      <c r="AF61" s="24">
        <f t="shared" si="2"/>
        <v>0</v>
      </c>
      <c r="AG61" s="24">
        <f t="shared" si="3"/>
        <v>0</v>
      </c>
      <c r="AH61" s="24">
        <f t="shared" si="4"/>
        <v>0</v>
      </c>
      <c r="AI61" s="26">
        <f t="shared" si="5"/>
        <v>0</v>
      </c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ht="15.75" customHeight="1">
      <c r="A62" s="22" t="s">
        <v>23</v>
      </c>
      <c r="B62" s="23">
        <f t="shared" si="6"/>
        <v>45715</v>
      </c>
      <c r="C62" s="24">
        <v>3.0</v>
      </c>
      <c r="D62" s="24" t="s">
        <v>20</v>
      </c>
      <c r="E62" s="21"/>
      <c r="F62" s="21"/>
      <c r="G62" s="18"/>
      <c r="I62" s="19"/>
      <c r="K62" s="19"/>
      <c r="M62" s="19"/>
      <c r="O62" s="19"/>
      <c r="Q62" s="19"/>
      <c r="R62" s="92"/>
      <c r="S62" s="18"/>
      <c r="U62" s="19"/>
      <c r="W62" s="19"/>
      <c r="Y62" s="19"/>
      <c r="AA62" s="19"/>
      <c r="AC62" s="19"/>
      <c r="AD62" s="92"/>
      <c r="AE62" s="25">
        <f t="shared" si="1"/>
        <v>0</v>
      </c>
      <c r="AF62" s="24">
        <f t="shared" si="2"/>
        <v>0</v>
      </c>
      <c r="AG62" s="24">
        <f t="shared" si="3"/>
        <v>0</v>
      </c>
      <c r="AH62" s="24">
        <f t="shared" si="4"/>
        <v>0</v>
      </c>
      <c r="AI62" s="26">
        <f t="shared" si="5"/>
        <v>0</v>
      </c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ht="15.75" customHeight="1">
      <c r="A63" s="22" t="s">
        <v>24</v>
      </c>
      <c r="B63" s="23">
        <f t="shared" si="6"/>
        <v>45716</v>
      </c>
      <c r="C63" s="24">
        <v>3.0</v>
      </c>
      <c r="D63" s="24" t="s">
        <v>20</v>
      </c>
      <c r="E63" s="21"/>
      <c r="F63" s="21"/>
      <c r="G63" s="18"/>
      <c r="I63" s="19"/>
      <c r="K63" s="19"/>
      <c r="M63" s="19"/>
      <c r="O63" s="19"/>
      <c r="Q63" s="19"/>
      <c r="R63" s="92"/>
      <c r="S63" s="18"/>
      <c r="U63" s="19"/>
      <c r="W63" s="19"/>
      <c r="Y63" s="19"/>
      <c r="AA63" s="19"/>
      <c r="AC63" s="19"/>
      <c r="AD63" s="92"/>
      <c r="AE63" s="25">
        <f t="shared" si="1"/>
        <v>0</v>
      </c>
      <c r="AF63" s="24">
        <f t="shared" si="2"/>
        <v>0</v>
      </c>
      <c r="AG63" s="24">
        <f t="shared" si="3"/>
        <v>0</v>
      </c>
      <c r="AH63" s="24">
        <f t="shared" si="4"/>
        <v>0</v>
      </c>
      <c r="AI63" s="26">
        <f t="shared" si="5"/>
        <v>0</v>
      </c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ht="15.75" customHeight="1">
      <c r="A64" s="22" t="s">
        <v>25</v>
      </c>
      <c r="B64" s="23">
        <f t="shared" si="6"/>
        <v>45717</v>
      </c>
      <c r="C64" s="24">
        <v>3.0</v>
      </c>
      <c r="D64" s="24" t="s">
        <v>20</v>
      </c>
      <c r="E64" s="21"/>
      <c r="F64" s="21"/>
      <c r="G64" s="18"/>
      <c r="I64" s="19"/>
      <c r="K64" s="19"/>
      <c r="M64" s="19"/>
      <c r="O64" s="19"/>
      <c r="Q64" s="19"/>
      <c r="R64" s="92"/>
      <c r="S64" s="18"/>
      <c r="U64" s="19"/>
      <c r="W64" s="19"/>
      <c r="Y64" s="19"/>
      <c r="AA64" s="19"/>
      <c r="AC64" s="19"/>
      <c r="AD64" s="92"/>
      <c r="AE64" s="25">
        <f t="shared" si="1"/>
        <v>0</v>
      </c>
      <c r="AF64" s="24">
        <f t="shared" si="2"/>
        <v>0</v>
      </c>
      <c r="AG64" s="24">
        <f t="shared" si="3"/>
        <v>0</v>
      </c>
      <c r="AH64" s="24">
        <f t="shared" si="4"/>
        <v>0</v>
      </c>
      <c r="AI64" s="26">
        <f t="shared" si="5"/>
        <v>0</v>
      </c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ht="15.75" customHeight="1">
      <c r="A65" s="27" t="s">
        <v>26</v>
      </c>
      <c r="B65" s="28">
        <f t="shared" si="6"/>
        <v>45718</v>
      </c>
      <c r="C65" s="29">
        <v>3.0</v>
      </c>
      <c r="D65" s="29" t="s">
        <v>20</v>
      </c>
      <c r="E65" s="30"/>
      <c r="F65" s="30"/>
      <c r="G65" s="31"/>
      <c r="H65" s="6"/>
      <c r="I65" s="32"/>
      <c r="J65" s="6"/>
      <c r="K65" s="32"/>
      <c r="L65" s="6"/>
      <c r="M65" s="32"/>
      <c r="N65" s="6"/>
      <c r="O65" s="32"/>
      <c r="P65" s="6"/>
      <c r="Q65" s="32"/>
      <c r="R65" s="93"/>
      <c r="S65" s="31"/>
      <c r="T65" s="6"/>
      <c r="U65" s="32"/>
      <c r="V65" s="6"/>
      <c r="W65" s="32"/>
      <c r="X65" s="6"/>
      <c r="Y65" s="32"/>
      <c r="Z65" s="6"/>
      <c r="AA65" s="32"/>
      <c r="AB65" s="6"/>
      <c r="AC65" s="32"/>
      <c r="AD65" s="93"/>
      <c r="AE65" s="33">
        <f t="shared" si="1"/>
        <v>0</v>
      </c>
      <c r="AF65" s="29">
        <f t="shared" si="2"/>
        <v>0</v>
      </c>
      <c r="AG65" s="29">
        <f t="shared" si="3"/>
        <v>0</v>
      </c>
      <c r="AH65" s="29">
        <f t="shared" si="4"/>
        <v>0</v>
      </c>
      <c r="AI65" s="34">
        <f t="shared" si="5"/>
        <v>0</v>
      </c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ht="15.75" customHeight="1">
      <c r="A66" s="14" t="s">
        <v>19</v>
      </c>
      <c r="B66" s="35">
        <f t="shared" si="6"/>
        <v>45719</v>
      </c>
      <c r="C66" s="16">
        <v>3.0</v>
      </c>
      <c r="D66" s="16" t="s">
        <v>27</v>
      </c>
      <c r="E66" s="17"/>
      <c r="F66" s="17"/>
      <c r="G66" s="18"/>
      <c r="I66" s="19"/>
      <c r="K66" s="19"/>
      <c r="M66" s="19"/>
      <c r="O66" s="19"/>
      <c r="Q66" s="19"/>
      <c r="R66" s="92"/>
      <c r="S66" s="18"/>
      <c r="U66" s="19"/>
      <c r="W66" s="19"/>
      <c r="Y66" s="19"/>
      <c r="AA66" s="19"/>
      <c r="AC66" s="19"/>
      <c r="AD66" s="92"/>
      <c r="AE66" s="20">
        <f t="shared" si="1"/>
        <v>0</v>
      </c>
      <c r="AF66" s="16">
        <f t="shared" si="2"/>
        <v>0</v>
      </c>
      <c r="AG66" s="16">
        <f t="shared" si="3"/>
        <v>0</v>
      </c>
      <c r="AH66" s="16">
        <f t="shared" si="4"/>
        <v>0</v>
      </c>
      <c r="AI66" s="36">
        <f t="shared" si="5"/>
        <v>0</v>
      </c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ht="15.75" customHeight="1">
      <c r="A67" s="22" t="s">
        <v>21</v>
      </c>
      <c r="B67" s="23">
        <f t="shared" si="6"/>
        <v>45720</v>
      </c>
      <c r="C67" s="24">
        <v>3.0</v>
      </c>
      <c r="D67" s="24" t="s">
        <v>27</v>
      </c>
      <c r="E67" s="21"/>
      <c r="F67" s="21"/>
      <c r="G67" s="18"/>
      <c r="I67" s="19"/>
      <c r="K67" s="19"/>
      <c r="M67" s="19"/>
      <c r="O67" s="19"/>
      <c r="Q67" s="19"/>
      <c r="R67" s="92"/>
      <c r="S67" s="18"/>
      <c r="U67" s="19"/>
      <c r="W67" s="19"/>
      <c r="Y67" s="19"/>
      <c r="AA67" s="19"/>
      <c r="AC67" s="19"/>
      <c r="AD67" s="92"/>
      <c r="AE67" s="25">
        <f t="shared" si="1"/>
        <v>0</v>
      </c>
      <c r="AF67" s="24">
        <f t="shared" si="2"/>
        <v>0</v>
      </c>
      <c r="AG67" s="24">
        <f t="shared" si="3"/>
        <v>0</v>
      </c>
      <c r="AH67" s="24">
        <f t="shared" si="4"/>
        <v>0</v>
      </c>
      <c r="AI67" s="26">
        <f t="shared" si="5"/>
        <v>0</v>
      </c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ht="15.75" customHeight="1">
      <c r="A68" s="22" t="s">
        <v>22</v>
      </c>
      <c r="B68" s="23">
        <f t="shared" si="6"/>
        <v>45721</v>
      </c>
      <c r="C68" s="24">
        <v>3.0</v>
      </c>
      <c r="D68" s="24" t="s">
        <v>27</v>
      </c>
      <c r="E68" s="21"/>
      <c r="F68" s="21"/>
      <c r="G68" s="18"/>
      <c r="I68" s="19"/>
      <c r="K68" s="19"/>
      <c r="M68" s="19"/>
      <c r="O68" s="19"/>
      <c r="Q68" s="19"/>
      <c r="R68" s="92"/>
      <c r="S68" s="18"/>
      <c r="U68" s="19"/>
      <c r="W68" s="19"/>
      <c r="Y68" s="19"/>
      <c r="AA68" s="19"/>
      <c r="AC68" s="19"/>
      <c r="AD68" s="92"/>
      <c r="AE68" s="25">
        <f t="shared" si="1"/>
        <v>0</v>
      </c>
      <c r="AF68" s="24">
        <f t="shared" si="2"/>
        <v>0</v>
      </c>
      <c r="AG68" s="24">
        <f t="shared" si="3"/>
        <v>0</v>
      </c>
      <c r="AH68" s="24">
        <f t="shared" si="4"/>
        <v>0</v>
      </c>
      <c r="AI68" s="26">
        <f t="shared" si="5"/>
        <v>0</v>
      </c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ht="15.75" customHeight="1">
      <c r="A69" s="22" t="s">
        <v>23</v>
      </c>
      <c r="B69" s="23">
        <f t="shared" si="6"/>
        <v>45722</v>
      </c>
      <c r="C69" s="24">
        <v>3.0</v>
      </c>
      <c r="D69" s="24" t="s">
        <v>27</v>
      </c>
      <c r="E69" s="21"/>
      <c r="F69" s="21"/>
      <c r="G69" s="18"/>
      <c r="I69" s="19"/>
      <c r="K69" s="19"/>
      <c r="M69" s="19"/>
      <c r="O69" s="19"/>
      <c r="Q69" s="19"/>
      <c r="R69" s="92"/>
      <c r="S69" s="18"/>
      <c r="U69" s="19"/>
      <c r="W69" s="19"/>
      <c r="Y69" s="19"/>
      <c r="AA69" s="19"/>
      <c r="AC69" s="19"/>
      <c r="AD69" s="92"/>
      <c r="AE69" s="25">
        <f t="shared" si="1"/>
        <v>0</v>
      </c>
      <c r="AF69" s="24">
        <f t="shared" si="2"/>
        <v>0</v>
      </c>
      <c r="AG69" s="24">
        <f t="shared" si="3"/>
        <v>0</v>
      </c>
      <c r="AH69" s="24">
        <f t="shared" si="4"/>
        <v>0</v>
      </c>
      <c r="AI69" s="26">
        <f t="shared" si="5"/>
        <v>0</v>
      </c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ht="15.75" customHeight="1">
      <c r="A70" s="22" t="s">
        <v>24</v>
      </c>
      <c r="B70" s="23">
        <f t="shared" si="6"/>
        <v>45723</v>
      </c>
      <c r="C70" s="24">
        <v>3.0</v>
      </c>
      <c r="D70" s="24" t="s">
        <v>27</v>
      </c>
      <c r="E70" s="21"/>
      <c r="F70" s="21"/>
      <c r="G70" s="18"/>
      <c r="I70" s="19"/>
      <c r="K70" s="19"/>
      <c r="M70" s="19"/>
      <c r="O70" s="19"/>
      <c r="Q70" s="19"/>
      <c r="R70" s="92"/>
      <c r="S70" s="18"/>
      <c r="U70" s="19"/>
      <c r="W70" s="19"/>
      <c r="Y70" s="19"/>
      <c r="AA70" s="19"/>
      <c r="AC70" s="19"/>
      <c r="AD70" s="92"/>
      <c r="AE70" s="25">
        <f t="shared" si="1"/>
        <v>0</v>
      </c>
      <c r="AF70" s="24">
        <f t="shared" si="2"/>
        <v>0</v>
      </c>
      <c r="AG70" s="24">
        <f t="shared" si="3"/>
        <v>0</v>
      </c>
      <c r="AH70" s="24">
        <f t="shared" si="4"/>
        <v>0</v>
      </c>
      <c r="AI70" s="26">
        <f t="shared" si="5"/>
        <v>0</v>
      </c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ht="15.75" customHeight="1">
      <c r="A71" s="22" t="s">
        <v>25</v>
      </c>
      <c r="B71" s="23">
        <f t="shared" si="6"/>
        <v>45724</v>
      </c>
      <c r="C71" s="24">
        <v>3.0</v>
      </c>
      <c r="D71" s="24" t="s">
        <v>27</v>
      </c>
      <c r="E71" s="21"/>
      <c r="F71" s="21"/>
      <c r="G71" s="18"/>
      <c r="I71" s="19"/>
      <c r="K71" s="19"/>
      <c r="M71" s="19"/>
      <c r="O71" s="19"/>
      <c r="Q71" s="19"/>
      <c r="R71" s="92"/>
      <c r="S71" s="18"/>
      <c r="U71" s="19"/>
      <c r="W71" s="19"/>
      <c r="Y71" s="19"/>
      <c r="AA71" s="19"/>
      <c r="AC71" s="19"/>
      <c r="AD71" s="92"/>
      <c r="AE71" s="25">
        <f t="shared" si="1"/>
        <v>0</v>
      </c>
      <c r="AF71" s="24">
        <f t="shared" si="2"/>
        <v>0</v>
      </c>
      <c r="AG71" s="24">
        <f t="shared" si="3"/>
        <v>0</v>
      </c>
      <c r="AH71" s="24">
        <f t="shared" si="4"/>
        <v>0</v>
      </c>
      <c r="AI71" s="26">
        <f t="shared" si="5"/>
        <v>0</v>
      </c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ht="15.75" customHeight="1">
      <c r="A72" s="27" t="s">
        <v>26</v>
      </c>
      <c r="B72" s="28">
        <f t="shared" si="6"/>
        <v>45725</v>
      </c>
      <c r="C72" s="29">
        <v>3.0</v>
      </c>
      <c r="D72" s="29" t="s">
        <v>27</v>
      </c>
      <c r="E72" s="30"/>
      <c r="F72" s="30"/>
      <c r="G72" s="31"/>
      <c r="H72" s="6"/>
      <c r="I72" s="32"/>
      <c r="J72" s="6"/>
      <c r="K72" s="32"/>
      <c r="L72" s="6"/>
      <c r="M72" s="32"/>
      <c r="N72" s="6"/>
      <c r="O72" s="32"/>
      <c r="P72" s="6"/>
      <c r="Q72" s="32"/>
      <c r="R72" s="93"/>
      <c r="S72" s="31"/>
      <c r="T72" s="6"/>
      <c r="U72" s="32"/>
      <c r="V72" s="6"/>
      <c r="W72" s="32"/>
      <c r="X72" s="6"/>
      <c r="Y72" s="32"/>
      <c r="Z72" s="6"/>
      <c r="AA72" s="32"/>
      <c r="AB72" s="6"/>
      <c r="AC72" s="32"/>
      <c r="AD72" s="93"/>
      <c r="AE72" s="33">
        <f t="shared" si="1"/>
        <v>0</v>
      </c>
      <c r="AF72" s="29">
        <f t="shared" si="2"/>
        <v>0</v>
      </c>
      <c r="AG72" s="29">
        <f t="shared" si="3"/>
        <v>0</v>
      </c>
      <c r="AH72" s="29">
        <f t="shared" si="4"/>
        <v>0</v>
      </c>
      <c r="AI72" s="34">
        <f t="shared" si="5"/>
        <v>0</v>
      </c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ht="15.75" customHeight="1">
      <c r="A73" s="14" t="s">
        <v>19</v>
      </c>
      <c r="B73" s="35">
        <f t="shared" si="6"/>
        <v>45726</v>
      </c>
      <c r="C73" s="16">
        <v>3.0</v>
      </c>
      <c r="D73" s="16" t="s">
        <v>28</v>
      </c>
      <c r="E73" s="17"/>
      <c r="F73" s="17"/>
      <c r="G73" s="18"/>
      <c r="I73" s="19"/>
      <c r="K73" s="19"/>
      <c r="M73" s="19"/>
      <c r="O73" s="19"/>
      <c r="Q73" s="19"/>
      <c r="R73" s="92"/>
      <c r="S73" s="18"/>
      <c r="U73" s="19"/>
      <c r="W73" s="19"/>
      <c r="Y73" s="19"/>
      <c r="AA73" s="19"/>
      <c r="AC73" s="19"/>
      <c r="AD73" s="92"/>
      <c r="AE73" s="20">
        <f t="shared" si="1"/>
        <v>0</v>
      </c>
      <c r="AF73" s="16">
        <f t="shared" si="2"/>
        <v>0</v>
      </c>
      <c r="AG73" s="16">
        <f t="shared" si="3"/>
        <v>0</v>
      </c>
      <c r="AH73" s="16">
        <f t="shared" si="4"/>
        <v>0</v>
      </c>
      <c r="AI73" s="36">
        <f t="shared" si="5"/>
        <v>0</v>
      </c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ht="15.75" customHeight="1">
      <c r="A74" s="22" t="s">
        <v>21</v>
      </c>
      <c r="B74" s="23">
        <f t="shared" si="6"/>
        <v>45727</v>
      </c>
      <c r="C74" s="24">
        <v>3.0</v>
      </c>
      <c r="D74" s="24" t="s">
        <v>28</v>
      </c>
      <c r="E74" s="21"/>
      <c r="F74" s="21"/>
      <c r="G74" s="18"/>
      <c r="I74" s="19"/>
      <c r="K74" s="19"/>
      <c r="M74" s="19"/>
      <c r="O74" s="19"/>
      <c r="Q74" s="19"/>
      <c r="R74" s="92"/>
      <c r="S74" s="18"/>
      <c r="U74" s="19"/>
      <c r="W74" s="19"/>
      <c r="Y74" s="19"/>
      <c r="AA74" s="19"/>
      <c r="AC74" s="19"/>
      <c r="AD74" s="92"/>
      <c r="AE74" s="25">
        <f t="shared" si="1"/>
        <v>0</v>
      </c>
      <c r="AF74" s="24">
        <f t="shared" si="2"/>
        <v>0</v>
      </c>
      <c r="AG74" s="24">
        <f t="shared" si="3"/>
        <v>0</v>
      </c>
      <c r="AH74" s="24">
        <f t="shared" si="4"/>
        <v>0</v>
      </c>
      <c r="AI74" s="26">
        <f t="shared" si="5"/>
        <v>0</v>
      </c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ht="15.75" customHeight="1">
      <c r="A75" s="22" t="s">
        <v>22</v>
      </c>
      <c r="B75" s="23">
        <f t="shared" si="6"/>
        <v>45728</v>
      </c>
      <c r="C75" s="24">
        <v>3.0</v>
      </c>
      <c r="D75" s="24" t="s">
        <v>28</v>
      </c>
      <c r="E75" s="21"/>
      <c r="F75" s="21"/>
      <c r="G75" s="18"/>
      <c r="I75" s="19"/>
      <c r="K75" s="19"/>
      <c r="M75" s="19"/>
      <c r="O75" s="19"/>
      <c r="Q75" s="19"/>
      <c r="R75" s="92"/>
      <c r="S75" s="18"/>
      <c r="U75" s="19"/>
      <c r="W75" s="19"/>
      <c r="Y75" s="19"/>
      <c r="AA75" s="19"/>
      <c r="AC75" s="19"/>
      <c r="AD75" s="92"/>
      <c r="AE75" s="25">
        <f t="shared" si="1"/>
        <v>0</v>
      </c>
      <c r="AF75" s="24">
        <f t="shared" si="2"/>
        <v>0</v>
      </c>
      <c r="AG75" s="24">
        <f t="shared" si="3"/>
        <v>0</v>
      </c>
      <c r="AH75" s="24">
        <f t="shared" si="4"/>
        <v>0</v>
      </c>
      <c r="AI75" s="26">
        <f t="shared" si="5"/>
        <v>0</v>
      </c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ht="15.75" customHeight="1">
      <c r="A76" s="22" t="s">
        <v>23</v>
      </c>
      <c r="B76" s="23">
        <f t="shared" si="6"/>
        <v>45729</v>
      </c>
      <c r="C76" s="24">
        <v>3.0</v>
      </c>
      <c r="D76" s="24" t="s">
        <v>28</v>
      </c>
      <c r="E76" s="21"/>
      <c r="F76" s="21"/>
      <c r="G76" s="18"/>
      <c r="I76" s="19"/>
      <c r="K76" s="19"/>
      <c r="M76" s="19"/>
      <c r="O76" s="19"/>
      <c r="Q76" s="19"/>
      <c r="R76" s="92"/>
      <c r="S76" s="18"/>
      <c r="U76" s="19"/>
      <c r="W76" s="19"/>
      <c r="Y76" s="19"/>
      <c r="AA76" s="19"/>
      <c r="AC76" s="19"/>
      <c r="AD76" s="92"/>
      <c r="AE76" s="25">
        <f t="shared" si="1"/>
        <v>0</v>
      </c>
      <c r="AF76" s="24">
        <f t="shared" si="2"/>
        <v>0</v>
      </c>
      <c r="AG76" s="24">
        <f t="shared" si="3"/>
        <v>0</v>
      </c>
      <c r="AH76" s="24">
        <f t="shared" si="4"/>
        <v>0</v>
      </c>
      <c r="AI76" s="26">
        <f t="shared" si="5"/>
        <v>0</v>
      </c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ht="15.75" customHeight="1">
      <c r="A77" s="22" t="s">
        <v>24</v>
      </c>
      <c r="B77" s="23">
        <f t="shared" si="6"/>
        <v>45730</v>
      </c>
      <c r="C77" s="24">
        <v>3.0</v>
      </c>
      <c r="D77" s="24" t="s">
        <v>28</v>
      </c>
      <c r="E77" s="21"/>
      <c r="F77" s="21"/>
      <c r="G77" s="18"/>
      <c r="I77" s="19"/>
      <c r="K77" s="19"/>
      <c r="M77" s="19"/>
      <c r="O77" s="19"/>
      <c r="Q77" s="19"/>
      <c r="R77" s="92"/>
      <c r="S77" s="18"/>
      <c r="U77" s="19"/>
      <c r="W77" s="19"/>
      <c r="Y77" s="19"/>
      <c r="AA77" s="19"/>
      <c r="AC77" s="19"/>
      <c r="AD77" s="92"/>
      <c r="AE77" s="25">
        <f t="shared" si="1"/>
        <v>0</v>
      </c>
      <c r="AF77" s="24">
        <f t="shared" si="2"/>
        <v>0</v>
      </c>
      <c r="AG77" s="24">
        <f t="shared" si="3"/>
        <v>0</v>
      </c>
      <c r="AH77" s="24">
        <f t="shared" si="4"/>
        <v>0</v>
      </c>
      <c r="AI77" s="26">
        <f t="shared" si="5"/>
        <v>0</v>
      </c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ht="15.75" customHeight="1">
      <c r="A78" s="22" t="s">
        <v>25</v>
      </c>
      <c r="B78" s="23">
        <f t="shared" si="6"/>
        <v>45731</v>
      </c>
      <c r="C78" s="24">
        <v>3.0</v>
      </c>
      <c r="D78" s="24" t="s">
        <v>28</v>
      </c>
      <c r="E78" s="21"/>
      <c r="F78" s="21"/>
      <c r="G78" s="18"/>
      <c r="I78" s="19"/>
      <c r="K78" s="19"/>
      <c r="M78" s="19"/>
      <c r="O78" s="19"/>
      <c r="Q78" s="19"/>
      <c r="R78" s="92"/>
      <c r="S78" s="18"/>
      <c r="U78" s="19"/>
      <c r="W78" s="19"/>
      <c r="Y78" s="19"/>
      <c r="AA78" s="19"/>
      <c r="AC78" s="19"/>
      <c r="AD78" s="92"/>
      <c r="AE78" s="25">
        <f t="shared" si="1"/>
        <v>0</v>
      </c>
      <c r="AF78" s="24">
        <f t="shared" si="2"/>
        <v>0</v>
      </c>
      <c r="AG78" s="24">
        <f t="shared" si="3"/>
        <v>0</v>
      </c>
      <c r="AH78" s="24">
        <f t="shared" si="4"/>
        <v>0</v>
      </c>
      <c r="AI78" s="26">
        <f t="shared" si="5"/>
        <v>0</v>
      </c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ht="15.75" customHeight="1">
      <c r="A79" s="27" t="s">
        <v>26</v>
      </c>
      <c r="B79" s="28">
        <f t="shared" si="6"/>
        <v>45732</v>
      </c>
      <c r="C79" s="29">
        <v>3.0</v>
      </c>
      <c r="D79" s="29" t="s">
        <v>28</v>
      </c>
      <c r="E79" s="30"/>
      <c r="F79" s="30"/>
      <c r="G79" s="31"/>
      <c r="H79" s="6"/>
      <c r="I79" s="32"/>
      <c r="J79" s="6"/>
      <c r="K79" s="32"/>
      <c r="L79" s="6"/>
      <c r="M79" s="32"/>
      <c r="N79" s="6"/>
      <c r="O79" s="32"/>
      <c r="P79" s="6"/>
      <c r="Q79" s="32"/>
      <c r="R79" s="93"/>
      <c r="S79" s="31"/>
      <c r="T79" s="6"/>
      <c r="U79" s="32"/>
      <c r="V79" s="6"/>
      <c r="W79" s="32"/>
      <c r="X79" s="6"/>
      <c r="Y79" s="32"/>
      <c r="Z79" s="6"/>
      <c r="AA79" s="32"/>
      <c r="AB79" s="6"/>
      <c r="AC79" s="32"/>
      <c r="AD79" s="93"/>
      <c r="AE79" s="33">
        <f t="shared" si="1"/>
        <v>0</v>
      </c>
      <c r="AF79" s="29">
        <f t="shared" si="2"/>
        <v>0</v>
      </c>
      <c r="AG79" s="29">
        <f t="shared" si="3"/>
        <v>0</v>
      </c>
      <c r="AH79" s="29">
        <f t="shared" si="4"/>
        <v>0</v>
      </c>
      <c r="AI79" s="34">
        <f t="shared" si="5"/>
        <v>0</v>
      </c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ht="15.75" customHeight="1">
      <c r="A80" s="14" t="s">
        <v>19</v>
      </c>
      <c r="B80" s="35">
        <f t="shared" si="6"/>
        <v>45733</v>
      </c>
      <c r="C80" s="16">
        <v>3.0</v>
      </c>
      <c r="D80" s="16" t="s">
        <v>29</v>
      </c>
      <c r="E80" s="17"/>
      <c r="F80" s="17"/>
      <c r="G80" s="18"/>
      <c r="I80" s="19"/>
      <c r="K80" s="19"/>
      <c r="M80" s="19"/>
      <c r="O80" s="19"/>
      <c r="Q80" s="19"/>
      <c r="R80" s="92"/>
      <c r="S80" s="18"/>
      <c r="U80" s="19"/>
      <c r="W80" s="19"/>
      <c r="Y80" s="19"/>
      <c r="AA80" s="19"/>
      <c r="AC80" s="19"/>
      <c r="AD80" s="92"/>
      <c r="AE80" s="20">
        <f t="shared" si="1"/>
        <v>0</v>
      </c>
      <c r="AF80" s="16">
        <f t="shared" si="2"/>
        <v>0</v>
      </c>
      <c r="AG80" s="16">
        <f t="shared" si="3"/>
        <v>0</v>
      </c>
      <c r="AH80" s="16">
        <f t="shared" si="4"/>
        <v>0</v>
      </c>
      <c r="AI80" s="36">
        <f t="shared" si="5"/>
        <v>0</v>
      </c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ht="15.75" customHeight="1">
      <c r="A81" s="22" t="s">
        <v>21</v>
      </c>
      <c r="B81" s="23">
        <f t="shared" si="6"/>
        <v>45734</v>
      </c>
      <c r="C81" s="24">
        <v>3.0</v>
      </c>
      <c r="D81" s="24" t="s">
        <v>29</v>
      </c>
      <c r="E81" s="21"/>
      <c r="F81" s="21"/>
      <c r="G81" s="18"/>
      <c r="I81" s="19"/>
      <c r="K81" s="19"/>
      <c r="M81" s="19"/>
      <c r="O81" s="19"/>
      <c r="Q81" s="19"/>
      <c r="R81" s="92"/>
      <c r="S81" s="18"/>
      <c r="U81" s="19"/>
      <c r="W81" s="19"/>
      <c r="Y81" s="19"/>
      <c r="AA81" s="19"/>
      <c r="AC81" s="19"/>
      <c r="AD81" s="92"/>
      <c r="AE81" s="25">
        <f t="shared" si="1"/>
        <v>0</v>
      </c>
      <c r="AF81" s="24">
        <f t="shared" si="2"/>
        <v>0</v>
      </c>
      <c r="AG81" s="24">
        <f t="shared" si="3"/>
        <v>0</v>
      </c>
      <c r="AH81" s="24">
        <f t="shared" si="4"/>
        <v>0</v>
      </c>
      <c r="AI81" s="26">
        <f t="shared" si="5"/>
        <v>0</v>
      </c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ht="15.75" customHeight="1">
      <c r="A82" s="22" t="s">
        <v>22</v>
      </c>
      <c r="B82" s="23">
        <f t="shared" si="6"/>
        <v>45735</v>
      </c>
      <c r="C82" s="24">
        <v>3.0</v>
      </c>
      <c r="D82" s="24" t="s">
        <v>29</v>
      </c>
      <c r="E82" s="21"/>
      <c r="F82" s="21"/>
      <c r="G82" s="18"/>
      <c r="I82" s="19"/>
      <c r="K82" s="19"/>
      <c r="M82" s="19"/>
      <c r="O82" s="19"/>
      <c r="Q82" s="19"/>
      <c r="R82" s="92"/>
      <c r="S82" s="18"/>
      <c r="U82" s="19"/>
      <c r="W82" s="19"/>
      <c r="Y82" s="19"/>
      <c r="AA82" s="19"/>
      <c r="AC82" s="19"/>
      <c r="AD82" s="92"/>
      <c r="AE82" s="25">
        <f t="shared" si="1"/>
        <v>0</v>
      </c>
      <c r="AF82" s="24">
        <f t="shared" si="2"/>
        <v>0</v>
      </c>
      <c r="AG82" s="24">
        <f t="shared" si="3"/>
        <v>0</v>
      </c>
      <c r="AH82" s="24">
        <f t="shared" si="4"/>
        <v>0</v>
      </c>
      <c r="AI82" s="26">
        <f t="shared" si="5"/>
        <v>0</v>
      </c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ht="15.75" customHeight="1">
      <c r="A83" s="22" t="s">
        <v>23</v>
      </c>
      <c r="B83" s="23">
        <f t="shared" si="6"/>
        <v>45736</v>
      </c>
      <c r="C83" s="24">
        <v>3.0</v>
      </c>
      <c r="D83" s="24" t="s">
        <v>29</v>
      </c>
      <c r="E83" s="21"/>
      <c r="F83" s="21"/>
      <c r="G83" s="18"/>
      <c r="I83" s="19"/>
      <c r="K83" s="19"/>
      <c r="M83" s="19"/>
      <c r="O83" s="19"/>
      <c r="Q83" s="19"/>
      <c r="R83" s="92"/>
      <c r="S83" s="18"/>
      <c r="U83" s="19"/>
      <c r="W83" s="19"/>
      <c r="Y83" s="19"/>
      <c r="AA83" s="19"/>
      <c r="AC83" s="19"/>
      <c r="AD83" s="92"/>
      <c r="AE83" s="25">
        <f t="shared" si="1"/>
        <v>0</v>
      </c>
      <c r="AF83" s="24">
        <f t="shared" si="2"/>
        <v>0</v>
      </c>
      <c r="AG83" s="24">
        <f t="shared" si="3"/>
        <v>0</v>
      </c>
      <c r="AH83" s="24">
        <f t="shared" si="4"/>
        <v>0</v>
      </c>
      <c r="AI83" s="26">
        <f t="shared" si="5"/>
        <v>0</v>
      </c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ht="15.75" customHeight="1">
      <c r="A84" s="22" t="s">
        <v>24</v>
      </c>
      <c r="B84" s="23">
        <f t="shared" si="6"/>
        <v>45737</v>
      </c>
      <c r="C84" s="24">
        <v>3.0</v>
      </c>
      <c r="D84" s="24" t="s">
        <v>29</v>
      </c>
      <c r="E84" s="21"/>
      <c r="F84" s="21"/>
      <c r="G84" s="18"/>
      <c r="I84" s="19"/>
      <c r="K84" s="19"/>
      <c r="M84" s="19"/>
      <c r="O84" s="19"/>
      <c r="Q84" s="19"/>
      <c r="R84" s="92"/>
      <c r="S84" s="18"/>
      <c r="U84" s="19"/>
      <c r="W84" s="19"/>
      <c r="Y84" s="19"/>
      <c r="AA84" s="19"/>
      <c r="AC84" s="19"/>
      <c r="AD84" s="92"/>
      <c r="AE84" s="25">
        <f t="shared" si="1"/>
        <v>0</v>
      </c>
      <c r="AF84" s="24">
        <f t="shared" si="2"/>
        <v>0</v>
      </c>
      <c r="AG84" s="24">
        <f t="shared" si="3"/>
        <v>0</v>
      </c>
      <c r="AH84" s="24">
        <f t="shared" si="4"/>
        <v>0</v>
      </c>
      <c r="AI84" s="26">
        <f t="shared" si="5"/>
        <v>0</v>
      </c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ht="15.75" customHeight="1">
      <c r="A85" s="22" t="s">
        <v>25</v>
      </c>
      <c r="B85" s="23">
        <f t="shared" si="6"/>
        <v>45738</v>
      </c>
      <c r="C85" s="24">
        <v>3.0</v>
      </c>
      <c r="D85" s="24" t="s">
        <v>29</v>
      </c>
      <c r="E85" s="21"/>
      <c r="F85" s="21"/>
      <c r="G85" s="18"/>
      <c r="I85" s="19"/>
      <c r="K85" s="19"/>
      <c r="M85" s="19"/>
      <c r="O85" s="19"/>
      <c r="Q85" s="19"/>
      <c r="R85" s="92"/>
      <c r="S85" s="18"/>
      <c r="U85" s="19"/>
      <c r="W85" s="19"/>
      <c r="Y85" s="19"/>
      <c r="AA85" s="19"/>
      <c r="AC85" s="19"/>
      <c r="AD85" s="92"/>
      <c r="AE85" s="25">
        <f t="shared" si="1"/>
        <v>0</v>
      </c>
      <c r="AF85" s="24">
        <f t="shared" si="2"/>
        <v>0</v>
      </c>
      <c r="AG85" s="24">
        <f t="shared" si="3"/>
        <v>0</v>
      </c>
      <c r="AH85" s="24">
        <f t="shared" si="4"/>
        <v>0</v>
      </c>
      <c r="AI85" s="26">
        <f t="shared" si="5"/>
        <v>0</v>
      </c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ht="15.75" customHeight="1">
      <c r="A86" s="27" t="s">
        <v>26</v>
      </c>
      <c r="B86" s="28">
        <f t="shared" si="6"/>
        <v>45739</v>
      </c>
      <c r="C86" s="29">
        <v>3.0</v>
      </c>
      <c r="D86" s="29" t="s">
        <v>29</v>
      </c>
      <c r="E86" s="30"/>
      <c r="F86" s="30"/>
      <c r="G86" s="31"/>
      <c r="H86" s="6"/>
      <c r="I86" s="32"/>
      <c r="J86" s="6"/>
      <c r="K86" s="32"/>
      <c r="L86" s="6"/>
      <c r="M86" s="32"/>
      <c r="N86" s="6"/>
      <c r="O86" s="32"/>
      <c r="P86" s="6"/>
      <c r="Q86" s="32"/>
      <c r="R86" s="93"/>
      <c r="S86" s="31"/>
      <c r="T86" s="6"/>
      <c r="U86" s="32"/>
      <c r="V86" s="6"/>
      <c r="W86" s="32"/>
      <c r="X86" s="6"/>
      <c r="Y86" s="32"/>
      <c r="Z86" s="6"/>
      <c r="AA86" s="32"/>
      <c r="AB86" s="6"/>
      <c r="AC86" s="32"/>
      <c r="AD86" s="93"/>
      <c r="AE86" s="33">
        <f t="shared" si="1"/>
        <v>0</v>
      </c>
      <c r="AF86" s="29">
        <f t="shared" si="2"/>
        <v>0</v>
      </c>
      <c r="AG86" s="29">
        <f t="shared" si="3"/>
        <v>0</v>
      </c>
      <c r="AH86" s="29">
        <f t="shared" si="4"/>
        <v>0</v>
      </c>
      <c r="AI86" s="34">
        <f t="shared" si="5"/>
        <v>0</v>
      </c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ht="15.75" customHeight="1">
      <c r="A87" s="94" t="s">
        <v>19</v>
      </c>
      <c r="B87" s="95">
        <f t="shared" si="6"/>
        <v>45740</v>
      </c>
      <c r="C87" s="96">
        <v>4.0</v>
      </c>
      <c r="D87" s="96" t="s">
        <v>20</v>
      </c>
      <c r="E87" s="97"/>
      <c r="F87" s="97"/>
      <c r="G87" s="98"/>
      <c r="I87" s="99"/>
      <c r="K87" s="99"/>
      <c r="M87" s="99"/>
      <c r="O87" s="99"/>
      <c r="Q87" s="99"/>
      <c r="R87" s="92"/>
      <c r="S87" s="98"/>
      <c r="U87" s="99"/>
      <c r="W87" s="99"/>
      <c r="Y87" s="99"/>
      <c r="AA87" s="99"/>
      <c r="AC87" s="99"/>
      <c r="AD87" s="92"/>
      <c r="AE87" s="100">
        <f t="shared" si="1"/>
        <v>0</v>
      </c>
      <c r="AF87" s="96">
        <f t="shared" si="2"/>
        <v>0</v>
      </c>
      <c r="AG87" s="96">
        <f t="shared" si="3"/>
        <v>0</v>
      </c>
      <c r="AH87" s="96">
        <f t="shared" si="4"/>
        <v>0</v>
      </c>
      <c r="AI87" s="101">
        <f t="shared" si="5"/>
        <v>0</v>
      </c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ht="15.75" customHeight="1">
      <c r="A88" s="102" t="s">
        <v>21</v>
      </c>
      <c r="B88" s="103">
        <f t="shared" si="6"/>
        <v>45741</v>
      </c>
      <c r="C88" s="104">
        <v>4.0</v>
      </c>
      <c r="D88" s="104" t="s">
        <v>20</v>
      </c>
      <c r="E88" s="105"/>
      <c r="F88" s="105"/>
      <c r="G88" s="98"/>
      <c r="I88" s="99"/>
      <c r="K88" s="99"/>
      <c r="M88" s="99"/>
      <c r="O88" s="99"/>
      <c r="Q88" s="99"/>
      <c r="R88" s="92"/>
      <c r="S88" s="98"/>
      <c r="U88" s="99"/>
      <c r="W88" s="99"/>
      <c r="Y88" s="99"/>
      <c r="AA88" s="99"/>
      <c r="AC88" s="99"/>
      <c r="AD88" s="92"/>
      <c r="AE88" s="106">
        <f t="shared" si="1"/>
        <v>0</v>
      </c>
      <c r="AF88" s="104">
        <f t="shared" si="2"/>
        <v>0</v>
      </c>
      <c r="AG88" s="104">
        <f t="shared" si="3"/>
        <v>0</v>
      </c>
      <c r="AH88" s="104">
        <f t="shared" si="4"/>
        <v>0</v>
      </c>
      <c r="AI88" s="107">
        <f t="shared" si="5"/>
        <v>0</v>
      </c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ht="15.75" customHeight="1">
      <c r="A89" s="102" t="s">
        <v>22</v>
      </c>
      <c r="B89" s="103">
        <f t="shared" si="6"/>
        <v>45742</v>
      </c>
      <c r="C89" s="104">
        <v>4.0</v>
      </c>
      <c r="D89" s="104" t="s">
        <v>20</v>
      </c>
      <c r="E89" s="105"/>
      <c r="F89" s="105"/>
      <c r="G89" s="98"/>
      <c r="I89" s="99"/>
      <c r="K89" s="99"/>
      <c r="M89" s="99"/>
      <c r="O89" s="99"/>
      <c r="Q89" s="99"/>
      <c r="R89" s="92"/>
      <c r="S89" s="98"/>
      <c r="U89" s="99"/>
      <c r="W89" s="99"/>
      <c r="Y89" s="99"/>
      <c r="AA89" s="99"/>
      <c r="AC89" s="99"/>
      <c r="AD89" s="92"/>
      <c r="AE89" s="106">
        <f t="shared" si="1"/>
        <v>0</v>
      </c>
      <c r="AF89" s="104">
        <f t="shared" si="2"/>
        <v>0</v>
      </c>
      <c r="AG89" s="104">
        <f t="shared" si="3"/>
        <v>0</v>
      </c>
      <c r="AH89" s="104">
        <f t="shared" si="4"/>
        <v>0</v>
      </c>
      <c r="AI89" s="107">
        <f t="shared" si="5"/>
        <v>0</v>
      </c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ht="15.75" customHeight="1">
      <c r="A90" s="102" t="s">
        <v>23</v>
      </c>
      <c r="B90" s="103">
        <f t="shared" si="6"/>
        <v>45743</v>
      </c>
      <c r="C90" s="104">
        <v>4.0</v>
      </c>
      <c r="D90" s="104" t="s">
        <v>20</v>
      </c>
      <c r="E90" s="105"/>
      <c r="F90" s="105"/>
      <c r="G90" s="108">
        <v>0.0</v>
      </c>
      <c r="I90" s="109">
        <v>0.0</v>
      </c>
      <c r="K90" s="109">
        <v>0.0</v>
      </c>
      <c r="M90" s="109">
        <v>0.0</v>
      </c>
      <c r="O90" s="109">
        <v>0.0</v>
      </c>
      <c r="Q90" s="109">
        <v>0.0</v>
      </c>
      <c r="R90" s="92"/>
      <c r="S90" s="98"/>
      <c r="U90" s="99"/>
      <c r="W90" s="99"/>
      <c r="Y90" s="99"/>
      <c r="AA90" s="99"/>
      <c r="AC90" s="99"/>
      <c r="AD90" s="92"/>
      <c r="AE90" s="106">
        <f t="shared" si="1"/>
        <v>0</v>
      </c>
      <c r="AF90" s="104">
        <f t="shared" si="2"/>
        <v>0</v>
      </c>
      <c r="AG90" s="104">
        <f t="shared" si="3"/>
        <v>0</v>
      </c>
      <c r="AH90" s="104">
        <f t="shared" si="4"/>
        <v>0</v>
      </c>
      <c r="AI90" s="107">
        <f t="shared" si="5"/>
        <v>0</v>
      </c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ht="16.5" customHeight="1">
      <c r="A91" s="102" t="s">
        <v>24</v>
      </c>
      <c r="B91" s="103">
        <f t="shared" si="6"/>
        <v>45744</v>
      </c>
      <c r="C91" s="104">
        <v>4.0</v>
      </c>
      <c r="D91" s="104" t="s">
        <v>20</v>
      </c>
      <c r="E91" s="110">
        <v>1.0</v>
      </c>
      <c r="F91" s="105" t="s">
        <v>30</v>
      </c>
      <c r="G91" s="108">
        <v>0.0</v>
      </c>
      <c r="I91" s="109">
        <v>45.0</v>
      </c>
      <c r="K91" s="109">
        <v>45.0</v>
      </c>
      <c r="M91" s="109">
        <v>0.0</v>
      </c>
      <c r="O91" s="109">
        <v>45.0</v>
      </c>
      <c r="Q91" s="109">
        <v>0.0</v>
      </c>
      <c r="R91" s="92"/>
      <c r="S91" s="98"/>
      <c r="U91" s="99"/>
      <c r="W91" s="99"/>
      <c r="Y91" s="99"/>
      <c r="AA91" s="99"/>
      <c r="AC91" s="99"/>
      <c r="AD91" s="92"/>
      <c r="AE91" s="106">
        <f t="shared" si="1"/>
        <v>2622.6</v>
      </c>
      <c r="AF91" s="104">
        <f t="shared" si="2"/>
        <v>90</v>
      </c>
      <c r="AG91" s="104">
        <f t="shared" si="3"/>
        <v>45</v>
      </c>
      <c r="AH91" s="104">
        <f t="shared" si="4"/>
        <v>135</v>
      </c>
      <c r="AI91" s="107">
        <f t="shared" si="5"/>
        <v>19.42666667</v>
      </c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ht="15.75" customHeight="1">
      <c r="A92" s="102" t="s">
        <v>25</v>
      </c>
      <c r="B92" s="103">
        <f t="shared" si="6"/>
        <v>45745</v>
      </c>
      <c r="C92" s="104">
        <v>4.0</v>
      </c>
      <c r="D92" s="104" t="s">
        <v>20</v>
      </c>
      <c r="E92" s="110">
        <v>1.0</v>
      </c>
      <c r="F92" s="105" t="s">
        <v>31</v>
      </c>
      <c r="G92" s="108">
        <v>45.0</v>
      </c>
      <c r="I92" s="109">
        <v>45.0</v>
      </c>
      <c r="K92" s="109">
        <v>0.0</v>
      </c>
      <c r="M92" s="109">
        <v>0.0</v>
      </c>
      <c r="O92" s="109">
        <v>0.0</v>
      </c>
      <c r="Q92" s="109">
        <v>0.0</v>
      </c>
      <c r="R92" s="92"/>
      <c r="S92" s="98"/>
      <c r="U92" s="99"/>
      <c r="W92" s="99"/>
      <c r="Y92" s="99"/>
      <c r="AA92" s="99"/>
      <c r="AC92" s="99"/>
      <c r="AD92" s="92"/>
      <c r="AE92" s="106">
        <f t="shared" si="1"/>
        <v>2248.2</v>
      </c>
      <c r="AF92" s="104">
        <f t="shared" si="2"/>
        <v>90</v>
      </c>
      <c r="AG92" s="104">
        <f t="shared" si="3"/>
        <v>0</v>
      </c>
      <c r="AH92" s="104">
        <f t="shared" si="4"/>
        <v>90</v>
      </c>
      <c r="AI92" s="107">
        <f t="shared" si="5"/>
        <v>24.98</v>
      </c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ht="15.75" customHeight="1">
      <c r="A93" s="111" t="s">
        <v>26</v>
      </c>
      <c r="B93" s="112">
        <f t="shared" si="6"/>
        <v>45746</v>
      </c>
      <c r="C93" s="113">
        <v>4.0</v>
      </c>
      <c r="D93" s="113" t="s">
        <v>20</v>
      </c>
      <c r="E93" s="114">
        <v>1.0</v>
      </c>
      <c r="F93" s="115" t="s">
        <v>31</v>
      </c>
      <c r="G93" s="116">
        <v>45.0</v>
      </c>
      <c r="H93" s="6"/>
      <c r="I93" s="117">
        <v>45.0</v>
      </c>
      <c r="J93" s="6"/>
      <c r="K93" s="117">
        <v>0.0</v>
      </c>
      <c r="L93" s="6"/>
      <c r="M93" s="117">
        <v>0.0</v>
      </c>
      <c r="N93" s="6"/>
      <c r="O93" s="117">
        <v>0.0</v>
      </c>
      <c r="P93" s="6"/>
      <c r="Q93" s="117">
        <v>0.0</v>
      </c>
      <c r="R93" s="93"/>
      <c r="S93" s="118"/>
      <c r="T93" s="6"/>
      <c r="U93" s="119"/>
      <c r="V93" s="6"/>
      <c r="W93" s="119"/>
      <c r="X93" s="6"/>
      <c r="Y93" s="119"/>
      <c r="Z93" s="6"/>
      <c r="AA93" s="119"/>
      <c r="AB93" s="6"/>
      <c r="AC93" s="119"/>
      <c r="AD93" s="93"/>
      <c r="AE93" s="120">
        <f t="shared" si="1"/>
        <v>2248.2</v>
      </c>
      <c r="AF93" s="113">
        <f t="shared" si="2"/>
        <v>90</v>
      </c>
      <c r="AG93" s="113">
        <f t="shared" si="3"/>
        <v>0</v>
      </c>
      <c r="AH93" s="113">
        <f t="shared" si="4"/>
        <v>90</v>
      </c>
      <c r="AI93" s="121">
        <f t="shared" si="5"/>
        <v>24.98</v>
      </c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ht="15.75" customHeight="1">
      <c r="A94" s="122" t="s">
        <v>19</v>
      </c>
      <c r="B94" s="123">
        <f t="shared" si="6"/>
        <v>45747</v>
      </c>
      <c r="C94" s="124">
        <v>4.0</v>
      </c>
      <c r="D94" s="124" t="s">
        <v>27</v>
      </c>
      <c r="E94" s="125"/>
      <c r="F94" s="125" t="s">
        <v>32</v>
      </c>
      <c r="G94" s="126">
        <v>0.0</v>
      </c>
      <c r="I94" s="127">
        <v>0.0</v>
      </c>
      <c r="K94" s="127">
        <v>0.0</v>
      </c>
      <c r="M94" s="127">
        <v>0.0</v>
      </c>
      <c r="O94" s="127">
        <v>0.0</v>
      </c>
      <c r="Q94" s="127">
        <v>0.0</v>
      </c>
      <c r="R94" s="92"/>
      <c r="S94" s="128"/>
      <c r="U94" s="129"/>
      <c r="W94" s="129"/>
      <c r="Y94" s="129"/>
      <c r="AA94" s="129"/>
      <c r="AC94" s="129"/>
      <c r="AD94" s="92"/>
      <c r="AE94" s="130">
        <f t="shared" si="1"/>
        <v>0</v>
      </c>
      <c r="AF94" s="124">
        <f t="shared" si="2"/>
        <v>0</v>
      </c>
      <c r="AG94" s="124">
        <f t="shared" si="3"/>
        <v>0</v>
      </c>
      <c r="AH94" s="124">
        <f t="shared" si="4"/>
        <v>0</v>
      </c>
      <c r="AI94" s="131">
        <f t="shared" si="5"/>
        <v>0</v>
      </c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ht="15.75" customHeight="1">
      <c r="A95" s="132" t="s">
        <v>21</v>
      </c>
      <c r="B95" s="133">
        <f t="shared" si="6"/>
        <v>45748</v>
      </c>
      <c r="C95" s="134">
        <v>4.0</v>
      </c>
      <c r="D95" s="134" t="s">
        <v>27</v>
      </c>
      <c r="E95" s="135"/>
      <c r="F95" s="135" t="s">
        <v>32</v>
      </c>
      <c r="G95" s="126">
        <v>0.0</v>
      </c>
      <c r="I95" s="127">
        <v>0.0</v>
      </c>
      <c r="K95" s="127">
        <v>0.0</v>
      </c>
      <c r="M95" s="127">
        <v>0.0</v>
      </c>
      <c r="O95" s="127">
        <v>0.0</v>
      </c>
      <c r="Q95" s="127">
        <v>0.0</v>
      </c>
      <c r="R95" s="92"/>
      <c r="S95" s="128"/>
      <c r="U95" s="129"/>
      <c r="W95" s="129"/>
      <c r="Y95" s="129"/>
      <c r="AA95" s="129"/>
      <c r="AC95" s="129"/>
      <c r="AD95" s="92"/>
      <c r="AE95" s="136">
        <f t="shared" si="1"/>
        <v>0</v>
      </c>
      <c r="AF95" s="134">
        <f t="shared" si="2"/>
        <v>0</v>
      </c>
      <c r="AG95" s="134">
        <f t="shared" si="3"/>
        <v>0</v>
      </c>
      <c r="AH95" s="134">
        <f t="shared" si="4"/>
        <v>0</v>
      </c>
      <c r="AI95" s="137">
        <f t="shared" si="5"/>
        <v>0</v>
      </c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ht="15.75" customHeight="1">
      <c r="A96" s="132" t="s">
        <v>22</v>
      </c>
      <c r="B96" s="133">
        <f t="shared" si="6"/>
        <v>45749</v>
      </c>
      <c r="C96" s="134">
        <v>4.0</v>
      </c>
      <c r="D96" s="134" t="s">
        <v>27</v>
      </c>
      <c r="E96" s="135"/>
      <c r="F96" s="135" t="s">
        <v>32</v>
      </c>
      <c r="G96" s="126">
        <v>0.0</v>
      </c>
      <c r="I96" s="127">
        <v>0.0</v>
      </c>
      <c r="K96" s="127">
        <v>0.0</v>
      </c>
      <c r="M96" s="127">
        <v>0.0</v>
      </c>
      <c r="O96" s="127">
        <v>0.0</v>
      </c>
      <c r="Q96" s="127">
        <v>0.0</v>
      </c>
      <c r="R96" s="92"/>
      <c r="S96" s="128"/>
      <c r="U96" s="129"/>
      <c r="W96" s="129"/>
      <c r="Y96" s="129"/>
      <c r="AA96" s="129"/>
      <c r="AC96" s="129"/>
      <c r="AD96" s="92"/>
      <c r="AE96" s="136">
        <f t="shared" si="1"/>
        <v>0</v>
      </c>
      <c r="AF96" s="134">
        <f t="shared" si="2"/>
        <v>0</v>
      </c>
      <c r="AG96" s="134">
        <f t="shared" si="3"/>
        <v>0</v>
      </c>
      <c r="AH96" s="134">
        <f t="shared" si="4"/>
        <v>0</v>
      </c>
      <c r="AI96" s="137">
        <f t="shared" si="5"/>
        <v>0</v>
      </c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ht="15.75" customHeight="1">
      <c r="A97" s="132" t="s">
        <v>23</v>
      </c>
      <c r="B97" s="133">
        <f t="shared" si="6"/>
        <v>45750</v>
      </c>
      <c r="C97" s="134">
        <v>4.0</v>
      </c>
      <c r="D97" s="134" t="s">
        <v>27</v>
      </c>
      <c r="E97" s="135"/>
      <c r="F97" s="135" t="s">
        <v>32</v>
      </c>
      <c r="G97" s="126">
        <v>0.0</v>
      </c>
      <c r="I97" s="127">
        <v>0.0</v>
      </c>
      <c r="K97" s="127">
        <v>0.0</v>
      </c>
      <c r="M97" s="127">
        <v>0.0</v>
      </c>
      <c r="O97" s="127">
        <v>0.0</v>
      </c>
      <c r="Q97" s="127">
        <v>0.0</v>
      </c>
      <c r="R97" s="92"/>
      <c r="S97" s="128"/>
      <c r="U97" s="129"/>
      <c r="W97" s="129"/>
      <c r="Y97" s="129"/>
      <c r="AA97" s="129"/>
      <c r="AC97" s="129"/>
      <c r="AD97" s="92"/>
      <c r="AE97" s="136">
        <f t="shared" si="1"/>
        <v>0</v>
      </c>
      <c r="AF97" s="134">
        <f t="shared" si="2"/>
        <v>0</v>
      </c>
      <c r="AG97" s="134">
        <f t="shared" si="3"/>
        <v>0</v>
      </c>
      <c r="AH97" s="134">
        <f t="shared" si="4"/>
        <v>0</v>
      </c>
      <c r="AI97" s="137">
        <f t="shared" si="5"/>
        <v>0</v>
      </c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ht="15.75" customHeight="1">
      <c r="A98" s="132" t="s">
        <v>24</v>
      </c>
      <c r="B98" s="133">
        <f t="shared" si="6"/>
        <v>45751</v>
      </c>
      <c r="C98" s="134">
        <v>4.0</v>
      </c>
      <c r="D98" s="134" t="s">
        <v>27</v>
      </c>
      <c r="E98" s="135"/>
      <c r="F98" s="135" t="s">
        <v>32</v>
      </c>
      <c r="G98" s="126">
        <v>0.0</v>
      </c>
      <c r="I98" s="127">
        <v>0.0</v>
      </c>
      <c r="K98" s="127">
        <v>0.0</v>
      </c>
      <c r="M98" s="127">
        <v>0.0</v>
      </c>
      <c r="O98" s="127">
        <v>0.0</v>
      </c>
      <c r="Q98" s="127">
        <v>0.0</v>
      </c>
      <c r="R98" s="92"/>
      <c r="S98" s="128"/>
      <c r="U98" s="129"/>
      <c r="W98" s="129"/>
      <c r="Y98" s="129"/>
      <c r="AA98" s="129"/>
      <c r="AC98" s="129"/>
      <c r="AD98" s="92"/>
      <c r="AE98" s="136">
        <f t="shared" si="1"/>
        <v>0</v>
      </c>
      <c r="AF98" s="134">
        <f t="shared" si="2"/>
        <v>0</v>
      </c>
      <c r="AG98" s="134">
        <f t="shared" si="3"/>
        <v>0</v>
      </c>
      <c r="AH98" s="134">
        <f t="shared" si="4"/>
        <v>0</v>
      </c>
      <c r="AI98" s="137">
        <f t="shared" si="5"/>
        <v>0</v>
      </c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ht="15.75" customHeight="1">
      <c r="A99" s="132" t="s">
        <v>25</v>
      </c>
      <c r="B99" s="133">
        <f t="shared" si="6"/>
        <v>45752</v>
      </c>
      <c r="C99" s="134">
        <v>4.0</v>
      </c>
      <c r="D99" s="134" t="s">
        <v>27</v>
      </c>
      <c r="E99" s="135"/>
      <c r="F99" s="135" t="s">
        <v>32</v>
      </c>
      <c r="G99" s="126">
        <v>0.0</v>
      </c>
      <c r="I99" s="127">
        <v>0.0</v>
      </c>
      <c r="K99" s="127">
        <v>0.0</v>
      </c>
      <c r="M99" s="127">
        <v>0.0</v>
      </c>
      <c r="O99" s="127">
        <v>0.0</v>
      </c>
      <c r="Q99" s="127">
        <v>0.0</v>
      </c>
      <c r="R99" s="92"/>
      <c r="S99" s="128"/>
      <c r="U99" s="129"/>
      <c r="W99" s="129"/>
      <c r="Y99" s="129"/>
      <c r="AA99" s="129"/>
      <c r="AC99" s="129"/>
      <c r="AD99" s="92"/>
      <c r="AE99" s="136">
        <f t="shared" si="1"/>
        <v>0</v>
      </c>
      <c r="AF99" s="134">
        <f t="shared" si="2"/>
        <v>0</v>
      </c>
      <c r="AG99" s="134">
        <f t="shared" si="3"/>
        <v>0</v>
      </c>
      <c r="AH99" s="134">
        <f t="shared" si="4"/>
        <v>0</v>
      </c>
      <c r="AI99" s="137">
        <f t="shared" si="5"/>
        <v>0</v>
      </c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ht="15.75" customHeight="1">
      <c r="A100" s="138" t="s">
        <v>26</v>
      </c>
      <c r="B100" s="139">
        <f t="shared" si="6"/>
        <v>45753</v>
      </c>
      <c r="C100" s="140">
        <v>4.0</v>
      </c>
      <c r="D100" s="140" t="s">
        <v>27</v>
      </c>
      <c r="E100" s="141"/>
      <c r="F100" s="141" t="s">
        <v>32</v>
      </c>
      <c r="G100" s="142">
        <v>0.0</v>
      </c>
      <c r="H100" s="6"/>
      <c r="I100" s="142">
        <v>0.0</v>
      </c>
      <c r="J100" s="6"/>
      <c r="K100" s="142">
        <v>0.0</v>
      </c>
      <c r="L100" s="6"/>
      <c r="M100" s="142">
        <v>0.0</v>
      </c>
      <c r="N100" s="6"/>
      <c r="O100" s="142">
        <v>0.0</v>
      </c>
      <c r="P100" s="6"/>
      <c r="Q100" s="142">
        <v>0.0</v>
      </c>
      <c r="R100" s="93"/>
      <c r="S100" s="143"/>
      <c r="T100" s="6"/>
      <c r="U100" s="144"/>
      <c r="V100" s="6"/>
      <c r="W100" s="144"/>
      <c r="X100" s="6"/>
      <c r="Y100" s="144"/>
      <c r="Z100" s="6"/>
      <c r="AA100" s="144"/>
      <c r="AB100" s="6"/>
      <c r="AC100" s="144"/>
      <c r="AD100" s="93"/>
      <c r="AE100" s="145">
        <f t="shared" si="1"/>
        <v>0</v>
      </c>
      <c r="AF100" s="140">
        <f t="shared" si="2"/>
        <v>0</v>
      </c>
      <c r="AG100" s="140">
        <f t="shared" si="3"/>
        <v>0</v>
      </c>
      <c r="AH100" s="140">
        <f t="shared" si="4"/>
        <v>0</v>
      </c>
      <c r="AI100" s="146">
        <f t="shared" si="5"/>
        <v>0</v>
      </c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ht="15.75" customHeight="1">
      <c r="A101" s="94" t="s">
        <v>19</v>
      </c>
      <c r="B101" s="95">
        <f t="shared" si="6"/>
        <v>45754</v>
      </c>
      <c r="C101" s="96">
        <v>4.0</v>
      </c>
      <c r="D101" s="96" t="s">
        <v>28</v>
      </c>
      <c r="E101" s="97"/>
      <c r="F101" s="97" t="s">
        <v>32</v>
      </c>
      <c r="G101" s="108">
        <v>0.0</v>
      </c>
      <c r="I101" s="109">
        <v>0.0</v>
      </c>
      <c r="K101" s="109">
        <v>0.0</v>
      </c>
      <c r="M101" s="109">
        <v>0.0</v>
      </c>
      <c r="O101" s="109">
        <v>0.0</v>
      </c>
      <c r="Q101" s="109">
        <v>0.0</v>
      </c>
      <c r="R101" s="92"/>
      <c r="S101" s="98"/>
      <c r="U101" s="99"/>
      <c r="W101" s="99"/>
      <c r="Y101" s="99"/>
      <c r="AA101" s="99"/>
      <c r="AC101" s="99"/>
      <c r="AD101" s="92"/>
      <c r="AE101" s="100">
        <f t="shared" si="1"/>
        <v>0</v>
      </c>
      <c r="AF101" s="96">
        <f t="shared" si="2"/>
        <v>0</v>
      </c>
      <c r="AG101" s="96">
        <f t="shared" si="3"/>
        <v>0</v>
      </c>
      <c r="AH101" s="96">
        <f t="shared" si="4"/>
        <v>0</v>
      </c>
      <c r="AI101" s="101">
        <f t="shared" si="5"/>
        <v>0</v>
      </c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ht="15.75" customHeight="1">
      <c r="A102" s="102" t="s">
        <v>21</v>
      </c>
      <c r="B102" s="103">
        <f t="shared" si="6"/>
        <v>45755</v>
      </c>
      <c r="C102" s="104">
        <v>4.0</v>
      </c>
      <c r="D102" s="104" t="s">
        <v>28</v>
      </c>
      <c r="E102" s="110">
        <v>2.0</v>
      </c>
      <c r="F102" s="105" t="s">
        <v>33</v>
      </c>
      <c r="G102" s="108">
        <v>0.0</v>
      </c>
      <c r="I102" s="109">
        <v>45.0</v>
      </c>
      <c r="K102" s="109">
        <v>45.0</v>
      </c>
      <c r="M102" s="109">
        <v>0.0</v>
      </c>
      <c r="O102" s="109">
        <v>45.0</v>
      </c>
      <c r="Q102" s="109">
        <v>0.0</v>
      </c>
      <c r="R102" s="92"/>
      <c r="S102" s="98"/>
      <c r="U102" s="99"/>
      <c r="W102" s="99"/>
      <c r="Y102" s="99"/>
      <c r="AA102" s="99"/>
      <c r="AC102" s="99"/>
      <c r="AD102" s="92"/>
      <c r="AE102" s="106">
        <f t="shared" si="1"/>
        <v>2622.6</v>
      </c>
      <c r="AF102" s="104">
        <f t="shared" si="2"/>
        <v>90</v>
      </c>
      <c r="AG102" s="104">
        <f t="shared" si="3"/>
        <v>45</v>
      </c>
      <c r="AH102" s="104">
        <f t="shared" si="4"/>
        <v>135</v>
      </c>
      <c r="AI102" s="107">
        <f t="shared" si="5"/>
        <v>19.42666667</v>
      </c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ht="15.75" customHeight="1">
      <c r="A103" s="102" t="s">
        <v>22</v>
      </c>
      <c r="B103" s="103">
        <f t="shared" si="6"/>
        <v>45756</v>
      </c>
      <c r="C103" s="104">
        <v>4.0</v>
      </c>
      <c r="D103" s="104" t="s">
        <v>28</v>
      </c>
      <c r="E103" s="110">
        <v>2.0</v>
      </c>
      <c r="F103" s="105" t="s">
        <v>31</v>
      </c>
      <c r="G103" s="108">
        <v>45.0</v>
      </c>
      <c r="I103" s="109">
        <v>45.0</v>
      </c>
      <c r="K103" s="109">
        <v>0.0</v>
      </c>
      <c r="M103" s="109">
        <v>0.0</v>
      </c>
      <c r="O103" s="109">
        <v>0.0</v>
      </c>
      <c r="Q103" s="109">
        <v>0.0</v>
      </c>
      <c r="R103" s="92"/>
      <c r="S103" s="98"/>
      <c r="U103" s="99"/>
      <c r="W103" s="99"/>
      <c r="Y103" s="99"/>
      <c r="AA103" s="99"/>
      <c r="AC103" s="99"/>
      <c r="AD103" s="92"/>
      <c r="AE103" s="106">
        <f t="shared" si="1"/>
        <v>2248.2</v>
      </c>
      <c r="AF103" s="104">
        <f t="shared" si="2"/>
        <v>90</v>
      </c>
      <c r="AG103" s="104">
        <f t="shared" si="3"/>
        <v>0</v>
      </c>
      <c r="AH103" s="104">
        <f t="shared" si="4"/>
        <v>90</v>
      </c>
      <c r="AI103" s="107">
        <f t="shared" si="5"/>
        <v>24.98</v>
      </c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ht="15.75" customHeight="1">
      <c r="A104" s="102" t="s">
        <v>23</v>
      </c>
      <c r="B104" s="103">
        <f t="shared" si="6"/>
        <v>45757</v>
      </c>
      <c r="C104" s="104">
        <v>4.0</v>
      </c>
      <c r="D104" s="104" t="s">
        <v>28</v>
      </c>
      <c r="E104" s="110">
        <v>2.0</v>
      </c>
      <c r="F104" s="105" t="s">
        <v>33</v>
      </c>
      <c r="G104" s="108">
        <v>0.0</v>
      </c>
      <c r="I104" s="109">
        <v>45.0</v>
      </c>
      <c r="K104" s="109">
        <v>45.0</v>
      </c>
      <c r="M104" s="109">
        <v>0.0</v>
      </c>
      <c r="O104" s="109">
        <v>45.0</v>
      </c>
      <c r="Q104" s="109">
        <v>0.0</v>
      </c>
      <c r="R104" s="92"/>
      <c r="S104" s="98"/>
      <c r="U104" s="99"/>
      <c r="W104" s="99"/>
      <c r="Y104" s="99"/>
      <c r="AA104" s="99"/>
      <c r="AC104" s="99"/>
      <c r="AD104" s="92"/>
      <c r="AE104" s="106">
        <f t="shared" si="1"/>
        <v>2622.6</v>
      </c>
      <c r="AF104" s="104">
        <f t="shared" si="2"/>
        <v>90</v>
      </c>
      <c r="AG104" s="104">
        <f t="shared" si="3"/>
        <v>45</v>
      </c>
      <c r="AH104" s="104">
        <f t="shared" si="4"/>
        <v>135</v>
      </c>
      <c r="AI104" s="107">
        <f t="shared" si="5"/>
        <v>19.42666667</v>
      </c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ht="15.75" customHeight="1">
      <c r="A105" s="102" t="s">
        <v>24</v>
      </c>
      <c r="B105" s="103">
        <f t="shared" si="6"/>
        <v>45758</v>
      </c>
      <c r="C105" s="104">
        <v>4.0</v>
      </c>
      <c r="D105" s="104" t="s">
        <v>28</v>
      </c>
      <c r="E105" s="110">
        <v>2.0</v>
      </c>
      <c r="F105" s="105" t="s">
        <v>33</v>
      </c>
      <c r="G105" s="108">
        <v>0.0</v>
      </c>
      <c r="I105" s="109">
        <v>45.0</v>
      </c>
      <c r="K105" s="109">
        <v>0.0</v>
      </c>
      <c r="M105" s="109">
        <v>0.0</v>
      </c>
      <c r="O105" s="109">
        <v>45.0</v>
      </c>
      <c r="Q105" s="109">
        <v>0.0</v>
      </c>
      <c r="R105" s="92"/>
      <c r="S105" s="98"/>
      <c r="U105" s="99"/>
      <c r="W105" s="99"/>
      <c r="Y105" s="99"/>
      <c r="AA105" s="99"/>
      <c r="AC105" s="99"/>
      <c r="AD105" s="92"/>
      <c r="AE105" s="106">
        <f t="shared" si="1"/>
        <v>1498.5</v>
      </c>
      <c r="AF105" s="104">
        <f t="shared" si="2"/>
        <v>45</v>
      </c>
      <c r="AG105" s="104">
        <f t="shared" si="3"/>
        <v>45</v>
      </c>
      <c r="AH105" s="104">
        <f t="shared" si="4"/>
        <v>90</v>
      </c>
      <c r="AI105" s="107">
        <f t="shared" si="5"/>
        <v>16.65</v>
      </c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ht="15.75" customHeight="1">
      <c r="A106" s="102" t="s">
        <v>25</v>
      </c>
      <c r="B106" s="103">
        <f t="shared" si="6"/>
        <v>45759</v>
      </c>
      <c r="C106" s="104">
        <v>4.0</v>
      </c>
      <c r="D106" s="104" t="s">
        <v>28</v>
      </c>
      <c r="E106" s="110">
        <v>2.0</v>
      </c>
      <c r="F106" s="105" t="s">
        <v>33</v>
      </c>
      <c r="G106" s="108">
        <v>45.0</v>
      </c>
      <c r="I106" s="109">
        <v>45.0</v>
      </c>
      <c r="K106" s="109">
        <v>0.0</v>
      </c>
      <c r="M106" s="109">
        <v>0.0</v>
      </c>
      <c r="O106" s="109">
        <v>0.0</v>
      </c>
      <c r="Q106" s="109">
        <v>0.0</v>
      </c>
      <c r="R106" s="92"/>
      <c r="S106" s="98"/>
      <c r="U106" s="99"/>
      <c r="W106" s="99"/>
      <c r="Y106" s="99"/>
      <c r="AA106" s="99"/>
      <c r="AC106" s="99"/>
      <c r="AD106" s="92"/>
      <c r="AE106" s="106">
        <f t="shared" si="1"/>
        <v>2248.2</v>
      </c>
      <c r="AF106" s="104">
        <f t="shared" si="2"/>
        <v>90</v>
      </c>
      <c r="AG106" s="104">
        <f t="shared" si="3"/>
        <v>0</v>
      </c>
      <c r="AH106" s="104">
        <f t="shared" si="4"/>
        <v>90</v>
      </c>
      <c r="AI106" s="107">
        <f t="shared" si="5"/>
        <v>24.98</v>
      </c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ht="15.75" customHeight="1">
      <c r="A107" s="111" t="s">
        <v>26</v>
      </c>
      <c r="B107" s="112">
        <f t="shared" si="6"/>
        <v>45760</v>
      </c>
      <c r="C107" s="113">
        <v>4.0</v>
      </c>
      <c r="D107" s="113" t="s">
        <v>28</v>
      </c>
      <c r="E107" s="114">
        <v>2.0</v>
      </c>
      <c r="F107" s="115" t="s">
        <v>31</v>
      </c>
      <c r="G107" s="116">
        <v>45.0</v>
      </c>
      <c r="H107" s="6"/>
      <c r="I107" s="117">
        <v>45.0</v>
      </c>
      <c r="J107" s="6"/>
      <c r="K107" s="117">
        <v>0.0</v>
      </c>
      <c r="L107" s="6"/>
      <c r="M107" s="117">
        <v>0.0</v>
      </c>
      <c r="N107" s="6"/>
      <c r="O107" s="117">
        <v>0.0</v>
      </c>
      <c r="P107" s="6"/>
      <c r="Q107" s="117">
        <v>0.0</v>
      </c>
      <c r="R107" s="93"/>
      <c r="S107" s="118"/>
      <c r="T107" s="6"/>
      <c r="U107" s="119"/>
      <c r="V107" s="6"/>
      <c r="W107" s="119"/>
      <c r="X107" s="6"/>
      <c r="Y107" s="119"/>
      <c r="Z107" s="6"/>
      <c r="AA107" s="119"/>
      <c r="AB107" s="6"/>
      <c r="AC107" s="119"/>
      <c r="AD107" s="93"/>
      <c r="AE107" s="120">
        <f t="shared" si="1"/>
        <v>2248.2</v>
      </c>
      <c r="AF107" s="113">
        <f t="shared" si="2"/>
        <v>90</v>
      </c>
      <c r="AG107" s="113">
        <f t="shared" si="3"/>
        <v>0</v>
      </c>
      <c r="AH107" s="113">
        <f t="shared" si="4"/>
        <v>90</v>
      </c>
      <c r="AI107" s="121">
        <f t="shared" si="5"/>
        <v>24.98</v>
      </c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ht="15.75" customHeight="1">
      <c r="A108" s="122" t="s">
        <v>19</v>
      </c>
      <c r="B108" s="123">
        <f t="shared" si="6"/>
        <v>45761</v>
      </c>
      <c r="C108" s="124">
        <v>4.0</v>
      </c>
      <c r="D108" s="124" t="s">
        <v>29</v>
      </c>
      <c r="E108" s="125"/>
      <c r="F108" s="125" t="s">
        <v>32</v>
      </c>
      <c r="G108" s="126">
        <v>0.0</v>
      </c>
      <c r="I108" s="127">
        <v>0.0</v>
      </c>
      <c r="K108" s="127">
        <v>0.0</v>
      </c>
      <c r="M108" s="127">
        <v>0.0</v>
      </c>
      <c r="O108" s="127">
        <v>0.0</v>
      </c>
      <c r="Q108" s="127">
        <v>0.0</v>
      </c>
      <c r="R108" s="92"/>
      <c r="S108" s="128"/>
      <c r="U108" s="129"/>
      <c r="W108" s="129"/>
      <c r="Y108" s="129"/>
      <c r="AA108" s="129"/>
      <c r="AC108" s="129"/>
      <c r="AD108" s="92"/>
      <c r="AE108" s="130">
        <f t="shared" si="1"/>
        <v>0</v>
      </c>
      <c r="AF108" s="124">
        <f t="shared" si="2"/>
        <v>0</v>
      </c>
      <c r="AG108" s="124">
        <f t="shared" si="3"/>
        <v>0</v>
      </c>
      <c r="AH108" s="124">
        <f t="shared" si="4"/>
        <v>0</v>
      </c>
      <c r="AI108" s="131">
        <f t="shared" si="5"/>
        <v>0</v>
      </c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ht="15.75" customHeight="1">
      <c r="A109" s="132" t="s">
        <v>21</v>
      </c>
      <c r="B109" s="133">
        <f t="shared" si="6"/>
        <v>45762</v>
      </c>
      <c r="C109" s="134">
        <v>4.0</v>
      </c>
      <c r="D109" s="134" t="s">
        <v>29</v>
      </c>
      <c r="E109" s="135"/>
      <c r="F109" s="135" t="s">
        <v>32</v>
      </c>
      <c r="G109" s="126">
        <v>0.0</v>
      </c>
      <c r="I109" s="127">
        <v>0.0</v>
      </c>
      <c r="K109" s="127">
        <v>0.0</v>
      </c>
      <c r="M109" s="127">
        <v>0.0</v>
      </c>
      <c r="O109" s="127">
        <v>0.0</v>
      </c>
      <c r="Q109" s="127">
        <v>0.0</v>
      </c>
      <c r="R109" s="92"/>
      <c r="S109" s="128"/>
      <c r="U109" s="129"/>
      <c r="W109" s="129"/>
      <c r="Y109" s="129"/>
      <c r="AA109" s="129"/>
      <c r="AC109" s="129"/>
      <c r="AD109" s="92"/>
      <c r="AE109" s="136">
        <f t="shared" si="1"/>
        <v>0</v>
      </c>
      <c r="AF109" s="134">
        <f t="shared" si="2"/>
        <v>0</v>
      </c>
      <c r="AG109" s="134">
        <f t="shared" si="3"/>
        <v>0</v>
      </c>
      <c r="AH109" s="134">
        <f t="shared" si="4"/>
        <v>0</v>
      </c>
      <c r="AI109" s="137">
        <f t="shared" si="5"/>
        <v>0</v>
      </c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ht="15.75" customHeight="1">
      <c r="A110" s="132" t="s">
        <v>22</v>
      </c>
      <c r="B110" s="133">
        <f t="shared" si="6"/>
        <v>45763</v>
      </c>
      <c r="C110" s="134">
        <v>4.0</v>
      </c>
      <c r="D110" s="134" t="s">
        <v>29</v>
      </c>
      <c r="E110" s="135"/>
      <c r="F110" s="135" t="s">
        <v>32</v>
      </c>
      <c r="G110" s="126">
        <v>0.0</v>
      </c>
      <c r="I110" s="127">
        <v>0.0</v>
      </c>
      <c r="K110" s="127">
        <v>0.0</v>
      </c>
      <c r="M110" s="127">
        <v>0.0</v>
      </c>
      <c r="O110" s="127">
        <v>0.0</v>
      </c>
      <c r="Q110" s="127">
        <v>0.0</v>
      </c>
      <c r="R110" s="92"/>
      <c r="S110" s="128"/>
      <c r="U110" s="129"/>
      <c r="W110" s="129"/>
      <c r="Y110" s="129"/>
      <c r="AA110" s="129"/>
      <c r="AC110" s="129"/>
      <c r="AD110" s="92"/>
      <c r="AE110" s="136">
        <f t="shared" si="1"/>
        <v>0</v>
      </c>
      <c r="AF110" s="134">
        <f t="shared" si="2"/>
        <v>0</v>
      </c>
      <c r="AG110" s="134">
        <f t="shared" si="3"/>
        <v>0</v>
      </c>
      <c r="AH110" s="134">
        <f t="shared" si="4"/>
        <v>0</v>
      </c>
      <c r="AI110" s="137">
        <f t="shared" si="5"/>
        <v>0</v>
      </c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ht="15.75" customHeight="1">
      <c r="A111" s="132" t="s">
        <v>23</v>
      </c>
      <c r="B111" s="133">
        <f t="shared" si="6"/>
        <v>45764</v>
      </c>
      <c r="C111" s="134">
        <v>4.0</v>
      </c>
      <c r="D111" s="134" t="s">
        <v>29</v>
      </c>
      <c r="E111" s="135"/>
      <c r="F111" s="135" t="s">
        <v>32</v>
      </c>
      <c r="G111" s="126">
        <v>0.0</v>
      </c>
      <c r="I111" s="127">
        <v>0.0</v>
      </c>
      <c r="K111" s="127">
        <v>0.0</v>
      </c>
      <c r="M111" s="127">
        <v>0.0</v>
      </c>
      <c r="O111" s="127">
        <v>0.0</v>
      </c>
      <c r="Q111" s="127">
        <v>0.0</v>
      </c>
      <c r="R111" s="92"/>
      <c r="S111" s="128"/>
      <c r="U111" s="129"/>
      <c r="W111" s="129"/>
      <c r="Y111" s="129"/>
      <c r="AA111" s="129"/>
      <c r="AC111" s="129"/>
      <c r="AD111" s="92"/>
      <c r="AE111" s="136">
        <f t="shared" si="1"/>
        <v>0</v>
      </c>
      <c r="AF111" s="134">
        <f t="shared" si="2"/>
        <v>0</v>
      </c>
      <c r="AG111" s="134">
        <f t="shared" si="3"/>
        <v>0</v>
      </c>
      <c r="AH111" s="134">
        <f t="shared" si="4"/>
        <v>0</v>
      </c>
      <c r="AI111" s="137">
        <f t="shared" si="5"/>
        <v>0</v>
      </c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ht="15.75" customHeight="1">
      <c r="A112" s="132" t="s">
        <v>24</v>
      </c>
      <c r="B112" s="133">
        <f t="shared" si="6"/>
        <v>45765</v>
      </c>
      <c r="C112" s="134">
        <v>4.0</v>
      </c>
      <c r="D112" s="134" t="s">
        <v>29</v>
      </c>
      <c r="E112" s="135"/>
      <c r="F112" s="135" t="s">
        <v>32</v>
      </c>
      <c r="G112" s="126">
        <v>0.0</v>
      </c>
      <c r="I112" s="127">
        <v>0.0</v>
      </c>
      <c r="K112" s="127">
        <v>0.0</v>
      </c>
      <c r="M112" s="127">
        <v>0.0</v>
      </c>
      <c r="O112" s="127">
        <v>0.0</v>
      </c>
      <c r="Q112" s="127">
        <v>0.0</v>
      </c>
      <c r="R112" s="92"/>
      <c r="S112" s="128"/>
      <c r="U112" s="129"/>
      <c r="W112" s="129"/>
      <c r="Y112" s="129"/>
      <c r="AA112" s="129"/>
      <c r="AC112" s="129"/>
      <c r="AD112" s="92"/>
      <c r="AE112" s="136">
        <f t="shared" si="1"/>
        <v>0</v>
      </c>
      <c r="AF112" s="134">
        <f t="shared" si="2"/>
        <v>0</v>
      </c>
      <c r="AG112" s="134">
        <f t="shared" si="3"/>
        <v>0</v>
      </c>
      <c r="AH112" s="134">
        <f t="shared" si="4"/>
        <v>0</v>
      </c>
      <c r="AI112" s="137">
        <f t="shared" si="5"/>
        <v>0</v>
      </c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ht="15.75" customHeight="1">
      <c r="A113" s="132" t="s">
        <v>25</v>
      </c>
      <c r="B113" s="133">
        <f t="shared" si="6"/>
        <v>45766</v>
      </c>
      <c r="C113" s="134">
        <v>4.0</v>
      </c>
      <c r="D113" s="134" t="s">
        <v>29</v>
      </c>
      <c r="E113" s="135"/>
      <c r="F113" s="135" t="s">
        <v>32</v>
      </c>
      <c r="G113" s="126">
        <v>0.0</v>
      </c>
      <c r="I113" s="127">
        <v>0.0</v>
      </c>
      <c r="K113" s="127">
        <v>0.0</v>
      </c>
      <c r="M113" s="127">
        <v>0.0</v>
      </c>
      <c r="O113" s="127">
        <v>0.0</v>
      </c>
      <c r="Q113" s="127">
        <v>0.0</v>
      </c>
      <c r="R113" s="92"/>
      <c r="S113" s="128"/>
      <c r="U113" s="129"/>
      <c r="W113" s="129"/>
      <c r="Y113" s="129"/>
      <c r="AA113" s="129"/>
      <c r="AC113" s="129"/>
      <c r="AD113" s="92"/>
      <c r="AE113" s="136">
        <f t="shared" si="1"/>
        <v>0</v>
      </c>
      <c r="AF113" s="134">
        <f t="shared" si="2"/>
        <v>0</v>
      </c>
      <c r="AG113" s="134">
        <f t="shared" si="3"/>
        <v>0</v>
      </c>
      <c r="AH113" s="134">
        <f t="shared" si="4"/>
        <v>0</v>
      </c>
      <c r="AI113" s="137">
        <f t="shared" si="5"/>
        <v>0</v>
      </c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ht="15.75" customHeight="1">
      <c r="A114" s="138" t="s">
        <v>26</v>
      </c>
      <c r="B114" s="139">
        <f t="shared" si="6"/>
        <v>45767</v>
      </c>
      <c r="C114" s="140">
        <v>4.0</v>
      </c>
      <c r="D114" s="140" t="s">
        <v>29</v>
      </c>
      <c r="E114" s="141"/>
      <c r="F114" s="141" t="s">
        <v>32</v>
      </c>
      <c r="G114" s="142">
        <v>0.0</v>
      </c>
      <c r="H114" s="6"/>
      <c r="I114" s="142">
        <v>0.0</v>
      </c>
      <c r="J114" s="6"/>
      <c r="K114" s="142">
        <v>0.0</v>
      </c>
      <c r="L114" s="6"/>
      <c r="M114" s="142">
        <v>0.0</v>
      </c>
      <c r="N114" s="6"/>
      <c r="O114" s="142">
        <v>0.0</v>
      </c>
      <c r="P114" s="6"/>
      <c r="Q114" s="142">
        <v>0.0</v>
      </c>
      <c r="R114" s="93"/>
      <c r="S114" s="143"/>
      <c r="T114" s="6"/>
      <c r="U114" s="144"/>
      <c r="V114" s="6"/>
      <c r="W114" s="144"/>
      <c r="X114" s="6"/>
      <c r="Y114" s="144"/>
      <c r="Z114" s="6"/>
      <c r="AA114" s="144"/>
      <c r="AB114" s="6"/>
      <c r="AC114" s="144"/>
      <c r="AD114" s="93"/>
      <c r="AE114" s="145">
        <f t="shared" si="1"/>
        <v>0</v>
      </c>
      <c r="AF114" s="140">
        <f t="shared" si="2"/>
        <v>0</v>
      </c>
      <c r="AG114" s="140">
        <f t="shared" si="3"/>
        <v>0</v>
      </c>
      <c r="AH114" s="140">
        <f t="shared" si="4"/>
        <v>0</v>
      </c>
      <c r="AI114" s="146">
        <f t="shared" si="5"/>
        <v>0</v>
      </c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ht="15.75" customHeight="1">
      <c r="A115" s="147" t="s">
        <v>19</v>
      </c>
      <c r="B115" s="148">
        <f t="shared" si="6"/>
        <v>45768</v>
      </c>
      <c r="C115" s="149">
        <v>5.0</v>
      </c>
      <c r="D115" s="149" t="s">
        <v>20</v>
      </c>
      <c r="E115" s="150"/>
      <c r="F115" s="150" t="s">
        <v>32</v>
      </c>
      <c r="G115" s="151">
        <v>0.0</v>
      </c>
      <c r="I115" s="152">
        <v>0.0</v>
      </c>
      <c r="K115" s="152">
        <v>0.0</v>
      </c>
      <c r="M115" s="152">
        <v>0.0</v>
      </c>
      <c r="O115" s="152">
        <v>0.0</v>
      </c>
      <c r="Q115" s="152">
        <v>0.0</v>
      </c>
      <c r="R115" s="92"/>
      <c r="S115" s="153"/>
      <c r="U115" s="154"/>
      <c r="W115" s="154"/>
      <c r="Y115" s="154"/>
      <c r="AA115" s="154"/>
      <c r="AC115" s="154"/>
      <c r="AD115" s="92"/>
      <c r="AE115" s="155">
        <f t="shared" si="1"/>
        <v>0</v>
      </c>
      <c r="AF115" s="149">
        <f t="shared" si="2"/>
        <v>0</v>
      </c>
      <c r="AG115" s="149">
        <f t="shared" si="3"/>
        <v>0</v>
      </c>
      <c r="AH115" s="149">
        <f t="shared" si="4"/>
        <v>0</v>
      </c>
      <c r="AI115" s="156">
        <f t="shared" si="5"/>
        <v>0</v>
      </c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ht="15.75" customHeight="1">
      <c r="A116" s="157" t="s">
        <v>21</v>
      </c>
      <c r="B116" s="158">
        <f t="shared" si="6"/>
        <v>45769</v>
      </c>
      <c r="C116" s="159">
        <v>5.0</v>
      </c>
      <c r="D116" s="159" t="s">
        <v>20</v>
      </c>
      <c r="E116" s="160">
        <v>3.0</v>
      </c>
      <c r="F116" s="161" t="s">
        <v>33</v>
      </c>
      <c r="G116" s="151">
        <v>0.0</v>
      </c>
      <c r="I116" s="152">
        <v>45.0</v>
      </c>
      <c r="K116" s="152">
        <v>45.0</v>
      </c>
      <c r="M116" s="152">
        <v>0.0</v>
      </c>
      <c r="O116" s="152">
        <v>45.0</v>
      </c>
      <c r="Q116" s="152">
        <v>0.0</v>
      </c>
      <c r="R116" s="92"/>
      <c r="S116" s="153"/>
      <c r="U116" s="154"/>
      <c r="W116" s="154"/>
      <c r="Y116" s="154"/>
      <c r="AA116" s="154"/>
      <c r="AC116" s="154"/>
      <c r="AD116" s="92"/>
      <c r="AE116" s="162">
        <f t="shared" si="1"/>
        <v>2622.6</v>
      </c>
      <c r="AF116" s="159">
        <f t="shared" si="2"/>
        <v>90</v>
      </c>
      <c r="AG116" s="159">
        <f t="shared" si="3"/>
        <v>45</v>
      </c>
      <c r="AH116" s="159">
        <f t="shared" si="4"/>
        <v>135</v>
      </c>
      <c r="AI116" s="163">
        <f t="shared" si="5"/>
        <v>19.42666667</v>
      </c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ht="15.75" customHeight="1">
      <c r="A117" s="157" t="s">
        <v>22</v>
      </c>
      <c r="B117" s="158">
        <f t="shared" si="6"/>
        <v>45770</v>
      </c>
      <c r="C117" s="159">
        <v>5.0</v>
      </c>
      <c r="D117" s="159" t="s">
        <v>20</v>
      </c>
      <c r="E117" s="160">
        <v>3.0</v>
      </c>
      <c r="F117" s="161" t="s">
        <v>31</v>
      </c>
      <c r="G117" s="151">
        <v>45.0</v>
      </c>
      <c r="I117" s="152">
        <v>45.0</v>
      </c>
      <c r="K117" s="152">
        <v>0.0</v>
      </c>
      <c r="M117" s="152">
        <v>0.0</v>
      </c>
      <c r="O117" s="152">
        <v>0.0</v>
      </c>
      <c r="Q117" s="152">
        <v>0.0</v>
      </c>
      <c r="R117" s="92"/>
      <c r="S117" s="153"/>
      <c r="U117" s="154"/>
      <c r="W117" s="154"/>
      <c r="Y117" s="154"/>
      <c r="AA117" s="154"/>
      <c r="AC117" s="154"/>
      <c r="AD117" s="92"/>
      <c r="AE117" s="162">
        <f t="shared" si="1"/>
        <v>2248.2</v>
      </c>
      <c r="AF117" s="159">
        <f t="shared" si="2"/>
        <v>90</v>
      </c>
      <c r="AG117" s="159">
        <f t="shared" si="3"/>
        <v>0</v>
      </c>
      <c r="AH117" s="159">
        <f t="shared" si="4"/>
        <v>90</v>
      </c>
      <c r="AI117" s="163">
        <f t="shared" si="5"/>
        <v>24.98</v>
      </c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ht="15.75" customHeight="1">
      <c r="A118" s="157" t="s">
        <v>23</v>
      </c>
      <c r="B118" s="158">
        <f t="shared" si="6"/>
        <v>45771</v>
      </c>
      <c r="C118" s="159">
        <v>5.0</v>
      </c>
      <c r="D118" s="159" t="s">
        <v>20</v>
      </c>
      <c r="E118" s="160">
        <v>3.0</v>
      </c>
      <c r="F118" s="161" t="s">
        <v>33</v>
      </c>
      <c r="G118" s="151">
        <v>0.0</v>
      </c>
      <c r="I118" s="152">
        <v>45.0</v>
      </c>
      <c r="K118" s="152">
        <v>45.0</v>
      </c>
      <c r="M118" s="152">
        <v>0.0</v>
      </c>
      <c r="O118" s="152">
        <v>45.0</v>
      </c>
      <c r="Q118" s="152">
        <v>0.0</v>
      </c>
      <c r="R118" s="92"/>
      <c r="S118" s="153"/>
      <c r="U118" s="154"/>
      <c r="W118" s="154"/>
      <c r="Y118" s="154"/>
      <c r="AA118" s="154"/>
      <c r="AC118" s="154"/>
      <c r="AD118" s="92"/>
      <c r="AE118" s="162">
        <f t="shared" si="1"/>
        <v>2622.6</v>
      </c>
      <c r="AF118" s="159">
        <f t="shared" si="2"/>
        <v>90</v>
      </c>
      <c r="AG118" s="159">
        <f t="shared" si="3"/>
        <v>45</v>
      </c>
      <c r="AH118" s="159">
        <f t="shared" si="4"/>
        <v>135</v>
      </c>
      <c r="AI118" s="163">
        <f t="shared" si="5"/>
        <v>19.42666667</v>
      </c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ht="15.75" customHeight="1">
      <c r="A119" s="157" t="s">
        <v>24</v>
      </c>
      <c r="B119" s="158">
        <f t="shared" si="6"/>
        <v>45772</v>
      </c>
      <c r="C119" s="159">
        <v>5.0</v>
      </c>
      <c r="D119" s="159" t="s">
        <v>20</v>
      </c>
      <c r="E119" s="160">
        <v>3.0</v>
      </c>
      <c r="F119" s="161" t="s">
        <v>33</v>
      </c>
      <c r="G119" s="151">
        <v>0.0</v>
      </c>
      <c r="I119" s="152">
        <v>45.0</v>
      </c>
      <c r="K119" s="152">
        <v>0.0</v>
      </c>
      <c r="M119" s="152">
        <v>0.0</v>
      </c>
      <c r="O119" s="152">
        <v>45.0</v>
      </c>
      <c r="Q119" s="152">
        <v>0.0</v>
      </c>
      <c r="R119" s="92"/>
      <c r="S119" s="153"/>
      <c r="U119" s="154"/>
      <c r="W119" s="154"/>
      <c r="Y119" s="154"/>
      <c r="AA119" s="154"/>
      <c r="AC119" s="154"/>
      <c r="AD119" s="92"/>
      <c r="AE119" s="162">
        <f t="shared" si="1"/>
        <v>1498.5</v>
      </c>
      <c r="AF119" s="159">
        <f t="shared" si="2"/>
        <v>45</v>
      </c>
      <c r="AG119" s="159">
        <f t="shared" si="3"/>
        <v>45</v>
      </c>
      <c r="AH119" s="159">
        <f t="shared" si="4"/>
        <v>90</v>
      </c>
      <c r="AI119" s="163">
        <f t="shared" si="5"/>
        <v>16.65</v>
      </c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ht="15.75" customHeight="1">
      <c r="A120" s="157" t="s">
        <v>25</v>
      </c>
      <c r="B120" s="158">
        <f t="shared" si="6"/>
        <v>45773</v>
      </c>
      <c r="C120" s="159">
        <v>5.0</v>
      </c>
      <c r="D120" s="159" t="s">
        <v>20</v>
      </c>
      <c r="E120" s="160">
        <v>3.0</v>
      </c>
      <c r="F120" s="161" t="s">
        <v>33</v>
      </c>
      <c r="G120" s="151">
        <v>0.0</v>
      </c>
      <c r="I120" s="152">
        <v>45.0</v>
      </c>
      <c r="K120" s="152">
        <v>45.0</v>
      </c>
      <c r="M120" s="152">
        <v>0.0</v>
      </c>
      <c r="O120" s="152">
        <v>45.0</v>
      </c>
      <c r="Q120" s="152">
        <v>0.0</v>
      </c>
      <c r="R120" s="92"/>
      <c r="S120" s="153"/>
      <c r="U120" s="154"/>
      <c r="W120" s="154"/>
      <c r="Y120" s="154"/>
      <c r="AA120" s="154"/>
      <c r="AC120" s="154"/>
      <c r="AD120" s="92"/>
      <c r="AE120" s="162">
        <f t="shared" si="1"/>
        <v>2622.6</v>
      </c>
      <c r="AF120" s="159">
        <f t="shared" si="2"/>
        <v>90</v>
      </c>
      <c r="AG120" s="159">
        <f t="shared" si="3"/>
        <v>45</v>
      </c>
      <c r="AH120" s="159">
        <f t="shared" si="4"/>
        <v>135</v>
      </c>
      <c r="AI120" s="163">
        <f t="shared" si="5"/>
        <v>19.42666667</v>
      </c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ht="15.75" customHeight="1">
      <c r="A121" s="164" t="s">
        <v>26</v>
      </c>
      <c r="B121" s="165">
        <f t="shared" si="6"/>
        <v>45774</v>
      </c>
      <c r="C121" s="166">
        <v>5.0</v>
      </c>
      <c r="D121" s="166" t="s">
        <v>20</v>
      </c>
      <c r="E121" s="167">
        <v>3.0</v>
      </c>
      <c r="F121" s="168" t="s">
        <v>31</v>
      </c>
      <c r="G121" s="169">
        <v>45.0</v>
      </c>
      <c r="H121" s="6"/>
      <c r="I121" s="170">
        <v>45.0</v>
      </c>
      <c r="J121" s="6"/>
      <c r="K121" s="170">
        <v>0.0</v>
      </c>
      <c r="L121" s="6"/>
      <c r="M121" s="170">
        <v>0.0</v>
      </c>
      <c r="N121" s="6"/>
      <c r="O121" s="170">
        <v>0.0</v>
      </c>
      <c r="P121" s="6"/>
      <c r="Q121" s="170">
        <v>0.0</v>
      </c>
      <c r="R121" s="93"/>
      <c r="S121" s="171"/>
      <c r="T121" s="6"/>
      <c r="U121" s="172"/>
      <c r="V121" s="6"/>
      <c r="W121" s="172"/>
      <c r="X121" s="6"/>
      <c r="Y121" s="172"/>
      <c r="Z121" s="6"/>
      <c r="AA121" s="172"/>
      <c r="AB121" s="6"/>
      <c r="AC121" s="172"/>
      <c r="AD121" s="93"/>
      <c r="AE121" s="173">
        <f t="shared" si="1"/>
        <v>2248.2</v>
      </c>
      <c r="AF121" s="166">
        <f t="shared" si="2"/>
        <v>90</v>
      </c>
      <c r="AG121" s="166">
        <f t="shared" si="3"/>
        <v>0</v>
      </c>
      <c r="AH121" s="166">
        <f t="shared" si="4"/>
        <v>90</v>
      </c>
      <c r="AI121" s="174">
        <f t="shared" si="5"/>
        <v>24.98</v>
      </c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ht="15.75" customHeight="1">
      <c r="A122" s="122" t="s">
        <v>19</v>
      </c>
      <c r="B122" s="123">
        <f t="shared" si="6"/>
        <v>45775</v>
      </c>
      <c r="C122" s="124">
        <v>5.0</v>
      </c>
      <c r="D122" s="124" t="s">
        <v>27</v>
      </c>
      <c r="E122" s="125"/>
      <c r="F122" s="125" t="s">
        <v>32</v>
      </c>
      <c r="G122" s="126">
        <v>0.0</v>
      </c>
      <c r="I122" s="127">
        <v>0.0</v>
      </c>
      <c r="K122" s="127">
        <v>0.0</v>
      </c>
      <c r="M122" s="127">
        <v>0.0</v>
      </c>
      <c r="O122" s="127">
        <v>0.0</v>
      </c>
      <c r="Q122" s="127">
        <v>0.0</v>
      </c>
      <c r="R122" s="92"/>
      <c r="S122" s="128"/>
      <c r="U122" s="129"/>
      <c r="W122" s="129"/>
      <c r="Y122" s="129"/>
      <c r="AA122" s="129"/>
      <c r="AC122" s="129"/>
      <c r="AD122" s="92"/>
      <c r="AE122" s="130">
        <f t="shared" si="1"/>
        <v>0</v>
      </c>
      <c r="AF122" s="124">
        <f t="shared" si="2"/>
        <v>0</v>
      </c>
      <c r="AG122" s="124">
        <f t="shared" si="3"/>
        <v>0</v>
      </c>
      <c r="AH122" s="124">
        <f t="shared" si="4"/>
        <v>0</v>
      </c>
      <c r="AI122" s="131">
        <f t="shared" si="5"/>
        <v>0</v>
      </c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ht="15.75" customHeight="1">
      <c r="A123" s="132" t="s">
        <v>21</v>
      </c>
      <c r="B123" s="133">
        <f t="shared" si="6"/>
        <v>45776</v>
      </c>
      <c r="C123" s="134">
        <v>5.0</v>
      </c>
      <c r="D123" s="134" t="s">
        <v>27</v>
      </c>
      <c r="E123" s="135"/>
      <c r="F123" s="135" t="s">
        <v>32</v>
      </c>
      <c r="G123" s="126">
        <v>0.0</v>
      </c>
      <c r="I123" s="127">
        <v>0.0</v>
      </c>
      <c r="K123" s="127">
        <v>0.0</v>
      </c>
      <c r="M123" s="127">
        <v>0.0</v>
      </c>
      <c r="O123" s="127">
        <v>0.0</v>
      </c>
      <c r="Q123" s="127">
        <v>0.0</v>
      </c>
      <c r="R123" s="92"/>
      <c r="S123" s="128"/>
      <c r="U123" s="129"/>
      <c r="W123" s="129"/>
      <c r="Y123" s="129"/>
      <c r="AA123" s="129"/>
      <c r="AC123" s="129"/>
      <c r="AD123" s="92"/>
      <c r="AE123" s="136">
        <f t="shared" si="1"/>
        <v>0</v>
      </c>
      <c r="AF123" s="134">
        <f t="shared" si="2"/>
        <v>0</v>
      </c>
      <c r="AG123" s="134">
        <f t="shared" si="3"/>
        <v>0</v>
      </c>
      <c r="AH123" s="134">
        <f t="shared" si="4"/>
        <v>0</v>
      </c>
      <c r="AI123" s="137">
        <f t="shared" si="5"/>
        <v>0</v>
      </c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ht="15.75" customHeight="1">
      <c r="A124" s="132" t="s">
        <v>22</v>
      </c>
      <c r="B124" s="133">
        <f t="shared" si="6"/>
        <v>45777</v>
      </c>
      <c r="C124" s="134">
        <v>5.0</v>
      </c>
      <c r="D124" s="134" t="s">
        <v>27</v>
      </c>
      <c r="E124" s="135"/>
      <c r="F124" s="135" t="s">
        <v>32</v>
      </c>
      <c r="G124" s="126">
        <v>0.0</v>
      </c>
      <c r="I124" s="127">
        <v>0.0</v>
      </c>
      <c r="K124" s="127">
        <v>0.0</v>
      </c>
      <c r="M124" s="127">
        <v>0.0</v>
      </c>
      <c r="O124" s="127">
        <v>0.0</v>
      </c>
      <c r="Q124" s="127">
        <v>0.0</v>
      </c>
      <c r="R124" s="92"/>
      <c r="S124" s="128"/>
      <c r="U124" s="129"/>
      <c r="W124" s="129"/>
      <c r="Y124" s="129"/>
      <c r="AA124" s="129"/>
      <c r="AC124" s="129"/>
      <c r="AD124" s="92"/>
      <c r="AE124" s="136">
        <f t="shared" si="1"/>
        <v>0</v>
      </c>
      <c r="AF124" s="134">
        <f t="shared" si="2"/>
        <v>0</v>
      </c>
      <c r="AG124" s="134">
        <f t="shared" si="3"/>
        <v>0</v>
      </c>
      <c r="AH124" s="134">
        <f t="shared" si="4"/>
        <v>0</v>
      </c>
      <c r="AI124" s="137">
        <f t="shared" si="5"/>
        <v>0</v>
      </c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ht="15.75" customHeight="1">
      <c r="A125" s="132" t="s">
        <v>23</v>
      </c>
      <c r="B125" s="133">
        <f t="shared" si="6"/>
        <v>45778</v>
      </c>
      <c r="C125" s="134">
        <v>5.0</v>
      </c>
      <c r="D125" s="134" t="s">
        <v>27</v>
      </c>
      <c r="E125" s="135"/>
      <c r="F125" s="135" t="s">
        <v>32</v>
      </c>
      <c r="G125" s="126">
        <v>0.0</v>
      </c>
      <c r="I125" s="127">
        <v>0.0</v>
      </c>
      <c r="K125" s="127">
        <v>0.0</v>
      </c>
      <c r="M125" s="127">
        <v>0.0</v>
      </c>
      <c r="O125" s="127">
        <v>0.0</v>
      </c>
      <c r="Q125" s="127">
        <v>0.0</v>
      </c>
      <c r="R125" s="92"/>
      <c r="S125" s="128"/>
      <c r="U125" s="129"/>
      <c r="W125" s="129"/>
      <c r="Y125" s="129"/>
      <c r="AA125" s="129"/>
      <c r="AC125" s="129"/>
      <c r="AD125" s="92"/>
      <c r="AE125" s="136">
        <f t="shared" si="1"/>
        <v>0</v>
      </c>
      <c r="AF125" s="134">
        <f t="shared" si="2"/>
        <v>0</v>
      </c>
      <c r="AG125" s="134">
        <f t="shared" si="3"/>
        <v>0</v>
      </c>
      <c r="AH125" s="134">
        <f t="shared" si="4"/>
        <v>0</v>
      </c>
      <c r="AI125" s="137">
        <f t="shared" si="5"/>
        <v>0</v>
      </c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ht="15.75" customHeight="1">
      <c r="A126" s="132" t="s">
        <v>24</v>
      </c>
      <c r="B126" s="133">
        <f t="shared" si="6"/>
        <v>45779</v>
      </c>
      <c r="C126" s="134">
        <v>5.0</v>
      </c>
      <c r="D126" s="134" t="s">
        <v>27</v>
      </c>
      <c r="E126" s="135"/>
      <c r="F126" s="135" t="s">
        <v>32</v>
      </c>
      <c r="G126" s="126">
        <v>0.0</v>
      </c>
      <c r="I126" s="127">
        <v>0.0</v>
      </c>
      <c r="K126" s="127">
        <v>0.0</v>
      </c>
      <c r="M126" s="127">
        <v>0.0</v>
      </c>
      <c r="O126" s="127">
        <v>0.0</v>
      </c>
      <c r="Q126" s="127">
        <v>0.0</v>
      </c>
      <c r="R126" s="92"/>
      <c r="S126" s="128"/>
      <c r="U126" s="129"/>
      <c r="W126" s="129"/>
      <c r="Y126" s="129"/>
      <c r="AA126" s="129"/>
      <c r="AC126" s="129"/>
      <c r="AD126" s="92"/>
      <c r="AE126" s="136">
        <f t="shared" si="1"/>
        <v>0</v>
      </c>
      <c r="AF126" s="134">
        <f t="shared" si="2"/>
        <v>0</v>
      </c>
      <c r="AG126" s="134">
        <f t="shared" si="3"/>
        <v>0</v>
      </c>
      <c r="AH126" s="134">
        <f t="shared" si="4"/>
        <v>0</v>
      </c>
      <c r="AI126" s="137">
        <f t="shared" si="5"/>
        <v>0</v>
      </c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ht="15.75" customHeight="1">
      <c r="A127" s="132" t="s">
        <v>25</v>
      </c>
      <c r="B127" s="133">
        <f t="shared" si="6"/>
        <v>45780</v>
      </c>
      <c r="C127" s="134">
        <v>5.0</v>
      </c>
      <c r="D127" s="134" t="s">
        <v>27</v>
      </c>
      <c r="E127" s="135"/>
      <c r="F127" s="135" t="s">
        <v>32</v>
      </c>
      <c r="G127" s="126">
        <v>0.0</v>
      </c>
      <c r="I127" s="127">
        <v>0.0</v>
      </c>
      <c r="K127" s="127">
        <v>0.0</v>
      </c>
      <c r="M127" s="127">
        <v>0.0</v>
      </c>
      <c r="O127" s="127">
        <v>0.0</v>
      </c>
      <c r="Q127" s="127">
        <v>0.0</v>
      </c>
      <c r="R127" s="92"/>
      <c r="S127" s="128"/>
      <c r="U127" s="129"/>
      <c r="W127" s="129"/>
      <c r="Y127" s="129"/>
      <c r="AA127" s="129"/>
      <c r="AC127" s="129"/>
      <c r="AD127" s="92"/>
      <c r="AE127" s="136">
        <f t="shared" si="1"/>
        <v>0</v>
      </c>
      <c r="AF127" s="134">
        <f t="shared" si="2"/>
        <v>0</v>
      </c>
      <c r="AG127" s="134">
        <f t="shared" si="3"/>
        <v>0</v>
      </c>
      <c r="AH127" s="134">
        <f t="shared" si="4"/>
        <v>0</v>
      </c>
      <c r="AI127" s="137">
        <f t="shared" si="5"/>
        <v>0</v>
      </c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ht="15.75" customHeight="1">
      <c r="A128" s="138" t="s">
        <v>26</v>
      </c>
      <c r="B128" s="139">
        <f t="shared" si="6"/>
        <v>45781</v>
      </c>
      <c r="C128" s="140">
        <v>5.0</v>
      </c>
      <c r="D128" s="140" t="s">
        <v>27</v>
      </c>
      <c r="E128" s="141"/>
      <c r="F128" s="141" t="s">
        <v>32</v>
      </c>
      <c r="G128" s="142">
        <v>0.0</v>
      </c>
      <c r="H128" s="6"/>
      <c r="I128" s="142">
        <v>0.0</v>
      </c>
      <c r="J128" s="6"/>
      <c r="K128" s="142">
        <v>0.0</v>
      </c>
      <c r="L128" s="6"/>
      <c r="M128" s="142">
        <v>0.0</v>
      </c>
      <c r="N128" s="6"/>
      <c r="O128" s="142">
        <v>0.0</v>
      </c>
      <c r="P128" s="6"/>
      <c r="Q128" s="142">
        <v>0.0</v>
      </c>
      <c r="R128" s="93"/>
      <c r="S128" s="143"/>
      <c r="T128" s="6"/>
      <c r="U128" s="144"/>
      <c r="V128" s="6"/>
      <c r="W128" s="144"/>
      <c r="X128" s="6"/>
      <c r="Y128" s="144"/>
      <c r="Z128" s="6"/>
      <c r="AA128" s="144"/>
      <c r="AB128" s="6"/>
      <c r="AC128" s="144"/>
      <c r="AD128" s="93"/>
      <c r="AE128" s="145">
        <f t="shared" si="1"/>
        <v>0</v>
      </c>
      <c r="AF128" s="140">
        <f t="shared" si="2"/>
        <v>0</v>
      </c>
      <c r="AG128" s="140">
        <f t="shared" si="3"/>
        <v>0</v>
      </c>
      <c r="AH128" s="140">
        <f t="shared" si="4"/>
        <v>0</v>
      </c>
      <c r="AI128" s="146">
        <f t="shared" si="5"/>
        <v>0</v>
      </c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ht="15.75" customHeight="1">
      <c r="A129" s="147" t="s">
        <v>19</v>
      </c>
      <c r="B129" s="148">
        <f t="shared" si="6"/>
        <v>45782</v>
      </c>
      <c r="C129" s="149">
        <v>5.0</v>
      </c>
      <c r="D129" s="149" t="s">
        <v>28</v>
      </c>
      <c r="E129" s="150"/>
      <c r="F129" s="150" t="s">
        <v>32</v>
      </c>
      <c r="G129" s="151">
        <v>0.0</v>
      </c>
      <c r="I129" s="152">
        <v>0.0</v>
      </c>
      <c r="K129" s="152">
        <v>0.0</v>
      </c>
      <c r="M129" s="152">
        <v>0.0</v>
      </c>
      <c r="O129" s="152">
        <v>0.0</v>
      </c>
      <c r="Q129" s="152">
        <v>0.0</v>
      </c>
      <c r="R129" s="92"/>
      <c r="S129" s="153"/>
      <c r="U129" s="154"/>
      <c r="W129" s="154"/>
      <c r="Y129" s="154"/>
      <c r="AA129" s="154"/>
      <c r="AC129" s="154"/>
      <c r="AD129" s="92"/>
      <c r="AE129" s="155">
        <f t="shared" si="1"/>
        <v>0</v>
      </c>
      <c r="AF129" s="149">
        <f t="shared" si="2"/>
        <v>0</v>
      </c>
      <c r="AG129" s="149">
        <f t="shared" si="3"/>
        <v>0</v>
      </c>
      <c r="AH129" s="149">
        <f t="shared" si="4"/>
        <v>0</v>
      </c>
      <c r="AI129" s="156">
        <f t="shared" si="5"/>
        <v>0</v>
      </c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ht="15.75" customHeight="1">
      <c r="A130" s="157" t="s">
        <v>21</v>
      </c>
      <c r="B130" s="158">
        <f t="shared" si="6"/>
        <v>45783</v>
      </c>
      <c r="C130" s="159">
        <v>5.0</v>
      </c>
      <c r="D130" s="159" t="s">
        <v>28</v>
      </c>
      <c r="E130" s="160">
        <v>4.0</v>
      </c>
      <c r="F130" s="161" t="s">
        <v>33</v>
      </c>
      <c r="G130" s="151">
        <v>0.0</v>
      </c>
      <c r="I130" s="152">
        <v>45.0</v>
      </c>
      <c r="K130" s="152">
        <v>45.0</v>
      </c>
      <c r="M130" s="152">
        <v>0.0</v>
      </c>
      <c r="O130" s="152">
        <v>30.0</v>
      </c>
      <c r="Q130" s="152">
        <v>0.0</v>
      </c>
      <c r="R130" s="92"/>
      <c r="S130" s="153"/>
      <c r="U130" s="154"/>
      <c r="W130" s="154"/>
      <c r="Y130" s="154"/>
      <c r="AA130" s="154"/>
      <c r="AC130" s="154"/>
      <c r="AD130" s="92"/>
      <c r="AE130" s="162">
        <f t="shared" si="1"/>
        <v>2497.8</v>
      </c>
      <c r="AF130" s="159">
        <f t="shared" si="2"/>
        <v>90</v>
      </c>
      <c r="AG130" s="159">
        <f t="shared" si="3"/>
        <v>30</v>
      </c>
      <c r="AH130" s="159">
        <f t="shared" si="4"/>
        <v>120</v>
      </c>
      <c r="AI130" s="163">
        <f t="shared" si="5"/>
        <v>20.815</v>
      </c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ht="15.75" customHeight="1">
      <c r="A131" s="157" t="s">
        <v>22</v>
      </c>
      <c r="B131" s="158">
        <f t="shared" si="6"/>
        <v>45784</v>
      </c>
      <c r="C131" s="159">
        <v>5.0</v>
      </c>
      <c r="D131" s="159" t="s">
        <v>28</v>
      </c>
      <c r="E131" s="160">
        <v>4.0</v>
      </c>
      <c r="F131" s="161" t="s">
        <v>31</v>
      </c>
      <c r="G131" s="151">
        <v>45.0</v>
      </c>
      <c r="I131" s="152">
        <v>45.0</v>
      </c>
      <c r="K131" s="152">
        <v>0.0</v>
      </c>
      <c r="M131" s="152">
        <v>0.0</v>
      </c>
      <c r="O131" s="152">
        <v>0.0</v>
      </c>
      <c r="Q131" s="152">
        <v>0.0</v>
      </c>
      <c r="R131" s="92"/>
      <c r="S131" s="153"/>
      <c r="U131" s="154"/>
      <c r="W131" s="154"/>
      <c r="Y131" s="154"/>
      <c r="AA131" s="154"/>
      <c r="AC131" s="154"/>
      <c r="AD131" s="92"/>
      <c r="AE131" s="162">
        <f t="shared" si="1"/>
        <v>2248.2</v>
      </c>
      <c r="AF131" s="159">
        <f t="shared" si="2"/>
        <v>90</v>
      </c>
      <c r="AG131" s="159">
        <f t="shared" si="3"/>
        <v>0</v>
      </c>
      <c r="AH131" s="159">
        <f t="shared" si="4"/>
        <v>90</v>
      </c>
      <c r="AI131" s="163">
        <f t="shared" si="5"/>
        <v>24.98</v>
      </c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ht="15.75" customHeight="1">
      <c r="A132" s="157" t="s">
        <v>23</v>
      </c>
      <c r="B132" s="158">
        <f t="shared" si="6"/>
        <v>45785</v>
      </c>
      <c r="C132" s="159">
        <v>5.0</v>
      </c>
      <c r="D132" s="159" t="s">
        <v>28</v>
      </c>
      <c r="E132" s="160">
        <v>4.0</v>
      </c>
      <c r="F132" s="161" t="s">
        <v>33</v>
      </c>
      <c r="G132" s="151">
        <v>0.0</v>
      </c>
      <c r="I132" s="152">
        <v>45.0</v>
      </c>
      <c r="K132" s="152">
        <v>45.0</v>
      </c>
      <c r="M132" s="152">
        <v>0.0</v>
      </c>
      <c r="O132" s="152">
        <v>30.0</v>
      </c>
      <c r="Q132" s="152">
        <v>0.0</v>
      </c>
      <c r="R132" s="92"/>
      <c r="S132" s="153"/>
      <c r="U132" s="154"/>
      <c r="W132" s="154"/>
      <c r="Y132" s="154"/>
      <c r="AA132" s="154"/>
      <c r="AC132" s="154"/>
      <c r="AD132" s="92"/>
      <c r="AE132" s="162">
        <f t="shared" si="1"/>
        <v>2497.8</v>
      </c>
      <c r="AF132" s="159">
        <f t="shared" si="2"/>
        <v>90</v>
      </c>
      <c r="AG132" s="159">
        <f t="shared" si="3"/>
        <v>30</v>
      </c>
      <c r="AH132" s="159">
        <f t="shared" si="4"/>
        <v>120</v>
      </c>
      <c r="AI132" s="163">
        <f t="shared" si="5"/>
        <v>20.815</v>
      </c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ht="15.75" customHeight="1">
      <c r="A133" s="157" t="s">
        <v>24</v>
      </c>
      <c r="B133" s="158">
        <f t="shared" si="6"/>
        <v>45786</v>
      </c>
      <c r="C133" s="159">
        <v>5.0</v>
      </c>
      <c r="D133" s="159" t="s">
        <v>28</v>
      </c>
      <c r="E133" s="160">
        <v>4.0</v>
      </c>
      <c r="F133" s="161" t="s">
        <v>33</v>
      </c>
      <c r="G133" s="151">
        <v>0.0</v>
      </c>
      <c r="I133" s="152">
        <v>45.0</v>
      </c>
      <c r="K133" s="152">
        <v>45.0</v>
      </c>
      <c r="M133" s="152">
        <v>0.0</v>
      </c>
      <c r="O133" s="152">
        <v>30.0</v>
      </c>
      <c r="Q133" s="152">
        <v>0.0</v>
      </c>
      <c r="R133" s="92"/>
      <c r="S133" s="153"/>
      <c r="U133" s="154"/>
      <c r="W133" s="154"/>
      <c r="Y133" s="154"/>
      <c r="AA133" s="154"/>
      <c r="AC133" s="154"/>
      <c r="AD133" s="92"/>
      <c r="AE133" s="162">
        <f t="shared" si="1"/>
        <v>2497.8</v>
      </c>
      <c r="AF133" s="159">
        <f t="shared" si="2"/>
        <v>90</v>
      </c>
      <c r="AG133" s="159">
        <f t="shared" si="3"/>
        <v>30</v>
      </c>
      <c r="AH133" s="159">
        <f t="shared" si="4"/>
        <v>120</v>
      </c>
      <c r="AI133" s="163">
        <f t="shared" si="5"/>
        <v>20.815</v>
      </c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ht="15.75" customHeight="1">
      <c r="A134" s="157" t="s">
        <v>25</v>
      </c>
      <c r="B134" s="158">
        <f t="shared" si="6"/>
        <v>45787</v>
      </c>
      <c r="C134" s="159">
        <v>5.0</v>
      </c>
      <c r="D134" s="159" t="s">
        <v>28</v>
      </c>
      <c r="E134" s="160">
        <v>4.0</v>
      </c>
      <c r="F134" s="161" t="s">
        <v>33</v>
      </c>
      <c r="G134" s="151">
        <v>0.0</v>
      </c>
      <c r="I134" s="152">
        <v>45.0</v>
      </c>
      <c r="K134" s="152">
        <v>45.0</v>
      </c>
      <c r="M134" s="152">
        <v>0.0</v>
      </c>
      <c r="O134" s="152">
        <v>30.0</v>
      </c>
      <c r="Q134" s="152">
        <v>0.0</v>
      </c>
      <c r="R134" s="92"/>
      <c r="S134" s="153"/>
      <c r="U134" s="154"/>
      <c r="W134" s="154"/>
      <c r="Y134" s="154"/>
      <c r="AA134" s="154"/>
      <c r="AC134" s="154"/>
      <c r="AD134" s="92"/>
      <c r="AE134" s="162">
        <f t="shared" si="1"/>
        <v>2497.8</v>
      </c>
      <c r="AF134" s="159">
        <f t="shared" si="2"/>
        <v>90</v>
      </c>
      <c r="AG134" s="159">
        <f t="shared" si="3"/>
        <v>30</v>
      </c>
      <c r="AH134" s="159">
        <f t="shared" si="4"/>
        <v>120</v>
      </c>
      <c r="AI134" s="163">
        <f t="shared" si="5"/>
        <v>20.815</v>
      </c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ht="15.75" customHeight="1">
      <c r="A135" s="164" t="s">
        <v>26</v>
      </c>
      <c r="B135" s="165">
        <f t="shared" si="6"/>
        <v>45788</v>
      </c>
      <c r="C135" s="166">
        <v>5.0</v>
      </c>
      <c r="D135" s="166" t="s">
        <v>28</v>
      </c>
      <c r="E135" s="167">
        <v>4.0</v>
      </c>
      <c r="F135" s="168" t="s">
        <v>31</v>
      </c>
      <c r="G135" s="169">
        <v>45.0</v>
      </c>
      <c r="H135" s="6"/>
      <c r="I135" s="170">
        <v>0.0</v>
      </c>
      <c r="J135" s="6"/>
      <c r="K135" s="170">
        <v>0.0</v>
      </c>
      <c r="L135" s="6"/>
      <c r="M135" s="170">
        <v>0.0</v>
      </c>
      <c r="N135" s="6"/>
      <c r="O135" s="170">
        <v>0.0</v>
      </c>
      <c r="P135" s="6"/>
      <c r="Q135" s="170">
        <v>0.0</v>
      </c>
      <c r="R135" s="93"/>
      <c r="S135" s="171"/>
      <c r="T135" s="6"/>
      <c r="U135" s="172"/>
      <c r="V135" s="6"/>
      <c r="W135" s="172"/>
      <c r="X135" s="6"/>
      <c r="Y135" s="172"/>
      <c r="Z135" s="6"/>
      <c r="AA135" s="172"/>
      <c r="AB135" s="6"/>
      <c r="AC135" s="172"/>
      <c r="AD135" s="93"/>
      <c r="AE135" s="173">
        <f t="shared" si="1"/>
        <v>1124.1</v>
      </c>
      <c r="AF135" s="166">
        <f t="shared" si="2"/>
        <v>45</v>
      </c>
      <c r="AG135" s="166">
        <f t="shared" si="3"/>
        <v>0</v>
      </c>
      <c r="AH135" s="166">
        <f t="shared" si="4"/>
        <v>45</v>
      </c>
      <c r="AI135" s="174">
        <f t="shared" si="5"/>
        <v>24.98</v>
      </c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ht="15.75" customHeight="1">
      <c r="A136" s="122" t="s">
        <v>19</v>
      </c>
      <c r="B136" s="123">
        <f t="shared" si="6"/>
        <v>45789</v>
      </c>
      <c r="C136" s="124">
        <v>5.0</v>
      </c>
      <c r="D136" s="124" t="s">
        <v>29</v>
      </c>
      <c r="E136" s="125"/>
      <c r="F136" s="125" t="s">
        <v>32</v>
      </c>
      <c r="G136" s="126">
        <v>0.0</v>
      </c>
      <c r="I136" s="127">
        <v>0.0</v>
      </c>
      <c r="K136" s="127">
        <v>0.0</v>
      </c>
      <c r="M136" s="127">
        <v>0.0</v>
      </c>
      <c r="O136" s="127">
        <v>0.0</v>
      </c>
      <c r="Q136" s="127">
        <v>0.0</v>
      </c>
      <c r="R136" s="92"/>
      <c r="S136" s="128"/>
      <c r="U136" s="129"/>
      <c r="W136" s="129"/>
      <c r="Y136" s="129"/>
      <c r="AA136" s="129"/>
      <c r="AC136" s="129"/>
      <c r="AD136" s="92"/>
      <c r="AE136" s="130">
        <f t="shared" si="1"/>
        <v>0</v>
      </c>
      <c r="AF136" s="124">
        <f t="shared" si="2"/>
        <v>0</v>
      </c>
      <c r="AG136" s="124">
        <f t="shared" si="3"/>
        <v>0</v>
      </c>
      <c r="AH136" s="124">
        <f t="shared" si="4"/>
        <v>0</v>
      </c>
      <c r="AI136" s="131">
        <f t="shared" si="5"/>
        <v>0</v>
      </c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ht="15.75" customHeight="1">
      <c r="A137" s="132" t="s">
        <v>21</v>
      </c>
      <c r="B137" s="133">
        <f t="shared" si="6"/>
        <v>45790</v>
      </c>
      <c r="C137" s="134">
        <v>5.0</v>
      </c>
      <c r="D137" s="134" t="s">
        <v>29</v>
      </c>
      <c r="E137" s="135"/>
      <c r="F137" s="135" t="s">
        <v>32</v>
      </c>
      <c r="G137" s="126">
        <v>0.0</v>
      </c>
      <c r="I137" s="127">
        <v>0.0</v>
      </c>
      <c r="K137" s="127">
        <v>0.0</v>
      </c>
      <c r="M137" s="127">
        <v>0.0</v>
      </c>
      <c r="O137" s="127">
        <v>0.0</v>
      </c>
      <c r="Q137" s="127">
        <v>0.0</v>
      </c>
      <c r="R137" s="92"/>
      <c r="S137" s="128"/>
      <c r="U137" s="129"/>
      <c r="W137" s="129"/>
      <c r="Y137" s="129"/>
      <c r="AA137" s="129"/>
      <c r="AC137" s="129"/>
      <c r="AD137" s="92"/>
      <c r="AE137" s="136">
        <f t="shared" si="1"/>
        <v>0</v>
      </c>
      <c r="AF137" s="134">
        <f t="shared" si="2"/>
        <v>0</v>
      </c>
      <c r="AG137" s="134">
        <f t="shared" si="3"/>
        <v>0</v>
      </c>
      <c r="AH137" s="134">
        <f t="shared" si="4"/>
        <v>0</v>
      </c>
      <c r="AI137" s="137">
        <f t="shared" si="5"/>
        <v>0</v>
      </c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ht="15.75" customHeight="1">
      <c r="A138" s="132" t="s">
        <v>22</v>
      </c>
      <c r="B138" s="133">
        <f t="shared" si="6"/>
        <v>45791</v>
      </c>
      <c r="C138" s="134">
        <v>5.0</v>
      </c>
      <c r="D138" s="134" t="s">
        <v>29</v>
      </c>
      <c r="E138" s="135"/>
      <c r="F138" s="135" t="s">
        <v>32</v>
      </c>
      <c r="G138" s="126">
        <v>0.0</v>
      </c>
      <c r="I138" s="127">
        <v>0.0</v>
      </c>
      <c r="K138" s="127">
        <v>0.0</v>
      </c>
      <c r="M138" s="127">
        <v>0.0</v>
      </c>
      <c r="O138" s="127">
        <v>0.0</v>
      </c>
      <c r="Q138" s="127">
        <v>0.0</v>
      </c>
      <c r="R138" s="92"/>
      <c r="S138" s="128"/>
      <c r="U138" s="129"/>
      <c r="W138" s="129"/>
      <c r="Y138" s="129"/>
      <c r="AA138" s="129"/>
      <c r="AC138" s="129"/>
      <c r="AD138" s="92"/>
      <c r="AE138" s="136">
        <f t="shared" si="1"/>
        <v>0</v>
      </c>
      <c r="AF138" s="134">
        <f t="shared" si="2"/>
        <v>0</v>
      </c>
      <c r="AG138" s="134">
        <f t="shared" si="3"/>
        <v>0</v>
      </c>
      <c r="AH138" s="134">
        <f t="shared" si="4"/>
        <v>0</v>
      </c>
      <c r="AI138" s="137">
        <f t="shared" si="5"/>
        <v>0</v>
      </c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ht="15.75" customHeight="1">
      <c r="A139" s="132" t="s">
        <v>23</v>
      </c>
      <c r="B139" s="133">
        <f t="shared" si="6"/>
        <v>45792</v>
      </c>
      <c r="C139" s="134">
        <v>5.0</v>
      </c>
      <c r="D139" s="134" t="s">
        <v>29</v>
      </c>
      <c r="E139" s="135"/>
      <c r="F139" s="135" t="s">
        <v>32</v>
      </c>
      <c r="G139" s="126">
        <v>0.0</v>
      </c>
      <c r="I139" s="127">
        <v>0.0</v>
      </c>
      <c r="K139" s="127">
        <v>0.0</v>
      </c>
      <c r="M139" s="127">
        <v>0.0</v>
      </c>
      <c r="O139" s="127">
        <v>0.0</v>
      </c>
      <c r="Q139" s="127">
        <v>0.0</v>
      </c>
      <c r="R139" s="92"/>
      <c r="S139" s="128"/>
      <c r="U139" s="129"/>
      <c r="W139" s="129"/>
      <c r="Y139" s="129"/>
      <c r="AA139" s="129"/>
      <c r="AC139" s="129"/>
      <c r="AD139" s="92"/>
      <c r="AE139" s="136">
        <f t="shared" si="1"/>
        <v>0</v>
      </c>
      <c r="AF139" s="134">
        <f t="shared" si="2"/>
        <v>0</v>
      </c>
      <c r="AG139" s="134">
        <f t="shared" si="3"/>
        <v>0</v>
      </c>
      <c r="AH139" s="134">
        <f t="shared" si="4"/>
        <v>0</v>
      </c>
      <c r="AI139" s="137">
        <f t="shared" si="5"/>
        <v>0</v>
      </c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ht="15.75" customHeight="1">
      <c r="A140" s="132" t="s">
        <v>24</v>
      </c>
      <c r="B140" s="133">
        <f t="shared" si="6"/>
        <v>45793</v>
      </c>
      <c r="C140" s="134">
        <v>5.0</v>
      </c>
      <c r="D140" s="134" t="s">
        <v>29</v>
      </c>
      <c r="E140" s="135"/>
      <c r="F140" s="135" t="s">
        <v>32</v>
      </c>
      <c r="G140" s="126">
        <v>0.0</v>
      </c>
      <c r="I140" s="127">
        <v>0.0</v>
      </c>
      <c r="K140" s="127">
        <v>0.0</v>
      </c>
      <c r="M140" s="127">
        <v>0.0</v>
      </c>
      <c r="O140" s="127">
        <v>0.0</v>
      </c>
      <c r="Q140" s="127">
        <v>0.0</v>
      </c>
      <c r="R140" s="92"/>
      <c r="S140" s="128"/>
      <c r="U140" s="129"/>
      <c r="W140" s="129"/>
      <c r="Y140" s="129"/>
      <c r="AA140" s="129"/>
      <c r="AC140" s="129"/>
      <c r="AD140" s="92"/>
      <c r="AE140" s="136">
        <f t="shared" si="1"/>
        <v>0</v>
      </c>
      <c r="AF140" s="134">
        <f t="shared" si="2"/>
        <v>0</v>
      </c>
      <c r="AG140" s="134">
        <f t="shared" si="3"/>
        <v>0</v>
      </c>
      <c r="AH140" s="134">
        <f t="shared" si="4"/>
        <v>0</v>
      </c>
      <c r="AI140" s="137">
        <f t="shared" si="5"/>
        <v>0</v>
      </c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ht="15.75" customHeight="1">
      <c r="A141" s="132" t="s">
        <v>25</v>
      </c>
      <c r="B141" s="133">
        <f t="shared" si="6"/>
        <v>45794</v>
      </c>
      <c r="C141" s="134">
        <v>5.0</v>
      </c>
      <c r="D141" s="134" t="s">
        <v>29</v>
      </c>
      <c r="E141" s="135"/>
      <c r="F141" s="135" t="s">
        <v>32</v>
      </c>
      <c r="G141" s="126">
        <v>0.0</v>
      </c>
      <c r="I141" s="127">
        <v>0.0</v>
      </c>
      <c r="K141" s="127">
        <v>0.0</v>
      </c>
      <c r="M141" s="127">
        <v>0.0</v>
      </c>
      <c r="O141" s="127">
        <v>0.0</v>
      </c>
      <c r="Q141" s="127">
        <v>0.0</v>
      </c>
      <c r="R141" s="92"/>
      <c r="S141" s="128"/>
      <c r="U141" s="129"/>
      <c r="W141" s="129"/>
      <c r="Y141" s="129"/>
      <c r="AA141" s="129"/>
      <c r="AC141" s="129"/>
      <c r="AD141" s="92"/>
      <c r="AE141" s="136">
        <f t="shared" si="1"/>
        <v>0</v>
      </c>
      <c r="AF141" s="134">
        <f t="shared" si="2"/>
        <v>0</v>
      </c>
      <c r="AG141" s="134">
        <f t="shared" si="3"/>
        <v>0</v>
      </c>
      <c r="AH141" s="134">
        <f t="shared" si="4"/>
        <v>0</v>
      </c>
      <c r="AI141" s="137">
        <f t="shared" si="5"/>
        <v>0</v>
      </c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ht="15.75" customHeight="1">
      <c r="A142" s="138" t="s">
        <v>26</v>
      </c>
      <c r="B142" s="139">
        <f t="shared" si="6"/>
        <v>45795</v>
      </c>
      <c r="C142" s="140">
        <v>5.0</v>
      </c>
      <c r="D142" s="140" t="s">
        <v>29</v>
      </c>
      <c r="E142" s="141"/>
      <c r="F142" s="141" t="s">
        <v>32</v>
      </c>
      <c r="G142" s="142">
        <v>0.0</v>
      </c>
      <c r="H142" s="6"/>
      <c r="I142" s="142">
        <v>0.0</v>
      </c>
      <c r="J142" s="6"/>
      <c r="K142" s="142">
        <v>0.0</v>
      </c>
      <c r="L142" s="6"/>
      <c r="M142" s="142">
        <v>0.0</v>
      </c>
      <c r="N142" s="6"/>
      <c r="O142" s="142">
        <v>0.0</v>
      </c>
      <c r="P142" s="6"/>
      <c r="Q142" s="142">
        <v>0.0</v>
      </c>
      <c r="R142" s="93"/>
      <c r="S142" s="143"/>
      <c r="T142" s="6"/>
      <c r="U142" s="144"/>
      <c r="V142" s="6"/>
      <c r="W142" s="144"/>
      <c r="X142" s="6"/>
      <c r="Y142" s="144"/>
      <c r="Z142" s="6"/>
      <c r="AA142" s="144"/>
      <c r="AB142" s="6"/>
      <c r="AC142" s="144"/>
      <c r="AD142" s="93"/>
      <c r="AE142" s="145">
        <f t="shared" si="1"/>
        <v>0</v>
      </c>
      <c r="AF142" s="140">
        <f t="shared" si="2"/>
        <v>0</v>
      </c>
      <c r="AG142" s="140">
        <f t="shared" si="3"/>
        <v>0</v>
      </c>
      <c r="AH142" s="140">
        <f t="shared" si="4"/>
        <v>0</v>
      </c>
      <c r="AI142" s="146">
        <f t="shared" si="5"/>
        <v>0</v>
      </c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ht="15.75" customHeight="1">
      <c r="A143" s="147" t="s">
        <v>19</v>
      </c>
      <c r="B143" s="148">
        <f t="shared" si="6"/>
        <v>45796</v>
      </c>
      <c r="C143" s="149">
        <v>6.0</v>
      </c>
      <c r="D143" s="149" t="s">
        <v>20</v>
      </c>
      <c r="E143" s="150"/>
      <c r="F143" s="150" t="s">
        <v>32</v>
      </c>
      <c r="G143" s="151">
        <v>0.0</v>
      </c>
      <c r="I143" s="152">
        <v>0.0</v>
      </c>
      <c r="K143" s="152">
        <v>0.0</v>
      </c>
      <c r="M143" s="152">
        <v>0.0</v>
      </c>
      <c r="O143" s="152">
        <v>0.0</v>
      </c>
      <c r="Q143" s="152">
        <v>0.0</v>
      </c>
      <c r="R143" s="92"/>
      <c r="S143" s="153"/>
      <c r="U143" s="154"/>
      <c r="W143" s="154"/>
      <c r="Y143" s="154"/>
      <c r="AA143" s="154"/>
      <c r="AC143" s="154"/>
      <c r="AD143" s="92"/>
      <c r="AE143" s="155">
        <f t="shared" si="1"/>
        <v>0</v>
      </c>
      <c r="AF143" s="149">
        <f t="shared" si="2"/>
        <v>0</v>
      </c>
      <c r="AG143" s="149">
        <f t="shared" si="3"/>
        <v>0</v>
      </c>
      <c r="AH143" s="149">
        <f t="shared" si="4"/>
        <v>0</v>
      </c>
      <c r="AI143" s="156">
        <f t="shared" si="5"/>
        <v>0</v>
      </c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ht="15.75" customHeight="1">
      <c r="A144" s="157" t="s">
        <v>21</v>
      </c>
      <c r="B144" s="158">
        <f t="shared" si="6"/>
        <v>45797</v>
      </c>
      <c r="C144" s="159">
        <v>6.0</v>
      </c>
      <c r="D144" s="159" t="s">
        <v>20</v>
      </c>
      <c r="E144" s="160">
        <v>5.0</v>
      </c>
      <c r="F144" s="161" t="s">
        <v>33</v>
      </c>
      <c r="G144" s="151">
        <v>0.0</v>
      </c>
      <c r="I144" s="152">
        <v>45.0</v>
      </c>
      <c r="K144" s="152">
        <v>0.0</v>
      </c>
      <c r="M144" s="152">
        <v>0.0</v>
      </c>
      <c r="O144" s="152">
        <v>30.0</v>
      </c>
      <c r="Q144" s="152">
        <v>0.0</v>
      </c>
      <c r="R144" s="92"/>
      <c r="S144" s="153"/>
      <c r="U144" s="154"/>
      <c r="W144" s="154"/>
      <c r="Y144" s="154"/>
      <c r="AA144" s="154"/>
      <c r="AC144" s="154"/>
      <c r="AD144" s="92"/>
      <c r="AE144" s="162">
        <f t="shared" si="1"/>
        <v>1373.7</v>
      </c>
      <c r="AF144" s="159">
        <f t="shared" si="2"/>
        <v>45</v>
      </c>
      <c r="AG144" s="159">
        <f t="shared" si="3"/>
        <v>30</v>
      </c>
      <c r="AH144" s="159">
        <f t="shared" si="4"/>
        <v>75</v>
      </c>
      <c r="AI144" s="163">
        <f t="shared" si="5"/>
        <v>18.316</v>
      </c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ht="15.75" customHeight="1">
      <c r="A145" s="157" t="s">
        <v>22</v>
      </c>
      <c r="B145" s="158">
        <f t="shared" si="6"/>
        <v>45798</v>
      </c>
      <c r="C145" s="159">
        <v>6.0</v>
      </c>
      <c r="D145" s="159" t="s">
        <v>20</v>
      </c>
      <c r="E145" s="160">
        <v>5.0</v>
      </c>
      <c r="F145" s="160" t="s">
        <v>31</v>
      </c>
      <c r="G145" s="151">
        <v>45.0</v>
      </c>
      <c r="I145" s="152">
        <v>45.0</v>
      </c>
      <c r="K145" s="152">
        <v>0.0</v>
      </c>
      <c r="M145" s="152">
        <v>0.0</v>
      </c>
      <c r="O145" s="152">
        <v>0.0</v>
      </c>
      <c r="Q145" s="152">
        <v>0.0</v>
      </c>
      <c r="R145" s="92"/>
      <c r="S145" s="153"/>
      <c r="U145" s="154"/>
      <c r="W145" s="154"/>
      <c r="Y145" s="154"/>
      <c r="AA145" s="154"/>
      <c r="AC145" s="154"/>
      <c r="AD145" s="92"/>
      <c r="AE145" s="162">
        <f t="shared" si="1"/>
        <v>2248.2</v>
      </c>
      <c r="AF145" s="159">
        <f t="shared" si="2"/>
        <v>90</v>
      </c>
      <c r="AG145" s="159">
        <f t="shared" si="3"/>
        <v>0</v>
      </c>
      <c r="AH145" s="159">
        <f t="shared" si="4"/>
        <v>90</v>
      </c>
      <c r="AI145" s="163">
        <f t="shared" si="5"/>
        <v>24.98</v>
      </c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ht="15.75" customHeight="1">
      <c r="A146" s="157" t="s">
        <v>23</v>
      </c>
      <c r="B146" s="158">
        <f t="shared" si="6"/>
        <v>45799</v>
      </c>
      <c r="C146" s="159">
        <v>6.0</v>
      </c>
      <c r="D146" s="159" t="s">
        <v>20</v>
      </c>
      <c r="E146" s="160">
        <v>5.0</v>
      </c>
      <c r="F146" s="161" t="s">
        <v>33</v>
      </c>
      <c r="G146" s="151">
        <v>0.0</v>
      </c>
      <c r="I146" s="152">
        <v>45.0</v>
      </c>
      <c r="K146" s="152">
        <v>0.0</v>
      </c>
      <c r="M146" s="152">
        <v>0.0</v>
      </c>
      <c r="O146" s="152">
        <v>30.0</v>
      </c>
      <c r="Q146" s="152">
        <v>0.0</v>
      </c>
      <c r="R146" s="92"/>
      <c r="S146" s="153"/>
      <c r="U146" s="154"/>
      <c r="W146" s="154"/>
      <c r="Y146" s="154"/>
      <c r="AA146" s="154"/>
      <c r="AC146" s="154"/>
      <c r="AD146" s="92"/>
      <c r="AE146" s="162">
        <f t="shared" si="1"/>
        <v>1373.7</v>
      </c>
      <c r="AF146" s="159">
        <f t="shared" si="2"/>
        <v>45</v>
      </c>
      <c r="AG146" s="159">
        <f t="shared" si="3"/>
        <v>30</v>
      </c>
      <c r="AH146" s="159">
        <f t="shared" si="4"/>
        <v>75</v>
      </c>
      <c r="AI146" s="163">
        <f t="shared" si="5"/>
        <v>18.316</v>
      </c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ht="15.75" customHeight="1">
      <c r="A147" s="157" t="s">
        <v>24</v>
      </c>
      <c r="B147" s="158">
        <f t="shared" si="6"/>
        <v>45800</v>
      </c>
      <c r="C147" s="159">
        <v>6.0</v>
      </c>
      <c r="D147" s="159" t="s">
        <v>20</v>
      </c>
      <c r="E147" s="160">
        <v>5.0</v>
      </c>
      <c r="F147" s="161" t="s">
        <v>33</v>
      </c>
      <c r="G147" s="151">
        <v>0.0</v>
      </c>
      <c r="I147" s="152">
        <v>45.0</v>
      </c>
      <c r="K147" s="152">
        <v>45.0</v>
      </c>
      <c r="M147" s="152">
        <v>0.0</v>
      </c>
      <c r="O147" s="152">
        <v>30.0</v>
      </c>
      <c r="Q147" s="152">
        <v>0.0</v>
      </c>
      <c r="R147" s="92"/>
      <c r="S147" s="153"/>
      <c r="U147" s="154"/>
      <c r="W147" s="154"/>
      <c r="Y147" s="154"/>
      <c r="AA147" s="154"/>
      <c r="AC147" s="154"/>
      <c r="AD147" s="92"/>
      <c r="AE147" s="162">
        <f t="shared" si="1"/>
        <v>2497.8</v>
      </c>
      <c r="AF147" s="159">
        <f t="shared" si="2"/>
        <v>90</v>
      </c>
      <c r="AG147" s="159">
        <f t="shared" si="3"/>
        <v>30</v>
      </c>
      <c r="AH147" s="159">
        <f t="shared" si="4"/>
        <v>120</v>
      </c>
      <c r="AI147" s="163">
        <f t="shared" si="5"/>
        <v>20.815</v>
      </c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ht="15.75" customHeight="1">
      <c r="A148" s="157" t="s">
        <v>25</v>
      </c>
      <c r="B148" s="158">
        <f t="shared" si="6"/>
        <v>45801</v>
      </c>
      <c r="C148" s="159">
        <v>6.0</v>
      </c>
      <c r="D148" s="159" t="s">
        <v>20</v>
      </c>
      <c r="E148" s="160">
        <v>5.0</v>
      </c>
      <c r="F148" s="161" t="s">
        <v>33</v>
      </c>
      <c r="G148" s="151">
        <v>0.0</v>
      </c>
      <c r="I148" s="152">
        <v>45.0</v>
      </c>
      <c r="K148" s="152">
        <v>45.0</v>
      </c>
      <c r="M148" s="152">
        <v>0.0</v>
      </c>
      <c r="O148" s="152">
        <v>30.0</v>
      </c>
      <c r="Q148" s="152">
        <v>0.0</v>
      </c>
      <c r="R148" s="92"/>
      <c r="S148" s="153"/>
      <c r="U148" s="154"/>
      <c r="W148" s="154"/>
      <c r="Y148" s="154"/>
      <c r="AA148" s="154"/>
      <c r="AC148" s="154"/>
      <c r="AD148" s="92"/>
      <c r="AE148" s="162">
        <f t="shared" si="1"/>
        <v>2497.8</v>
      </c>
      <c r="AF148" s="159">
        <f t="shared" si="2"/>
        <v>90</v>
      </c>
      <c r="AG148" s="159">
        <f t="shared" si="3"/>
        <v>30</v>
      </c>
      <c r="AH148" s="159">
        <f t="shared" si="4"/>
        <v>120</v>
      </c>
      <c r="AI148" s="163">
        <f t="shared" si="5"/>
        <v>20.815</v>
      </c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ht="15.75" customHeight="1">
      <c r="A149" s="164" t="s">
        <v>26</v>
      </c>
      <c r="B149" s="165">
        <f t="shared" si="6"/>
        <v>45802</v>
      </c>
      <c r="C149" s="166">
        <v>6.0</v>
      </c>
      <c r="D149" s="166" t="s">
        <v>20</v>
      </c>
      <c r="E149" s="167">
        <v>5.0</v>
      </c>
      <c r="F149" s="167" t="s">
        <v>31</v>
      </c>
      <c r="G149" s="169">
        <v>45.0</v>
      </c>
      <c r="H149" s="6"/>
      <c r="I149" s="170">
        <v>45.0</v>
      </c>
      <c r="J149" s="6"/>
      <c r="K149" s="170">
        <v>0.0</v>
      </c>
      <c r="L149" s="6"/>
      <c r="M149" s="170">
        <v>0.0</v>
      </c>
      <c r="N149" s="6"/>
      <c r="O149" s="170">
        <v>0.0</v>
      </c>
      <c r="P149" s="6"/>
      <c r="Q149" s="170">
        <v>0.0</v>
      </c>
      <c r="R149" s="93"/>
      <c r="S149" s="171"/>
      <c r="T149" s="6"/>
      <c r="U149" s="172"/>
      <c r="V149" s="6"/>
      <c r="W149" s="172"/>
      <c r="X149" s="6"/>
      <c r="Y149" s="172"/>
      <c r="Z149" s="6"/>
      <c r="AA149" s="172"/>
      <c r="AB149" s="6"/>
      <c r="AC149" s="172"/>
      <c r="AD149" s="93"/>
      <c r="AE149" s="173">
        <f t="shared" si="1"/>
        <v>2248.2</v>
      </c>
      <c r="AF149" s="166">
        <f t="shared" si="2"/>
        <v>90</v>
      </c>
      <c r="AG149" s="166">
        <f t="shared" si="3"/>
        <v>0</v>
      </c>
      <c r="AH149" s="166">
        <f t="shared" si="4"/>
        <v>90</v>
      </c>
      <c r="AI149" s="174">
        <f t="shared" si="5"/>
        <v>24.98</v>
      </c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ht="15.75" customHeight="1">
      <c r="A150" s="122" t="s">
        <v>19</v>
      </c>
      <c r="B150" s="123">
        <f t="shared" si="6"/>
        <v>45803</v>
      </c>
      <c r="C150" s="124">
        <v>6.0</v>
      </c>
      <c r="D150" s="124" t="s">
        <v>27</v>
      </c>
      <c r="E150" s="125"/>
      <c r="F150" s="125" t="s">
        <v>32</v>
      </c>
      <c r="G150" s="126">
        <v>0.0</v>
      </c>
      <c r="I150" s="127">
        <v>0.0</v>
      </c>
      <c r="K150" s="127">
        <v>0.0</v>
      </c>
      <c r="M150" s="127">
        <v>0.0</v>
      </c>
      <c r="O150" s="127">
        <v>0.0</v>
      </c>
      <c r="Q150" s="127">
        <v>0.0</v>
      </c>
      <c r="R150" s="92"/>
      <c r="S150" s="128"/>
      <c r="U150" s="129"/>
      <c r="W150" s="129"/>
      <c r="Y150" s="129"/>
      <c r="AA150" s="129"/>
      <c r="AC150" s="129"/>
      <c r="AD150" s="92"/>
      <c r="AE150" s="130">
        <f t="shared" si="1"/>
        <v>0</v>
      </c>
      <c r="AF150" s="124">
        <f t="shared" si="2"/>
        <v>0</v>
      </c>
      <c r="AG150" s="124">
        <f t="shared" si="3"/>
        <v>0</v>
      </c>
      <c r="AH150" s="124">
        <f t="shared" si="4"/>
        <v>0</v>
      </c>
      <c r="AI150" s="131">
        <f t="shared" si="5"/>
        <v>0</v>
      </c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ht="15.75" customHeight="1">
      <c r="A151" s="132" t="s">
        <v>21</v>
      </c>
      <c r="B151" s="133">
        <f t="shared" si="6"/>
        <v>45804</v>
      </c>
      <c r="C151" s="134">
        <v>6.0</v>
      </c>
      <c r="D151" s="134" t="s">
        <v>27</v>
      </c>
      <c r="E151" s="135"/>
      <c r="F151" s="135" t="s">
        <v>32</v>
      </c>
      <c r="G151" s="126">
        <v>0.0</v>
      </c>
      <c r="I151" s="127">
        <v>0.0</v>
      </c>
      <c r="K151" s="127">
        <v>0.0</v>
      </c>
      <c r="M151" s="127">
        <v>0.0</v>
      </c>
      <c r="O151" s="127">
        <v>0.0</v>
      </c>
      <c r="Q151" s="127">
        <v>0.0</v>
      </c>
      <c r="R151" s="92"/>
      <c r="S151" s="128"/>
      <c r="U151" s="129"/>
      <c r="W151" s="129"/>
      <c r="Y151" s="129"/>
      <c r="AA151" s="129"/>
      <c r="AC151" s="129"/>
      <c r="AD151" s="92"/>
      <c r="AE151" s="136">
        <f t="shared" si="1"/>
        <v>0</v>
      </c>
      <c r="AF151" s="134">
        <f t="shared" si="2"/>
        <v>0</v>
      </c>
      <c r="AG151" s="134">
        <f t="shared" si="3"/>
        <v>0</v>
      </c>
      <c r="AH151" s="134">
        <f t="shared" si="4"/>
        <v>0</v>
      </c>
      <c r="AI151" s="137">
        <f t="shared" si="5"/>
        <v>0</v>
      </c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ht="15.75" customHeight="1">
      <c r="A152" s="132" t="s">
        <v>22</v>
      </c>
      <c r="B152" s="133">
        <f t="shared" si="6"/>
        <v>45805</v>
      </c>
      <c r="C152" s="134">
        <v>6.0</v>
      </c>
      <c r="D152" s="134" t="s">
        <v>27</v>
      </c>
      <c r="E152" s="135"/>
      <c r="F152" s="135" t="s">
        <v>32</v>
      </c>
      <c r="G152" s="126">
        <v>0.0</v>
      </c>
      <c r="I152" s="127">
        <v>0.0</v>
      </c>
      <c r="K152" s="127">
        <v>0.0</v>
      </c>
      <c r="M152" s="127">
        <v>0.0</v>
      </c>
      <c r="O152" s="127">
        <v>0.0</v>
      </c>
      <c r="Q152" s="127">
        <v>0.0</v>
      </c>
      <c r="R152" s="92"/>
      <c r="S152" s="128"/>
      <c r="U152" s="129"/>
      <c r="W152" s="129"/>
      <c r="Y152" s="129"/>
      <c r="AA152" s="129"/>
      <c r="AC152" s="129"/>
      <c r="AD152" s="92"/>
      <c r="AE152" s="136">
        <f t="shared" si="1"/>
        <v>0</v>
      </c>
      <c r="AF152" s="134">
        <f t="shared" si="2"/>
        <v>0</v>
      </c>
      <c r="AG152" s="134">
        <f t="shared" si="3"/>
        <v>0</v>
      </c>
      <c r="AH152" s="134">
        <f t="shared" si="4"/>
        <v>0</v>
      </c>
      <c r="AI152" s="137">
        <f t="shared" si="5"/>
        <v>0</v>
      </c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ht="15.75" customHeight="1">
      <c r="A153" s="132" t="s">
        <v>23</v>
      </c>
      <c r="B153" s="133">
        <f t="shared" si="6"/>
        <v>45806</v>
      </c>
      <c r="C153" s="134">
        <v>6.0</v>
      </c>
      <c r="D153" s="134" t="s">
        <v>27</v>
      </c>
      <c r="E153" s="135"/>
      <c r="F153" s="135" t="s">
        <v>32</v>
      </c>
      <c r="G153" s="126">
        <v>0.0</v>
      </c>
      <c r="I153" s="127">
        <v>0.0</v>
      </c>
      <c r="K153" s="127">
        <v>0.0</v>
      </c>
      <c r="M153" s="127">
        <v>0.0</v>
      </c>
      <c r="O153" s="127">
        <v>0.0</v>
      </c>
      <c r="Q153" s="127">
        <v>0.0</v>
      </c>
      <c r="R153" s="92"/>
      <c r="S153" s="128"/>
      <c r="U153" s="129"/>
      <c r="W153" s="129"/>
      <c r="Y153" s="129"/>
      <c r="AA153" s="129"/>
      <c r="AC153" s="129"/>
      <c r="AD153" s="92"/>
      <c r="AE153" s="136">
        <f t="shared" si="1"/>
        <v>0</v>
      </c>
      <c r="AF153" s="134">
        <f t="shared" si="2"/>
        <v>0</v>
      </c>
      <c r="AG153" s="134">
        <f t="shared" si="3"/>
        <v>0</v>
      </c>
      <c r="AH153" s="134">
        <f t="shared" si="4"/>
        <v>0</v>
      </c>
      <c r="AI153" s="137">
        <f t="shared" si="5"/>
        <v>0</v>
      </c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ht="15.75" customHeight="1">
      <c r="A154" s="132" t="s">
        <v>24</v>
      </c>
      <c r="B154" s="133">
        <f t="shared" si="6"/>
        <v>45807</v>
      </c>
      <c r="C154" s="134">
        <v>6.0</v>
      </c>
      <c r="D154" s="134" t="s">
        <v>27</v>
      </c>
      <c r="E154" s="135"/>
      <c r="F154" s="135" t="s">
        <v>32</v>
      </c>
      <c r="G154" s="126">
        <v>0.0</v>
      </c>
      <c r="I154" s="127">
        <v>0.0</v>
      </c>
      <c r="K154" s="127">
        <v>0.0</v>
      </c>
      <c r="M154" s="127">
        <v>0.0</v>
      </c>
      <c r="O154" s="127">
        <v>0.0</v>
      </c>
      <c r="Q154" s="127">
        <v>0.0</v>
      </c>
      <c r="R154" s="92"/>
      <c r="S154" s="128"/>
      <c r="U154" s="129"/>
      <c r="W154" s="129"/>
      <c r="Y154" s="129"/>
      <c r="AA154" s="129"/>
      <c r="AC154" s="129"/>
      <c r="AD154" s="92"/>
      <c r="AE154" s="136">
        <f t="shared" si="1"/>
        <v>0</v>
      </c>
      <c r="AF154" s="134">
        <f t="shared" si="2"/>
        <v>0</v>
      </c>
      <c r="AG154" s="134">
        <f t="shared" si="3"/>
        <v>0</v>
      </c>
      <c r="AH154" s="134">
        <f t="shared" si="4"/>
        <v>0</v>
      </c>
      <c r="AI154" s="137">
        <f t="shared" si="5"/>
        <v>0</v>
      </c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ht="15.75" customHeight="1">
      <c r="A155" s="132" t="s">
        <v>25</v>
      </c>
      <c r="B155" s="133">
        <f t="shared" si="6"/>
        <v>45808</v>
      </c>
      <c r="C155" s="134">
        <v>6.0</v>
      </c>
      <c r="D155" s="134" t="s">
        <v>27</v>
      </c>
      <c r="E155" s="135"/>
      <c r="F155" s="135" t="s">
        <v>32</v>
      </c>
      <c r="G155" s="126">
        <v>0.0</v>
      </c>
      <c r="I155" s="127">
        <v>0.0</v>
      </c>
      <c r="K155" s="127">
        <v>0.0</v>
      </c>
      <c r="M155" s="127">
        <v>0.0</v>
      </c>
      <c r="O155" s="127">
        <v>0.0</v>
      </c>
      <c r="Q155" s="127">
        <v>0.0</v>
      </c>
      <c r="R155" s="92"/>
      <c r="S155" s="128"/>
      <c r="U155" s="129"/>
      <c r="W155" s="129"/>
      <c r="Y155" s="129"/>
      <c r="AA155" s="129"/>
      <c r="AC155" s="129"/>
      <c r="AD155" s="92"/>
      <c r="AE155" s="136">
        <f t="shared" si="1"/>
        <v>0</v>
      </c>
      <c r="AF155" s="134">
        <f t="shared" si="2"/>
        <v>0</v>
      </c>
      <c r="AG155" s="134">
        <f t="shared" si="3"/>
        <v>0</v>
      </c>
      <c r="AH155" s="134">
        <f t="shared" si="4"/>
        <v>0</v>
      </c>
      <c r="AI155" s="137">
        <f t="shared" si="5"/>
        <v>0</v>
      </c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ht="15.75" customHeight="1">
      <c r="A156" s="138" t="s">
        <v>26</v>
      </c>
      <c r="B156" s="139">
        <f t="shared" si="6"/>
        <v>45809</v>
      </c>
      <c r="C156" s="140">
        <v>6.0</v>
      </c>
      <c r="D156" s="140" t="s">
        <v>27</v>
      </c>
      <c r="E156" s="141"/>
      <c r="F156" s="141" t="s">
        <v>32</v>
      </c>
      <c r="G156" s="142">
        <v>0.0</v>
      </c>
      <c r="H156" s="6"/>
      <c r="I156" s="142">
        <v>0.0</v>
      </c>
      <c r="J156" s="6"/>
      <c r="K156" s="142">
        <v>0.0</v>
      </c>
      <c r="L156" s="6"/>
      <c r="M156" s="142">
        <v>0.0</v>
      </c>
      <c r="N156" s="6"/>
      <c r="O156" s="142">
        <v>0.0</v>
      </c>
      <c r="P156" s="6"/>
      <c r="Q156" s="142">
        <v>0.0</v>
      </c>
      <c r="R156" s="93"/>
      <c r="S156" s="143"/>
      <c r="T156" s="6"/>
      <c r="U156" s="144"/>
      <c r="V156" s="6"/>
      <c r="W156" s="144"/>
      <c r="X156" s="6"/>
      <c r="Y156" s="144"/>
      <c r="Z156" s="6"/>
      <c r="AA156" s="144"/>
      <c r="AB156" s="6"/>
      <c r="AC156" s="144"/>
      <c r="AD156" s="93"/>
      <c r="AE156" s="145">
        <f t="shared" si="1"/>
        <v>0</v>
      </c>
      <c r="AF156" s="140">
        <f t="shared" si="2"/>
        <v>0</v>
      </c>
      <c r="AG156" s="140">
        <f t="shared" si="3"/>
        <v>0</v>
      </c>
      <c r="AH156" s="140">
        <f t="shared" si="4"/>
        <v>0</v>
      </c>
      <c r="AI156" s="146">
        <f t="shared" si="5"/>
        <v>0</v>
      </c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ht="15.75" customHeight="1">
      <c r="A157" s="147" t="s">
        <v>19</v>
      </c>
      <c r="B157" s="148">
        <f t="shared" si="6"/>
        <v>45810</v>
      </c>
      <c r="C157" s="149">
        <v>6.0</v>
      </c>
      <c r="D157" s="149" t="s">
        <v>28</v>
      </c>
      <c r="E157" s="150"/>
      <c r="F157" s="150" t="s">
        <v>32</v>
      </c>
      <c r="G157" s="151">
        <v>0.0</v>
      </c>
      <c r="I157" s="152">
        <v>0.0</v>
      </c>
      <c r="K157" s="152">
        <v>0.0</v>
      </c>
      <c r="M157" s="152">
        <v>0.0</v>
      </c>
      <c r="O157" s="152">
        <v>0.0</v>
      </c>
      <c r="Q157" s="152">
        <v>0.0</v>
      </c>
      <c r="R157" s="92"/>
      <c r="S157" s="153"/>
      <c r="U157" s="154"/>
      <c r="W157" s="154"/>
      <c r="Y157" s="154"/>
      <c r="AA157" s="154"/>
      <c r="AC157" s="154"/>
      <c r="AD157" s="92"/>
      <c r="AE157" s="155">
        <f t="shared" si="1"/>
        <v>0</v>
      </c>
      <c r="AF157" s="149">
        <f t="shared" si="2"/>
        <v>0</v>
      </c>
      <c r="AG157" s="149">
        <f t="shared" si="3"/>
        <v>0</v>
      </c>
      <c r="AH157" s="149">
        <f t="shared" si="4"/>
        <v>0</v>
      </c>
      <c r="AI157" s="156">
        <f t="shared" si="5"/>
        <v>0</v>
      </c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ht="15.75" customHeight="1">
      <c r="A158" s="157" t="s">
        <v>21</v>
      </c>
      <c r="B158" s="158">
        <f t="shared" si="6"/>
        <v>45811</v>
      </c>
      <c r="C158" s="159">
        <v>6.0</v>
      </c>
      <c r="D158" s="159" t="s">
        <v>28</v>
      </c>
      <c r="E158" s="160"/>
      <c r="F158" s="161" t="s">
        <v>33</v>
      </c>
      <c r="G158" s="151">
        <v>0.0</v>
      </c>
      <c r="I158" s="152">
        <v>45.0</v>
      </c>
      <c r="K158" s="152">
        <v>45.0</v>
      </c>
      <c r="M158" s="152">
        <v>0.0</v>
      </c>
      <c r="O158" s="152">
        <v>30.0</v>
      </c>
      <c r="Q158" s="152">
        <v>0.0</v>
      </c>
      <c r="R158" s="92"/>
      <c r="S158" s="153"/>
      <c r="U158" s="154"/>
      <c r="W158" s="154"/>
      <c r="Y158" s="154"/>
      <c r="AA158" s="154"/>
      <c r="AC158" s="154"/>
      <c r="AD158" s="92"/>
      <c r="AE158" s="162">
        <f t="shared" si="1"/>
        <v>2497.8</v>
      </c>
      <c r="AF158" s="159">
        <f t="shared" si="2"/>
        <v>90</v>
      </c>
      <c r="AG158" s="159">
        <f t="shared" si="3"/>
        <v>30</v>
      </c>
      <c r="AH158" s="159">
        <f t="shared" si="4"/>
        <v>120</v>
      </c>
      <c r="AI158" s="163">
        <f t="shared" si="5"/>
        <v>20.815</v>
      </c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ht="15.75" customHeight="1">
      <c r="A159" s="157" t="s">
        <v>22</v>
      </c>
      <c r="B159" s="158">
        <f t="shared" si="6"/>
        <v>45812</v>
      </c>
      <c r="C159" s="159">
        <v>6.0</v>
      </c>
      <c r="D159" s="159" t="s">
        <v>28</v>
      </c>
      <c r="E159" s="160">
        <v>6.0</v>
      </c>
      <c r="F159" s="161" t="s">
        <v>33</v>
      </c>
      <c r="G159" s="151">
        <v>0.0</v>
      </c>
      <c r="I159" s="152">
        <v>45.0</v>
      </c>
      <c r="K159" s="152">
        <v>45.0</v>
      </c>
      <c r="M159" s="152">
        <v>0.0</v>
      </c>
      <c r="O159" s="152">
        <v>30.0</v>
      </c>
      <c r="Q159" s="152">
        <v>0.0</v>
      </c>
      <c r="R159" s="92"/>
      <c r="S159" s="153"/>
      <c r="U159" s="154"/>
      <c r="W159" s="154"/>
      <c r="Y159" s="154"/>
      <c r="AA159" s="154"/>
      <c r="AC159" s="154"/>
      <c r="AD159" s="92"/>
      <c r="AE159" s="162">
        <f t="shared" si="1"/>
        <v>2497.8</v>
      </c>
      <c r="AF159" s="159">
        <f t="shared" si="2"/>
        <v>90</v>
      </c>
      <c r="AG159" s="159">
        <f t="shared" si="3"/>
        <v>30</v>
      </c>
      <c r="AH159" s="159">
        <f t="shared" si="4"/>
        <v>120</v>
      </c>
      <c r="AI159" s="163">
        <f t="shared" si="5"/>
        <v>20.815</v>
      </c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ht="15.75" customHeight="1">
      <c r="A160" s="157" t="s">
        <v>23</v>
      </c>
      <c r="B160" s="158">
        <f t="shared" si="6"/>
        <v>45813</v>
      </c>
      <c r="C160" s="159">
        <v>6.0</v>
      </c>
      <c r="D160" s="159" t="s">
        <v>28</v>
      </c>
      <c r="E160" s="160">
        <v>6.0</v>
      </c>
      <c r="F160" s="161" t="s">
        <v>33</v>
      </c>
      <c r="G160" s="151">
        <v>0.0</v>
      </c>
      <c r="I160" s="152">
        <v>45.0</v>
      </c>
      <c r="K160" s="152">
        <v>45.0</v>
      </c>
      <c r="M160" s="152">
        <v>0.0</v>
      </c>
      <c r="O160" s="152">
        <v>30.0</v>
      </c>
      <c r="Q160" s="152">
        <v>0.0</v>
      </c>
      <c r="R160" s="92"/>
      <c r="S160" s="153"/>
      <c r="U160" s="154"/>
      <c r="W160" s="154"/>
      <c r="Y160" s="154"/>
      <c r="AA160" s="154"/>
      <c r="AC160" s="154"/>
      <c r="AD160" s="92"/>
      <c r="AE160" s="162">
        <f t="shared" si="1"/>
        <v>2497.8</v>
      </c>
      <c r="AF160" s="159">
        <f t="shared" si="2"/>
        <v>90</v>
      </c>
      <c r="AG160" s="159">
        <f t="shared" si="3"/>
        <v>30</v>
      </c>
      <c r="AH160" s="159">
        <f t="shared" si="4"/>
        <v>120</v>
      </c>
      <c r="AI160" s="163">
        <f t="shared" si="5"/>
        <v>20.815</v>
      </c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ht="15.75" customHeight="1">
      <c r="A161" s="157" t="s">
        <v>24</v>
      </c>
      <c r="B161" s="158">
        <f t="shared" si="6"/>
        <v>45814</v>
      </c>
      <c r="C161" s="159">
        <v>6.0</v>
      </c>
      <c r="D161" s="159" t="s">
        <v>28</v>
      </c>
      <c r="E161" s="160">
        <v>6.0</v>
      </c>
      <c r="F161" s="161" t="s">
        <v>33</v>
      </c>
      <c r="G161" s="151">
        <v>0.0</v>
      </c>
      <c r="I161" s="152">
        <v>45.0</v>
      </c>
      <c r="K161" s="152">
        <v>0.0</v>
      </c>
      <c r="M161" s="152">
        <v>0.0</v>
      </c>
      <c r="O161" s="152">
        <v>30.0</v>
      </c>
      <c r="Q161" s="152">
        <v>0.0</v>
      </c>
      <c r="R161" s="92"/>
      <c r="S161" s="153"/>
      <c r="U161" s="154"/>
      <c r="W161" s="154"/>
      <c r="Y161" s="154"/>
      <c r="AA161" s="154"/>
      <c r="AC161" s="154"/>
      <c r="AD161" s="92"/>
      <c r="AE161" s="162">
        <f t="shared" si="1"/>
        <v>1373.7</v>
      </c>
      <c r="AF161" s="159">
        <f t="shared" si="2"/>
        <v>45</v>
      </c>
      <c r="AG161" s="159">
        <f t="shared" si="3"/>
        <v>30</v>
      </c>
      <c r="AH161" s="159">
        <f t="shared" si="4"/>
        <v>75</v>
      </c>
      <c r="AI161" s="163">
        <f t="shared" si="5"/>
        <v>18.316</v>
      </c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ht="15.75" customHeight="1">
      <c r="A162" s="157" t="s">
        <v>25</v>
      </c>
      <c r="B162" s="158">
        <f t="shared" si="6"/>
        <v>45815</v>
      </c>
      <c r="C162" s="159">
        <v>6.0</v>
      </c>
      <c r="D162" s="159" t="s">
        <v>28</v>
      </c>
      <c r="E162" s="160">
        <v>6.0</v>
      </c>
      <c r="F162" s="161" t="s">
        <v>33</v>
      </c>
      <c r="G162" s="151">
        <v>0.0</v>
      </c>
      <c r="I162" s="152">
        <v>45.0</v>
      </c>
      <c r="K162" s="152">
        <v>0.0</v>
      </c>
      <c r="M162" s="152">
        <v>0.0</v>
      </c>
      <c r="O162" s="152">
        <v>30.0</v>
      </c>
      <c r="Q162" s="152">
        <v>0.0</v>
      </c>
      <c r="R162" s="92"/>
      <c r="S162" s="153"/>
      <c r="U162" s="154"/>
      <c r="W162" s="154"/>
      <c r="Y162" s="154"/>
      <c r="AA162" s="154"/>
      <c r="AC162" s="154"/>
      <c r="AD162" s="92"/>
      <c r="AE162" s="162">
        <f t="shared" si="1"/>
        <v>1373.7</v>
      </c>
      <c r="AF162" s="159">
        <f t="shared" si="2"/>
        <v>45</v>
      </c>
      <c r="AG162" s="159">
        <f t="shared" si="3"/>
        <v>30</v>
      </c>
      <c r="AH162" s="159">
        <f t="shared" si="4"/>
        <v>75</v>
      </c>
      <c r="AI162" s="163">
        <f t="shared" si="5"/>
        <v>18.316</v>
      </c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ht="15.75" customHeight="1">
      <c r="A163" s="164" t="s">
        <v>26</v>
      </c>
      <c r="B163" s="165">
        <f t="shared" si="6"/>
        <v>45816</v>
      </c>
      <c r="C163" s="166">
        <v>6.0</v>
      </c>
      <c r="D163" s="166" t="s">
        <v>28</v>
      </c>
      <c r="E163" s="167">
        <v>6.0</v>
      </c>
      <c r="F163" s="167" t="s">
        <v>31</v>
      </c>
      <c r="G163" s="169">
        <v>45.0</v>
      </c>
      <c r="H163" s="6"/>
      <c r="I163" s="170">
        <v>0.0</v>
      </c>
      <c r="J163" s="6"/>
      <c r="K163" s="170">
        <v>45.0</v>
      </c>
      <c r="L163" s="6"/>
      <c r="M163" s="170">
        <v>0.0</v>
      </c>
      <c r="N163" s="6"/>
      <c r="O163" s="170">
        <v>0.0</v>
      </c>
      <c r="P163" s="6"/>
      <c r="Q163" s="170">
        <v>0.0</v>
      </c>
      <c r="R163" s="93"/>
      <c r="S163" s="171"/>
      <c r="T163" s="6"/>
      <c r="U163" s="172"/>
      <c r="V163" s="6"/>
      <c r="W163" s="172"/>
      <c r="X163" s="6"/>
      <c r="Y163" s="172"/>
      <c r="Z163" s="6"/>
      <c r="AA163" s="172"/>
      <c r="AB163" s="6"/>
      <c r="AC163" s="172"/>
      <c r="AD163" s="93"/>
      <c r="AE163" s="173">
        <f t="shared" si="1"/>
        <v>2248.2</v>
      </c>
      <c r="AF163" s="166">
        <f t="shared" si="2"/>
        <v>90</v>
      </c>
      <c r="AG163" s="166">
        <f t="shared" si="3"/>
        <v>0</v>
      </c>
      <c r="AH163" s="166">
        <f t="shared" si="4"/>
        <v>90</v>
      </c>
      <c r="AI163" s="174">
        <f t="shared" si="5"/>
        <v>24.98</v>
      </c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ht="15.75" customHeight="1">
      <c r="A164" s="122" t="s">
        <v>19</v>
      </c>
      <c r="B164" s="123">
        <f t="shared" si="6"/>
        <v>45817</v>
      </c>
      <c r="C164" s="124">
        <v>6.0</v>
      </c>
      <c r="D164" s="124" t="s">
        <v>29</v>
      </c>
      <c r="E164" s="175"/>
      <c r="F164" s="125" t="s">
        <v>32</v>
      </c>
      <c r="G164" s="126">
        <v>0.0</v>
      </c>
      <c r="I164" s="127">
        <v>0.0</v>
      </c>
      <c r="K164" s="127">
        <v>0.0</v>
      </c>
      <c r="M164" s="127">
        <v>0.0</v>
      </c>
      <c r="O164" s="127">
        <v>0.0</v>
      </c>
      <c r="Q164" s="127">
        <v>0.0</v>
      </c>
      <c r="R164" s="92"/>
      <c r="S164" s="128"/>
      <c r="U164" s="129"/>
      <c r="W164" s="129"/>
      <c r="Y164" s="129"/>
      <c r="AA164" s="129"/>
      <c r="AC164" s="129"/>
      <c r="AD164" s="92"/>
      <c r="AE164" s="130">
        <f t="shared" si="1"/>
        <v>0</v>
      </c>
      <c r="AF164" s="124">
        <f t="shared" si="2"/>
        <v>0</v>
      </c>
      <c r="AG164" s="124">
        <f t="shared" si="3"/>
        <v>0</v>
      </c>
      <c r="AH164" s="124">
        <f t="shared" si="4"/>
        <v>0</v>
      </c>
      <c r="AI164" s="131">
        <f t="shared" si="5"/>
        <v>0</v>
      </c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ht="15.75" customHeight="1">
      <c r="A165" s="132" t="s">
        <v>21</v>
      </c>
      <c r="B165" s="133">
        <f t="shared" si="6"/>
        <v>45818</v>
      </c>
      <c r="C165" s="134">
        <v>6.0</v>
      </c>
      <c r="D165" s="134" t="s">
        <v>29</v>
      </c>
      <c r="E165" s="135"/>
      <c r="F165" s="135" t="s">
        <v>32</v>
      </c>
      <c r="G165" s="126">
        <v>0.0</v>
      </c>
      <c r="I165" s="127">
        <v>0.0</v>
      </c>
      <c r="K165" s="127">
        <v>0.0</v>
      </c>
      <c r="M165" s="127">
        <v>0.0</v>
      </c>
      <c r="O165" s="127">
        <v>0.0</v>
      </c>
      <c r="Q165" s="127">
        <v>0.0</v>
      </c>
      <c r="R165" s="92"/>
      <c r="S165" s="128"/>
      <c r="U165" s="129"/>
      <c r="W165" s="129"/>
      <c r="Y165" s="129"/>
      <c r="AA165" s="129"/>
      <c r="AC165" s="129"/>
      <c r="AD165" s="92"/>
      <c r="AE165" s="136">
        <f t="shared" si="1"/>
        <v>0</v>
      </c>
      <c r="AF165" s="134">
        <f t="shared" si="2"/>
        <v>0</v>
      </c>
      <c r="AG165" s="134">
        <f t="shared" si="3"/>
        <v>0</v>
      </c>
      <c r="AH165" s="134">
        <f t="shared" si="4"/>
        <v>0</v>
      </c>
      <c r="AI165" s="137">
        <f t="shared" si="5"/>
        <v>0</v>
      </c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ht="15.75" customHeight="1">
      <c r="A166" s="132" t="s">
        <v>22</v>
      </c>
      <c r="B166" s="133">
        <f t="shared" si="6"/>
        <v>45819</v>
      </c>
      <c r="C166" s="134">
        <v>6.0</v>
      </c>
      <c r="D166" s="134" t="s">
        <v>29</v>
      </c>
      <c r="E166" s="135"/>
      <c r="F166" s="135" t="s">
        <v>32</v>
      </c>
      <c r="G166" s="126">
        <v>0.0</v>
      </c>
      <c r="I166" s="127">
        <v>0.0</v>
      </c>
      <c r="K166" s="127">
        <v>0.0</v>
      </c>
      <c r="M166" s="127">
        <v>0.0</v>
      </c>
      <c r="O166" s="127">
        <v>0.0</v>
      </c>
      <c r="Q166" s="127">
        <v>0.0</v>
      </c>
      <c r="R166" s="92"/>
      <c r="S166" s="128"/>
      <c r="U166" s="129"/>
      <c r="W166" s="129"/>
      <c r="Y166" s="129"/>
      <c r="AA166" s="129"/>
      <c r="AC166" s="129"/>
      <c r="AD166" s="92"/>
      <c r="AE166" s="136">
        <f t="shared" si="1"/>
        <v>0</v>
      </c>
      <c r="AF166" s="134">
        <f t="shared" si="2"/>
        <v>0</v>
      </c>
      <c r="AG166" s="134">
        <f t="shared" si="3"/>
        <v>0</v>
      </c>
      <c r="AH166" s="134">
        <f t="shared" si="4"/>
        <v>0</v>
      </c>
      <c r="AI166" s="137">
        <f t="shared" si="5"/>
        <v>0</v>
      </c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ht="15.75" customHeight="1">
      <c r="A167" s="132" t="s">
        <v>23</v>
      </c>
      <c r="B167" s="133">
        <f t="shared" si="6"/>
        <v>45820</v>
      </c>
      <c r="C167" s="134">
        <v>6.0</v>
      </c>
      <c r="D167" s="134" t="s">
        <v>29</v>
      </c>
      <c r="E167" s="135"/>
      <c r="F167" s="135" t="s">
        <v>32</v>
      </c>
      <c r="G167" s="126">
        <v>0.0</v>
      </c>
      <c r="I167" s="127">
        <v>0.0</v>
      </c>
      <c r="K167" s="127">
        <v>0.0</v>
      </c>
      <c r="M167" s="127">
        <v>0.0</v>
      </c>
      <c r="O167" s="127">
        <v>0.0</v>
      </c>
      <c r="Q167" s="127">
        <v>0.0</v>
      </c>
      <c r="R167" s="92"/>
      <c r="S167" s="128"/>
      <c r="U167" s="129"/>
      <c r="W167" s="129"/>
      <c r="Y167" s="129"/>
      <c r="AA167" s="129"/>
      <c r="AC167" s="129"/>
      <c r="AD167" s="92"/>
      <c r="AE167" s="136">
        <f t="shared" si="1"/>
        <v>0</v>
      </c>
      <c r="AF167" s="134">
        <f t="shared" si="2"/>
        <v>0</v>
      </c>
      <c r="AG167" s="134">
        <f t="shared" si="3"/>
        <v>0</v>
      </c>
      <c r="AH167" s="134">
        <f t="shared" si="4"/>
        <v>0</v>
      </c>
      <c r="AI167" s="137">
        <f t="shared" si="5"/>
        <v>0</v>
      </c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ht="15.75" customHeight="1">
      <c r="A168" s="132" t="s">
        <v>24</v>
      </c>
      <c r="B168" s="133">
        <f t="shared" si="6"/>
        <v>45821</v>
      </c>
      <c r="C168" s="134">
        <v>6.0</v>
      </c>
      <c r="D168" s="134" t="s">
        <v>29</v>
      </c>
      <c r="E168" s="135"/>
      <c r="F168" s="135" t="s">
        <v>32</v>
      </c>
      <c r="G168" s="126">
        <v>0.0</v>
      </c>
      <c r="I168" s="127">
        <v>0.0</v>
      </c>
      <c r="K168" s="127">
        <v>0.0</v>
      </c>
      <c r="M168" s="127">
        <v>0.0</v>
      </c>
      <c r="O168" s="127">
        <v>0.0</v>
      </c>
      <c r="Q168" s="127">
        <v>0.0</v>
      </c>
      <c r="R168" s="92"/>
      <c r="S168" s="128"/>
      <c r="U168" s="129"/>
      <c r="W168" s="129"/>
      <c r="Y168" s="129"/>
      <c r="AA168" s="129"/>
      <c r="AC168" s="129"/>
      <c r="AD168" s="92"/>
      <c r="AE168" s="136">
        <f t="shared" si="1"/>
        <v>0</v>
      </c>
      <c r="AF168" s="134">
        <f t="shared" si="2"/>
        <v>0</v>
      </c>
      <c r="AG168" s="134">
        <f t="shared" si="3"/>
        <v>0</v>
      </c>
      <c r="AH168" s="134">
        <f t="shared" si="4"/>
        <v>0</v>
      </c>
      <c r="AI168" s="137">
        <f t="shared" si="5"/>
        <v>0</v>
      </c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ht="15.75" customHeight="1">
      <c r="A169" s="132" t="s">
        <v>25</v>
      </c>
      <c r="B169" s="133">
        <f t="shared" si="6"/>
        <v>45822</v>
      </c>
      <c r="C169" s="134">
        <v>6.0</v>
      </c>
      <c r="D169" s="134" t="s">
        <v>29</v>
      </c>
      <c r="E169" s="135"/>
      <c r="F169" s="135" t="s">
        <v>32</v>
      </c>
      <c r="G169" s="126">
        <v>0.0</v>
      </c>
      <c r="I169" s="127">
        <v>0.0</v>
      </c>
      <c r="K169" s="127">
        <v>0.0</v>
      </c>
      <c r="M169" s="127">
        <v>0.0</v>
      </c>
      <c r="O169" s="127">
        <v>0.0</v>
      </c>
      <c r="Q169" s="127">
        <v>0.0</v>
      </c>
      <c r="R169" s="92"/>
      <c r="S169" s="128"/>
      <c r="U169" s="129"/>
      <c r="W169" s="129"/>
      <c r="Y169" s="129"/>
      <c r="AA169" s="129"/>
      <c r="AC169" s="129"/>
      <c r="AD169" s="92"/>
      <c r="AE169" s="136">
        <f t="shared" si="1"/>
        <v>0</v>
      </c>
      <c r="AF169" s="134">
        <f t="shared" si="2"/>
        <v>0</v>
      </c>
      <c r="AG169" s="134">
        <f t="shared" si="3"/>
        <v>0</v>
      </c>
      <c r="AH169" s="134">
        <f t="shared" si="4"/>
        <v>0</v>
      </c>
      <c r="AI169" s="137">
        <f t="shared" si="5"/>
        <v>0</v>
      </c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ht="15.75" customHeight="1">
      <c r="A170" s="138" t="s">
        <v>26</v>
      </c>
      <c r="B170" s="139">
        <f t="shared" si="6"/>
        <v>45823</v>
      </c>
      <c r="C170" s="140">
        <v>6.0</v>
      </c>
      <c r="D170" s="140" t="s">
        <v>29</v>
      </c>
      <c r="E170" s="141"/>
      <c r="F170" s="141" t="s">
        <v>32</v>
      </c>
      <c r="G170" s="142">
        <v>0.0</v>
      </c>
      <c r="H170" s="6"/>
      <c r="I170" s="142">
        <v>0.0</v>
      </c>
      <c r="J170" s="6"/>
      <c r="K170" s="142">
        <v>0.0</v>
      </c>
      <c r="L170" s="6"/>
      <c r="M170" s="142">
        <v>0.0</v>
      </c>
      <c r="N170" s="6"/>
      <c r="O170" s="142">
        <v>0.0</v>
      </c>
      <c r="P170" s="6"/>
      <c r="Q170" s="142">
        <v>0.0</v>
      </c>
      <c r="R170" s="93"/>
      <c r="S170" s="143"/>
      <c r="T170" s="6"/>
      <c r="U170" s="144"/>
      <c r="V170" s="6"/>
      <c r="W170" s="144"/>
      <c r="X170" s="6"/>
      <c r="Y170" s="144"/>
      <c r="Z170" s="6"/>
      <c r="AA170" s="144"/>
      <c r="AB170" s="6"/>
      <c r="AC170" s="144"/>
      <c r="AD170" s="93"/>
      <c r="AE170" s="145">
        <f t="shared" si="1"/>
        <v>0</v>
      </c>
      <c r="AF170" s="140">
        <f t="shared" si="2"/>
        <v>0</v>
      </c>
      <c r="AG170" s="140">
        <f t="shared" si="3"/>
        <v>0</v>
      </c>
      <c r="AH170" s="140">
        <f t="shared" si="4"/>
        <v>0</v>
      </c>
      <c r="AI170" s="146">
        <f t="shared" si="5"/>
        <v>0</v>
      </c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ht="15.75" customHeight="1">
      <c r="A171" s="147" t="s">
        <v>19</v>
      </c>
      <c r="B171" s="148">
        <f t="shared" si="6"/>
        <v>45824</v>
      </c>
      <c r="C171" s="149">
        <v>7.0</v>
      </c>
      <c r="D171" s="149" t="s">
        <v>20</v>
      </c>
      <c r="E171" s="150"/>
      <c r="F171" s="150" t="s">
        <v>32</v>
      </c>
      <c r="G171" s="151">
        <v>0.0</v>
      </c>
      <c r="I171" s="152">
        <v>0.0</v>
      </c>
      <c r="K171" s="152">
        <v>0.0</v>
      </c>
      <c r="M171" s="152">
        <v>0.0</v>
      </c>
      <c r="O171" s="152">
        <v>0.0</v>
      </c>
      <c r="Q171" s="152">
        <v>0.0</v>
      </c>
      <c r="R171" s="92"/>
      <c r="S171" s="153"/>
      <c r="U171" s="154"/>
      <c r="W171" s="154"/>
      <c r="Y171" s="154"/>
      <c r="AA171" s="154"/>
      <c r="AC171" s="154"/>
      <c r="AD171" s="92"/>
      <c r="AE171" s="155">
        <f t="shared" si="1"/>
        <v>0</v>
      </c>
      <c r="AF171" s="149">
        <f t="shared" si="2"/>
        <v>0</v>
      </c>
      <c r="AG171" s="149">
        <f t="shared" si="3"/>
        <v>0</v>
      </c>
      <c r="AH171" s="149">
        <f t="shared" si="4"/>
        <v>0</v>
      </c>
      <c r="AI171" s="156">
        <f t="shared" si="5"/>
        <v>0</v>
      </c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ht="15.75" customHeight="1">
      <c r="A172" s="157" t="s">
        <v>21</v>
      </c>
      <c r="B172" s="158">
        <f t="shared" si="6"/>
        <v>45825</v>
      </c>
      <c r="C172" s="159">
        <v>7.0</v>
      </c>
      <c r="D172" s="159" t="s">
        <v>20</v>
      </c>
      <c r="E172" s="160">
        <v>7.0</v>
      </c>
      <c r="F172" s="161" t="s">
        <v>33</v>
      </c>
      <c r="G172" s="151">
        <v>0.0</v>
      </c>
      <c r="I172" s="152">
        <v>45.0</v>
      </c>
      <c r="K172" s="152">
        <v>45.0</v>
      </c>
      <c r="M172" s="152">
        <v>0.0</v>
      </c>
      <c r="O172" s="152">
        <v>30.0</v>
      </c>
      <c r="Q172" s="152">
        <v>0.0</v>
      </c>
      <c r="R172" s="92"/>
      <c r="S172" s="153"/>
      <c r="U172" s="154"/>
      <c r="W172" s="154"/>
      <c r="Y172" s="154"/>
      <c r="AA172" s="154"/>
      <c r="AC172" s="154"/>
      <c r="AD172" s="92"/>
      <c r="AE172" s="162">
        <f t="shared" si="1"/>
        <v>2497.8</v>
      </c>
      <c r="AF172" s="159">
        <f t="shared" si="2"/>
        <v>90</v>
      </c>
      <c r="AG172" s="159">
        <f t="shared" si="3"/>
        <v>30</v>
      </c>
      <c r="AH172" s="159">
        <f t="shared" si="4"/>
        <v>120</v>
      </c>
      <c r="AI172" s="163">
        <f t="shared" si="5"/>
        <v>20.815</v>
      </c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ht="15.75" customHeight="1">
      <c r="A173" s="157" t="s">
        <v>22</v>
      </c>
      <c r="B173" s="158">
        <f t="shared" si="6"/>
        <v>45826</v>
      </c>
      <c r="C173" s="159">
        <v>7.0</v>
      </c>
      <c r="D173" s="159" t="s">
        <v>20</v>
      </c>
      <c r="E173" s="160">
        <v>7.0</v>
      </c>
      <c r="F173" s="160" t="s">
        <v>31</v>
      </c>
      <c r="G173" s="151">
        <v>45.0</v>
      </c>
      <c r="I173" s="152">
        <v>0.0</v>
      </c>
      <c r="K173" s="152">
        <v>45.0</v>
      </c>
      <c r="M173" s="152">
        <v>0.0</v>
      </c>
      <c r="O173" s="152">
        <v>0.0</v>
      </c>
      <c r="Q173" s="152">
        <v>0.0</v>
      </c>
      <c r="R173" s="92"/>
      <c r="S173" s="153"/>
      <c r="U173" s="154"/>
      <c r="W173" s="154"/>
      <c r="Y173" s="154"/>
      <c r="AA173" s="154"/>
      <c r="AC173" s="154"/>
      <c r="AD173" s="92"/>
      <c r="AE173" s="162">
        <f t="shared" si="1"/>
        <v>2248.2</v>
      </c>
      <c r="AF173" s="159">
        <f t="shared" si="2"/>
        <v>90</v>
      </c>
      <c r="AG173" s="159">
        <f t="shared" si="3"/>
        <v>0</v>
      </c>
      <c r="AH173" s="159">
        <f t="shared" si="4"/>
        <v>90</v>
      </c>
      <c r="AI173" s="163">
        <f t="shared" si="5"/>
        <v>24.98</v>
      </c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ht="15.75" customHeight="1">
      <c r="A174" s="157" t="s">
        <v>23</v>
      </c>
      <c r="B174" s="158">
        <f t="shared" si="6"/>
        <v>45827</v>
      </c>
      <c r="C174" s="159">
        <v>7.0</v>
      </c>
      <c r="D174" s="159" t="s">
        <v>20</v>
      </c>
      <c r="E174" s="160">
        <v>7.0</v>
      </c>
      <c r="F174" s="161" t="s">
        <v>33</v>
      </c>
      <c r="G174" s="151">
        <v>0.0</v>
      </c>
      <c r="I174" s="152">
        <v>45.0</v>
      </c>
      <c r="K174" s="152">
        <v>45.0</v>
      </c>
      <c r="M174" s="152">
        <v>0.0</v>
      </c>
      <c r="O174" s="152">
        <v>30.0</v>
      </c>
      <c r="Q174" s="152">
        <v>0.0</v>
      </c>
      <c r="R174" s="92"/>
      <c r="S174" s="153"/>
      <c r="U174" s="154"/>
      <c r="W174" s="154"/>
      <c r="Y174" s="154"/>
      <c r="AA174" s="154"/>
      <c r="AC174" s="154"/>
      <c r="AD174" s="92"/>
      <c r="AE174" s="162">
        <f t="shared" si="1"/>
        <v>2497.8</v>
      </c>
      <c r="AF174" s="159">
        <f t="shared" si="2"/>
        <v>90</v>
      </c>
      <c r="AG174" s="159">
        <f t="shared" si="3"/>
        <v>30</v>
      </c>
      <c r="AH174" s="159">
        <f t="shared" si="4"/>
        <v>120</v>
      </c>
      <c r="AI174" s="163">
        <f t="shared" si="5"/>
        <v>20.815</v>
      </c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ht="15.75" customHeight="1">
      <c r="A175" s="157" t="s">
        <v>24</v>
      </c>
      <c r="B175" s="158">
        <f t="shared" si="6"/>
        <v>45828</v>
      </c>
      <c r="C175" s="159">
        <v>7.0</v>
      </c>
      <c r="D175" s="159" t="s">
        <v>20</v>
      </c>
      <c r="E175" s="160">
        <v>7.0</v>
      </c>
      <c r="F175" s="161" t="s">
        <v>33</v>
      </c>
      <c r="G175" s="151">
        <v>0.0</v>
      </c>
      <c r="I175" s="152">
        <v>45.0</v>
      </c>
      <c r="K175" s="152">
        <v>45.0</v>
      </c>
      <c r="M175" s="152">
        <v>0.0</v>
      </c>
      <c r="O175" s="152">
        <v>30.0</v>
      </c>
      <c r="Q175" s="152">
        <v>0.0</v>
      </c>
      <c r="R175" s="92"/>
      <c r="S175" s="153"/>
      <c r="U175" s="154"/>
      <c r="W175" s="154"/>
      <c r="Y175" s="154"/>
      <c r="AA175" s="154"/>
      <c r="AC175" s="154"/>
      <c r="AD175" s="92"/>
      <c r="AE175" s="162">
        <f t="shared" si="1"/>
        <v>2497.8</v>
      </c>
      <c r="AF175" s="159">
        <f t="shared" si="2"/>
        <v>90</v>
      </c>
      <c r="AG175" s="159">
        <f t="shared" si="3"/>
        <v>30</v>
      </c>
      <c r="AH175" s="159">
        <f t="shared" si="4"/>
        <v>120</v>
      </c>
      <c r="AI175" s="163">
        <f t="shared" si="5"/>
        <v>20.815</v>
      </c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ht="15.75" customHeight="1">
      <c r="A176" s="157" t="s">
        <v>25</v>
      </c>
      <c r="B176" s="158">
        <f t="shared" si="6"/>
        <v>45829</v>
      </c>
      <c r="C176" s="159">
        <v>7.0</v>
      </c>
      <c r="D176" s="159" t="s">
        <v>20</v>
      </c>
      <c r="E176" s="160">
        <v>7.0</v>
      </c>
      <c r="F176" s="161" t="s">
        <v>33</v>
      </c>
      <c r="G176" s="151">
        <v>0.0</v>
      </c>
      <c r="I176" s="152">
        <v>45.0</v>
      </c>
      <c r="K176" s="152">
        <v>45.0</v>
      </c>
      <c r="M176" s="152">
        <v>0.0</v>
      </c>
      <c r="O176" s="152">
        <v>30.0</v>
      </c>
      <c r="Q176" s="152">
        <v>0.0</v>
      </c>
      <c r="R176" s="92"/>
      <c r="S176" s="153"/>
      <c r="U176" s="154"/>
      <c r="W176" s="154"/>
      <c r="Y176" s="154"/>
      <c r="AA176" s="154"/>
      <c r="AC176" s="154"/>
      <c r="AD176" s="92"/>
      <c r="AE176" s="162">
        <f t="shared" si="1"/>
        <v>2497.8</v>
      </c>
      <c r="AF176" s="159">
        <f t="shared" si="2"/>
        <v>90</v>
      </c>
      <c r="AG176" s="159">
        <f t="shared" si="3"/>
        <v>30</v>
      </c>
      <c r="AH176" s="159">
        <f t="shared" si="4"/>
        <v>120</v>
      </c>
      <c r="AI176" s="163">
        <f t="shared" si="5"/>
        <v>20.815</v>
      </c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ht="15.75" customHeight="1">
      <c r="A177" s="164" t="s">
        <v>26</v>
      </c>
      <c r="B177" s="165">
        <f t="shared" si="6"/>
        <v>45830</v>
      </c>
      <c r="C177" s="166">
        <v>7.0</v>
      </c>
      <c r="D177" s="166" t="s">
        <v>20</v>
      </c>
      <c r="E177" s="167">
        <v>7.0</v>
      </c>
      <c r="F177" s="167" t="s">
        <v>31</v>
      </c>
      <c r="G177" s="169">
        <v>45.0</v>
      </c>
      <c r="H177" s="6"/>
      <c r="I177" s="170">
        <v>0.0</v>
      </c>
      <c r="J177" s="6"/>
      <c r="K177" s="170">
        <v>45.0</v>
      </c>
      <c r="L177" s="6"/>
      <c r="M177" s="170">
        <v>0.0</v>
      </c>
      <c r="N177" s="6"/>
      <c r="O177" s="170">
        <v>30.0</v>
      </c>
      <c r="P177" s="6"/>
      <c r="Q177" s="170">
        <v>0.0</v>
      </c>
      <c r="R177" s="93"/>
      <c r="S177" s="171"/>
      <c r="T177" s="6"/>
      <c r="U177" s="172"/>
      <c r="V177" s="6"/>
      <c r="W177" s="172"/>
      <c r="X177" s="6"/>
      <c r="Y177" s="172"/>
      <c r="Z177" s="6"/>
      <c r="AA177" s="172"/>
      <c r="AB177" s="6"/>
      <c r="AC177" s="172"/>
      <c r="AD177" s="93"/>
      <c r="AE177" s="173">
        <f t="shared" si="1"/>
        <v>2497.8</v>
      </c>
      <c r="AF177" s="166">
        <f t="shared" si="2"/>
        <v>90</v>
      </c>
      <c r="AG177" s="166">
        <f t="shared" si="3"/>
        <v>30</v>
      </c>
      <c r="AH177" s="166">
        <f t="shared" si="4"/>
        <v>120</v>
      </c>
      <c r="AI177" s="174">
        <f t="shared" si="5"/>
        <v>20.815</v>
      </c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ht="15.75" customHeight="1">
      <c r="A178" s="122" t="s">
        <v>19</v>
      </c>
      <c r="B178" s="123">
        <f t="shared" si="6"/>
        <v>45831</v>
      </c>
      <c r="C178" s="124">
        <v>7.0</v>
      </c>
      <c r="D178" s="124" t="s">
        <v>27</v>
      </c>
      <c r="E178" s="125"/>
      <c r="F178" s="125" t="s">
        <v>32</v>
      </c>
      <c r="G178" s="126">
        <v>0.0</v>
      </c>
      <c r="I178" s="127">
        <v>0.0</v>
      </c>
      <c r="K178" s="127">
        <v>0.0</v>
      </c>
      <c r="M178" s="127">
        <v>0.0</v>
      </c>
      <c r="O178" s="127">
        <v>0.0</v>
      </c>
      <c r="Q178" s="127">
        <v>0.0</v>
      </c>
      <c r="R178" s="92"/>
      <c r="S178" s="128"/>
      <c r="U178" s="129"/>
      <c r="W178" s="129"/>
      <c r="Y178" s="129"/>
      <c r="AA178" s="129"/>
      <c r="AC178" s="129"/>
      <c r="AD178" s="92"/>
      <c r="AE178" s="130">
        <f t="shared" si="1"/>
        <v>0</v>
      </c>
      <c r="AF178" s="124">
        <f t="shared" si="2"/>
        <v>0</v>
      </c>
      <c r="AG178" s="124">
        <f t="shared" si="3"/>
        <v>0</v>
      </c>
      <c r="AH178" s="124">
        <f t="shared" si="4"/>
        <v>0</v>
      </c>
      <c r="AI178" s="131">
        <f t="shared" si="5"/>
        <v>0</v>
      </c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ht="15.75" customHeight="1">
      <c r="A179" s="132" t="s">
        <v>21</v>
      </c>
      <c r="B179" s="133">
        <f t="shared" si="6"/>
        <v>45832</v>
      </c>
      <c r="C179" s="134">
        <v>7.0</v>
      </c>
      <c r="D179" s="134" t="s">
        <v>27</v>
      </c>
      <c r="E179" s="135"/>
      <c r="F179" s="135" t="s">
        <v>32</v>
      </c>
      <c r="G179" s="126">
        <v>0.0</v>
      </c>
      <c r="I179" s="127">
        <v>0.0</v>
      </c>
      <c r="K179" s="127">
        <v>0.0</v>
      </c>
      <c r="M179" s="127">
        <v>0.0</v>
      </c>
      <c r="O179" s="127">
        <v>0.0</v>
      </c>
      <c r="Q179" s="127">
        <v>0.0</v>
      </c>
      <c r="R179" s="92"/>
      <c r="S179" s="128"/>
      <c r="U179" s="129"/>
      <c r="W179" s="129"/>
      <c r="Y179" s="129"/>
      <c r="AA179" s="129"/>
      <c r="AC179" s="129"/>
      <c r="AD179" s="92"/>
      <c r="AE179" s="136">
        <f t="shared" si="1"/>
        <v>0</v>
      </c>
      <c r="AF179" s="134">
        <f t="shared" si="2"/>
        <v>0</v>
      </c>
      <c r="AG179" s="134">
        <f t="shared" si="3"/>
        <v>0</v>
      </c>
      <c r="AH179" s="134">
        <f t="shared" si="4"/>
        <v>0</v>
      </c>
      <c r="AI179" s="137">
        <f t="shared" si="5"/>
        <v>0</v>
      </c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ht="15.75" customHeight="1">
      <c r="A180" s="132" t="s">
        <v>22</v>
      </c>
      <c r="B180" s="133">
        <f t="shared" si="6"/>
        <v>45833</v>
      </c>
      <c r="C180" s="134">
        <v>7.0</v>
      </c>
      <c r="D180" s="134" t="s">
        <v>27</v>
      </c>
      <c r="E180" s="135"/>
      <c r="F180" s="135" t="s">
        <v>32</v>
      </c>
      <c r="G180" s="126">
        <v>0.0</v>
      </c>
      <c r="I180" s="127">
        <v>0.0</v>
      </c>
      <c r="K180" s="127">
        <v>0.0</v>
      </c>
      <c r="M180" s="127">
        <v>0.0</v>
      </c>
      <c r="O180" s="127">
        <v>0.0</v>
      </c>
      <c r="Q180" s="127">
        <v>0.0</v>
      </c>
      <c r="R180" s="92"/>
      <c r="S180" s="128"/>
      <c r="U180" s="129"/>
      <c r="W180" s="129"/>
      <c r="Y180" s="129"/>
      <c r="AA180" s="129"/>
      <c r="AC180" s="129"/>
      <c r="AD180" s="92"/>
      <c r="AE180" s="136">
        <f t="shared" si="1"/>
        <v>0</v>
      </c>
      <c r="AF180" s="134">
        <f t="shared" si="2"/>
        <v>0</v>
      </c>
      <c r="AG180" s="134">
        <f t="shared" si="3"/>
        <v>0</v>
      </c>
      <c r="AH180" s="134">
        <f t="shared" si="4"/>
        <v>0</v>
      </c>
      <c r="AI180" s="137">
        <f t="shared" si="5"/>
        <v>0</v>
      </c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ht="15.75" customHeight="1">
      <c r="A181" s="132" t="s">
        <v>23</v>
      </c>
      <c r="B181" s="133">
        <f t="shared" si="6"/>
        <v>45834</v>
      </c>
      <c r="C181" s="134">
        <v>7.0</v>
      </c>
      <c r="D181" s="134" t="s">
        <v>27</v>
      </c>
      <c r="E181" s="135"/>
      <c r="F181" s="135" t="s">
        <v>32</v>
      </c>
      <c r="G181" s="126">
        <v>0.0</v>
      </c>
      <c r="I181" s="127">
        <v>0.0</v>
      </c>
      <c r="K181" s="127">
        <v>0.0</v>
      </c>
      <c r="M181" s="127">
        <v>0.0</v>
      </c>
      <c r="O181" s="127">
        <v>0.0</v>
      </c>
      <c r="Q181" s="127">
        <v>0.0</v>
      </c>
      <c r="R181" s="92"/>
      <c r="S181" s="128"/>
      <c r="U181" s="129"/>
      <c r="W181" s="129"/>
      <c r="Y181" s="129"/>
      <c r="AA181" s="129"/>
      <c r="AC181" s="129"/>
      <c r="AD181" s="92"/>
      <c r="AE181" s="136">
        <f t="shared" si="1"/>
        <v>0</v>
      </c>
      <c r="AF181" s="134">
        <f t="shared" si="2"/>
        <v>0</v>
      </c>
      <c r="AG181" s="134">
        <f t="shared" si="3"/>
        <v>0</v>
      </c>
      <c r="AH181" s="134">
        <f t="shared" si="4"/>
        <v>0</v>
      </c>
      <c r="AI181" s="137">
        <f t="shared" si="5"/>
        <v>0</v>
      </c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ht="15.75" customHeight="1">
      <c r="A182" s="132" t="s">
        <v>24</v>
      </c>
      <c r="B182" s="133">
        <f t="shared" si="6"/>
        <v>45835</v>
      </c>
      <c r="C182" s="134">
        <v>7.0</v>
      </c>
      <c r="D182" s="134" t="s">
        <v>27</v>
      </c>
      <c r="E182" s="135"/>
      <c r="F182" s="135" t="s">
        <v>32</v>
      </c>
      <c r="G182" s="126">
        <v>0.0</v>
      </c>
      <c r="I182" s="127">
        <v>0.0</v>
      </c>
      <c r="K182" s="127">
        <v>0.0</v>
      </c>
      <c r="M182" s="127">
        <v>0.0</v>
      </c>
      <c r="O182" s="127">
        <v>0.0</v>
      </c>
      <c r="Q182" s="127">
        <v>0.0</v>
      </c>
      <c r="R182" s="92"/>
      <c r="S182" s="128"/>
      <c r="U182" s="129"/>
      <c r="W182" s="129"/>
      <c r="Y182" s="129"/>
      <c r="AA182" s="129"/>
      <c r="AC182" s="129"/>
      <c r="AD182" s="92"/>
      <c r="AE182" s="136">
        <f t="shared" si="1"/>
        <v>0</v>
      </c>
      <c r="AF182" s="134">
        <f t="shared" si="2"/>
        <v>0</v>
      </c>
      <c r="AG182" s="134">
        <f t="shared" si="3"/>
        <v>0</v>
      </c>
      <c r="AH182" s="134">
        <f t="shared" si="4"/>
        <v>0</v>
      </c>
      <c r="AI182" s="137">
        <f t="shared" si="5"/>
        <v>0</v>
      </c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ht="15.75" customHeight="1">
      <c r="A183" s="132" t="s">
        <v>25</v>
      </c>
      <c r="B183" s="133">
        <f t="shared" si="6"/>
        <v>45836</v>
      </c>
      <c r="C183" s="134">
        <v>7.0</v>
      </c>
      <c r="D183" s="134" t="s">
        <v>27</v>
      </c>
      <c r="E183" s="135"/>
      <c r="F183" s="135" t="s">
        <v>32</v>
      </c>
      <c r="G183" s="126">
        <v>0.0</v>
      </c>
      <c r="I183" s="127">
        <v>0.0</v>
      </c>
      <c r="K183" s="127">
        <v>0.0</v>
      </c>
      <c r="M183" s="127">
        <v>0.0</v>
      </c>
      <c r="O183" s="127">
        <v>0.0</v>
      </c>
      <c r="Q183" s="127">
        <v>0.0</v>
      </c>
      <c r="R183" s="92"/>
      <c r="S183" s="128"/>
      <c r="U183" s="129"/>
      <c r="W183" s="129"/>
      <c r="Y183" s="129"/>
      <c r="AA183" s="129"/>
      <c r="AC183" s="129"/>
      <c r="AD183" s="92"/>
      <c r="AE183" s="136">
        <f t="shared" si="1"/>
        <v>0</v>
      </c>
      <c r="AF183" s="134">
        <f t="shared" si="2"/>
        <v>0</v>
      </c>
      <c r="AG183" s="134">
        <f t="shared" si="3"/>
        <v>0</v>
      </c>
      <c r="AH183" s="134">
        <f t="shared" si="4"/>
        <v>0</v>
      </c>
      <c r="AI183" s="137">
        <f t="shared" si="5"/>
        <v>0</v>
      </c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ht="15.75" customHeight="1">
      <c r="A184" s="138" t="s">
        <v>26</v>
      </c>
      <c r="B184" s="139">
        <f t="shared" si="6"/>
        <v>45837</v>
      </c>
      <c r="C184" s="140">
        <v>7.0</v>
      </c>
      <c r="D184" s="140" t="s">
        <v>27</v>
      </c>
      <c r="E184" s="141"/>
      <c r="F184" s="141" t="s">
        <v>32</v>
      </c>
      <c r="G184" s="142">
        <v>0.0</v>
      </c>
      <c r="H184" s="6"/>
      <c r="I184" s="142">
        <v>0.0</v>
      </c>
      <c r="J184" s="6"/>
      <c r="K184" s="142">
        <v>0.0</v>
      </c>
      <c r="L184" s="6"/>
      <c r="M184" s="142">
        <v>0.0</v>
      </c>
      <c r="N184" s="6"/>
      <c r="O184" s="142">
        <v>0.0</v>
      </c>
      <c r="P184" s="6"/>
      <c r="Q184" s="142">
        <v>0.0</v>
      </c>
      <c r="R184" s="93"/>
      <c r="S184" s="143"/>
      <c r="T184" s="6"/>
      <c r="U184" s="144"/>
      <c r="V184" s="6"/>
      <c r="W184" s="144"/>
      <c r="X184" s="6"/>
      <c r="Y184" s="144"/>
      <c r="Z184" s="6"/>
      <c r="AA184" s="144"/>
      <c r="AB184" s="6"/>
      <c r="AC184" s="144"/>
      <c r="AD184" s="93"/>
      <c r="AE184" s="145">
        <f t="shared" si="1"/>
        <v>0</v>
      </c>
      <c r="AF184" s="140">
        <f t="shared" si="2"/>
        <v>0</v>
      </c>
      <c r="AG184" s="140">
        <f t="shared" si="3"/>
        <v>0</v>
      </c>
      <c r="AH184" s="140">
        <f t="shared" si="4"/>
        <v>0</v>
      </c>
      <c r="AI184" s="146">
        <f t="shared" si="5"/>
        <v>0</v>
      </c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ht="15.75" customHeight="1">
      <c r="A185" s="176" t="s">
        <v>19</v>
      </c>
      <c r="B185" s="177">
        <f t="shared" si="6"/>
        <v>45838</v>
      </c>
      <c r="C185" s="178">
        <v>7.0</v>
      </c>
      <c r="D185" s="178" t="s">
        <v>28</v>
      </c>
      <c r="E185" s="179"/>
      <c r="F185" s="179" t="s">
        <v>32</v>
      </c>
      <c r="G185" s="180">
        <v>0.0</v>
      </c>
      <c r="I185" s="181">
        <v>0.0</v>
      </c>
      <c r="K185" s="181">
        <v>0.0</v>
      </c>
      <c r="M185" s="181">
        <v>0.0</v>
      </c>
      <c r="O185" s="181">
        <v>0.0</v>
      </c>
      <c r="Q185" s="181">
        <v>0.0</v>
      </c>
      <c r="R185" s="92"/>
      <c r="S185" s="182"/>
      <c r="U185" s="183"/>
      <c r="W185" s="183"/>
      <c r="Y185" s="183"/>
      <c r="AA185" s="183"/>
      <c r="AC185" s="183"/>
      <c r="AD185" s="92"/>
      <c r="AE185" s="184">
        <f t="shared" si="1"/>
        <v>0</v>
      </c>
      <c r="AF185" s="178">
        <f t="shared" si="2"/>
        <v>0</v>
      </c>
      <c r="AG185" s="178">
        <f t="shared" si="3"/>
        <v>0</v>
      </c>
      <c r="AH185" s="178">
        <f t="shared" si="4"/>
        <v>0</v>
      </c>
      <c r="AI185" s="185">
        <f t="shared" si="5"/>
        <v>0</v>
      </c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ht="15.75" customHeight="1">
      <c r="A186" s="186" t="s">
        <v>21</v>
      </c>
      <c r="B186" s="187">
        <f t="shared" si="6"/>
        <v>45839</v>
      </c>
      <c r="C186" s="188">
        <v>7.0</v>
      </c>
      <c r="D186" s="188" t="s">
        <v>28</v>
      </c>
      <c r="E186" s="189">
        <v>8.0</v>
      </c>
      <c r="F186" s="190" t="s">
        <v>33</v>
      </c>
      <c r="G186" s="180">
        <v>0.0</v>
      </c>
      <c r="I186" s="181">
        <v>45.0</v>
      </c>
      <c r="K186" s="181">
        <v>45.0</v>
      </c>
      <c r="M186" s="181">
        <v>0.0</v>
      </c>
      <c r="O186" s="181">
        <v>30.0</v>
      </c>
      <c r="Q186" s="181">
        <v>0.0</v>
      </c>
      <c r="R186" s="92"/>
      <c r="S186" s="182"/>
      <c r="U186" s="183"/>
      <c r="W186" s="183"/>
      <c r="Y186" s="183"/>
      <c r="AA186" s="183"/>
      <c r="AC186" s="183"/>
      <c r="AD186" s="92"/>
      <c r="AE186" s="191">
        <f t="shared" si="1"/>
        <v>2497.8</v>
      </c>
      <c r="AF186" s="188">
        <f t="shared" si="2"/>
        <v>90</v>
      </c>
      <c r="AG186" s="188">
        <f t="shared" si="3"/>
        <v>30</v>
      </c>
      <c r="AH186" s="188">
        <f t="shared" si="4"/>
        <v>120</v>
      </c>
      <c r="AI186" s="192">
        <f t="shared" si="5"/>
        <v>20.815</v>
      </c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ht="15.75" customHeight="1">
      <c r="A187" s="186" t="s">
        <v>22</v>
      </c>
      <c r="B187" s="187">
        <f t="shared" si="6"/>
        <v>45840</v>
      </c>
      <c r="C187" s="188">
        <v>7.0</v>
      </c>
      <c r="D187" s="188" t="s">
        <v>28</v>
      </c>
      <c r="E187" s="189">
        <v>8.0</v>
      </c>
      <c r="F187" s="190" t="s">
        <v>33</v>
      </c>
      <c r="G187" s="180">
        <v>0.0</v>
      </c>
      <c r="I187" s="181">
        <v>45.0</v>
      </c>
      <c r="K187" s="181">
        <v>45.0</v>
      </c>
      <c r="M187" s="181">
        <v>0.0</v>
      </c>
      <c r="O187" s="181">
        <v>30.0</v>
      </c>
      <c r="Q187" s="181">
        <v>0.0</v>
      </c>
      <c r="R187" s="92"/>
      <c r="S187" s="182"/>
      <c r="U187" s="183"/>
      <c r="W187" s="183"/>
      <c r="Y187" s="183"/>
      <c r="AA187" s="183"/>
      <c r="AC187" s="183"/>
      <c r="AD187" s="92"/>
      <c r="AE187" s="191">
        <f t="shared" si="1"/>
        <v>2497.8</v>
      </c>
      <c r="AF187" s="188">
        <f t="shared" si="2"/>
        <v>90</v>
      </c>
      <c r="AG187" s="188">
        <f t="shared" si="3"/>
        <v>30</v>
      </c>
      <c r="AH187" s="188">
        <f t="shared" si="4"/>
        <v>120</v>
      </c>
      <c r="AI187" s="192">
        <f t="shared" si="5"/>
        <v>20.815</v>
      </c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ht="15.75" customHeight="1">
      <c r="A188" s="186" t="s">
        <v>23</v>
      </c>
      <c r="B188" s="187">
        <f t="shared" si="6"/>
        <v>45841</v>
      </c>
      <c r="C188" s="188">
        <v>7.0</v>
      </c>
      <c r="D188" s="188" t="s">
        <v>28</v>
      </c>
      <c r="E188" s="189">
        <v>8.0</v>
      </c>
      <c r="F188" s="190" t="s">
        <v>33</v>
      </c>
      <c r="G188" s="180">
        <v>0.0</v>
      </c>
      <c r="I188" s="181">
        <v>45.0</v>
      </c>
      <c r="K188" s="181">
        <v>45.0</v>
      </c>
      <c r="M188" s="181">
        <v>0.0</v>
      </c>
      <c r="O188" s="181">
        <v>30.0</v>
      </c>
      <c r="Q188" s="181">
        <v>0.0</v>
      </c>
      <c r="R188" s="92"/>
      <c r="S188" s="182"/>
      <c r="U188" s="183"/>
      <c r="W188" s="183"/>
      <c r="Y188" s="183"/>
      <c r="AA188" s="183"/>
      <c r="AC188" s="183"/>
      <c r="AD188" s="92"/>
      <c r="AE188" s="191">
        <f t="shared" si="1"/>
        <v>2497.8</v>
      </c>
      <c r="AF188" s="188">
        <f t="shared" si="2"/>
        <v>90</v>
      </c>
      <c r="AG188" s="188">
        <f t="shared" si="3"/>
        <v>30</v>
      </c>
      <c r="AH188" s="188">
        <f t="shared" si="4"/>
        <v>120</v>
      </c>
      <c r="AI188" s="192">
        <f t="shared" si="5"/>
        <v>20.815</v>
      </c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ht="15.75" customHeight="1">
      <c r="A189" s="186" t="s">
        <v>24</v>
      </c>
      <c r="B189" s="187">
        <f t="shared" si="6"/>
        <v>45842</v>
      </c>
      <c r="C189" s="188">
        <v>7.0</v>
      </c>
      <c r="D189" s="188" t="s">
        <v>28</v>
      </c>
      <c r="E189" s="190"/>
      <c r="F189" s="190" t="s">
        <v>32</v>
      </c>
      <c r="G189" s="180">
        <v>0.0</v>
      </c>
      <c r="I189" s="181">
        <v>0.0</v>
      </c>
      <c r="K189" s="181">
        <v>0.0</v>
      </c>
      <c r="M189" s="181">
        <v>0.0</v>
      </c>
      <c r="O189" s="181">
        <v>0.0</v>
      </c>
      <c r="Q189" s="181">
        <v>0.0</v>
      </c>
      <c r="R189" s="92"/>
      <c r="S189" s="182"/>
      <c r="U189" s="183"/>
      <c r="W189" s="183"/>
      <c r="Y189" s="183"/>
      <c r="AA189" s="183"/>
      <c r="AC189" s="183"/>
      <c r="AD189" s="92"/>
      <c r="AE189" s="191">
        <f t="shared" si="1"/>
        <v>0</v>
      </c>
      <c r="AF189" s="188">
        <f t="shared" si="2"/>
        <v>0</v>
      </c>
      <c r="AG189" s="188">
        <f t="shared" si="3"/>
        <v>0</v>
      </c>
      <c r="AH189" s="188">
        <f t="shared" si="4"/>
        <v>0</v>
      </c>
      <c r="AI189" s="192">
        <f t="shared" si="5"/>
        <v>0</v>
      </c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ht="15.75" customHeight="1">
      <c r="A190" s="186" t="s">
        <v>25</v>
      </c>
      <c r="B190" s="187">
        <f t="shared" si="6"/>
        <v>45843</v>
      </c>
      <c r="C190" s="188">
        <v>7.0</v>
      </c>
      <c r="D190" s="188" t="s">
        <v>28</v>
      </c>
      <c r="E190" s="190"/>
      <c r="F190" s="190" t="s">
        <v>32</v>
      </c>
      <c r="G190" s="180">
        <v>0.0</v>
      </c>
      <c r="I190" s="181">
        <v>0.0</v>
      </c>
      <c r="K190" s="181">
        <v>0.0</v>
      </c>
      <c r="M190" s="181">
        <v>0.0</v>
      </c>
      <c r="O190" s="181">
        <v>0.0</v>
      </c>
      <c r="Q190" s="181">
        <v>0.0</v>
      </c>
      <c r="R190" s="92"/>
      <c r="S190" s="182"/>
      <c r="U190" s="183"/>
      <c r="W190" s="183"/>
      <c r="Y190" s="183"/>
      <c r="AA190" s="183"/>
      <c r="AC190" s="183"/>
      <c r="AD190" s="92"/>
      <c r="AE190" s="191">
        <f t="shared" si="1"/>
        <v>0</v>
      </c>
      <c r="AF190" s="188">
        <f t="shared" si="2"/>
        <v>0</v>
      </c>
      <c r="AG190" s="188">
        <f t="shared" si="3"/>
        <v>0</v>
      </c>
      <c r="AH190" s="188">
        <f t="shared" si="4"/>
        <v>0</v>
      </c>
      <c r="AI190" s="192">
        <f t="shared" si="5"/>
        <v>0</v>
      </c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ht="15.75" customHeight="1">
      <c r="A191" s="193" t="s">
        <v>26</v>
      </c>
      <c r="B191" s="194">
        <f t="shared" si="6"/>
        <v>45844</v>
      </c>
      <c r="C191" s="195">
        <v>7.0</v>
      </c>
      <c r="D191" s="195" t="s">
        <v>28</v>
      </c>
      <c r="E191" s="196"/>
      <c r="F191" s="196" t="s">
        <v>32</v>
      </c>
      <c r="G191" s="197">
        <v>0.0</v>
      </c>
      <c r="H191" s="6"/>
      <c r="I191" s="198">
        <v>0.0</v>
      </c>
      <c r="J191" s="6"/>
      <c r="K191" s="198">
        <v>0.0</v>
      </c>
      <c r="L191" s="6"/>
      <c r="M191" s="198">
        <v>0.0</v>
      </c>
      <c r="N191" s="6"/>
      <c r="O191" s="198">
        <v>0.0</v>
      </c>
      <c r="P191" s="6"/>
      <c r="Q191" s="198">
        <v>0.0</v>
      </c>
      <c r="R191" s="93"/>
      <c r="S191" s="199"/>
      <c r="T191" s="6"/>
      <c r="U191" s="200"/>
      <c r="V191" s="6"/>
      <c r="W191" s="200"/>
      <c r="X191" s="6"/>
      <c r="Y191" s="200"/>
      <c r="Z191" s="6"/>
      <c r="AA191" s="200"/>
      <c r="AB191" s="6"/>
      <c r="AC191" s="200"/>
      <c r="AD191" s="93"/>
      <c r="AE191" s="201">
        <f t="shared" si="1"/>
        <v>0</v>
      </c>
      <c r="AF191" s="195">
        <f t="shared" si="2"/>
        <v>0</v>
      </c>
      <c r="AG191" s="195">
        <f t="shared" si="3"/>
        <v>0</v>
      </c>
      <c r="AH191" s="195">
        <f t="shared" si="4"/>
        <v>0</v>
      </c>
      <c r="AI191" s="202">
        <f t="shared" si="5"/>
        <v>0</v>
      </c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ht="15.75" customHeight="1">
      <c r="A192" s="122" t="s">
        <v>19</v>
      </c>
      <c r="B192" s="123">
        <f t="shared" si="6"/>
        <v>45845</v>
      </c>
      <c r="C192" s="124">
        <v>7.0</v>
      </c>
      <c r="D192" s="124" t="s">
        <v>29</v>
      </c>
      <c r="E192" s="125"/>
      <c r="F192" s="125" t="s">
        <v>32</v>
      </c>
      <c r="G192" s="126">
        <v>0.0</v>
      </c>
      <c r="I192" s="127">
        <v>0.0</v>
      </c>
      <c r="K192" s="127">
        <v>0.0</v>
      </c>
      <c r="M192" s="127">
        <v>0.0</v>
      </c>
      <c r="O192" s="127">
        <v>0.0</v>
      </c>
      <c r="Q192" s="127">
        <v>0.0</v>
      </c>
      <c r="R192" s="92"/>
      <c r="S192" s="128"/>
      <c r="U192" s="129"/>
      <c r="W192" s="129"/>
      <c r="Y192" s="129"/>
      <c r="AA192" s="129"/>
      <c r="AC192" s="129"/>
      <c r="AD192" s="92"/>
      <c r="AE192" s="130">
        <f t="shared" si="1"/>
        <v>0</v>
      </c>
      <c r="AF192" s="124">
        <f t="shared" si="2"/>
        <v>0</v>
      </c>
      <c r="AG192" s="124">
        <f t="shared" si="3"/>
        <v>0</v>
      </c>
      <c r="AH192" s="124">
        <f t="shared" si="4"/>
        <v>0</v>
      </c>
      <c r="AI192" s="131">
        <f t="shared" si="5"/>
        <v>0</v>
      </c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ht="15.75" customHeight="1">
      <c r="A193" s="132" t="s">
        <v>21</v>
      </c>
      <c r="B193" s="133">
        <f t="shared" si="6"/>
        <v>45846</v>
      </c>
      <c r="C193" s="134">
        <v>7.0</v>
      </c>
      <c r="D193" s="134" t="s">
        <v>29</v>
      </c>
      <c r="E193" s="135"/>
      <c r="F193" s="135" t="s">
        <v>32</v>
      </c>
      <c r="G193" s="126">
        <v>0.0</v>
      </c>
      <c r="I193" s="127">
        <v>0.0</v>
      </c>
      <c r="K193" s="127">
        <v>0.0</v>
      </c>
      <c r="M193" s="127">
        <v>0.0</v>
      </c>
      <c r="O193" s="127">
        <v>0.0</v>
      </c>
      <c r="Q193" s="127">
        <v>0.0</v>
      </c>
      <c r="R193" s="92"/>
      <c r="S193" s="128"/>
      <c r="U193" s="129"/>
      <c r="W193" s="129"/>
      <c r="Y193" s="129"/>
      <c r="AA193" s="129"/>
      <c r="AC193" s="129"/>
      <c r="AD193" s="92"/>
      <c r="AE193" s="136">
        <f t="shared" si="1"/>
        <v>0</v>
      </c>
      <c r="AF193" s="134">
        <f t="shared" si="2"/>
        <v>0</v>
      </c>
      <c r="AG193" s="134">
        <f t="shared" si="3"/>
        <v>0</v>
      </c>
      <c r="AH193" s="134">
        <f t="shared" si="4"/>
        <v>0</v>
      </c>
      <c r="AI193" s="137">
        <f t="shared" si="5"/>
        <v>0</v>
      </c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ht="15.75" customHeight="1">
      <c r="A194" s="132" t="s">
        <v>22</v>
      </c>
      <c r="B194" s="133">
        <f t="shared" si="6"/>
        <v>45847</v>
      </c>
      <c r="C194" s="134">
        <v>7.0</v>
      </c>
      <c r="D194" s="134" t="s">
        <v>29</v>
      </c>
      <c r="E194" s="135"/>
      <c r="F194" s="135" t="s">
        <v>32</v>
      </c>
      <c r="G194" s="126">
        <v>0.0</v>
      </c>
      <c r="I194" s="127">
        <v>0.0</v>
      </c>
      <c r="K194" s="127">
        <v>0.0</v>
      </c>
      <c r="M194" s="127">
        <v>0.0</v>
      </c>
      <c r="O194" s="127">
        <v>0.0</v>
      </c>
      <c r="Q194" s="127">
        <v>0.0</v>
      </c>
      <c r="R194" s="92"/>
      <c r="S194" s="128"/>
      <c r="U194" s="129"/>
      <c r="W194" s="129"/>
      <c r="Y194" s="129"/>
      <c r="AA194" s="129"/>
      <c r="AC194" s="129"/>
      <c r="AD194" s="92"/>
      <c r="AE194" s="136">
        <f t="shared" si="1"/>
        <v>0</v>
      </c>
      <c r="AF194" s="134">
        <f t="shared" si="2"/>
        <v>0</v>
      </c>
      <c r="AG194" s="134">
        <f t="shared" si="3"/>
        <v>0</v>
      </c>
      <c r="AH194" s="134">
        <f t="shared" si="4"/>
        <v>0</v>
      </c>
      <c r="AI194" s="137">
        <f t="shared" si="5"/>
        <v>0</v>
      </c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ht="15.75" customHeight="1">
      <c r="A195" s="132" t="s">
        <v>23</v>
      </c>
      <c r="B195" s="133">
        <f t="shared" si="6"/>
        <v>45848</v>
      </c>
      <c r="C195" s="134">
        <v>7.0</v>
      </c>
      <c r="D195" s="134" t="s">
        <v>29</v>
      </c>
      <c r="E195" s="135"/>
      <c r="F195" s="135" t="s">
        <v>32</v>
      </c>
      <c r="G195" s="126">
        <v>0.0</v>
      </c>
      <c r="I195" s="127">
        <v>0.0</v>
      </c>
      <c r="K195" s="127">
        <v>0.0</v>
      </c>
      <c r="M195" s="127">
        <v>0.0</v>
      </c>
      <c r="O195" s="127">
        <v>0.0</v>
      </c>
      <c r="Q195" s="127">
        <v>0.0</v>
      </c>
      <c r="R195" s="92"/>
      <c r="S195" s="128"/>
      <c r="U195" s="129"/>
      <c r="W195" s="129"/>
      <c r="Y195" s="129"/>
      <c r="AA195" s="129"/>
      <c r="AC195" s="129"/>
      <c r="AD195" s="92"/>
      <c r="AE195" s="136">
        <f t="shared" si="1"/>
        <v>0</v>
      </c>
      <c r="AF195" s="134">
        <f t="shared" si="2"/>
        <v>0</v>
      </c>
      <c r="AG195" s="134">
        <f t="shared" si="3"/>
        <v>0</v>
      </c>
      <c r="AH195" s="134">
        <f t="shared" si="4"/>
        <v>0</v>
      </c>
      <c r="AI195" s="137">
        <f t="shared" si="5"/>
        <v>0</v>
      </c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ht="15.75" customHeight="1">
      <c r="A196" s="132" t="s">
        <v>24</v>
      </c>
      <c r="B196" s="133">
        <f t="shared" si="6"/>
        <v>45849</v>
      </c>
      <c r="C196" s="134">
        <v>7.0</v>
      </c>
      <c r="D196" s="134" t="s">
        <v>29</v>
      </c>
      <c r="E196" s="135"/>
      <c r="F196" s="135" t="s">
        <v>32</v>
      </c>
      <c r="G196" s="126">
        <v>0.0</v>
      </c>
      <c r="I196" s="127">
        <v>0.0</v>
      </c>
      <c r="K196" s="127">
        <v>0.0</v>
      </c>
      <c r="M196" s="127">
        <v>0.0</v>
      </c>
      <c r="O196" s="127">
        <v>0.0</v>
      </c>
      <c r="Q196" s="127">
        <v>0.0</v>
      </c>
      <c r="R196" s="92"/>
      <c r="S196" s="128"/>
      <c r="U196" s="129"/>
      <c r="W196" s="129"/>
      <c r="Y196" s="129"/>
      <c r="AA196" s="129"/>
      <c r="AC196" s="129"/>
      <c r="AD196" s="92"/>
      <c r="AE196" s="136">
        <f t="shared" si="1"/>
        <v>0</v>
      </c>
      <c r="AF196" s="134">
        <f t="shared" si="2"/>
        <v>0</v>
      </c>
      <c r="AG196" s="134">
        <f t="shared" si="3"/>
        <v>0</v>
      </c>
      <c r="AH196" s="134">
        <f t="shared" si="4"/>
        <v>0</v>
      </c>
      <c r="AI196" s="137">
        <f t="shared" si="5"/>
        <v>0</v>
      </c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ht="15.75" customHeight="1">
      <c r="A197" s="132" t="s">
        <v>25</v>
      </c>
      <c r="B197" s="133">
        <f t="shared" si="6"/>
        <v>45850</v>
      </c>
      <c r="C197" s="134">
        <v>7.0</v>
      </c>
      <c r="D197" s="134" t="s">
        <v>29</v>
      </c>
      <c r="E197" s="135"/>
      <c r="F197" s="135" t="s">
        <v>32</v>
      </c>
      <c r="G197" s="126">
        <v>0.0</v>
      </c>
      <c r="I197" s="127">
        <v>0.0</v>
      </c>
      <c r="K197" s="127">
        <v>0.0</v>
      </c>
      <c r="M197" s="127">
        <v>0.0</v>
      </c>
      <c r="O197" s="127">
        <v>0.0</v>
      </c>
      <c r="Q197" s="127">
        <v>0.0</v>
      </c>
      <c r="R197" s="92"/>
      <c r="S197" s="128"/>
      <c r="U197" s="129"/>
      <c r="W197" s="129"/>
      <c r="Y197" s="129"/>
      <c r="AA197" s="129"/>
      <c r="AC197" s="129"/>
      <c r="AD197" s="92"/>
      <c r="AE197" s="136">
        <f t="shared" si="1"/>
        <v>0</v>
      </c>
      <c r="AF197" s="134">
        <f t="shared" si="2"/>
        <v>0</v>
      </c>
      <c r="AG197" s="134">
        <f t="shared" si="3"/>
        <v>0</v>
      </c>
      <c r="AH197" s="134">
        <f t="shared" si="4"/>
        <v>0</v>
      </c>
      <c r="AI197" s="137">
        <f t="shared" si="5"/>
        <v>0</v>
      </c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ht="15.75" customHeight="1">
      <c r="A198" s="138" t="s">
        <v>26</v>
      </c>
      <c r="B198" s="139">
        <f t="shared" si="6"/>
        <v>45851</v>
      </c>
      <c r="C198" s="140">
        <v>7.0</v>
      </c>
      <c r="D198" s="140" t="s">
        <v>29</v>
      </c>
      <c r="E198" s="141"/>
      <c r="F198" s="141" t="s">
        <v>32</v>
      </c>
      <c r="G198" s="142">
        <v>0.0</v>
      </c>
      <c r="H198" s="6"/>
      <c r="I198" s="142">
        <v>0.0</v>
      </c>
      <c r="J198" s="6"/>
      <c r="K198" s="142">
        <v>0.0</v>
      </c>
      <c r="L198" s="6"/>
      <c r="M198" s="142">
        <v>0.0</v>
      </c>
      <c r="N198" s="6"/>
      <c r="O198" s="142">
        <v>0.0</v>
      </c>
      <c r="P198" s="6"/>
      <c r="Q198" s="142">
        <v>0.0</v>
      </c>
      <c r="R198" s="93"/>
      <c r="S198" s="143"/>
      <c r="T198" s="6"/>
      <c r="U198" s="144"/>
      <c r="V198" s="6"/>
      <c r="W198" s="144"/>
      <c r="X198" s="6"/>
      <c r="Y198" s="144"/>
      <c r="Z198" s="6"/>
      <c r="AA198" s="144"/>
      <c r="AB198" s="6"/>
      <c r="AC198" s="144"/>
      <c r="AD198" s="93"/>
      <c r="AE198" s="145">
        <f t="shared" si="1"/>
        <v>0</v>
      </c>
      <c r="AF198" s="140">
        <f t="shared" si="2"/>
        <v>0</v>
      </c>
      <c r="AG198" s="140">
        <f t="shared" si="3"/>
        <v>0</v>
      </c>
      <c r="AH198" s="140">
        <f t="shared" si="4"/>
        <v>0</v>
      </c>
      <c r="AI198" s="146">
        <f t="shared" si="5"/>
        <v>0</v>
      </c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ht="15.75" customHeight="1">
      <c r="A199" s="147" t="s">
        <v>19</v>
      </c>
      <c r="B199" s="148">
        <f t="shared" si="6"/>
        <v>45852</v>
      </c>
      <c r="C199" s="149">
        <v>8.0</v>
      </c>
      <c r="D199" s="149" t="s">
        <v>20</v>
      </c>
      <c r="E199" s="150"/>
      <c r="F199" s="150" t="s">
        <v>32</v>
      </c>
      <c r="G199" s="151">
        <v>0.0</v>
      </c>
      <c r="I199" s="152">
        <v>0.0</v>
      </c>
      <c r="K199" s="152">
        <v>0.0</v>
      </c>
      <c r="M199" s="152">
        <v>0.0</v>
      </c>
      <c r="O199" s="152">
        <v>0.0</v>
      </c>
      <c r="Q199" s="152">
        <v>0.0</v>
      </c>
      <c r="R199" s="92"/>
      <c r="S199" s="153"/>
      <c r="U199" s="154"/>
      <c r="W199" s="154"/>
      <c r="Y199" s="154"/>
      <c r="AA199" s="154"/>
      <c r="AC199" s="154"/>
      <c r="AD199" s="92"/>
      <c r="AE199" s="155">
        <f t="shared" si="1"/>
        <v>0</v>
      </c>
      <c r="AF199" s="149">
        <f t="shared" si="2"/>
        <v>0</v>
      </c>
      <c r="AG199" s="149">
        <f t="shared" si="3"/>
        <v>0</v>
      </c>
      <c r="AH199" s="149">
        <f t="shared" si="4"/>
        <v>0</v>
      </c>
      <c r="AI199" s="156">
        <f t="shared" si="5"/>
        <v>0</v>
      </c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ht="15.75" customHeight="1">
      <c r="A200" s="157" t="s">
        <v>21</v>
      </c>
      <c r="B200" s="158">
        <f t="shared" si="6"/>
        <v>45853</v>
      </c>
      <c r="C200" s="159">
        <v>8.0</v>
      </c>
      <c r="D200" s="159" t="s">
        <v>20</v>
      </c>
      <c r="E200" s="161"/>
      <c r="F200" s="161" t="s">
        <v>32</v>
      </c>
      <c r="G200" s="151">
        <v>0.0</v>
      </c>
      <c r="I200" s="152">
        <v>0.0</v>
      </c>
      <c r="K200" s="152">
        <v>0.0</v>
      </c>
      <c r="M200" s="152">
        <v>0.0</v>
      </c>
      <c r="O200" s="152">
        <v>0.0</v>
      </c>
      <c r="Q200" s="152">
        <v>0.0</v>
      </c>
      <c r="R200" s="92"/>
      <c r="S200" s="153"/>
      <c r="U200" s="154"/>
      <c r="W200" s="154"/>
      <c r="Y200" s="154"/>
      <c r="AA200" s="154"/>
      <c r="AC200" s="154"/>
      <c r="AD200" s="92"/>
      <c r="AE200" s="162">
        <f t="shared" si="1"/>
        <v>0</v>
      </c>
      <c r="AF200" s="159">
        <f t="shared" si="2"/>
        <v>0</v>
      </c>
      <c r="AG200" s="159">
        <f t="shared" si="3"/>
        <v>0</v>
      </c>
      <c r="AH200" s="159">
        <f t="shared" si="4"/>
        <v>0</v>
      </c>
      <c r="AI200" s="163">
        <f t="shared" si="5"/>
        <v>0</v>
      </c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ht="15.75" customHeight="1">
      <c r="A201" s="157" t="s">
        <v>22</v>
      </c>
      <c r="B201" s="158">
        <f t="shared" si="6"/>
        <v>45854</v>
      </c>
      <c r="C201" s="159">
        <v>8.0</v>
      </c>
      <c r="D201" s="159" t="s">
        <v>20</v>
      </c>
      <c r="E201" s="161"/>
      <c r="F201" s="161" t="s">
        <v>32</v>
      </c>
      <c r="G201" s="151">
        <v>0.0</v>
      </c>
      <c r="I201" s="152">
        <v>0.0</v>
      </c>
      <c r="K201" s="152">
        <v>0.0</v>
      </c>
      <c r="M201" s="152">
        <v>0.0</v>
      </c>
      <c r="O201" s="152">
        <v>0.0</v>
      </c>
      <c r="Q201" s="152">
        <v>0.0</v>
      </c>
      <c r="R201" s="92"/>
      <c r="S201" s="153"/>
      <c r="U201" s="154"/>
      <c r="W201" s="154"/>
      <c r="Y201" s="154"/>
      <c r="AA201" s="154"/>
      <c r="AC201" s="154"/>
      <c r="AD201" s="92"/>
      <c r="AE201" s="162">
        <f t="shared" si="1"/>
        <v>0</v>
      </c>
      <c r="AF201" s="159">
        <f t="shared" si="2"/>
        <v>0</v>
      </c>
      <c r="AG201" s="159">
        <f t="shared" si="3"/>
        <v>0</v>
      </c>
      <c r="AH201" s="159">
        <f t="shared" si="4"/>
        <v>0</v>
      </c>
      <c r="AI201" s="163">
        <f t="shared" si="5"/>
        <v>0</v>
      </c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ht="15.75" customHeight="1">
      <c r="A202" s="157" t="s">
        <v>23</v>
      </c>
      <c r="B202" s="158">
        <f t="shared" si="6"/>
        <v>45855</v>
      </c>
      <c r="C202" s="159">
        <v>8.0</v>
      </c>
      <c r="D202" s="159" t="s">
        <v>20</v>
      </c>
      <c r="E202" s="161"/>
      <c r="F202" s="161" t="s">
        <v>32</v>
      </c>
      <c r="G202" s="151">
        <v>0.0</v>
      </c>
      <c r="I202" s="152">
        <v>0.0</v>
      </c>
      <c r="K202" s="152">
        <v>0.0</v>
      </c>
      <c r="M202" s="152">
        <v>0.0</v>
      </c>
      <c r="O202" s="152">
        <v>0.0</v>
      </c>
      <c r="Q202" s="152">
        <v>0.0</v>
      </c>
      <c r="R202" s="92"/>
      <c r="S202" s="153"/>
      <c r="U202" s="154"/>
      <c r="W202" s="154"/>
      <c r="Y202" s="154"/>
      <c r="AA202" s="154"/>
      <c r="AC202" s="154"/>
      <c r="AD202" s="92"/>
      <c r="AE202" s="162">
        <f t="shared" si="1"/>
        <v>0</v>
      </c>
      <c r="AF202" s="159">
        <f t="shared" si="2"/>
        <v>0</v>
      </c>
      <c r="AG202" s="159">
        <f t="shared" si="3"/>
        <v>0</v>
      </c>
      <c r="AH202" s="159">
        <f t="shared" si="4"/>
        <v>0</v>
      </c>
      <c r="AI202" s="163">
        <f t="shared" si="5"/>
        <v>0</v>
      </c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ht="15.75" customHeight="1">
      <c r="A203" s="157" t="s">
        <v>24</v>
      </c>
      <c r="B203" s="158">
        <f t="shared" si="6"/>
        <v>45856</v>
      </c>
      <c r="C203" s="159">
        <v>8.0</v>
      </c>
      <c r="D203" s="159" t="s">
        <v>20</v>
      </c>
      <c r="E203" s="160">
        <v>9.0</v>
      </c>
      <c r="F203" s="161" t="s">
        <v>33</v>
      </c>
      <c r="G203" s="151">
        <v>0.0</v>
      </c>
      <c r="I203" s="152">
        <v>45.0</v>
      </c>
      <c r="K203" s="152">
        <v>45.0</v>
      </c>
      <c r="M203" s="152">
        <v>0.0</v>
      </c>
      <c r="O203" s="152">
        <v>30.0</v>
      </c>
      <c r="Q203" s="152">
        <v>0.0</v>
      </c>
      <c r="R203" s="92"/>
      <c r="S203" s="153"/>
      <c r="U203" s="154"/>
      <c r="W203" s="154"/>
      <c r="Y203" s="154"/>
      <c r="AA203" s="154"/>
      <c r="AC203" s="154"/>
      <c r="AD203" s="92"/>
      <c r="AE203" s="162">
        <f t="shared" si="1"/>
        <v>2497.8</v>
      </c>
      <c r="AF203" s="159">
        <f t="shared" si="2"/>
        <v>90</v>
      </c>
      <c r="AG203" s="159">
        <f t="shared" si="3"/>
        <v>30</v>
      </c>
      <c r="AH203" s="159">
        <f t="shared" si="4"/>
        <v>120</v>
      </c>
      <c r="AI203" s="163">
        <f t="shared" si="5"/>
        <v>20.815</v>
      </c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ht="15.75" customHeight="1">
      <c r="A204" s="157" t="s">
        <v>25</v>
      </c>
      <c r="B204" s="158">
        <f t="shared" si="6"/>
        <v>45857</v>
      </c>
      <c r="C204" s="159">
        <v>8.0</v>
      </c>
      <c r="D204" s="159" t="s">
        <v>20</v>
      </c>
      <c r="E204" s="160">
        <v>9.0</v>
      </c>
      <c r="F204" s="161" t="s">
        <v>33</v>
      </c>
      <c r="G204" s="151">
        <v>0.0</v>
      </c>
      <c r="I204" s="152">
        <v>45.0</v>
      </c>
      <c r="K204" s="152">
        <v>45.0</v>
      </c>
      <c r="M204" s="152">
        <v>0.0</v>
      </c>
      <c r="O204" s="152">
        <v>30.0</v>
      </c>
      <c r="Q204" s="152">
        <v>0.0</v>
      </c>
      <c r="R204" s="92"/>
      <c r="S204" s="153"/>
      <c r="U204" s="154"/>
      <c r="W204" s="154"/>
      <c r="Y204" s="154"/>
      <c r="AA204" s="154"/>
      <c r="AC204" s="154"/>
      <c r="AD204" s="92"/>
      <c r="AE204" s="162">
        <f t="shared" si="1"/>
        <v>2497.8</v>
      </c>
      <c r="AF204" s="159">
        <f t="shared" si="2"/>
        <v>90</v>
      </c>
      <c r="AG204" s="159">
        <f t="shared" si="3"/>
        <v>30</v>
      </c>
      <c r="AH204" s="159">
        <f t="shared" si="4"/>
        <v>120</v>
      </c>
      <c r="AI204" s="163">
        <f t="shared" si="5"/>
        <v>20.815</v>
      </c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ht="15.75" customHeight="1">
      <c r="A205" s="164" t="s">
        <v>26</v>
      </c>
      <c r="B205" s="165">
        <f t="shared" si="6"/>
        <v>45858</v>
      </c>
      <c r="C205" s="166">
        <v>8.0</v>
      </c>
      <c r="D205" s="166" t="s">
        <v>20</v>
      </c>
      <c r="E205" s="167">
        <v>9.0</v>
      </c>
      <c r="F205" s="168" t="s">
        <v>33</v>
      </c>
      <c r="G205" s="169">
        <v>45.0</v>
      </c>
      <c r="H205" s="6"/>
      <c r="I205" s="170">
        <v>0.0</v>
      </c>
      <c r="J205" s="6"/>
      <c r="K205" s="170">
        <v>45.0</v>
      </c>
      <c r="L205" s="6"/>
      <c r="M205" s="170">
        <v>0.0</v>
      </c>
      <c r="N205" s="6"/>
      <c r="O205" s="170">
        <v>0.0</v>
      </c>
      <c r="P205" s="6"/>
      <c r="Q205" s="170">
        <v>0.0</v>
      </c>
      <c r="R205" s="93"/>
      <c r="S205" s="171"/>
      <c r="T205" s="6"/>
      <c r="U205" s="172"/>
      <c r="V205" s="6"/>
      <c r="W205" s="172"/>
      <c r="X205" s="6"/>
      <c r="Y205" s="172"/>
      <c r="Z205" s="6"/>
      <c r="AA205" s="172"/>
      <c r="AB205" s="6"/>
      <c r="AC205" s="172"/>
      <c r="AD205" s="93"/>
      <c r="AE205" s="173">
        <f t="shared" si="1"/>
        <v>2248.2</v>
      </c>
      <c r="AF205" s="166">
        <f t="shared" si="2"/>
        <v>90</v>
      </c>
      <c r="AG205" s="166">
        <f t="shared" si="3"/>
        <v>0</v>
      </c>
      <c r="AH205" s="166">
        <f t="shared" si="4"/>
        <v>90</v>
      </c>
      <c r="AI205" s="174">
        <f t="shared" si="5"/>
        <v>24.98</v>
      </c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ht="15.75" customHeight="1">
      <c r="A206" s="122" t="s">
        <v>19</v>
      </c>
      <c r="B206" s="123">
        <f t="shared" si="6"/>
        <v>45859</v>
      </c>
      <c r="C206" s="124">
        <v>8.0</v>
      </c>
      <c r="D206" s="124" t="s">
        <v>27</v>
      </c>
      <c r="E206" s="125"/>
      <c r="F206" s="125" t="s">
        <v>32</v>
      </c>
      <c r="G206" s="126">
        <v>0.0</v>
      </c>
      <c r="I206" s="127">
        <v>0.0</v>
      </c>
      <c r="K206" s="127">
        <v>0.0</v>
      </c>
      <c r="M206" s="127">
        <v>0.0</v>
      </c>
      <c r="O206" s="127">
        <v>0.0</v>
      </c>
      <c r="Q206" s="127">
        <v>0.0</v>
      </c>
      <c r="R206" s="92"/>
      <c r="S206" s="128"/>
      <c r="U206" s="129"/>
      <c r="W206" s="129"/>
      <c r="Y206" s="129"/>
      <c r="AA206" s="129"/>
      <c r="AC206" s="129"/>
      <c r="AD206" s="92"/>
      <c r="AE206" s="130">
        <f t="shared" si="1"/>
        <v>0</v>
      </c>
      <c r="AF206" s="124">
        <f t="shared" si="2"/>
        <v>0</v>
      </c>
      <c r="AG206" s="124">
        <f t="shared" si="3"/>
        <v>0</v>
      </c>
      <c r="AH206" s="124">
        <f t="shared" si="4"/>
        <v>0</v>
      </c>
      <c r="AI206" s="131">
        <f t="shared" si="5"/>
        <v>0</v>
      </c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ht="15.75" customHeight="1">
      <c r="A207" s="132" t="s">
        <v>21</v>
      </c>
      <c r="B207" s="133">
        <f t="shared" si="6"/>
        <v>45860</v>
      </c>
      <c r="C207" s="134">
        <v>8.0</v>
      </c>
      <c r="D207" s="134" t="s">
        <v>27</v>
      </c>
      <c r="E207" s="203">
        <v>10.0</v>
      </c>
      <c r="F207" s="135" t="s">
        <v>33</v>
      </c>
      <c r="G207" s="126">
        <v>0.0</v>
      </c>
      <c r="I207" s="127">
        <v>45.0</v>
      </c>
      <c r="K207" s="127">
        <v>45.0</v>
      </c>
      <c r="M207" s="127">
        <v>0.0</v>
      </c>
      <c r="O207" s="127">
        <v>30.0</v>
      </c>
      <c r="Q207" s="127">
        <v>0.0</v>
      </c>
      <c r="R207" s="92"/>
      <c r="S207" s="128"/>
      <c r="U207" s="129"/>
      <c r="W207" s="129"/>
      <c r="Y207" s="129"/>
      <c r="AA207" s="129"/>
      <c r="AC207" s="129"/>
      <c r="AD207" s="92"/>
      <c r="AE207" s="136">
        <f t="shared" si="1"/>
        <v>2497.8</v>
      </c>
      <c r="AF207" s="134">
        <f t="shared" si="2"/>
        <v>90</v>
      </c>
      <c r="AG207" s="134">
        <f t="shared" si="3"/>
        <v>30</v>
      </c>
      <c r="AH207" s="134">
        <f t="shared" si="4"/>
        <v>120</v>
      </c>
      <c r="AI207" s="137">
        <f t="shared" si="5"/>
        <v>20.815</v>
      </c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ht="15.75" customHeight="1">
      <c r="A208" s="132" t="s">
        <v>22</v>
      </c>
      <c r="B208" s="133">
        <f t="shared" si="6"/>
        <v>45861</v>
      </c>
      <c r="C208" s="134">
        <v>8.0</v>
      </c>
      <c r="D208" s="134" t="s">
        <v>27</v>
      </c>
      <c r="E208" s="203">
        <v>10.0</v>
      </c>
      <c r="F208" s="135" t="s">
        <v>33</v>
      </c>
      <c r="G208" s="126">
        <v>0.0</v>
      </c>
      <c r="I208" s="127">
        <v>45.0</v>
      </c>
      <c r="K208" s="127">
        <v>45.0</v>
      </c>
      <c r="M208" s="127">
        <v>0.0</v>
      </c>
      <c r="O208" s="127">
        <v>30.0</v>
      </c>
      <c r="Q208" s="127">
        <v>0.0</v>
      </c>
      <c r="R208" s="92"/>
      <c r="S208" s="128"/>
      <c r="U208" s="129"/>
      <c r="W208" s="129"/>
      <c r="Y208" s="129"/>
      <c r="AA208" s="129"/>
      <c r="AC208" s="129"/>
      <c r="AD208" s="92"/>
      <c r="AE208" s="136">
        <f t="shared" si="1"/>
        <v>2497.8</v>
      </c>
      <c r="AF208" s="134">
        <f t="shared" si="2"/>
        <v>90</v>
      </c>
      <c r="AG208" s="134">
        <f t="shared" si="3"/>
        <v>30</v>
      </c>
      <c r="AH208" s="134">
        <f t="shared" si="4"/>
        <v>120</v>
      </c>
      <c r="AI208" s="137">
        <f t="shared" si="5"/>
        <v>20.815</v>
      </c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ht="15.75" customHeight="1">
      <c r="A209" s="132" t="s">
        <v>23</v>
      </c>
      <c r="B209" s="133">
        <f t="shared" si="6"/>
        <v>45862</v>
      </c>
      <c r="C209" s="134">
        <v>8.0</v>
      </c>
      <c r="D209" s="134" t="s">
        <v>27</v>
      </c>
      <c r="E209" s="203">
        <v>10.0</v>
      </c>
      <c r="F209" s="135" t="s">
        <v>33</v>
      </c>
      <c r="G209" s="126">
        <v>0.0</v>
      </c>
      <c r="I209" s="127">
        <v>45.0</v>
      </c>
      <c r="K209" s="127">
        <v>45.0</v>
      </c>
      <c r="M209" s="127">
        <v>0.0</v>
      </c>
      <c r="O209" s="127">
        <v>30.0</v>
      </c>
      <c r="Q209" s="127">
        <v>0.0</v>
      </c>
      <c r="R209" s="92"/>
      <c r="S209" s="128"/>
      <c r="U209" s="129"/>
      <c r="W209" s="129"/>
      <c r="Y209" s="129"/>
      <c r="AA209" s="129"/>
      <c r="AC209" s="129"/>
      <c r="AD209" s="92"/>
      <c r="AE209" s="136">
        <f t="shared" si="1"/>
        <v>2497.8</v>
      </c>
      <c r="AF209" s="134">
        <f t="shared" si="2"/>
        <v>90</v>
      </c>
      <c r="AG209" s="134">
        <f t="shared" si="3"/>
        <v>30</v>
      </c>
      <c r="AH209" s="134">
        <f t="shared" si="4"/>
        <v>120</v>
      </c>
      <c r="AI209" s="137">
        <f t="shared" si="5"/>
        <v>20.815</v>
      </c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ht="15.75" customHeight="1">
      <c r="A210" s="132" t="s">
        <v>24</v>
      </c>
      <c r="B210" s="133">
        <f t="shared" si="6"/>
        <v>45863</v>
      </c>
      <c r="C210" s="134">
        <v>8.0</v>
      </c>
      <c r="D210" s="134" t="s">
        <v>27</v>
      </c>
      <c r="E210" s="203">
        <v>10.0</v>
      </c>
      <c r="F210" s="135" t="s">
        <v>33</v>
      </c>
      <c r="G210" s="126">
        <v>0.0</v>
      </c>
      <c r="I210" s="127">
        <v>45.0</v>
      </c>
      <c r="K210" s="127">
        <v>45.0</v>
      </c>
      <c r="M210" s="127">
        <v>0.0</v>
      </c>
      <c r="O210" s="127">
        <v>30.0</v>
      </c>
      <c r="Q210" s="127">
        <v>0.0</v>
      </c>
      <c r="R210" s="92"/>
      <c r="S210" s="128"/>
      <c r="U210" s="129"/>
      <c r="W210" s="129"/>
      <c r="Y210" s="129"/>
      <c r="AA210" s="129"/>
      <c r="AC210" s="129"/>
      <c r="AD210" s="92"/>
      <c r="AE210" s="136">
        <f t="shared" si="1"/>
        <v>2497.8</v>
      </c>
      <c r="AF210" s="134">
        <f t="shared" si="2"/>
        <v>90</v>
      </c>
      <c r="AG210" s="134">
        <f t="shared" si="3"/>
        <v>30</v>
      </c>
      <c r="AH210" s="134">
        <f t="shared" si="4"/>
        <v>120</v>
      </c>
      <c r="AI210" s="137">
        <f t="shared" si="5"/>
        <v>20.815</v>
      </c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ht="15.75" customHeight="1">
      <c r="A211" s="132" t="s">
        <v>25</v>
      </c>
      <c r="B211" s="133">
        <f t="shared" si="6"/>
        <v>45864</v>
      </c>
      <c r="C211" s="134">
        <v>8.0</v>
      </c>
      <c r="D211" s="134" t="s">
        <v>27</v>
      </c>
      <c r="E211" s="203">
        <v>10.0</v>
      </c>
      <c r="F211" s="135" t="s">
        <v>33</v>
      </c>
      <c r="G211" s="126">
        <v>0.0</v>
      </c>
      <c r="I211" s="127">
        <v>45.0</v>
      </c>
      <c r="K211" s="127">
        <v>45.0</v>
      </c>
      <c r="M211" s="127">
        <v>0.0</v>
      </c>
      <c r="O211" s="127">
        <v>30.0</v>
      </c>
      <c r="Q211" s="127">
        <v>0.0</v>
      </c>
      <c r="R211" s="92"/>
      <c r="S211" s="128"/>
      <c r="U211" s="129"/>
      <c r="W211" s="129"/>
      <c r="Y211" s="129"/>
      <c r="AA211" s="129"/>
      <c r="AC211" s="129"/>
      <c r="AD211" s="92"/>
      <c r="AE211" s="136">
        <f t="shared" si="1"/>
        <v>2497.8</v>
      </c>
      <c r="AF211" s="134">
        <f t="shared" si="2"/>
        <v>90</v>
      </c>
      <c r="AG211" s="134">
        <f t="shared" si="3"/>
        <v>30</v>
      </c>
      <c r="AH211" s="134">
        <f t="shared" si="4"/>
        <v>120</v>
      </c>
      <c r="AI211" s="137">
        <f t="shared" si="5"/>
        <v>20.815</v>
      </c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ht="15.75" customHeight="1">
      <c r="A212" s="138" t="s">
        <v>26</v>
      </c>
      <c r="B212" s="139">
        <f t="shared" si="6"/>
        <v>45865</v>
      </c>
      <c r="C212" s="140">
        <v>8.0</v>
      </c>
      <c r="D212" s="140" t="s">
        <v>27</v>
      </c>
      <c r="E212" s="204">
        <v>10.0</v>
      </c>
      <c r="F212" s="141" t="s">
        <v>33</v>
      </c>
      <c r="G212" s="205">
        <v>45.0</v>
      </c>
      <c r="H212" s="6"/>
      <c r="I212" s="142">
        <v>0.0</v>
      </c>
      <c r="J212" s="6"/>
      <c r="K212" s="142">
        <v>45.0</v>
      </c>
      <c r="L212" s="6"/>
      <c r="M212" s="142">
        <v>0.0</v>
      </c>
      <c r="N212" s="6"/>
      <c r="O212" s="142">
        <v>0.0</v>
      </c>
      <c r="P212" s="6"/>
      <c r="Q212" s="142">
        <v>0.0</v>
      </c>
      <c r="R212" s="93"/>
      <c r="S212" s="143"/>
      <c r="T212" s="6"/>
      <c r="U212" s="144"/>
      <c r="V212" s="6"/>
      <c r="W212" s="144"/>
      <c r="X212" s="6"/>
      <c r="Y212" s="144"/>
      <c r="Z212" s="6"/>
      <c r="AA212" s="144"/>
      <c r="AB212" s="6"/>
      <c r="AC212" s="144"/>
      <c r="AD212" s="93"/>
      <c r="AE212" s="145">
        <f t="shared" si="1"/>
        <v>2248.2</v>
      </c>
      <c r="AF212" s="140">
        <f t="shared" si="2"/>
        <v>90</v>
      </c>
      <c r="AG212" s="140">
        <f t="shared" si="3"/>
        <v>0</v>
      </c>
      <c r="AH212" s="140">
        <f t="shared" si="4"/>
        <v>90</v>
      </c>
      <c r="AI212" s="146">
        <f t="shared" si="5"/>
        <v>24.98</v>
      </c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ht="15.75" customHeight="1">
      <c r="A213" s="147" t="s">
        <v>19</v>
      </c>
      <c r="B213" s="148">
        <f t="shared" si="6"/>
        <v>45866</v>
      </c>
      <c r="C213" s="149">
        <v>8.0</v>
      </c>
      <c r="D213" s="149" t="s">
        <v>28</v>
      </c>
      <c r="E213" s="150"/>
      <c r="F213" s="150" t="s">
        <v>32</v>
      </c>
      <c r="G213" s="151">
        <v>0.0</v>
      </c>
      <c r="I213" s="152">
        <v>0.0</v>
      </c>
      <c r="K213" s="152">
        <v>0.0</v>
      </c>
      <c r="M213" s="152">
        <v>0.0</v>
      </c>
      <c r="O213" s="152">
        <v>0.0</v>
      </c>
      <c r="Q213" s="152">
        <v>0.0</v>
      </c>
      <c r="R213" s="92"/>
      <c r="S213" s="153"/>
      <c r="U213" s="154"/>
      <c r="W213" s="154"/>
      <c r="Y213" s="154"/>
      <c r="AA213" s="154"/>
      <c r="AC213" s="154"/>
      <c r="AD213" s="92"/>
      <c r="AE213" s="155">
        <f t="shared" si="1"/>
        <v>0</v>
      </c>
      <c r="AF213" s="149">
        <f t="shared" si="2"/>
        <v>0</v>
      </c>
      <c r="AG213" s="149">
        <f t="shared" si="3"/>
        <v>0</v>
      </c>
      <c r="AH213" s="149">
        <f t="shared" si="4"/>
        <v>0</v>
      </c>
      <c r="AI213" s="156">
        <f t="shared" si="5"/>
        <v>0</v>
      </c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ht="15.75" customHeight="1">
      <c r="A214" s="157" t="s">
        <v>21</v>
      </c>
      <c r="B214" s="158">
        <f t="shared" si="6"/>
        <v>45867</v>
      </c>
      <c r="C214" s="159">
        <v>8.0</v>
      </c>
      <c r="D214" s="159" t="s">
        <v>28</v>
      </c>
      <c r="E214" s="161"/>
      <c r="F214" s="161" t="s">
        <v>32</v>
      </c>
      <c r="G214" s="151">
        <v>0.0</v>
      </c>
      <c r="I214" s="152">
        <v>0.0</v>
      </c>
      <c r="K214" s="152">
        <v>0.0</v>
      </c>
      <c r="M214" s="152">
        <v>0.0</v>
      </c>
      <c r="O214" s="152">
        <v>0.0</v>
      </c>
      <c r="Q214" s="152">
        <v>0.0</v>
      </c>
      <c r="R214" s="92"/>
      <c r="S214" s="153"/>
      <c r="U214" s="154"/>
      <c r="W214" s="154"/>
      <c r="Y214" s="154"/>
      <c r="AA214" s="154"/>
      <c r="AC214" s="154"/>
      <c r="AD214" s="92"/>
      <c r="AE214" s="162">
        <f t="shared" si="1"/>
        <v>0</v>
      </c>
      <c r="AF214" s="159">
        <f t="shared" si="2"/>
        <v>0</v>
      </c>
      <c r="AG214" s="159">
        <f t="shared" si="3"/>
        <v>0</v>
      </c>
      <c r="AH214" s="159">
        <f t="shared" si="4"/>
        <v>0</v>
      </c>
      <c r="AI214" s="163">
        <f t="shared" si="5"/>
        <v>0</v>
      </c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ht="15.75" customHeight="1">
      <c r="A215" s="157" t="s">
        <v>22</v>
      </c>
      <c r="B215" s="158">
        <f t="shared" si="6"/>
        <v>45868</v>
      </c>
      <c r="C215" s="159">
        <v>8.0</v>
      </c>
      <c r="D215" s="159" t="s">
        <v>28</v>
      </c>
      <c r="E215" s="161"/>
      <c r="F215" s="161" t="s">
        <v>32</v>
      </c>
      <c r="G215" s="151">
        <v>0.0</v>
      </c>
      <c r="I215" s="152">
        <v>0.0</v>
      </c>
      <c r="K215" s="152">
        <v>0.0</v>
      </c>
      <c r="M215" s="152">
        <v>0.0</v>
      </c>
      <c r="O215" s="152">
        <v>0.0</v>
      </c>
      <c r="Q215" s="152">
        <v>0.0</v>
      </c>
      <c r="R215" s="92"/>
      <c r="S215" s="153"/>
      <c r="U215" s="154"/>
      <c r="W215" s="154"/>
      <c r="Y215" s="154"/>
      <c r="AA215" s="154"/>
      <c r="AC215" s="154"/>
      <c r="AD215" s="92"/>
      <c r="AE215" s="162">
        <f t="shared" si="1"/>
        <v>0</v>
      </c>
      <c r="AF215" s="159">
        <f t="shared" si="2"/>
        <v>0</v>
      </c>
      <c r="AG215" s="159">
        <f t="shared" si="3"/>
        <v>0</v>
      </c>
      <c r="AH215" s="159">
        <f t="shared" si="4"/>
        <v>0</v>
      </c>
      <c r="AI215" s="163">
        <f t="shared" si="5"/>
        <v>0</v>
      </c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ht="15.75" customHeight="1">
      <c r="A216" s="157" t="s">
        <v>23</v>
      </c>
      <c r="B216" s="158">
        <f t="shared" si="6"/>
        <v>45869</v>
      </c>
      <c r="C216" s="159">
        <v>8.0</v>
      </c>
      <c r="D216" s="159" t="s">
        <v>28</v>
      </c>
      <c r="E216" s="161"/>
      <c r="F216" s="161" t="s">
        <v>32</v>
      </c>
      <c r="G216" s="151">
        <v>0.0</v>
      </c>
      <c r="I216" s="152">
        <v>0.0</v>
      </c>
      <c r="K216" s="152">
        <v>0.0</v>
      </c>
      <c r="M216" s="152">
        <v>0.0</v>
      </c>
      <c r="O216" s="152">
        <v>0.0</v>
      </c>
      <c r="Q216" s="152">
        <v>0.0</v>
      </c>
      <c r="R216" s="92"/>
      <c r="S216" s="153"/>
      <c r="U216" s="154"/>
      <c r="W216" s="154"/>
      <c r="Y216" s="154"/>
      <c r="AA216" s="154"/>
      <c r="AC216" s="154"/>
      <c r="AD216" s="92"/>
      <c r="AE216" s="162">
        <f t="shared" si="1"/>
        <v>0</v>
      </c>
      <c r="AF216" s="159">
        <f t="shared" si="2"/>
        <v>0</v>
      </c>
      <c r="AG216" s="159">
        <f t="shared" si="3"/>
        <v>0</v>
      </c>
      <c r="AH216" s="159">
        <f t="shared" si="4"/>
        <v>0</v>
      </c>
      <c r="AI216" s="163">
        <f t="shared" si="5"/>
        <v>0</v>
      </c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ht="15.75" customHeight="1">
      <c r="A217" s="157" t="s">
        <v>24</v>
      </c>
      <c r="B217" s="158">
        <f t="shared" si="6"/>
        <v>45870</v>
      </c>
      <c r="C217" s="159">
        <v>8.0</v>
      </c>
      <c r="D217" s="159" t="s">
        <v>28</v>
      </c>
      <c r="E217" s="161"/>
      <c r="F217" s="161" t="s">
        <v>32</v>
      </c>
      <c r="G217" s="151">
        <v>0.0</v>
      </c>
      <c r="I217" s="152">
        <v>0.0</v>
      </c>
      <c r="K217" s="152">
        <v>0.0</v>
      </c>
      <c r="M217" s="152">
        <v>0.0</v>
      </c>
      <c r="O217" s="152">
        <v>0.0</v>
      </c>
      <c r="Q217" s="152">
        <v>0.0</v>
      </c>
      <c r="R217" s="92"/>
      <c r="S217" s="153"/>
      <c r="U217" s="154"/>
      <c r="W217" s="154"/>
      <c r="Y217" s="154"/>
      <c r="AA217" s="154"/>
      <c r="AC217" s="154"/>
      <c r="AD217" s="92"/>
      <c r="AE217" s="162">
        <f t="shared" si="1"/>
        <v>0</v>
      </c>
      <c r="AF217" s="159">
        <f t="shared" si="2"/>
        <v>0</v>
      </c>
      <c r="AG217" s="159">
        <f t="shared" si="3"/>
        <v>0</v>
      </c>
      <c r="AH217" s="159">
        <f t="shared" si="4"/>
        <v>0</v>
      </c>
      <c r="AI217" s="163">
        <f t="shared" si="5"/>
        <v>0</v>
      </c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ht="15.75" customHeight="1">
      <c r="A218" s="157" t="s">
        <v>25</v>
      </c>
      <c r="B218" s="158">
        <f t="shared" si="6"/>
        <v>45871</v>
      </c>
      <c r="C218" s="159">
        <v>8.0</v>
      </c>
      <c r="D218" s="159" t="s">
        <v>28</v>
      </c>
      <c r="E218" s="161"/>
      <c r="F218" s="161" t="s">
        <v>32</v>
      </c>
      <c r="G218" s="151">
        <v>0.0</v>
      </c>
      <c r="I218" s="152">
        <v>0.0</v>
      </c>
      <c r="K218" s="152">
        <v>0.0</v>
      </c>
      <c r="M218" s="152">
        <v>0.0</v>
      </c>
      <c r="O218" s="152">
        <v>0.0</v>
      </c>
      <c r="Q218" s="152">
        <v>0.0</v>
      </c>
      <c r="R218" s="92"/>
      <c r="S218" s="153"/>
      <c r="U218" s="154"/>
      <c r="W218" s="154"/>
      <c r="Y218" s="154"/>
      <c r="AA218" s="154"/>
      <c r="AC218" s="154"/>
      <c r="AD218" s="92"/>
      <c r="AE218" s="162">
        <f t="shared" si="1"/>
        <v>0</v>
      </c>
      <c r="AF218" s="159">
        <f t="shared" si="2"/>
        <v>0</v>
      </c>
      <c r="AG218" s="159">
        <f t="shared" si="3"/>
        <v>0</v>
      </c>
      <c r="AH218" s="159">
        <f t="shared" si="4"/>
        <v>0</v>
      </c>
      <c r="AI218" s="163">
        <f t="shared" si="5"/>
        <v>0</v>
      </c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ht="15.75" customHeight="1">
      <c r="A219" s="164" t="s">
        <v>26</v>
      </c>
      <c r="B219" s="165">
        <f t="shared" si="6"/>
        <v>45872</v>
      </c>
      <c r="C219" s="166">
        <v>8.0</v>
      </c>
      <c r="D219" s="166" t="s">
        <v>28</v>
      </c>
      <c r="E219" s="168"/>
      <c r="F219" s="168" t="s">
        <v>32</v>
      </c>
      <c r="G219" s="170">
        <v>0.0</v>
      </c>
      <c r="H219" s="6"/>
      <c r="I219" s="170">
        <v>0.0</v>
      </c>
      <c r="J219" s="6"/>
      <c r="K219" s="170">
        <v>0.0</v>
      </c>
      <c r="L219" s="6"/>
      <c r="M219" s="170">
        <v>0.0</v>
      </c>
      <c r="N219" s="6"/>
      <c r="O219" s="170">
        <v>0.0</v>
      </c>
      <c r="P219" s="6"/>
      <c r="Q219" s="170">
        <v>0.0</v>
      </c>
      <c r="R219" s="93"/>
      <c r="S219" s="171"/>
      <c r="T219" s="6"/>
      <c r="U219" s="172"/>
      <c r="V219" s="6"/>
      <c r="W219" s="172"/>
      <c r="X219" s="6"/>
      <c r="Y219" s="172"/>
      <c r="Z219" s="6"/>
      <c r="AA219" s="172"/>
      <c r="AB219" s="6"/>
      <c r="AC219" s="172"/>
      <c r="AD219" s="93"/>
      <c r="AE219" s="173">
        <f t="shared" si="1"/>
        <v>0</v>
      </c>
      <c r="AF219" s="166">
        <f t="shared" si="2"/>
        <v>0</v>
      </c>
      <c r="AG219" s="166">
        <f t="shared" si="3"/>
        <v>0</v>
      </c>
      <c r="AH219" s="166">
        <f t="shared" si="4"/>
        <v>0</v>
      </c>
      <c r="AI219" s="174">
        <f t="shared" si="5"/>
        <v>0</v>
      </c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ht="15.75" customHeight="1">
      <c r="A220" s="122" t="s">
        <v>19</v>
      </c>
      <c r="B220" s="123">
        <f t="shared" si="6"/>
        <v>45873</v>
      </c>
      <c r="C220" s="124">
        <v>8.0</v>
      </c>
      <c r="D220" s="124" t="s">
        <v>29</v>
      </c>
      <c r="E220" s="125"/>
      <c r="F220" s="125" t="s">
        <v>32</v>
      </c>
      <c r="G220" s="126">
        <v>0.0</v>
      </c>
      <c r="I220" s="127">
        <v>0.0</v>
      </c>
      <c r="K220" s="127">
        <v>0.0</v>
      </c>
      <c r="M220" s="127">
        <v>0.0</v>
      </c>
      <c r="O220" s="127">
        <v>0.0</v>
      </c>
      <c r="Q220" s="127">
        <v>0.0</v>
      </c>
      <c r="R220" s="92"/>
      <c r="S220" s="128"/>
      <c r="U220" s="129"/>
      <c r="W220" s="129"/>
      <c r="Y220" s="129"/>
      <c r="AA220" s="129"/>
      <c r="AC220" s="129"/>
      <c r="AD220" s="92"/>
      <c r="AE220" s="130">
        <f t="shared" si="1"/>
        <v>0</v>
      </c>
      <c r="AF220" s="124">
        <f t="shared" si="2"/>
        <v>0</v>
      </c>
      <c r="AG220" s="124">
        <f t="shared" si="3"/>
        <v>0</v>
      </c>
      <c r="AH220" s="124">
        <f t="shared" si="4"/>
        <v>0</v>
      </c>
      <c r="AI220" s="131">
        <f t="shared" si="5"/>
        <v>0</v>
      </c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ht="15.75" customHeight="1">
      <c r="A221" s="132" t="s">
        <v>21</v>
      </c>
      <c r="B221" s="133">
        <f t="shared" si="6"/>
        <v>45874</v>
      </c>
      <c r="C221" s="134">
        <v>8.0</v>
      </c>
      <c r="D221" s="134" t="s">
        <v>29</v>
      </c>
      <c r="E221" s="203">
        <v>11.0</v>
      </c>
      <c r="F221" s="135" t="s">
        <v>33</v>
      </c>
      <c r="G221" s="126">
        <v>0.0</v>
      </c>
      <c r="I221" s="127">
        <v>45.0</v>
      </c>
      <c r="K221" s="127">
        <v>45.0</v>
      </c>
      <c r="M221" s="127">
        <v>0.0</v>
      </c>
      <c r="O221" s="127">
        <v>30.0</v>
      </c>
      <c r="Q221" s="127">
        <v>0.0</v>
      </c>
      <c r="R221" s="92"/>
      <c r="S221" s="128"/>
      <c r="U221" s="129"/>
      <c r="W221" s="129"/>
      <c r="Y221" s="129"/>
      <c r="AA221" s="129"/>
      <c r="AC221" s="129"/>
      <c r="AD221" s="92"/>
      <c r="AE221" s="136">
        <f t="shared" si="1"/>
        <v>2497.8</v>
      </c>
      <c r="AF221" s="134">
        <f t="shared" si="2"/>
        <v>90</v>
      </c>
      <c r="AG221" s="134">
        <f t="shared" si="3"/>
        <v>30</v>
      </c>
      <c r="AH221" s="134">
        <f t="shared" si="4"/>
        <v>120</v>
      </c>
      <c r="AI221" s="137">
        <f t="shared" si="5"/>
        <v>20.815</v>
      </c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ht="15.75" customHeight="1">
      <c r="A222" s="132" t="s">
        <v>22</v>
      </c>
      <c r="B222" s="133">
        <f t="shared" si="6"/>
        <v>45875</v>
      </c>
      <c r="C222" s="134">
        <v>8.0</v>
      </c>
      <c r="D222" s="134" t="s">
        <v>29</v>
      </c>
      <c r="E222" s="203">
        <v>11.0</v>
      </c>
      <c r="F222" s="135" t="s">
        <v>33</v>
      </c>
      <c r="G222" s="126">
        <v>0.0</v>
      </c>
      <c r="I222" s="127">
        <v>45.0</v>
      </c>
      <c r="K222" s="127">
        <v>45.0</v>
      </c>
      <c r="M222" s="127">
        <v>0.0</v>
      </c>
      <c r="O222" s="127">
        <v>30.0</v>
      </c>
      <c r="Q222" s="127">
        <v>0.0</v>
      </c>
      <c r="R222" s="92"/>
      <c r="S222" s="128"/>
      <c r="U222" s="129"/>
      <c r="W222" s="129"/>
      <c r="Y222" s="129"/>
      <c r="AA222" s="129"/>
      <c r="AC222" s="129"/>
      <c r="AD222" s="92"/>
      <c r="AE222" s="136">
        <f t="shared" si="1"/>
        <v>2497.8</v>
      </c>
      <c r="AF222" s="134">
        <f t="shared" si="2"/>
        <v>90</v>
      </c>
      <c r="AG222" s="134">
        <f t="shared" si="3"/>
        <v>30</v>
      </c>
      <c r="AH222" s="134">
        <f t="shared" si="4"/>
        <v>120</v>
      </c>
      <c r="AI222" s="137">
        <f t="shared" si="5"/>
        <v>20.815</v>
      </c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ht="15.75" customHeight="1">
      <c r="A223" s="132" t="s">
        <v>23</v>
      </c>
      <c r="B223" s="133">
        <f t="shared" si="6"/>
        <v>45876</v>
      </c>
      <c r="C223" s="134">
        <v>8.0</v>
      </c>
      <c r="D223" s="134" t="s">
        <v>29</v>
      </c>
      <c r="E223" s="203">
        <v>11.0</v>
      </c>
      <c r="F223" s="135" t="s">
        <v>33</v>
      </c>
      <c r="G223" s="126">
        <v>0.0</v>
      </c>
      <c r="I223" s="127">
        <v>45.0</v>
      </c>
      <c r="K223" s="127">
        <v>45.0</v>
      </c>
      <c r="M223" s="127">
        <v>0.0</v>
      </c>
      <c r="O223" s="127">
        <v>30.0</v>
      </c>
      <c r="Q223" s="127">
        <v>0.0</v>
      </c>
      <c r="R223" s="92"/>
      <c r="S223" s="128"/>
      <c r="U223" s="129"/>
      <c r="W223" s="129"/>
      <c r="Y223" s="129"/>
      <c r="AA223" s="129"/>
      <c r="AC223" s="129"/>
      <c r="AD223" s="92"/>
      <c r="AE223" s="136">
        <f t="shared" si="1"/>
        <v>2497.8</v>
      </c>
      <c r="AF223" s="134">
        <f t="shared" si="2"/>
        <v>90</v>
      </c>
      <c r="AG223" s="134">
        <f t="shared" si="3"/>
        <v>30</v>
      </c>
      <c r="AH223" s="134">
        <f t="shared" si="4"/>
        <v>120</v>
      </c>
      <c r="AI223" s="137">
        <f t="shared" si="5"/>
        <v>20.815</v>
      </c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ht="15.75" customHeight="1">
      <c r="A224" s="132" t="s">
        <v>24</v>
      </c>
      <c r="B224" s="133">
        <f t="shared" si="6"/>
        <v>45877</v>
      </c>
      <c r="C224" s="134">
        <v>8.0</v>
      </c>
      <c r="D224" s="134" t="s">
        <v>29</v>
      </c>
      <c r="E224" s="203">
        <v>11.0</v>
      </c>
      <c r="F224" s="135" t="s">
        <v>33</v>
      </c>
      <c r="G224" s="126">
        <v>0.0</v>
      </c>
      <c r="I224" s="127">
        <v>45.0</v>
      </c>
      <c r="K224" s="127">
        <v>45.0</v>
      </c>
      <c r="M224" s="127">
        <v>0.0</v>
      </c>
      <c r="O224" s="127">
        <v>30.0</v>
      </c>
      <c r="Q224" s="127">
        <v>0.0</v>
      </c>
      <c r="R224" s="92"/>
      <c r="S224" s="128"/>
      <c r="U224" s="129"/>
      <c r="W224" s="129"/>
      <c r="Y224" s="129"/>
      <c r="AA224" s="129"/>
      <c r="AC224" s="129"/>
      <c r="AD224" s="92"/>
      <c r="AE224" s="136">
        <f t="shared" si="1"/>
        <v>2497.8</v>
      </c>
      <c r="AF224" s="134">
        <f t="shared" si="2"/>
        <v>90</v>
      </c>
      <c r="AG224" s="134">
        <f t="shared" si="3"/>
        <v>30</v>
      </c>
      <c r="AH224" s="134">
        <f t="shared" si="4"/>
        <v>120</v>
      </c>
      <c r="AI224" s="137">
        <f t="shared" si="5"/>
        <v>20.815</v>
      </c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ht="15.75" customHeight="1">
      <c r="A225" s="132" t="s">
        <v>25</v>
      </c>
      <c r="B225" s="133">
        <f t="shared" si="6"/>
        <v>45878</v>
      </c>
      <c r="C225" s="134">
        <v>8.0</v>
      </c>
      <c r="D225" s="134" t="s">
        <v>29</v>
      </c>
      <c r="E225" s="203">
        <v>11.0</v>
      </c>
      <c r="F225" s="135" t="s">
        <v>33</v>
      </c>
      <c r="G225" s="126">
        <v>0.0</v>
      </c>
      <c r="I225" s="127">
        <v>45.0</v>
      </c>
      <c r="K225" s="127">
        <v>45.0</v>
      </c>
      <c r="M225" s="127">
        <v>0.0</v>
      </c>
      <c r="O225" s="127">
        <v>30.0</v>
      </c>
      <c r="Q225" s="127">
        <v>0.0</v>
      </c>
      <c r="R225" s="92"/>
      <c r="S225" s="128"/>
      <c r="U225" s="129"/>
      <c r="W225" s="129"/>
      <c r="Y225" s="129"/>
      <c r="AA225" s="129"/>
      <c r="AC225" s="129"/>
      <c r="AD225" s="92"/>
      <c r="AE225" s="136">
        <f t="shared" si="1"/>
        <v>2497.8</v>
      </c>
      <c r="AF225" s="134">
        <f t="shared" si="2"/>
        <v>90</v>
      </c>
      <c r="AG225" s="134">
        <f t="shared" si="3"/>
        <v>30</v>
      </c>
      <c r="AH225" s="134">
        <f t="shared" si="4"/>
        <v>120</v>
      </c>
      <c r="AI225" s="137">
        <f t="shared" si="5"/>
        <v>20.815</v>
      </c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ht="15.75" customHeight="1">
      <c r="A226" s="138" t="s">
        <v>26</v>
      </c>
      <c r="B226" s="139">
        <f t="shared" si="6"/>
        <v>45879</v>
      </c>
      <c r="C226" s="140">
        <v>8.0</v>
      </c>
      <c r="D226" s="140" t="s">
        <v>29</v>
      </c>
      <c r="E226" s="204">
        <v>11.0</v>
      </c>
      <c r="F226" s="141" t="s">
        <v>31</v>
      </c>
      <c r="G226" s="142">
        <v>45.0</v>
      </c>
      <c r="H226" s="6"/>
      <c r="I226" s="142">
        <v>0.0</v>
      </c>
      <c r="J226" s="6"/>
      <c r="K226" s="142">
        <v>0.0</v>
      </c>
      <c r="L226" s="6"/>
      <c r="M226" s="142">
        <v>0.0</v>
      </c>
      <c r="N226" s="6"/>
      <c r="O226" s="142">
        <v>0.0</v>
      </c>
      <c r="P226" s="6"/>
      <c r="Q226" s="142">
        <v>0.0</v>
      </c>
      <c r="R226" s="93"/>
      <c r="S226" s="143"/>
      <c r="T226" s="6"/>
      <c r="U226" s="144"/>
      <c r="V226" s="6"/>
      <c r="W226" s="144"/>
      <c r="X226" s="6"/>
      <c r="Y226" s="144"/>
      <c r="Z226" s="6"/>
      <c r="AA226" s="144"/>
      <c r="AB226" s="6"/>
      <c r="AC226" s="144"/>
      <c r="AD226" s="93"/>
      <c r="AE226" s="145">
        <f t="shared" si="1"/>
        <v>1124.1</v>
      </c>
      <c r="AF226" s="140">
        <f t="shared" si="2"/>
        <v>45</v>
      </c>
      <c r="AG226" s="140">
        <f t="shared" si="3"/>
        <v>0</v>
      </c>
      <c r="AH226" s="140">
        <f t="shared" si="4"/>
        <v>45</v>
      </c>
      <c r="AI226" s="146">
        <f t="shared" si="5"/>
        <v>24.98</v>
      </c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ht="15.75" customHeight="1">
      <c r="A227" s="176" t="s">
        <v>19</v>
      </c>
      <c r="B227" s="177">
        <f t="shared" si="6"/>
        <v>45880</v>
      </c>
      <c r="C227" s="178">
        <v>9.0</v>
      </c>
      <c r="D227" s="178" t="s">
        <v>20</v>
      </c>
      <c r="E227" s="206"/>
      <c r="F227" s="206" t="s">
        <v>32</v>
      </c>
      <c r="G227" s="180">
        <v>0.0</v>
      </c>
      <c r="I227" s="181">
        <v>0.0</v>
      </c>
      <c r="K227" s="181">
        <v>0.0</v>
      </c>
      <c r="M227" s="181">
        <v>0.0</v>
      </c>
      <c r="O227" s="181">
        <v>0.0</v>
      </c>
      <c r="Q227" s="181">
        <v>0.0</v>
      </c>
      <c r="R227" s="92"/>
      <c r="S227" s="182"/>
      <c r="U227" s="183"/>
      <c r="W227" s="183"/>
      <c r="Y227" s="183"/>
      <c r="AA227" s="183"/>
      <c r="AC227" s="183"/>
      <c r="AD227" s="92"/>
      <c r="AE227" s="184">
        <f t="shared" si="1"/>
        <v>0</v>
      </c>
      <c r="AF227" s="178">
        <f t="shared" si="2"/>
        <v>0</v>
      </c>
      <c r="AG227" s="178">
        <f t="shared" si="3"/>
        <v>0</v>
      </c>
      <c r="AH227" s="178">
        <f t="shared" si="4"/>
        <v>0</v>
      </c>
      <c r="AI227" s="185">
        <f t="shared" si="5"/>
        <v>0</v>
      </c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ht="15.75" customHeight="1">
      <c r="A228" s="186" t="s">
        <v>21</v>
      </c>
      <c r="B228" s="187">
        <f t="shared" si="6"/>
        <v>45881</v>
      </c>
      <c r="C228" s="188">
        <v>9.0</v>
      </c>
      <c r="D228" s="188" t="s">
        <v>20</v>
      </c>
      <c r="E228" s="190"/>
      <c r="F228" s="190" t="s">
        <v>32</v>
      </c>
      <c r="G228" s="180">
        <v>0.0</v>
      </c>
      <c r="I228" s="181">
        <v>0.0</v>
      </c>
      <c r="K228" s="181">
        <v>0.0</v>
      </c>
      <c r="M228" s="181">
        <v>0.0</v>
      </c>
      <c r="O228" s="181">
        <v>0.0</v>
      </c>
      <c r="Q228" s="181">
        <v>0.0</v>
      </c>
      <c r="R228" s="92"/>
      <c r="S228" s="182"/>
      <c r="U228" s="183"/>
      <c r="W228" s="183"/>
      <c r="Y228" s="183"/>
      <c r="AA228" s="183"/>
      <c r="AC228" s="183"/>
      <c r="AD228" s="92"/>
      <c r="AE228" s="191">
        <f t="shared" si="1"/>
        <v>0</v>
      </c>
      <c r="AF228" s="188">
        <f t="shared" si="2"/>
        <v>0</v>
      </c>
      <c r="AG228" s="188">
        <f t="shared" si="3"/>
        <v>0</v>
      </c>
      <c r="AH228" s="188">
        <f t="shared" si="4"/>
        <v>0</v>
      </c>
      <c r="AI228" s="192">
        <f t="shared" si="5"/>
        <v>0</v>
      </c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ht="15.75" customHeight="1">
      <c r="A229" s="186" t="s">
        <v>22</v>
      </c>
      <c r="B229" s="187">
        <f t="shared" si="6"/>
        <v>45882</v>
      </c>
      <c r="C229" s="188">
        <v>9.0</v>
      </c>
      <c r="D229" s="188" t="s">
        <v>20</v>
      </c>
      <c r="E229" s="190"/>
      <c r="F229" s="190" t="s">
        <v>32</v>
      </c>
      <c r="G229" s="180">
        <v>0.0</v>
      </c>
      <c r="I229" s="181">
        <v>0.0</v>
      </c>
      <c r="K229" s="181">
        <v>0.0</v>
      </c>
      <c r="M229" s="181">
        <v>0.0</v>
      </c>
      <c r="O229" s="181">
        <v>0.0</v>
      </c>
      <c r="Q229" s="181">
        <v>0.0</v>
      </c>
      <c r="R229" s="92"/>
      <c r="S229" s="182"/>
      <c r="U229" s="183"/>
      <c r="W229" s="183"/>
      <c r="Y229" s="183"/>
      <c r="AA229" s="183"/>
      <c r="AC229" s="183"/>
      <c r="AD229" s="92"/>
      <c r="AE229" s="191">
        <f t="shared" si="1"/>
        <v>0</v>
      </c>
      <c r="AF229" s="188">
        <f t="shared" si="2"/>
        <v>0</v>
      </c>
      <c r="AG229" s="188">
        <f t="shared" si="3"/>
        <v>0</v>
      </c>
      <c r="AH229" s="188">
        <f t="shared" si="4"/>
        <v>0</v>
      </c>
      <c r="AI229" s="192">
        <f t="shared" si="5"/>
        <v>0</v>
      </c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ht="15.75" customHeight="1">
      <c r="A230" s="186" t="s">
        <v>23</v>
      </c>
      <c r="B230" s="187">
        <f t="shared" si="6"/>
        <v>45883</v>
      </c>
      <c r="C230" s="188">
        <v>9.0</v>
      </c>
      <c r="D230" s="188" t="s">
        <v>20</v>
      </c>
      <c r="E230" s="190"/>
      <c r="F230" s="190" t="s">
        <v>32</v>
      </c>
      <c r="G230" s="180">
        <v>0.0</v>
      </c>
      <c r="I230" s="181">
        <v>0.0</v>
      </c>
      <c r="K230" s="181">
        <v>0.0</v>
      </c>
      <c r="M230" s="181">
        <v>0.0</v>
      </c>
      <c r="O230" s="181">
        <v>0.0</v>
      </c>
      <c r="Q230" s="181">
        <v>0.0</v>
      </c>
      <c r="R230" s="92"/>
      <c r="S230" s="182"/>
      <c r="U230" s="183"/>
      <c r="W230" s="183"/>
      <c r="Y230" s="183"/>
      <c r="AA230" s="183"/>
      <c r="AC230" s="183"/>
      <c r="AD230" s="92"/>
      <c r="AE230" s="191">
        <f t="shared" si="1"/>
        <v>0</v>
      </c>
      <c r="AF230" s="188">
        <f t="shared" si="2"/>
        <v>0</v>
      </c>
      <c r="AG230" s="188">
        <f t="shared" si="3"/>
        <v>0</v>
      </c>
      <c r="AH230" s="188">
        <f t="shared" si="4"/>
        <v>0</v>
      </c>
      <c r="AI230" s="192">
        <f t="shared" si="5"/>
        <v>0</v>
      </c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ht="15.75" customHeight="1">
      <c r="A231" s="186" t="s">
        <v>24</v>
      </c>
      <c r="B231" s="187">
        <f t="shared" si="6"/>
        <v>45884</v>
      </c>
      <c r="C231" s="188">
        <v>9.0</v>
      </c>
      <c r="D231" s="188" t="s">
        <v>20</v>
      </c>
      <c r="E231" s="190"/>
      <c r="F231" s="190" t="s">
        <v>32</v>
      </c>
      <c r="G231" s="180">
        <v>0.0</v>
      </c>
      <c r="I231" s="181">
        <v>0.0</v>
      </c>
      <c r="K231" s="181">
        <v>0.0</v>
      </c>
      <c r="M231" s="181">
        <v>0.0</v>
      </c>
      <c r="O231" s="181">
        <v>0.0</v>
      </c>
      <c r="Q231" s="181">
        <v>0.0</v>
      </c>
      <c r="R231" s="92"/>
      <c r="S231" s="182"/>
      <c r="U231" s="183"/>
      <c r="W231" s="183"/>
      <c r="Y231" s="183"/>
      <c r="AA231" s="183"/>
      <c r="AC231" s="183"/>
      <c r="AD231" s="92"/>
      <c r="AE231" s="191">
        <f t="shared" si="1"/>
        <v>0</v>
      </c>
      <c r="AF231" s="188">
        <f t="shared" si="2"/>
        <v>0</v>
      </c>
      <c r="AG231" s="188">
        <f t="shared" si="3"/>
        <v>0</v>
      </c>
      <c r="AH231" s="188">
        <f t="shared" si="4"/>
        <v>0</v>
      </c>
      <c r="AI231" s="192">
        <f t="shared" si="5"/>
        <v>0</v>
      </c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ht="15.75" customHeight="1">
      <c r="A232" s="186" t="s">
        <v>25</v>
      </c>
      <c r="B232" s="187">
        <f t="shared" si="6"/>
        <v>45885</v>
      </c>
      <c r="C232" s="188">
        <v>9.0</v>
      </c>
      <c r="D232" s="188" t="s">
        <v>20</v>
      </c>
      <c r="E232" s="190"/>
      <c r="F232" s="190" t="s">
        <v>32</v>
      </c>
      <c r="G232" s="180">
        <v>0.0</v>
      </c>
      <c r="I232" s="181">
        <v>0.0</v>
      </c>
      <c r="K232" s="181">
        <v>0.0</v>
      </c>
      <c r="M232" s="181">
        <v>0.0</v>
      </c>
      <c r="O232" s="181">
        <v>0.0</v>
      </c>
      <c r="Q232" s="181">
        <v>0.0</v>
      </c>
      <c r="R232" s="92"/>
      <c r="S232" s="182"/>
      <c r="U232" s="183"/>
      <c r="W232" s="183"/>
      <c r="Y232" s="183"/>
      <c r="AA232" s="183"/>
      <c r="AC232" s="183"/>
      <c r="AD232" s="92"/>
      <c r="AE232" s="191">
        <f t="shared" si="1"/>
        <v>0</v>
      </c>
      <c r="AF232" s="188">
        <f t="shared" si="2"/>
        <v>0</v>
      </c>
      <c r="AG232" s="188">
        <f t="shared" si="3"/>
        <v>0</v>
      </c>
      <c r="AH232" s="188">
        <f t="shared" si="4"/>
        <v>0</v>
      </c>
      <c r="AI232" s="192">
        <f t="shared" si="5"/>
        <v>0</v>
      </c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ht="15.75" customHeight="1">
      <c r="A233" s="193" t="s">
        <v>26</v>
      </c>
      <c r="B233" s="194">
        <f t="shared" si="6"/>
        <v>45886</v>
      </c>
      <c r="C233" s="195">
        <v>9.0</v>
      </c>
      <c r="D233" s="195" t="s">
        <v>20</v>
      </c>
      <c r="E233" s="196"/>
      <c r="F233" s="196" t="s">
        <v>32</v>
      </c>
      <c r="G233" s="198">
        <v>0.0</v>
      </c>
      <c r="H233" s="6"/>
      <c r="I233" s="198">
        <v>0.0</v>
      </c>
      <c r="J233" s="6"/>
      <c r="K233" s="198">
        <v>0.0</v>
      </c>
      <c r="L233" s="6"/>
      <c r="M233" s="198">
        <v>0.0</v>
      </c>
      <c r="N233" s="6"/>
      <c r="O233" s="198">
        <v>0.0</v>
      </c>
      <c r="P233" s="6"/>
      <c r="Q233" s="198">
        <v>0.0</v>
      </c>
      <c r="R233" s="93"/>
      <c r="S233" s="199"/>
      <c r="T233" s="6"/>
      <c r="U233" s="200"/>
      <c r="V233" s="6"/>
      <c r="W233" s="200"/>
      <c r="X233" s="6"/>
      <c r="Y233" s="200"/>
      <c r="Z233" s="6"/>
      <c r="AA233" s="200"/>
      <c r="AB233" s="6"/>
      <c r="AC233" s="200"/>
      <c r="AD233" s="93"/>
      <c r="AE233" s="201">
        <f t="shared" si="1"/>
        <v>0</v>
      </c>
      <c r="AF233" s="195">
        <f t="shared" si="2"/>
        <v>0</v>
      </c>
      <c r="AG233" s="195">
        <f t="shared" si="3"/>
        <v>0</v>
      </c>
      <c r="AH233" s="195">
        <f t="shared" si="4"/>
        <v>0</v>
      </c>
      <c r="AI233" s="202">
        <f t="shared" si="5"/>
        <v>0</v>
      </c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ht="15.75" customHeight="1">
      <c r="A234" s="122" t="s">
        <v>19</v>
      </c>
      <c r="B234" s="123">
        <f t="shared" si="6"/>
        <v>45887</v>
      </c>
      <c r="C234" s="124">
        <v>9.0</v>
      </c>
      <c r="D234" s="124" t="s">
        <v>27</v>
      </c>
      <c r="E234" s="125"/>
      <c r="F234" s="125" t="s">
        <v>32</v>
      </c>
      <c r="G234" s="126">
        <v>0.0</v>
      </c>
      <c r="I234" s="127">
        <v>0.0</v>
      </c>
      <c r="K234" s="127">
        <v>0.0</v>
      </c>
      <c r="M234" s="127">
        <v>0.0</v>
      </c>
      <c r="O234" s="127">
        <v>0.0</v>
      </c>
      <c r="Q234" s="127">
        <v>0.0</v>
      </c>
      <c r="R234" s="92"/>
      <c r="S234" s="128"/>
      <c r="U234" s="129"/>
      <c r="W234" s="129"/>
      <c r="Y234" s="129"/>
      <c r="AA234" s="129"/>
      <c r="AC234" s="129"/>
      <c r="AD234" s="92"/>
      <c r="AE234" s="130">
        <f t="shared" si="1"/>
        <v>0</v>
      </c>
      <c r="AF234" s="124">
        <f t="shared" si="2"/>
        <v>0</v>
      </c>
      <c r="AG234" s="124">
        <f t="shared" si="3"/>
        <v>0</v>
      </c>
      <c r="AH234" s="124">
        <f t="shared" si="4"/>
        <v>0</v>
      </c>
      <c r="AI234" s="131">
        <f t="shared" si="5"/>
        <v>0</v>
      </c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ht="15.75" customHeight="1">
      <c r="A235" s="132" t="s">
        <v>21</v>
      </c>
      <c r="B235" s="133">
        <f t="shared" si="6"/>
        <v>45888</v>
      </c>
      <c r="C235" s="134">
        <v>9.0</v>
      </c>
      <c r="D235" s="134" t="s">
        <v>27</v>
      </c>
      <c r="E235" s="135"/>
      <c r="F235" s="135" t="s">
        <v>32</v>
      </c>
      <c r="G235" s="126">
        <v>0.0</v>
      </c>
      <c r="I235" s="127">
        <v>0.0</v>
      </c>
      <c r="K235" s="127">
        <v>0.0</v>
      </c>
      <c r="M235" s="127">
        <v>0.0</v>
      </c>
      <c r="O235" s="127">
        <v>0.0</v>
      </c>
      <c r="Q235" s="127">
        <v>0.0</v>
      </c>
      <c r="R235" s="92"/>
      <c r="S235" s="128"/>
      <c r="U235" s="129"/>
      <c r="W235" s="129"/>
      <c r="Y235" s="129"/>
      <c r="AA235" s="129"/>
      <c r="AC235" s="129"/>
      <c r="AD235" s="92"/>
      <c r="AE235" s="136">
        <f t="shared" si="1"/>
        <v>0</v>
      </c>
      <c r="AF235" s="134">
        <f t="shared" si="2"/>
        <v>0</v>
      </c>
      <c r="AG235" s="134">
        <f t="shared" si="3"/>
        <v>0</v>
      </c>
      <c r="AH235" s="134">
        <f t="shared" si="4"/>
        <v>0</v>
      </c>
      <c r="AI235" s="137">
        <f t="shared" si="5"/>
        <v>0</v>
      </c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ht="15.75" customHeight="1">
      <c r="A236" s="132" t="s">
        <v>22</v>
      </c>
      <c r="B236" s="133">
        <f t="shared" si="6"/>
        <v>45889</v>
      </c>
      <c r="C236" s="134">
        <v>9.0</v>
      </c>
      <c r="D236" s="134" t="s">
        <v>27</v>
      </c>
      <c r="E236" s="135"/>
      <c r="F236" s="135" t="s">
        <v>32</v>
      </c>
      <c r="G236" s="126">
        <v>0.0</v>
      </c>
      <c r="I236" s="127">
        <v>0.0</v>
      </c>
      <c r="K236" s="127">
        <v>0.0</v>
      </c>
      <c r="M236" s="127">
        <v>0.0</v>
      </c>
      <c r="O236" s="127">
        <v>0.0</v>
      </c>
      <c r="Q236" s="127">
        <v>0.0</v>
      </c>
      <c r="R236" s="92"/>
      <c r="S236" s="128"/>
      <c r="U236" s="129"/>
      <c r="W236" s="129"/>
      <c r="Y236" s="129"/>
      <c r="AA236" s="129"/>
      <c r="AC236" s="129"/>
      <c r="AD236" s="92"/>
      <c r="AE236" s="136">
        <f t="shared" si="1"/>
        <v>0</v>
      </c>
      <c r="AF236" s="134">
        <f t="shared" si="2"/>
        <v>0</v>
      </c>
      <c r="AG236" s="134">
        <f t="shared" si="3"/>
        <v>0</v>
      </c>
      <c r="AH236" s="134">
        <f t="shared" si="4"/>
        <v>0</v>
      </c>
      <c r="AI236" s="137">
        <f t="shared" si="5"/>
        <v>0</v>
      </c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ht="15.75" customHeight="1">
      <c r="A237" s="132" t="s">
        <v>23</v>
      </c>
      <c r="B237" s="133">
        <f t="shared" si="6"/>
        <v>45890</v>
      </c>
      <c r="C237" s="134">
        <v>9.0</v>
      </c>
      <c r="D237" s="134" t="s">
        <v>27</v>
      </c>
      <c r="E237" s="135"/>
      <c r="F237" s="135" t="s">
        <v>32</v>
      </c>
      <c r="G237" s="126">
        <v>0.0</v>
      </c>
      <c r="I237" s="127">
        <v>0.0</v>
      </c>
      <c r="K237" s="127">
        <v>0.0</v>
      </c>
      <c r="M237" s="127">
        <v>0.0</v>
      </c>
      <c r="O237" s="127">
        <v>0.0</v>
      </c>
      <c r="Q237" s="127">
        <v>0.0</v>
      </c>
      <c r="R237" s="92"/>
      <c r="S237" s="128"/>
      <c r="U237" s="129"/>
      <c r="W237" s="129"/>
      <c r="Y237" s="129"/>
      <c r="AA237" s="129"/>
      <c r="AC237" s="129"/>
      <c r="AD237" s="92"/>
      <c r="AE237" s="136">
        <f t="shared" si="1"/>
        <v>0</v>
      </c>
      <c r="AF237" s="134">
        <f t="shared" si="2"/>
        <v>0</v>
      </c>
      <c r="AG237" s="134">
        <f t="shared" si="3"/>
        <v>0</v>
      </c>
      <c r="AH237" s="134">
        <f t="shared" si="4"/>
        <v>0</v>
      </c>
      <c r="AI237" s="137">
        <f t="shared" si="5"/>
        <v>0</v>
      </c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ht="15.75" customHeight="1">
      <c r="A238" s="132" t="s">
        <v>24</v>
      </c>
      <c r="B238" s="133">
        <f t="shared" si="6"/>
        <v>45891</v>
      </c>
      <c r="C238" s="134">
        <v>9.0</v>
      </c>
      <c r="D238" s="134" t="s">
        <v>27</v>
      </c>
      <c r="E238" s="135"/>
      <c r="F238" s="135" t="s">
        <v>32</v>
      </c>
      <c r="G238" s="126">
        <v>0.0</v>
      </c>
      <c r="I238" s="127">
        <v>0.0</v>
      </c>
      <c r="K238" s="127">
        <v>0.0</v>
      </c>
      <c r="M238" s="127">
        <v>0.0</v>
      </c>
      <c r="O238" s="127">
        <v>0.0</v>
      </c>
      <c r="Q238" s="127">
        <v>0.0</v>
      </c>
      <c r="R238" s="92"/>
      <c r="S238" s="128"/>
      <c r="U238" s="129"/>
      <c r="W238" s="129"/>
      <c r="Y238" s="129"/>
      <c r="AA238" s="129"/>
      <c r="AC238" s="129"/>
      <c r="AD238" s="92"/>
      <c r="AE238" s="136">
        <f t="shared" si="1"/>
        <v>0</v>
      </c>
      <c r="AF238" s="134">
        <f t="shared" si="2"/>
        <v>0</v>
      </c>
      <c r="AG238" s="134">
        <f t="shared" si="3"/>
        <v>0</v>
      </c>
      <c r="AH238" s="134">
        <f t="shared" si="4"/>
        <v>0</v>
      </c>
      <c r="AI238" s="137">
        <f t="shared" si="5"/>
        <v>0</v>
      </c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ht="15.75" customHeight="1">
      <c r="A239" s="132" t="s">
        <v>25</v>
      </c>
      <c r="B239" s="133">
        <f t="shared" si="6"/>
        <v>45892</v>
      </c>
      <c r="C239" s="134">
        <v>9.0</v>
      </c>
      <c r="D239" s="134" t="s">
        <v>27</v>
      </c>
      <c r="E239" s="135"/>
      <c r="F239" s="135" t="s">
        <v>32</v>
      </c>
      <c r="G239" s="126">
        <v>0.0</v>
      </c>
      <c r="I239" s="127">
        <v>0.0</v>
      </c>
      <c r="K239" s="127">
        <v>0.0</v>
      </c>
      <c r="M239" s="127">
        <v>0.0</v>
      </c>
      <c r="O239" s="127">
        <v>0.0</v>
      </c>
      <c r="Q239" s="127">
        <v>0.0</v>
      </c>
      <c r="R239" s="92"/>
      <c r="S239" s="128"/>
      <c r="U239" s="129"/>
      <c r="W239" s="129"/>
      <c r="Y239" s="129"/>
      <c r="AA239" s="129"/>
      <c r="AC239" s="129"/>
      <c r="AD239" s="92"/>
      <c r="AE239" s="136">
        <f t="shared" si="1"/>
        <v>0</v>
      </c>
      <c r="AF239" s="134">
        <f t="shared" si="2"/>
        <v>0</v>
      </c>
      <c r="AG239" s="134">
        <f t="shared" si="3"/>
        <v>0</v>
      </c>
      <c r="AH239" s="134">
        <f t="shared" si="4"/>
        <v>0</v>
      </c>
      <c r="AI239" s="137">
        <f t="shared" si="5"/>
        <v>0</v>
      </c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ht="15.75" customHeight="1">
      <c r="A240" s="138" t="s">
        <v>26</v>
      </c>
      <c r="B240" s="139">
        <f t="shared" si="6"/>
        <v>45893</v>
      </c>
      <c r="C240" s="140">
        <v>9.0</v>
      </c>
      <c r="D240" s="140" t="s">
        <v>27</v>
      </c>
      <c r="E240" s="141"/>
      <c r="F240" s="141" t="s">
        <v>32</v>
      </c>
      <c r="G240" s="142">
        <v>0.0</v>
      </c>
      <c r="H240" s="6"/>
      <c r="I240" s="142">
        <v>0.0</v>
      </c>
      <c r="J240" s="6"/>
      <c r="K240" s="142">
        <v>0.0</v>
      </c>
      <c r="L240" s="6"/>
      <c r="M240" s="142">
        <v>0.0</v>
      </c>
      <c r="N240" s="6"/>
      <c r="O240" s="142">
        <v>0.0</v>
      </c>
      <c r="P240" s="6"/>
      <c r="Q240" s="142">
        <v>0.0</v>
      </c>
      <c r="R240" s="93"/>
      <c r="S240" s="143"/>
      <c r="T240" s="6"/>
      <c r="U240" s="144"/>
      <c r="V240" s="6"/>
      <c r="W240" s="144"/>
      <c r="X240" s="6"/>
      <c r="Y240" s="144"/>
      <c r="Z240" s="6"/>
      <c r="AA240" s="144"/>
      <c r="AB240" s="6"/>
      <c r="AC240" s="144"/>
      <c r="AD240" s="93"/>
      <c r="AE240" s="145">
        <f t="shared" si="1"/>
        <v>0</v>
      </c>
      <c r="AF240" s="140">
        <f t="shared" si="2"/>
        <v>0</v>
      </c>
      <c r="AG240" s="140">
        <f t="shared" si="3"/>
        <v>0</v>
      </c>
      <c r="AH240" s="140">
        <f t="shared" si="4"/>
        <v>0</v>
      </c>
      <c r="AI240" s="146">
        <f t="shared" si="5"/>
        <v>0</v>
      </c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ht="15.75" customHeight="1">
      <c r="A241" s="147" t="s">
        <v>19</v>
      </c>
      <c r="B241" s="148">
        <f t="shared" si="6"/>
        <v>45894</v>
      </c>
      <c r="C241" s="149">
        <v>9.0</v>
      </c>
      <c r="D241" s="149" t="s">
        <v>28</v>
      </c>
      <c r="E241" s="150"/>
      <c r="F241" s="150" t="s">
        <v>32</v>
      </c>
      <c r="G241" s="151">
        <v>0.0</v>
      </c>
      <c r="I241" s="152">
        <v>0.0</v>
      </c>
      <c r="K241" s="152">
        <v>0.0</v>
      </c>
      <c r="M241" s="152">
        <v>0.0</v>
      </c>
      <c r="O241" s="152">
        <v>0.0</v>
      </c>
      <c r="Q241" s="152">
        <v>0.0</v>
      </c>
      <c r="R241" s="92"/>
      <c r="S241" s="153"/>
      <c r="U241" s="154"/>
      <c r="W241" s="154"/>
      <c r="Y241" s="154"/>
      <c r="AA241" s="154"/>
      <c r="AC241" s="154"/>
      <c r="AD241" s="92"/>
      <c r="AE241" s="155">
        <f t="shared" si="1"/>
        <v>0</v>
      </c>
      <c r="AF241" s="149">
        <f t="shared" si="2"/>
        <v>0</v>
      </c>
      <c r="AG241" s="149">
        <f t="shared" si="3"/>
        <v>0</v>
      </c>
      <c r="AH241" s="149">
        <f t="shared" si="4"/>
        <v>0</v>
      </c>
      <c r="AI241" s="156">
        <f t="shared" si="5"/>
        <v>0</v>
      </c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ht="15.75" customHeight="1">
      <c r="A242" s="157" t="s">
        <v>21</v>
      </c>
      <c r="B242" s="158">
        <f t="shared" si="6"/>
        <v>45895</v>
      </c>
      <c r="C242" s="159">
        <v>9.0</v>
      </c>
      <c r="D242" s="159" t="s">
        <v>28</v>
      </c>
      <c r="E242" s="160">
        <v>12.0</v>
      </c>
      <c r="F242" s="161" t="s">
        <v>33</v>
      </c>
      <c r="G242" s="151">
        <v>0.0</v>
      </c>
      <c r="I242" s="152">
        <v>45.0</v>
      </c>
      <c r="K242" s="152">
        <v>45.0</v>
      </c>
      <c r="M242" s="152">
        <v>0.0</v>
      </c>
      <c r="O242" s="152">
        <v>30.0</v>
      </c>
      <c r="Q242" s="152">
        <v>0.0</v>
      </c>
      <c r="R242" s="92"/>
      <c r="S242" s="153"/>
      <c r="U242" s="154"/>
      <c r="W242" s="154"/>
      <c r="Y242" s="154"/>
      <c r="AA242" s="154"/>
      <c r="AC242" s="154"/>
      <c r="AD242" s="92"/>
      <c r="AE242" s="162">
        <f t="shared" si="1"/>
        <v>2497.8</v>
      </c>
      <c r="AF242" s="159">
        <f t="shared" si="2"/>
        <v>90</v>
      </c>
      <c r="AG242" s="159">
        <f t="shared" si="3"/>
        <v>30</v>
      </c>
      <c r="AH242" s="159">
        <f t="shared" si="4"/>
        <v>120</v>
      </c>
      <c r="AI242" s="163">
        <f t="shared" si="5"/>
        <v>20.815</v>
      </c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ht="15.75" customHeight="1">
      <c r="A243" s="157" t="s">
        <v>22</v>
      </c>
      <c r="B243" s="158">
        <f t="shared" si="6"/>
        <v>45896</v>
      </c>
      <c r="C243" s="159">
        <v>9.0</v>
      </c>
      <c r="D243" s="159" t="s">
        <v>28</v>
      </c>
      <c r="E243" s="160">
        <v>12.0</v>
      </c>
      <c r="F243" s="160" t="s">
        <v>31</v>
      </c>
      <c r="G243" s="151">
        <v>45.0</v>
      </c>
      <c r="I243" s="152">
        <v>0.0</v>
      </c>
      <c r="K243" s="152">
        <v>45.0</v>
      </c>
      <c r="M243" s="152">
        <v>0.0</v>
      </c>
      <c r="O243" s="152">
        <v>0.0</v>
      </c>
      <c r="Q243" s="152">
        <v>0.0</v>
      </c>
      <c r="R243" s="92"/>
      <c r="S243" s="153"/>
      <c r="U243" s="154"/>
      <c r="W243" s="154"/>
      <c r="Y243" s="154"/>
      <c r="AA243" s="154"/>
      <c r="AC243" s="154"/>
      <c r="AD243" s="92"/>
      <c r="AE243" s="162">
        <f t="shared" si="1"/>
        <v>2248.2</v>
      </c>
      <c r="AF243" s="159">
        <f t="shared" si="2"/>
        <v>90</v>
      </c>
      <c r="AG243" s="159">
        <f t="shared" si="3"/>
        <v>0</v>
      </c>
      <c r="AH243" s="159">
        <f t="shared" si="4"/>
        <v>90</v>
      </c>
      <c r="AI243" s="163">
        <f t="shared" si="5"/>
        <v>24.98</v>
      </c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ht="15.75" customHeight="1">
      <c r="A244" s="157" t="s">
        <v>23</v>
      </c>
      <c r="B244" s="158">
        <f t="shared" si="6"/>
        <v>45897</v>
      </c>
      <c r="C244" s="159">
        <v>9.0</v>
      </c>
      <c r="D244" s="159" t="s">
        <v>28</v>
      </c>
      <c r="E244" s="160">
        <v>12.0</v>
      </c>
      <c r="F244" s="161" t="s">
        <v>33</v>
      </c>
      <c r="G244" s="151">
        <v>0.0</v>
      </c>
      <c r="I244" s="152">
        <v>45.0</v>
      </c>
      <c r="K244" s="152">
        <v>45.0</v>
      </c>
      <c r="M244" s="152">
        <v>0.0</v>
      </c>
      <c r="O244" s="152">
        <v>30.0</v>
      </c>
      <c r="Q244" s="152">
        <v>0.0</v>
      </c>
      <c r="R244" s="92"/>
      <c r="S244" s="153"/>
      <c r="U244" s="154"/>
      <c r="W244" s="154"/>
      <c r="Y244" s="154"/>
      <c r="AA244" s="154"/>
      <c r="AC244" s="154"/>
      <c r="AD244" s="92"/>
      <c r="AE244" s="162">
        <f t="shared" si="1"/>
        <v>2497.8</v>
      </c>
      <c r="AF244" s="159">
        <f t="shared" si="2"/>
        <v>90</v>
      </c>
      <c r="AG244" s="159">
        <f t="shared" si="3"/>
        <v>30</v>
      </c>
      <c r="AH244" s="159">
        <f t="shared" si="4"/>
        <v>120</v>
      </c>
      <c r="AI244" s="163">
        <f t="shared" si="5"/>
        <v>20.815</v>
      </c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ht="15.75" customHeight="1">
      <c r="A245" s="157" t="s">
        <v>24</v>
      </c>
      <c r="B245" s="158">
        <f t="shared" si="6"/>
        <v>45898</v>
      </c>
      <c r="C245" s="159">
        <v>9.0</v>
      </c>
      <c r="D245" s="159" t="s">
        <v>28</v>
      </c>
      <c r="E245" s="160">
        <v>12.0</v>
      </c>
      <c r="F245" s="161" t="s">
        <v>33</v>
      </c>
      <c r="G245" s="151">
        <v>0.0</v>
      </c>
      <c r="I245" s="152">
        <v>45.0</v>
      </c>
      <c r="K245" s="152">
        <v>45.0</v>
      </c>
      <c r="M245" s="152">
        <v>0.0</v>
      </c>
      <c r="O245" s="152">
        <v>30.0</v>
      </c>
      <c r="Q245" s="152">
        <v>0.0</v>
      </c>
      <c r="R245" s="92"/>
      <c r="S245" s="153"/>
      <c r="U245" s="154"/>
      <c r="W245" s="154"/>
      <c r="Y245" s="154"/>
      <c r="AA245" s="154"/>
      <c r="AC245" s="154"/>
      <c r="AD245" s="92"/>
      <c r="AE245" s="162">
        <f t="shared" si="1"/>
        <v>2497.8</v>
      </c>
      <c r="AF245" s="159">
        <f t="shared" si="2"/>
        <v>90</v>
      </c>
      <c r="AG245" s="159">
        <f t="shared" si="3"/>
        <v>30</v>
      </c>
      <c r="AH245" s="159">
        <f t="shared" si="4"/>
        <v>120</v>
      </c>
      <c r="AI245" s="163">
        <f t="shared" si="5"/>
        <v>20.815</v>
      </c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ht="15.75" customHeight="1">
      <c r="A246" s="157" t="s">
        <v>25</v>
      </c>
      <c r="B246" s="158">
        <f t="shared" si="6"/>
        <v>45899</v>
      </c>
      <c r="C246" s="159">
        <v>9.0</v>
      </c>
      <c r="D246" s="159" t="s">
        <v>28</v>
      </c>
      <c r="E246" s="160">
        <v>12.0</v>
      </c>
      <c r="F246" s="161" t="s">
        <v>33</v>
      </c>
      <c r="G246" s="151">
        <v>0.0</v>
      </c>
      <c r="I246" s="152">
        <v>45.0</v>
      </c>
      <c r="K246" s="152">
        <v>45.0</v>
      </c>
      <c r="M246" s="152">
        <v>0.0</v>
      </c>
      <c r="O246" s="152">
        <v>30.0</v>
      </c>
      <c r="Q246" s="152">
        <v>0.0</v>
      </c>
      <c r="R246" s="92"/>
      <c r="S246" s="153"/>
      <c r="U246" s="154"/>
      <c r="W246" s="154"/>
      <c r="Y246" s="154"/>
      <c r="AA246" s="154"/>
      <c r="AC246" s="154"/>
      <c r="AD246" s="92"/>
      <c r="AE246" s="162">
        <f t="shared" si="1"/>
        <v>2497.8</v>
      </c>
      <c r="AF246" s="159">
        <f t="shared" si="2"/>
        <v>90</v>
      </c>
      <c r="AG246" s="159">
        <f t="shared" si="3"/>
        <v>30</v>
      </c>
      <c r="AH246" s="159">
        <f t="shared" si="4"/>
        <v>120</v>
      </c>
      <c r="AI246" s="163">
        <f t="shared" si="5"/>
        <v>20.815</v>
      </c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ht="15.75" customHeight="1">
      <c r="A247" s="164" t="s">
        <v>26</v>
      </c>
      <c r="B247" s="165">
        <f t="shared" si="6"/>
        <v>45900</v>
      </c>
      <c r="C247" s="166">
        <v>9.0</v>
      </c>
      <c r="D247" s="166" t="s">
        <v>28</v>
      </c>
      <c r="E247" s="168"/>
      <c r="F247" s="167" t="s">
        <v>33</v>
      </c>
      <c r="G247" s="170">
        <v>0.0</v>
      </c>
      <c r="H247" s="6"/>
      <c r="I247" s="170">
        <v>45.0</v>
      </c>
      <c r="J247" s="6"/>
      <c r="K247" s="170">
        <v>45.0</v>
      </c>
      <c r="L247" s="6"/>
      <c r="M247" s="170">
        <v>0.0</v>
      </c>
      <c r="N247" s="6"/>
      <c r="O247" s="170">
        <v>30.0</v>
      </c>
      <c r="P247" s="6"/>
      <c r="Q247" s="170">
        <v>0.0</v>
      </c>
      <c r="R247" s="93"/>
      <c r="S247" s="171"/>
      <c r="T247" s="6"/>
      <c r="U247" s="172"/>
      <c r="V247" s="6"/>
      <c r="W247" s="172"/>
      <c r="X247" s="6"/>
      <c r="Y247" s="172"/>
      <c r="Z247" s="6"/>
      <c r="AA247" s="172"/>
      <c r="AB247" s="6"/>
      <c r="AC247" s="172"/>
      <c r="AD247" s="93"/>
      <c r="AE247" s="173">
        <f t="shared" si="1"/>
        <v>2497.8</v>
      </c>
      <c r="AF247" s="166">
        <f t="shared" si="2"/>
        <v>90</v>
      </c>
      <c r="AG247" s="166">
        <f t="shared" si="3"/>
        <v>30</v>
      </c>
      <c r="AH247" s="166">
        <f t="shared" si="4"/>
        <v>120</v>
      </c>
      <c r="AI247" s="174">
        <f t="shared" si="5"/>
        <v>20.815</v>
      </c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ht="15.75" customHeight="1">
      <c r="A248" s="147" t="s">
        <v>19</v>
      </c>
      <c r="B248" s="148">
        <f t="shared" si="6"/>
        <v>45901</v>
      </c>
      <c r="C248" s="149">
        <v>9.0</v>
      </c>
      <c r="D248" s="149" t="s">
        <v>29</v>
      </c>
      <c r="E248" s="150"/>
      <c r="F248" s="150" t="s">
        <v>32</v>
      </c>
      <c r="G248" s="151">
        <v>0.0</v>
      </c>
      <c r="I248" s="152">
        <v>0.0</v>
      </c>
      <c r="K248" s="152">
        <v>0.0</v>
      </c>
      <c r="M248" s="152">
        <v>0.0</v>
      </c>
      <c r="O248" s="152">
        <v>0.0</v>
      </c>
      <c r="Q248" s="152">
        <v>0.0</v>
      </c>
      <c r="R248" s="92"/>
      <c r="S248" s="153"/>
      <c r="U248" s="154"/>
      <c r="W248" s="154"/>
      <c r="Y248" s="154"/>
      <c r="AA248" s="154"/>
      <c r="AC248" s="154"/>
      <c r="AD248" s="92"/>
      <c r="AE248" s="155">
        <f t="shared" si="1"/>
        <v>0</v>
      </c>
      <c r="AF248" s="149">
        <f t="shared" si="2"/>
        <v>0</v>
      </c>
      <c r="AG248" s="149">
        <f t="shared" si="3"/>
        <v>0</v>
      </c>
      <c r="AH248" s="149">
        <f t="shared" si="4"/>
        <v>0</v>
      </c>
      <c r="AI248" s="156">
        <f t="shared" si="5"/>
        <v>0</v>
      </c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</row>
    <row r="249" ht="15.75" customHeight="1">
      <c r="A249" s="157" t="s">
        <v>21</v>
      </c>
      <c r="B249" s="158">
        <f t="shared" si="6"/>
        <v>45902</v>
      </c>
      <c r="C249" s="159">
        <v>9.0</v>
      </c>
      <c r="D249" s="159" t="s">
        <v>29</v>
      </c>
      <c r="E249" s="160">
        <v>13.0</v>
      </c>
      <c r="F249" s="161" t="s">
        <v>33</v>
      </c>
      <c r="G249" s="151">
        <v>0.0</v>
      </c>
      <c r="I249" s="152">
        <v>45.0</v>
      </c>
      <c r="K249" s="152">
        <v>45.0</v>
      </c>
      <c r="M249" s="152">
        <v>0.0</v>
      </c>
      <c r="O249" s="152">
        <v>30.0</v>
      </c>
      <c r="Q249" s="152">
        <v>0.0</v>
      </c>
      <c r="R249" s="92"/>
      <c r="S249" s="153"/>
      <c r="U249" s="154"/>
      <c r="W249" s="154"/>
      <c r="Y249" s="154"/>
      <c r="AA249" s="154"/>
      <c r="AC249" s="154"/>
      <c r="AD249" s="92"/>
      <c r="AE249" s="162">
        <f t="shared" si="1"/>
        <v>2497.8</v>
      </c>
      <c r="AF249" s="159">
        <f t="shared" si="2"/>
        <v>90</v>
      </c>
      <c r="AG249" s="159">
        <f t="shared" si="3"/>
        <v>30</v>
      </c>
      <c r="AH249" s="159">
        <f t="shared" si="4"/>
        <v>120</v>
      </c>
      <c r="AI249" s="163">
        <f t="shared" si="5"/>
        <v>20.815</v>
      </c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</row>
    <row r="250" ht="15.75" customHeight="1">
      <c r="A250" s="157" t="s">
        <v>22</v>
      </c>
      <c r="B250" s="158">
        <f t="shared" si="6"/>
        <v>45903</v>
      </c>
      <c r="C250" s="159">
        <v>9.0</v>
      </c>
      <c r="D250" s="159" t="s">
        <v>29</v>
      </c>
      <c r="E250" s="160">
        <v>13.0</v>
      </c>
      <c r="F250" s="161" t="s">
        <v>33</v>
      </c>
      <c r="G250" s="151">
        <v>45.0</v>
      </c>
      <c r="I250" s="152">
        <v>0.0</v>
      </c>
      <c r="K250" s="152">
        <v>45.0</v>
      </c>
      <c r="M250" s="152">
        <v>0.0</v>
      </c>
      <c r="O250" s="152">
        <v>0.0</v>
      </c>
      <c r="Q250" s="152">
        <v>0.0</v>
      </c>
      <c r="R250" s="92"/>
      <c r="S250" s="153"/>
      <c r="U250" s="154"/>
      <c r="W250" s="154"/>
      <c r="Y250" s="154"/>
      <c r="AA250" s="154"/>
      <c r="AC250" s="154"/>
      <c r="AD250" s="92"/>
      <c r="AE250" s="162">
        <f t="shared" si="1"/>
        <v>2248.2</v>
      </c>
      <c r="AF250" s="159">
        <f t="shared" si="2"/>
        <v>90</v>
      </c>
      <c r="AG250" s="159">
        <f t="shared" si="3"/>
        <v>0</v>
      </c>
      <c r="AH250" s="159">
        <f t="shared" si="4"/>
        <v>90</v>
      </c>
      <c r="AI250" s="163">
        <f t="shared" si="5"/>
        <v>24.98</v>
      </c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</row>
    <row r="251" ht="15.75" customHeight="1">
      <c r="A251" s="157" t="s">
        <v>23</v>
      </c>
      <c r="B251" s="158">
        <f t="shared" si="6"/>
        <v>45904</v>
      </c>
      <c r="C251" s="159">
        <v>9.0</v>
      </c>
      <c r="D251" s="159" t="s">
        <v>29</v>
      </c>
      <c r="E251" s="160">
        <v>13.0</v>
      </c>
      <c r="F251" s="161" t="s">
        <v>33</v>
      </c>
      <c r="G251" s="151">
        <v>0.0</v>
      </c>
      <c r="I251" s="152">
        <v>45.0</v>
      </c>
      <c r="K251" s="152">
        <v>45.0</v>
      </c>
      <c r="M251" s="152">
        <v>0.0</v>
      </c>
      <c r="O251" s="152">
        <v>30.0</v>
      </c>
      <c r="Q251" s="152">
        <v>0.0</v>
      </c>
      <c r="R251" s="92"/>
      <c r="S251" s="153"/>
      <c r="U251" s="154"/>
      <c r="W251" s="154"/>
      <c r="Y251" s="154"/>
      <c r="AA251" s="154"/>
      <c r="AC251" s="154"/>
      <c r="AD251" s="92"/>
      <c r="AE251" s="162">
        <f t="shared" si="1"/>
        <v>2497.8</v>
      </c>
      <c r="AF251" s="159">
        <f t="shared" si="2"/>
        <v>90</v>
      </c>
      <c r="AG251" s="159">
        <f t="shared" si="3"/>
        <v>30</v>
      </c>
      <c r="AH251" s="159">
        <f t="shared" si="4"/>
        <v>120</v>
      </c>
      <c r="AI251" s="163">
        <f t="shared" si="5"/>
        <v>20.815</v>
      </c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</row>
    <row r="252" ht="15.75" customHeight="1">
      <c r="A252" s="157" t="s">
        <v>24</v>
      </c>
      <c r="B252" s="158">
        <f t="shared" si="6"/>
        <v>45905</v>
      </c>
      <c r="C252" s="159">
        <v>9.0</v>
      </c>
      <c r="D252" s="159" t="s">
        <v>29</v>
      </c>
      <c r="E252" s="160">
        <v>13.0</v>
      </c>
      <c r="F252" s="161" t="s">
        <v>33</v>
      </c>
      <c r="G252" s="151">
        <v>0.0</v>
      </c>
      <c r="I252" s="152">
        <v>45.0</v>
      </c>
      <c r="K252" s="152">
        <v>45.0</v>
      </c>
      <c r="M252" s="152">
        <v>0.0</v>
      </c>
      <c r="O252" s="152">
        <v>30.0</v>
      </c>
      <c r="Q252" s="152">
        <v>0.0</v>
      </c>
      <c r="R252" s="92"/>
      <c r="S252" s="153"/>
      <c r="U252" s="154"/>
      <c r="W252" s="154"/>
      <c r="Y252" s="154"/>
      <c r="AA252" s="154"/>
      <c r="AC252" s="154"/>
      <c r="AD252" s="92"/>
      <c r="AE252" s="162">
        <f t="shared" si="1"/>
        <v>2497.8</v>
      </c>
      <c r="AF252" s="159">
        <f t="shared" si="2"/>
        <v>90</v>
      </c>
      <c r="AG252" s="159">
        <f t="shared" si="3"/>
        <v>30</v>
      </c>
      <c r="AH252" s="159">
        <f t="shared" si="4"/>
        <v>120</v>
      </c>
      <c r="AI252" s="163">
        <f t="shared" si="5"/>
        <v>20.815</v>
      </c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</row>
    <row r="253" ht="15.75" customHeight="1">
      <c r="A253" s="157" t="s">
        <v>25</v>
      </c>
      <c r="B253" s="158">
        <f t="shared" si="6"/>
        <v>45906</v>
      </c>
      <c r="C253" s="159">
        <v>9.0</v>
      </c>
      <c r="D253" s="159" t="s">
        <v>29</v>
      </c>
      <c r="E253" s="160">
        <v>13.0</v>
      </c>
      <c r="F253" s="161" t="s">
        <v>33</v>
      </c>
      <c r="G253" s="151">
        <v>0.0</v>
      </c>
      <c r="I253" s="152">
        <v>45.0</v>
      </c>
      <c r="K253" s="152">
        <v>45.0</v>
      </c>
      <c r="M253" s="152">
        <v>0.0</v>
      </c>
      <c r="O253" s="152">
        <v>30.0</v>
      </c>
      <c r="Q253" s="152">
        <v>0.0</v>
      </c>
      <c r="R253" s="92"/>
      <c r="S253" s="153"/>
      <c r="U253" s="154"/>
      <c r="W253" s="154"/>
      <c r="Y253" s="154"/>
      <c r="AA253" s="154"/>
      <c r="AC253" s="154"/>
      <c r="AD253" s="92"/>
      <c r="AE253" s="162">
        <f t="shared" si="1"/>
        <v>2497.8</v>
      </c>
      <c r="AF253" s="159">
        <f t="shared" si="2"/>
        <v>90</v>
      </c>
      <c r="AG253" s="159">
        <f t="shared" si="3"/>
        <v>30</v>
      </c>
      <c r="AH253" s="159">
        <f t="shared" si="4"/>
        <v>120</v>
      </c>
      <c r="AI253" s="163">
        <f t="shared" si="5"/>
        <v>20.815</v>
      </c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</row>
    <row r="254" ht="15.75" customHeight="1">
      <c r="A254" s="164" t="s">
        <v>26</v>
      </c>
      <c r="B254" s="165">
        <f t="shared" si="6"/>
        <v>45907</v>
      </c>
      <c r="C254" s="166">
        <v>9.0</v>
      </c>
      <c r="D254" s="166" t="s">
        <v>29</v>
      </c>
      <c r="E254" s="167">
        <v>13.0</v>
      </c>
      <c r="F254" s="168" t="s">
        <v>31</v>
      </c>
      <c r="G254" s="170">
        <v>45.0</v>
      </c>
      <c r="H254" s="6"/>
      <c r="I254" s="170">
        <v>0.0</v>
      </c>
      <c r="J254" s="6"/>
      <c r="K254" s="170">
        <v>0.0</v>
      </c>
      <c r="L254" s="6"/>
      <c r="M254" s="170">
        <v>0.0</v>
      </c>
      <c r="N254" s="6"/>
      <c r="O254" s="170">
        <v>0.0</v>
      </c>
      <c r="P254" s="6"/>
      <c r="Q254" s="170">
        <v>0.0</v>
      </c>
      <c r="R254" s="93"/>
      <c r="S254" s="171"/>
      <c r="T254" s="6"/>
      <c r="U254" s="172"/>
      <c r="V254" s="6"/>
      <c r="W254" s="172"/>
      <c r="X254" s="6"/>
      <c r="Y254" s="172"/>
      <c r="Z254" s="6"/>
      <c r="AA254" s="172"/>
      <c r="AB254" s="6"/>
      <c r="AC254" s="172"/>
      <c r="AD254" s="93"/>
      <c r="AE254" s="173">
        <f t="shared" si="1"/>
        <v>1124.1</v>
      </c>
      <c r="AF254" s="166">
        <f t="shared" si="2"/>
        <v>45</v>
      </c>
      <c r="AG254" s="166">
        <f t="shared" si="3"/>
        <v>0</v>
      </c>
      <c r="AH254" s="166">
        <f t="shared" si="4"/>
        <v>45</v>
      </c>
      <c r="AI254" s="174">
        <f t="shared" si="5"/>
        <v>24.98</v>
      </c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</row>
    <row r="255" ht="15.75" customHeight="1">
      <c r="A255" s="122" t="s">
        <v>19</v>
      </c>
      <c r="B255" s="123">
        <f t="shared" si="6"/>
        <v>45908</v>
      </c>
      <c r="C255" s="124">
        <v>10.0</v>
      </c>
      <c r="D255" s="124" t="s">
        <v>20</v>
      </c>
      <c r="E255" s="125"/>
      <c r="F255" s="125" t="s">
        <v>32</v>
      </c>
      <c r="G255" s="126">
        <v>0.0</v>
      </c>
      <c r="I255" s="127">
        <v>0.0</v>
      </c>
      <c r="K255" s="127">
        <v>0.0</v>
      </c>
      <c r="M255" s="127">
        <v>0.0</v>
      </c>
      <c r="O255" s="127">
        <v>0.0</v>
      </c>
      <c r="Q255" s="127">
        <v>0.0</v>
      </c>
      <c r="R255" s="92"/>
      <c r="S255" s="128"/>
      <c r="U255" s="129"/>
      <c r="W255" s="129"/>
      <c r="Y255" s="129"/>
      <c r="AA255" s="129"/>
      <c r="AC255" s="129"/>
      <c r="AD255" s="92"/>
      <c r="AE255" s="130">
        <f t="shared" si="1"/>
        <v>0</v>
      </c>
      <c r="AF255" s="124">
        <f t="shared" si="2"/>
        <v>0</v>
      </c>
      <c r="AG255" s="124">
        <f t="shared" si="3"/>
        <v>0</v>
      </c>
      <c r="AH255" s="124">
        <f t="shared" si="4"/>
        <v>0</v>
      </c>
      <c r="AI255" s="131">
        <f t="shared" si="5"/>
        <v>0</v>
      </c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</row>
    <row r="256" ht="15.75" customHeight="1">
      <c r="A256" s="132" t="s">
        <v>21</v>
      </c>
      <c r="B256" s="133">
        <f t="shared" si="6"/>
        <v>45909</v>
      </c>
      <c r="C256" s="134">
        <v>10.0</v>
      </c>
      <c r="D256" s="134" t="s">
        <v>20</v>
      </c>
      <c r="E256" s="135"/>
      <c r="F256" s="135" t="s">
        <v>32</v>
      </c>
      <c r="G256" s="126">
        <v>0.0</v>
      </c>
      <c r="I256" s="127">
        <v>0.0</v>
      </c>
      <c r="K256" s="127">
        <v>0.0</v>
      </c>
      <c r="M256" s="127">
        <v>0.0</v>
      </c>
      <c r="O256" s="127">
        <v>0.0</v>
      </c>
      <c r="Q256" s="127">
        <v>0.0</v>
      </c>
      <c r="R256" s="92"/>
      <c r="S256" s="128"/>
      <c r="U256" s="129"/>
      <c r="W256" s="129"/>
      <c r="Y256" s="129"/>
      <c r="AA256" s="129"/>
      <c r="AC256" s="129"/>
      <c r="AD256" s="92"/>
      <c r="AE256" s="136">
        <f t="shared" si="1"/>
        <v>0</v>
      </c>
      <c r="AF256" s="134">
        <f t="shared" si="2"/>
        <v>0</v>
      </c>
      <c r="AG256" s="134">
        <f t="shared" si="3"/>
        <v>0</v>
      </c>
      <c r="AH256" s="134">
        <f t="shared" si="4"/>
        <v>0</v>
      </c>
      <c r="AI256" s="137">
        <f t="shared" si="5"/>
        <v>0</v>
      </c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</row>
    <row r="257" ht="15.75" customHeight="1">
      <c r="A257" s="132" t="s">
        <v>22</v>
      </c>
      <c r="B257" s="133">
        <f t="shared" si="6"/>
        <v>45910</v>
      </c>
      <c r="C257" s="134">
        <v>10.0</v>
      </c>
      <c r="D257" s="134" t="s">
        <v>20</v>
      </c>
      <c r="E257" s="135"/>
      <c r="F257" s="135" t="s">
        <v>32</v>
      </c>
      <c r="G257" s="126">
        <v>0.0</v>
      </c>
      <c r="I257" s="127">
        <v>0.0</v>
      </c>
      <c r="K257" s="127">
        <v>0.0</v>
      </c>
      <c r="M257" s="127">
        <v>0.0</v>
      </c>
      <c r="O257" s="127">
        <v>0.0</v>
      </c>
      <c r="Q257" s="127">
        <v>0.0</v>
      </c>
      <c r="R257" s="92"/>
      <c r="S257" s="128"/>
      <c r="U257" s="129"/>
      <c r="W257" s="129"/>
      <c r="Y257" s="129"/>
      <c r="AA257" s="129"/>
      <c r="AC257" s="129"/>
      <c r="AD257" s="92"/>
      <c r="AE257" s="136">
        <f t="shared" si="1"/>
        <v>0</v>
      </c>
      <c r="AF257" s="134">
        <f t="shared" si="2"/>
        <v>0</v>
      </c>
      <c r="AG257" s="134">
        <f t="shared" si="3"/>
        <v>0</v>
      </c>
      <c r="AH257" s="134">
        <f t="shared" si="4"/>
        <v>0</v>
      </c>
      <c r="AI257" s="137">
        <f t="shared" si="5"/>
        <v>0</v>
      </c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</row>
    <row r="258" ht="15.75" customHeight="1">
      <c r="A258" s="132" t="s">
        <v>23</v>
      </c>
      <c r="B258" s="133">
        <f t="shared" si="6"/>
        <v>45911</v>
      </c>
      <c r="C258" s="134">
        <v>10.0</v>
      </c>
      <c r="D258" s="134" t="s">
        <v>20</v>
      </c>
      <c r="E258" s="135"/>
      <c r="F258" s="135" t="s">
        <v>32</v>
      </c>
      <c r="G258" s="126">
        <v>0.0</v>
      </c>
      <c r="I258" s="127">
        <v>0.0</v>
      </c>
      <c r="K258" s="127">
        <v>0.0</v>
      </c>
      <c r="M258" s="127">
        <v>0.0</v>
      </c>
      <c r="O258" s="127">
        <v>0.0</v>
      </c>
      <c r="Q258" s="127">
        <v>0.0</v>
      </c>
      <c r="R258" s="92"/>
      <c r="S258" s="128"/>
      <c r="U258" s="129"/>
      <c r="W258" s="129"/>
      <c r="Y258" s="129"/>
      <c r="AA258" s="129"/>
      <c r="AC258" s="129"/>
      <c r="AD258" s="92"/>
      <c r="AE258" s="136">
        <f t="shared" si="1"/>
        <v>0</v>
      </c>
      <c r="AF258" s="134">
        <f t="shared" si="2"/>
        <v>0</v>
      </c>
      <c r="AG258" s="134">
        <f t="shared" si="3"/>
        <v>0</v>
      </c>
      <c r="AH258" s="134">
        <f t="shared" si="4"/>
        <v>0</v>
      </c>
      <c r="AI258" s="137">
        <f t="shared" si="5"/>
        <v>0</v>
      </c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</row>
    <row r="259" ht="15.75" customHeight="1">
      <c r="A259" s="132" t="s">
        <v>24</v>
      </c>
      <c r="B259" s="133">
        <f t="shared" si="6"/>
        <v>45912</v>
      </c>
      <c r="C259" s="134">
        <v>10.0</v>
      </c>
      <c r="D259" s="134" t="s">
        <v>20</v>
      </c>
      <c r="E259" s="135"/>
      <c r="F259" s="135" t="s">
        <v>32</v>
      </c>
      <c r="G259" s="126">
        <v>0.0</v>
      </c>
      <c r="I259" s="127">
        <v>0.0</v>
      </c>
      <c r="K259" s="127">
        <v>0.0</v>
      </c>
      <c r="M259" s="127">
        <v>0.0</v>
      </c>
      <c r="O259" s="127">
        <v>0.0</v>
      </c>
      <c r="Q259" s="127">
        <v>0.0</v>
      </c>
      <c r="R259" s="92"/>
      <c r="S259" s="128"/>
      <c r="U259" s="129"/>
      <c r="W259" s="129"/>
      <c r="Y259" s="129"/>
      <c r="AA259" s="129"/>
      <c r="AC259" s="129"/>
      <c r="AD259" s="92"/>
      <c r="AE259" s="136">
        <f t="shared" si="1"/>
        <v>0</v>
      </c>
      <c r="AF259" s="134">
        <f t="shared" si="2"/>
        <v>0</v>
      </c>
      <c r="AG259" s="134">
        <f t="shared" si="3"/>
        <v>0</v>
      </c>
      <c r="AH259" s="134">
        <f t="shared" si="4"/>
        <v>0</v>
      </c>
      <c r="AI259" s="137">
        <f t="shared" si="5"/>
        <v>0</v>
      </c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</row>
    <row r="260" ht="15.75" customHeight="1">
      <c r="A260" s="132" t="s">
        <v>25</v>
      </c>
      <c r="B260" s="133">
        <f t="shared" si="6"/>
        <v>45913</v>
      </c>
      <c r="C260" s="134">
        <v>10.0</v>
      </c>
      <c r="D260" s="134" t="s">
        <v>20</v>
      </c>
      <c r="E260" s="135"/>
      <c r="F260" s="135" t="s">
        <v>32</v>
      </c>
      <c r="G260" s="126">
        <v>0.0</v>
      </c>
      <c r="I260" s="127">
        <v>0.0</v>
      </c>
      <c r="K260" s="127">
        <v>0.0</v>
      </c>
      <c r="M260" s="127">
        <v>0.0</v>
      </c>
      <c r="O260" s="127">
        <v>0.0</v>
      </c>
      <c r="Q260" s="127">
        <v>0.0</v>
      </c>
      <c r="R260" s="92"/>
      <c r="S260" s="128"/>
      <c r="U260" s="129"/>
      <c r="W260" s="129"/>
      <c r="Y260" s="129"/>
      <c r="AA260" s="129"/>
      <c r="AC260" s="129"/>
      <c r="AD260" s="92"/>
      <c r="AE260" s="136">
        <f t="shared" si="1"/>
        <v>0</v>
      </c>
      <c r="AF260" s="134">
        <f t="shared" si="2"/>
        <v>0</v>
      </c>
      <c r="AG260" s="134">
        <f t="shared" si="3"/>
        <v>0</v>
      </c>
      <c r="AH260" s="134">
        <f t="shared" si="4"/>
        <v>0</v>
      </c>
      <c r="AI260" s="137">
        <f t="shared" si="5"/>
        <v>0</v>
      </c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</row>
    <row r="261" ht="15.75" customHeight="1">
      <c r="A261" s="138" t="s">
        <v>26</v>
      </c>
      <c r="B261" s="139">
        <f t="shared" si="6"/>
        <v>45914</v>
      </c>
      <c r="C261" s="140">
        <v>10.0</v>
      </c>
      <c r="D261" s="140" t="s">
        <v>20</v>
      </c>
      <c r="E261" s="141"/>
      <c r="F261" s="141" t="s">
        <v>32</v>
      </c>
      <c r="G261" s="142">
        <v>0.0</v>
      </c>
      <c r="H261" s="6"/>
      <c r="I261" s="142">
        <v>0.0</v>
      </c>
      <c r="J261" s="6"/>
      <c r="K261" s="142">
        <v>0.0</v>
      </c>
      <c r="L261" s="6"/>
      <c r="M261" s="142">
        <v>0.0</v>
      </c>
      <c r="N261" s="6"/>
      <c r="O261" s="142">
        <v>0.0</v>
      </c>
      <c r="P261" s="6"/>
      <c r="Q261" s="142">
        <v>0.0</v>
      </c>
      <c r="R261" s="93"/>
      <c r="S261" s="143"/>
      <c r="T261" s="6"/>
      <c r="U261" s="144"/>
      <c r="V261" s="6"/>
      <c r="W261" s="144"/>
      <c r="X261" s="6"/>
      <c r="Y261" s="144"/>
      <c r="Z261" s="6"/>
      <c r="AA261" s="144"/>
      <c r="AB261" s="6"/>
      <c r="AC261" s="144"/>
      <c r="AD261" s="93"/>
      <c r="AE261" s="145">
        <f t="shared" si="1"/>
        <v>0</v>
      </c>
      <c r="AF261" s="140">
        <f t="shared" si="2"/>
        <v>0</v>
      </c>
      <c r="AG261" s="140">
        <f t="shared" si="3"/>
        <v>0</v>
      </c>
      <c r="AH261" s="140">
        <f t="shared" si="4"/>
        <v>0</v>
      </c>
      <c r="AI261" s="146">
        <f t="shared" si="5"/>
        <v>0</v>
      </c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</row>
    <row r="262" ht="15.75" customHeight="1">
      <c r="A262" s="147" t="s">
        <v>19</v>
      </c>
      <c r="B262" s="148">
        <f t="shared" si="6"/>
        <v>45915</v>
      </c>
      <c r="C262" s="149">
        <v>10.0</v>
      </c>
      <c r="D262" s="149" t="s">
        <v>27</v>
      </c>
      <c r="E262" s="150"/>
      <c r="F262" s="150" t="s">
        <v>32</v>
      </c>
      <c r="G262" s="151">
        <v>0.0</v>
      </c>
      <c r="I262" s="152">
        <v>0.0</v>
      </c>
      <c r="K262" s="152">
        <v>0.0</v>
      </c>
      <c r="M262" s="152">
        <v>0.0</v>
      </c>
      <c r="O262" s="152">
        <v>0.0</v>
      </c>
      <c r="Q262" s="152">
        <v>0.0</v>
      </c>
      <c r="R262" s="92"/>
      <c r="S262" s="153"/>
      <c r="U262" s="154"/>
      <c r="W262" s="154"/>
      <c r="Y262" s="154"/>
      <c r="AA262" s="154"/>
      <c r="AC262" s="154"/>
      <c r="AD262" s="92"/>
      <c r="AE262" s="155">
        <f t="shared" si="1"/>
        <v>0</v>
      </c>
      <c r="AF262" s="149">
        <f t="shared" si="2"/>
        <v>0</v>
      </c>
      <c r="AG262" s="149">
        <f t="shared" si="3"/>
        <v>0</v>
      </c>
      <c r="AH262" s="149">
        <f t="shared" si="4"/>
        <v>0</v>
      </c>
      <c r="AI262" s="156">
        <f t="shared" si="5"/>
        <v>0</v>
      </c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</row>
    <row r="263" ht="15.75" customHeight="1">
      <c r="A263" s="157" t="s">
        <v>21</v>
      </c>
      <c r="B263" s="158">
        <f t="shared" si="6"/>
        <v>45916</v>
      </c>
      <c r="C263" s="159">
        <v>10.0</v>
      </c>
      <c r="D263" s="159" t="s">
        <v>27</v>
      </c>
      <c r="E263" s="160">
        <v>14.0</v>
      </c>
      <c r="F263" s="161" t="s">
        <v>33</v>
      </c>
      <c r="G263" s="151">
        <v>0.0</v>
      </c>
      <c r="I263" s="152">
        <v>45.0</v>
      </c>
      <c r="K263" s="152">
        <v>45.0</v>
      </c>
      <c r="M263" s="152">
        <v>0.0</v>
      </c>
      <c r="O263" s="152">
        <v>30.0</v>
      </c>
      <c r="Q263" s="152">
        <v>0.0</v>
      </c>
      <c r="R263" s="92"/>
      <c r="S263" s="153"/>
      <c r="U263" s="154"/>
      <c r="W263" s="154"/>
      <c r="Y263" s="154"/>
      <c r="AA263" s="154"/>
      <c r="AC263" s="154"/>
      <c r="AD263" s="92"/>
      <c r="AE263" s="162">
        <f t="shared" si="1"/>
        <v>2497.8</v>
      </c>
      <c r="AF263" s="159">
        <f t="shared" si="2"/>
        <v>90</v>
      </c>
      <c r="AG263" s="159">
        <f t="shared" si="3"/>
        <v>30</v>
      </c>
      <c r="AH263" s="159">
        <f t="shared" si="4"/>
        <v>120</v>
      </c>
      <c r="AI263" s="163">
        <f t="shared" si="5"/>
        <v>20.815</v>
      </c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</row>
    <row r="264" ht="15.75" customHeight="1">
      <c r="A264" s="157" t="s">
        <v>22</v>
      </c>
      <c r="B264" s="158">
        <f t="shared" si="6"/>
        <v>45917</v>
      </c>
      <c r="C264" s="159">
        <v>10.0</v>
      </c>
      <c r="D264" s="159" t="s">
        <v>27</v>
      </c>
      <c r="E264" s="160">
        <v>14.0</v>
      </c>
      <c r="F264" s="161" t="s">
        <v>31</v>
      </c>
      <c r="G264" s="151">
        <v>45.0</v>
      </c>
      <c r="I264" s="152">
        <v>0.0</v>
      </c>
      <c r="K264" s="152">
        <v>45.0</v>
      </c>
      <c r="M264" s="152">
        <v>0.0</v>
      </c>
      <c r="O264" s="152">
        <v>0.0</v>
      </c>
      <c r="Q264" s="152">
        <v>0.0</v>
      </c>
      <c r="R264" s="92"/>
      <c r="S264" s="153"/>
      <c r="U264" s="154"/>
      <c r="W264" s="154"/>
      <c r="Y264" s="154"/>
      <c r="AA264" s="154"/>
      <c r="AC264" s="154"/>
      <c r="AD264" s="92"/>
      <c r="AE264" s="162">
        <f t="shared" si="1"/>
        <v>2248.2</v>
      </c>
      <c r="AF264" s="159">
        <f t="shared" si="2"/>
        <v>90</v>
      </c>
      <c r="AG264" s="159">
        <f t="shared" si="3"/>
        <v>0</v>
      </c>
      <c r="AH264" s="159">
        <f t="shared" si="4"/>
        <v>90</v>
      </c>
      <c r="AI264" s="163">
        <f t="shared" si="5"/>
        <v>24.98</v>
      </c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</row>
    <row r="265" ht="15.75" customHeight="1">
      <c r="A265" s="157" t="s">
        <v>23</v>
      </c>
      <c r="B265" s="158">
        <f t="shared" si="6"/>
        <v>45918</v>
      </c>
      <c r="C265" s="159">
        <v>10.0</v>
      </c>
      <c r="D265" s="159" t="s">
        <v>27</v>
      </c>
      <c r="E265" s="160">
        <v>14.0</v>
      </c>
      <c r="F265" s="161" t="s">
        <v>33</v>
      </c>
      <c r="G265" s="151">
        <v>0.0</v>
      </c>
      <c r="I265" s="152">
        <v>45.0</v>
      </c>
      <c r="K265" s="152">
        <v>0.0</v>
      </c>
      <c r="M265" s="152">
        <v>0.0</v>
      </c>
      <c r="O265" s="152">
        <v>30.0</v>
      </c>
      <c r="Q265" s="152">
        <v>0.0</v>
      </c>
      <c r="R265" s="92"/>
      <c r="S265" s="153"/>
      <c r="U265" s="154"/>
      <c r="W265" s="154"/>
      <c r="Y265" s="154"/>
      <c r="AA265" s="154"/>
      <c r="AC265" s="154"/>
      <c r="AD265" s="92"/>
      <c r="AE265" s="162">
        <f t="shared" si="1"/>
        <v>1373.7</v>
      </c>
      <c r="AF265" s="159">
        <f t="shared" si="2"/>
        <v>45</v>
      </c>
      <c r="AG265" s="159">
        <f t="shared" si="3"/>
        <v>30</v>
      </c>
      <c r="AH265" s="159">
        <f t="shared" si="4"/>
        <v>75</v>
      </c>
      <c r="AI265" s="163">
        <f t="shared" si="5"/>
        <v>18.316</v>
      </c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</row>
    <row r="266" ht="15.75" customHeight="1">
      <c r="A266" s="157" t="s">
        <v>24</v>
      </c>
      <c r="B266" s="158">
        <f t="shared" si="6"/>
        <v>45919</v>
      </c>
      <c r="C266" s="159">
        <v>10.0</v>
      </c>
      <c r="D266" s="159" t="s">
        <v>27</v>
      </c>
      <c r="E266" s="160">
        <v>14.0</v>
      </c>
      <c r="F266" s="161" t="s">
        <v>33</v>
      </c>
      <c r="G266" s="151">
        <v>0.0</v>
      </c>
      <c r="I266" s="152">
        <v>45.0</v>
      </c>
      <c r="K266" s="152">
        <v>45.0</v>
      </c>
      <c r="M266" s="152">
        <v>0.0</v>
      </c>
      <c r="O266" s="152">
        <v>30.0</v>
      </c>
      <c r="Q266" s="152">
        <v>0.0</v>
      </c>
      <c r="R266" s="92"/>
      <c r="S266" s="153"/>
      <c r="U266" s="154"/>
      <c r="W266" s="154"/>
      <c r="Y266" s="154"/>
      <c r="AA266" s="154"/>
      <c r="AC266" s="154"/>
      <c r="AD266" s="92"/>
      <c r="AE266" s="162">
        <f t="shared" si="1"/>
        <v>2497.8</v>
      </c>
      <c r="AF266" s="159">
        <f t="shared" si="2"/>
        <v>90</v>
      </c>
      <c r="AG266" s="159">
        <f t="shared" si="3"/>
        <v>30</v>
      </c>
      <c r="AH266" s="159">
        <f t="shared" si="4"/>
        <v>120</v>
      </c>
      <c r="AI266" s="163">
        <f t="shared" si="5"/>
        <v>20.815</v>
      </c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ht="15.75" customHeight="1">
      <c r="A267" s="157" t="s">
        <v>25</v>
      </c>
      <c r="B267" s="158">
        <f t="shared" si="6"/>
        <v>45920</v>
      </c>
      <c r="C267" s="159">
        <v>10.0</v>
      </c>
      <c r="D267" s="159" t="s">
        <v>27</v>
      </c>
      <c r="E267" s="160">
        <v>14.0</v>
      </c>
      <c r="F267" s="161" t="s">
        <v>33</v>
      </c>
      <c r="G267" s="151">
        <v>0.0</v>
      </c>
      <c r="I267" s="152">
        <v>45.0</v>
      </c>
      <c r="K267" s="152">
        <v>45.0</v>
      </c>
      <c r="M267" s="152">
        <v>0.0</v>
      </c>
      <c r="O267" s="152">
        <v>30.0</v>
      </c>
      <c r="Q267" s="152">
        <v>0.0</v>
      </c>
      <c r="R267" s="92"/>
      <c r="S267" s="153"/>
      <c r="U267" s="154"/>
      <c r="W267" s="154"/>
      <c r="Y267" s="154"/>
      <c r="AA267" s="154"/>
      <c r="AC267" s="154"/>
      <c r="AD267" s="92"/>
      <c r="AE267" s="162">
        <f t="shared" si="1"/>
        <v>2497.8</v>
      </c>
      <c r="AF267" s="159">
        <f t="shared" si="2"/>
        <v>90</v>
      </c>
      <c r="AG267" s="159">
        <f t="shared" si="3"/>
        <v>30</v>
      </c>
      <c r="AH267" s="159">
        <f t="shared" si="4"/>
        <v>120</v>
      </c>
      <c r="AI267" s="163">
        <f t="shared" si="5"/>
        <v>20.815</v>
      </c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</row>
    <row r="268" ht="15.75" customHeight="1">
      <c r="A268" s="164" t="s">
        <v>26</v>
      </c>
      <c r="B268" s="165">
        <f t="shared" si="6"/>
        <v>45921</v>
      </c>
      <c r="C268" s="166">
        <v>10.0</v>
      </c>
      <c r="D268" s="166" t="s">
        <v>27</v>
      </c>
      <c r="E268" s="167">
        <v>14.0</v>
      </c>
      <c r="F268" s="168" t="s">
        <v>31</v>
      </c>
      <c r="G268" s="170">
        <v>0.0</v>
      </c>
      <c r="H268" s="6"/>
      <c r="I268" s="170">
        <v>0.0</v>
      </c>
      <c r="J268" s="6"/>
      <c r="K268" s="170">
        <v>45.0</v>
      </c>
      <c r="L268" s="6"/>
      <c r="M268" s="170">
        <v>0.0</v>
      </c>
      <c r="N268" s="6"/>
      <c r="O268" s="170">
        <v>0.0</v>
      </c>
      <c r="P268" s="6"/>
      <c r="Q268" s="170">
        <v>0.0</v>
      </c>
      <c r="R268" s="93"/>
      <c r="S268" s="171"/>
      <c r="T268" s="6"/>
      <c r="U268" s="172"/>
      <c r="V268" s="6"/>
      <c r="W268" s="172"/>
      <c r="X268" s="6"/>
      <c r="Y268" s="172"/>
      <c r="Z268" s="6"/>
      <c r="AA268" s="172"/>
      <c r="AB268" s="6"/>
      <c r="AC268" s="172"/>
      <c r="AD268" s="93"/>
      <c r="AE268" s="173">
        <f t="shared" si="1"/>
        <v>1124.1</v>
      </c>
      <c r="AF268" s="166">
        <f t="shared" si="2"/>
        <v>45</v>
      </c>
      <c r="AG268" s="166">
        <f t="shared" si="3"/>
        <v>0</v>
      </c>
      <c r="AH268" s="166">
        <f t="shared" si="4"/>
        <v>45</v>
      </c>
      <c r="AI268" s="174">
        <f t="shared" si="5"/>
        <v>24.98</v>
      </c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</row>
    <row r="269" ht="15.75" customHeight="1">
      <c r="A269" s="122" t="s">
        <v>19</v>
      </c>
      <c r="B269" s="123">
        <f t="shared" si="6"/>
        <v>45922</v>
      </c>
      <c r="C269" s="124">
        <v>10.0</v>
      </c>
      <c r="D269" s="124" t="s">
        <v>28</v>
      </c>
      <c r="E269" s="125"/>
      <c r="F269" s="125" t="s">
        <v>32</v>
      </c>
      <c r="G269" s="126">
        <v>0.0</v>
      </c>
      <c r="I269" s="127">
        <v>0.0</v>
      </c>
      <c r="K269" s="127">
        <v>0.0</v>
      </c>
      <c r="M269" s="127">
        <v>0.0</v>
      </c>
      <c r="O269" s="127">
        <v>0.0</v>
      </c>
      <c r="Q269" s="127">
        <v>0.0</v>
      </c>
      <c r="R269" s="92"/>
      <c r="S269" s="128"/>
      <c r="U269" s="129"/>
      <c r="W269" s="129"/>
      <c r="Y269" s="129"/>
      <c r="AA269" s="129"/>
      <c r="AC269" s="129"/>
      <c r="AD269" s="92"/>
      <c r="AE269" s="130">
        <f t="shared" si="1"/>
        <v>0</v>
      </c>
      <c r="AF269" s="124">
        <f t="shared" si="2"/>
        <v>0</v>
      </c>
      <c r="AG269" s="124">
        <f t="shared" si="3"/>
        <v>0</v>
      </c>
      <c r="AH269" s="124">
        <f t="shared" si="4"/>
        <v>0</v>
      </c>
      <c r="AI269" s="131">
        <f t="shared" si="5"/>
        <v>0</v>
      </c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</row>
    <row r="270" ht="15.75" customHeight="1">
      <c r="A270" s="132" t="s">
        <v>21</v>
      </c>
      <c r="B270" s="133">
        <f t="shared" si="6"/>
        <v>45923</v>
      </c>
      <c r="C270" s="134">
        <v>10.0</v>
      </c>
      <c r="D270" s="134" t="s">
        <v>28</v>
      </c>
      <c r="E270" s="135"/>
      <c r="F270" s="135" t="s">
        <v>32</v>
      </c>
      <c r="G270" s="126">
        <v>0.0</v>
      </c>
      <c r="I270" s="127">
        <v>0.0</v>
      </c>
      <c r="K270" s="127">
        <v>0.0</v>
      </c>
      <c r="M270" s="127">
        <v>0.0</v>
      </c>
      <c r="O270" s="127">
        <v>0.0</v>
      </c>
      <c r="Q270" s="127">
        <v>0.0</v>
      </c>
      <c r="R270" s="92"/>
      <c r="S270" s="128"/>
      <c r="U270" s="129"/>
      <c r="W270" s="129"/>
      <c r="Y270" s="129"/>
      <c r="AA270" s="129"/>
      <c r="AC270" s="129"/>
      <c r="AD270" s="92"/>
      <c r="AE270" s="136">
        <f t="shared" si="1"/>
        <v>0</v>
      </c>
      <c r="AF270" s="134">
        <f t="shared" si="2"/>
        <v>0</v>
      </c>
      <c r="AG270" s="134">
        <f t="shared" si="3"/>
        <v>0</v>
      </c>
      <c r="AH270" s="134">
        <f t="shared" si="4"/>
        <v>0</v>
      </c>
      <c r="AI270" s="137">
        <f t="shared" si="5"/>
        <v>0</v>
      </c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</row>
    <row r="271" ht="15.75" customHeight="1">
      <c r="A271" s="132" t="s">
        <v>22</v>
      </c>
      <c r="B271" s="133">
        <f t="shared" si="6"/>
        <v>45924</v>
      </c>
      <c r="C271" s="134">
        <v>10.0</v>
      </c>
      <c r="D271" s="134" t="s">
        <v>28</v>
      </c>
      <c r="E271" s="135"/>
      <c r="F271" s="135" t="s">
        <v>32</v>
      </c>
      <c r="G271" s="126">
        <v>0.0</v>
      </c>
      <c r="I271" s="127">
        <v>0.0</v>
      </c>
      <c r="K271" s="127">
        <v>0.0</v>
      </c>
      <c r="M271" s="127">
        <v>0.0</v>
      </c>
      <c r="O271" s="127">
        <v>0.0</v>
      </c>
      <c r="Q271" s="127">
        <v>0.0</v>
      </c>
      <c r="R271" s="92"/>
      <c r="S271" s="128"/>
      <c r="U271" s="129"/>
      <c r="W271" s="129"/>
      <c r="Y271" s="129"/>
      <c r="AA271" s="129"/>
      <c r="AC271" s="129"/>
      <c r="AD271" s="92"/>
      <c r="AE271" s="136">
        <f t="shared" si="1"/>
        <v>0</v>
      </c>
      <c r="AF271" s="134">
        <f t="shared" si="2"/>
        <v>0</v>
      </c>
      <c r="AG271" s="134">
        <f t="shared" si="3"/>
        <v>0</v>
      </c>
      <c r="AH271" s="134">
        <f t="shared" si="4"/>
        <v>0</v>
      </c>
      <c r="AI271" s="137">
        <f t="shared" si="5"/>
        <v>0</v>
      </c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</row>
    <row r="272" ht="15.75" customHeight="1">
      <c r="A272" s="132" t="s">
        <v>23</v>
      </c>
      <c r="B272" s="133">
        <f t="shared" si="6"/>
        <v>45925</v>
      </c>
      <c r="C272" s="134">
        <v>10.0</v>
      </c>
      <c r="D272" s="134" t="s">
        <v>28</v>
      </c>
      <c r="E272" s="135"/>
      <c r="F272" s="135" t="s">
        <v>32</v>
      </c>
      <c r="G272" s="126">
        <v>0.0</v>
      </c>
      <c r="I272" s="127">
        <v>0.0</v>
      </c>
      <c r="K272" s="127">
        <v>0.0</v>
      </c>
      <c r="M272" s="127">
        <v>0.0</v>
      </c>
      <c r="O272" s="127">
        <v>0.0</v>
      </c>
      <c r="Q272" s="127">
        <v>0.0</v>
      </c>
      <c r="R272" s="92"/>
      <c r="S272" s="128"/>
      <c r="U272" s="129"/>
      <c r="W272" s="129"/>
      <c r="Y272" s="129"/>
      <c r="AA272" s="129"/>
      <c r="AC272" s="129"/>
      <c r="AD272" s="92"/>
      <c r="AE272" s="136">
        <f t="shared" si="1"/>
        <v>0</v>
      </c>
      <c r="AF272" s="134">
        <f t="shared" si="2"/>
        <v>0</v>
      </c>
      <c r="AG272" s="134">
        <f t="shared" si="3"/>
        <v>0</v>
      </c>
      <c r="AH272" s="134">
        <f t="shared" si="4"/>
        <v>0</v>
      </c>
      <c r="AI272" s="137">
        <f t="shared" si="5"/>
        <v>0</v>
      </c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</row>
    <row r="273" ht="15.75" customHeight="1">
      <c r="A273" s="132" t="s">
        <v>24</v>
      </c>
      <c r="B273" s="133">
        <f t="shared" si="6"/>
        <v>45926</v>
      </c>
      <c r="C273" s="134">
        <v>10.0</v>
      </c>
      <c r="D273" s="134" t="s">
        <v>28</v>
      </c>
      <c r="E273" s="135"/>
      <c r="F273" s="135" t="s">
        <v>32</v>
      </c>
      <c r="G273" s="126">
        <v>0.0</v>
      </c>
      <c r="I273" s="127">
        <v>0.0</v>
      </c>
      <c r="K273" s="127">
        <v>0.0</v>
      </c>
      <c r="M273" s="127">
        <v>0.0</v>
      </c>
      <c r="O273" s="127">
        <v>0.0</v>
      </c>
      <c r="Q273" s="127">
        <v>0.0</v>
      </c>
      <c r="R273" s="92"/>
      <c r="S273" s="128"/>
      <c r="U273" s="129"/>
      <c r="W273" s="129"/>
      <c r="Y273" s="129"/>
      <c r="AA273" s="129"/>
      <c r="AC273" s="129"/>
      <c r="AD273" s="92"/>
      <c r="AE273" s="136">
        <f t="shared" si="1"/>
        <v>0</v>
      </c>
      <c r="AF273" s="134">
        <f t="shared" si="2"/>
        <v>0</v>
      </c>
      <c r="AG273" s="134">
        <f t="shared" si="3"/>
        <v>0</v>
      </c>
      <c r="AH273" s="134">
        <f t="shared" si="4"/>
        <v>0</v>
      </c>
      <c r="AI273" s="137">
        <f t="shared" si="5"/>
        <v>0</v>
      </c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</row>
    <row r="274" ht="15.75" customHeight="1">
      <c r="A274" s="132" t="s">
        <v>25</v>
      </c>
      <c r="B274" s="133">
        <f t="shared" si="6"/>
        <v>45927</v>
      </c>
      <c r="C274" s="134">
        <v>10.0</v>
      </c>
      <c r="D274" s="134" t="s">
        <v>28</v>
      </c>
      <c r="E274" s="135"/>
      <c r="F274" s="135" t="s">
        <v>32</v>
      </c>
      <c r="G274" s="126">
        <v>0.0</v>
      </c>
      <c r="I274" s="127">
        <v>0.0</v>
      </c>
      <c r="K274" s="127">
        <v>0.0</v>
      </c>
      <c r="M274" s="127">
        <v>0.0</v>
      </c>
      <c r="O274" s="127">
        <v>0.0</v>
      </c>
      <c r="Q274" s="127">
        <v>0.0</v>
      </c>
      <c r="R274" s="92"/>
      <c r="S274" s="128"/>
      <c r="U274" s="129"/>
      <c r="W274" s="129"/>
      <c r="Y274" s="129"/>
      <c r="AA274" s="129"/>
      <c r="AC274" s="129"/>
      <c r="AD274" s="92"/>
      <c r="AE274" s="136">
        <f t="shared" si="1"/>
        <v>0</v>
      </c>
      <c r="AF274" s="134">
        <f t="shared" si="2"/>
        <v>0</v>
      </c>
      <c r="AG274" s="134">
        <f t="shared" si="3"/>
        <v>0</v>
      </c>
      <c r="AH274" s="134">
        <f t="shared" si="4"/>
        <v>0</v>
      </c>
      <c r="AI274" s="137">
        <f t="shared" si="5"/>
        <v>0</v>
      </c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</row>
    <row r="275" ht="15.75" customHeight="1">
      <c r="A275" s="138" t="s">
        <v>26</v>
      </c>
      <c r="B275" s="139">
        <f t="shared" si="6"/>
        <v>45928</v>
      </c>
      <c r="C275" s="140">
        <v>10.0</v>
      </c>
      <c r="D275" s="140" t="s">
        <v>28</v>
      </c>
      <c r="E275" s="141"/>
      <c r="F275" s="141" t="s">
        <v>32</v>
      </c>
      <c r="G275" s="142">
        <v>0.0</v>
      </c>
      <c r="H275" s="6"/>
      <c r="I275" s="142">
        <v>0.0</v>
      </c>
      <c r="J275" s="6"/>
      <c r="K275" s="142">
        <v>0.0</v>
      </c>
      <c r="L275" s="6"/>
      <c r="M275" s="142">
        <v>0.0</v>
      </c>
      <c r="N275" s="6"/>
      <c r="O275" s="142">
        <v>0.0</v>
      </c>
      <c r="P275" s="6"/>
      <c r="Q275" s="142">
        <v>0.0</v>
      </c>
      <c r="R275" s="93"/>
      <c r="S275" s="143"/>
      <c r="T275" s="6"/>
      <c r="U275" s="144"/>
      <c r="V275" s="6"/>
      <c r="W275" s="144"/>
      <c r="X275" s="6"/>
      <c r="Y275" s="144"/>
      <c r="Z275" s="6"/>
      <c r="AA275" s="144"/>
      <c r="AB275" s="6"/>
      <c r="AC275" s="144"/>
      <c r="AD275" s="93"/>
      <c r="AE275" s="145">
        <f t="shared" si="1"/>
        <v>0</v>
      </c>
      <c r="AF275" s="140">
        <f t="shared" si="2"/>
        <v>0</v>
      </c>
      <c r="AG275" s="140">
        <f t="shared" si="3"/>
        <v>0</v>
      </c>
      <c r="AH275" s="140">
        <f t="shared" si="4"/>
        <v>0</v>
      </c>
      <c r="AI275" s="146">
        <f t="shared" si="5"/>
        <v>0</v>
      </c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</row>
    <row r="276" ht="15.75" customHeight="1">
      <c r="A276" s="14" t="s">
        <v>19</v>
      </c>
      <c r="B276" s="35">
        <f t="shared" si="6"/>
        <v>45929</v>
      </c>
      <c r="C276" s="16">
        <v>10.0</v>
      </c>
      <c r="D276" s="16" t="s">
        <v>29</v>
      </c>
      <c r="E276" s="17"/>
      <c r="F276" s="17"/>
      <c r="G276" s="18"/>
      <c r="I276" s="19"/>
      <c r="K276" s="19"/>
      <c r="M276" s="19"/>
      <c r="O276" s="19"/>
      <c r="Q276" s="19"/>
      <c r="R276" s="92"/>
      <c r="S276" s="18"/>
      <c r="U276" s="19"/>
      <c r="W276" s="19"/>
      <c r="Y276" s="19"/>
      <c r="AA276" s="19"/>
      <c r="AC276" s="19"/>
      <c r="AD276" s="92"/>
      <c r="AE276" s="20">
        <f t="shared" si="1"/>
        <v>0</v>
      </c>
      <c r="AF276" s="16">
        <f t="shared" si="2"/>
        <v>0</v>
      </c>
      <c r="AG276" s="16">
        <f t="shared" si="3"/>
        <v>0</v>
      </c>
      <c r="AH276" s="16">
        <f t="shared" si="4"/>
        <v>0</v>
      </c>
      <c r="AI276" s="36">
        <f t="shared" si="5"/>
        <v>0</v>
      </c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</row>
    <row r="277" ht="15.75" customHeight="1">
      <c r="A277" s="22" t="s">
        <v>21</v>
      </c>
      <c r="B277" s="23">
        <f t="shared" si="6"/>
        <v>45930</v>
      </c>
      <c r="C277" s="24">
        <v>10.0</v>
      </c>
      <c r="D277" s="24" t="s">
        <v>29</v>
      </c>
      <c r="E277" s="21"/>
      <c r="F277" s="21"/>
      <c r="G277" s="18"/>
      <c r="I277" s="19"/>
      <c r="K277" s="19"/>
      <c r="M277" s="19"/>
      <c r="O277" s="19"/>
      <c r="Q277" s="19"/>
      <c r="R277" s="92"/>
      <c r="S277" s="18"/>
      <c r="U277" s="19"/>
      <c r="W277" s="19"/>
      <c r="Y277" s="19"/>
      <c r="AA277" s="19"/>
      <c r="AC277" s="19"/>
      <c r="AD277" s="92"/>
      <c r="AE277" s="25">
        <f t="shared" si="1"/>
        <v>0</v>
      </c>
      <c r="AF277" s="24">
        <f t="shared" si="2"/>
        <v>0</v>
      </c>
      <c r="AG277" s="24">
        <f t="shared" si="3"/>
        <v>0</v>
      </c>
      <c r="AH277" s="24">
        <f t="shared" si="4"/>
        <v>0</v>
      </c>
      <c r="AI277" s="26">
        <f t="shared" si="5"/>
        <v>0</v>
      </c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</row>
    <row r="278" ht="15.75" customHeight="1">
      <c r="A278" s="22" t="s">
        <v>22</v>
      </c>
      <c r="B278" s="23">
        <f t="shared" si="6"/>
        <v>45931</v>
      </c>
      <c r="C278" s="24">
        <v>10.0</v>
      </c>
      <c r="D278" s="24" t="s">
        <v>29</v>
      </c>
      <c r="E278" s="21"/>
      <c r="F278" s="21"/>
      <c r="G278" s="18"/>
      <c r="I278" s="19"/>
      <c r="K278" s="19"/>
      <c r="M278" s="19"/>
      <c r="O278" s="19"/>
      <c r="Q278" s="19"/>
      <c r="R278" s="92"/>
      <c r="S278" s="18"/>
      <c r="U278" s="19"/>
      <c r="W278" s="19"/>
      <c r="Y278" s="19"/>
      <c r="AA278" s="19"/>
      <c r="AC278" s="19"/>
      <c r="AD278" s="92"/>
      <c r="AE278" s="25">
        <f t="shared" si="1"/>
        <v>0</v>
      </c>
      <c r="AF278" s="24">
        <f t="shared" si="2"/>
        <v>0</v>
      </c>
      <c r="AG278" s="24">
        <f t="shared" si="3"/>
        <v>0</v>
      </c>
      <c r="AH278" s="24">
        <f t="shared" si="4"/>
        <v>0</v>
      </c>
      <c r="AI278" s="26">
        <f t="shared" si="5"/>
        <v>0</v>
      </c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</row>
    <row r="279" ht="15.75" customHeight="1">
      <c r="A279" s="22" t="s">
        <v>23</v>
      </c>
      <c r="B279" s="23">
        <f t="shared" si="6"/>
        <v>45932</v>
      </c>
      <c r="C279" s="24">
        <v>10.0</v>
      </c>
      <c r="D279" s="24" t="s">
        <v>29</v>
      </c>
      <c r="E279" s="21"/>
      <c r="F279" s="21"/>
      <c r="G279" s="18"/>
      <c r="I279" s="19"/>
      <c r="K279" s="19"/>
      <c r="M279" s="19"/>
      <c r="O279" s="19"/>
      <c r="Q279" s="19"/>
      <c r="R279" s="92"/>
      <c r="S279" s="18"/>
      <c r="U279" s="19"/>
      <c r="W279" s="19"/>
      <c r="Y279" s="19"/>
      <c r="AA279" s="19"/>
      <c r="AC279" s="19"/>
      <c r="AD279" s="92"/>
      <c r="AE279" s="25">
        <f t="shared" si="1"/>
        <v>0</v>
      </c>
      <c r="AF279" s="24">
        <f t="shared" si="2"/>
        <v>0</v>
      </c>
      <c r="AG279" s="24">
        <f t="shared" si="3"/>
        <v>0</v>
      </c>
      <c r="AH279" s="24">
        <f t="shared" si="4"/>
        <v>0</v>
      </c>
      <c r="AI279" s="26">
        <f t="shared" si="5"/>
        <v>0</v>
      </c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</row>
    <row r="280" ht="15.75" customHeight="1">
      <c r="A280" s="22" t="s">
        <v>24</v>
      </c>
      <c r="B280" s="23">
        <f t="shared" si="6"/>
        <v>45933</v>
      </c>
      <c r="C280" s="24">
        <v>10.0</v>
      </c>
      <c r="D280" s="24" t="s">
        <v>29</v>
      </c>
      <c r="E280" s="21"/>
      <c r="F280" s="21"/>
      <c r="G280" s="18"/>
      <c r="I280" s="19"/>
      <c r="K280" s="19"/>
      <c r="M280" s="19"/>
      <c r="O280" s="19"/>
      <c r="Q280" s="19"/>
      <c r="R280" s="92"/>
      <c r="S280" s="18"/>
      <c r="U280" s="19"/>
      <c r="W280" s="19"/>
      <c r="Y280" s="19"/>
      <c r="AA280" s="19"/>
      <c r="AC280" s="19"/>
      <c r="AD280" s="92"/>
      <c r="AE280" s="25">
        <f t="shared" si="1"/>
        <v>0</v>
      </c>
      <c r="AF280" s="24">
        <f t="shared" si="2"/>
        <v>0</v>
      </c>
      <c r="AG280" s="24">
        <f t="shared" si="3"/>
        <v>0</v>
      </c>
      <c r="AH280" s="24">
        <f t="shared" si="4"/>
        <v>0</v>
      </c>
      <c r="AI280" s="26">
        <f t="shared" si="5"/>
        <v>0</v>
      </c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</row>
    <row r="281" ht="15.75" customHeight="1">
      <c r="A281" s="22" t="s">
        <v>25</v>
      </c>
      <c r="B281" s="23">
        <f t="shared" si="6"/>
        <v>45934</v>
      </c>
      <c r="C281" s="24">
        <v>10.0</v>
      </c>
      <c r="D281" s="24" t="s">
        <v>29</v>
      </c>
      <c r="E281" s="21"/>
      <c r="F281" s="21"/>
      <c r="G281" s="18"/>
      <c r="I281" s="19"/>
      <c r="K281" s="19"/>
      <c r="M281" s="19"/>
      <c r="O281" s="19"/>
      <c r="Q281" s="19"/>
      <c r="R281" s="92"/>
      <c r="S281" s="18"/>
      <c r="U281" s="19"/>
      <c r="W281" s="19"/>
      <c r="Y281" s="19"/>
      <c r="AA281" s="19"/>
      <c r="AC281" s="19"/>
      <c r="AD281" s="92"/>
      <c r="AE281" s="25">
        <f t="shared" si="1"/>
        <v>0</v>
      </c>
      <c r="AF281" s="24">
        <f t="shared" si="2"/>
        <v>0</v>
      </c>
      <c r="AG281" s="24">
        <f t="shared" si="3"/>
        <v>0</v>
      </c>
      <c r="AH281" s="24">
        <f t="shared" si="4"/>
        <v>0</v>
      </c>
      <c r="AI281" s="26">
        <f t="shared" si="5"/>
        <v>0</v>
      </c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</row>
    <row r="282" ht="15.75" customHeight="1">
      <c r="A282" s="27" t="s">
        <v>26</v>
      </c>
      <c r="B282" s="28">
        <f t="shared" si="6"/>
        <v>45935</v>
      </c>
      <c r="C282" s="29">
        <v>10.0</v>
      </c>
      <c r="D282" s="29" t="s">
        <v>29</v>
      </c>
      <c r="E282" s="30"/>
      <c r="F282" s="30"/>
      <c r="G282" s="31"/>
      <c r="H282" s="6"/>
      <c r="I282" s="32"/>
      <c r="J282" s="6"/>
      <c r="K282" s="32"/>
      <c r="L282" s="6"/>
      <c r="M282" s="32"/>
      <c r="N282" s="6"/>
      <c r="O282" s="32"/>
      <c r="P282" s="6"/>
      <c r="Q282" s="32"/>
      <c r="R282" s="93"/>
      <c r="S282" s="31"/>
      <c r="T282" s="6"/>
      <c r="U282" s="32"/>
      <c r="V282" s="6"/>
      <c r="W282" s="32"/>
      <c r="X282" s="6"/>
      <c r="Y282" s="32"/>
      <c r="Z282" s="6"/>
      <c r="AA282" s="32"/>
      <c r="AB282" s="6"/>
      <c r="AC282" s="32"/>
      <c r="AD282" s="93"/>
      <c r="AE282" s="33">
        <f t="shared" si="1"/>
        <v>0</v>
      </c>
      <c r="AF282" s="29">
        <f t="shared" si="2"/>
        <v>0</v>
      </c>
      <c r="AG282" s="29">
        <f t="shared" si="3"/>
        <v>0</v>
      </c>
      <c r="AH282" s="29">
        <f t="shared" si="4"/>
        <v>0</v>
      </c>
      <c r="AI282" s="34">
        <f t="shared" si="5"/>
        <v>0</v>
      </c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</row>
    <row r="283" ht="15.75" customHeight="1">
      <c r="A283" s="14" t="s">
        <v>19</v>
      </c>
      <c r="B283" s="35">
        <f t="shared" si="6"/>
        <v>45936</v>
      </c>
      <c r="C283" s="16">
        <v>11.0</v>
      </c>
      <c r="D283" s="16" t="s">
        <v>20</v>
      </c>
      <c r="E283" s="17"/>
      <c r="F283" s="17"/>
      <c r="G283" s="18"/>
      <c r="I283" s="19"/>
      <c r="K283" s="19"/>
      <c r="M283" s="19"/>
      <c r="O283" s="19"/>
      <c r="Q283" s="19"/>
      <c r="R283" s="92"/>
      <c r="S283" s="18"/>
      <c r="U283" s="19"/>
      <c r="W283" s="19"/>
      <c r="Y283" s="19"/>
      <c r="AA283" s="19"/>
      <c r="AC283" s="19"/>
      <c r="AD283" s="92"/>
      <c r="AE283" s="20">
        <f t="shared" si="1"/>
        <v>0</v>
      </c>
      <c r="AF283" s="16">
        <f t="shared" si="2"/>
        <v>0</v>
      </c>
      <c r="AG283" s="16">
        <f t="shared" si="3"/>
        <v>0</v>
      </c>
      <c r="AH283" s="16">
        <f t="shared" si="4"/>
        <v>0</v>
      </c>
      <c r="AI283" s="36">
        <f t="shared" si="5"/>
        <v>0</v>
      </c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</row>
    <row r="284" ht="15.75" customHeight="1">
      <c r="A284" s="22" t="s">
        <v>21</v>
      </c>
      <c r="B284" s="23">
        <f t="shared" si="6"/>
        <v>45937</v>
      </c>
      <c r="C284" s="24">
        <v>11.0</v>
      </c>
      <c r="D284" s="24" t="s">
        <v>20</v>
      </c>
      <c r="E284" s="21"/>
      <c r="F284" s="21"/>
      <c r="G284" s="18"/>
      <c r="I284" s="19"/>
      <c r="K284" s="19"/>
      <c r="M284" s="19"/>
      <c r="O284" s="19"/>
      <c r="Q284" s="19"/>
      <c r="R284" s="92"/>
      <c r="S284" s="18"/>
      <c r="U284" s="19"/>
      <c r="W284" s="19"/>
      <c r="Y284" s="19"/>
      <c r="AA284" s="19"/>
      <c r="AC284" s="19"/>
      <c r="AD284" s="92"/>
      <c r="AE284" s="25">
        <f t="shared" si="1"/>
        <v>0</v>
      </c>
      <c r="AF284" s="24">
        <f t="shared" si="2"/>
        <v>0</v>
      </c>
      <c r="AG284" s="24">
        <f t="shared" si="3"/>
        <v>0</v>
      </c>
      <c r="AH284" s="24">
        <f t="shared" si="4"/>
        <v>0</v>
      </c>
      <c r="AI284" s="26">
        <f t="shared" si="5"/>
        <v>0</v>
      </c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</row>
    <row r="285" ht="15.75" customHeight="1">
      <c r="A285" s="22" t="s">
        <v>22</v>
      </c>
      <c r="B285" s="23">
        <f t="shared" si="6"/>
        <v>45938</v>
      </c>
      <c r="C285" s="24">
        <v>11.0</v>
      </c>
      <c r="D285" s="24" t="s">
        <v>20</v>
      </c>
      <c r="E285" s="21"/>
      <c r="F285" s="21"/>
      <c r="G285" s="18"/>
      <c r="I285" s="19"/>
      <c r="K285" s="19"/>
      <c r="M285" s="19"/>
      <c r="O285" s="19"/>
      <c r="Q285" s="19"/>
      <c r="R285" s="92"/>
      <c r="S285" s="18"/>
      <c r="U285" s="19"/>
      <c r="W285" s="19"/>
      <c r="Y285" s="19"/>
      <c r="AA285" s="19"/>
      <c r="AC285" s="19"/>
      <c r="AD285" s="92"/>
      <c r="AE285" s="25">
        <f t="shared" si="1"/>
        <v>0</v>
      </c>
      <c r="AF285" s="24">
        <f t="shared" si="2"/>
        <v>0</v>
      </c>
      <c r="AG285" s="24">
        <f t="shared" si="3"/>
        <v>0</v>
      </c>
      <c r="AH285" s="24">
        <f t="shared" si="4"/>
        <v>0</v>
      </c>
      <c r="AI285" s="26">
        <f t="shared" si="5"/>
        <v>0</v>
      </c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</row>
    <row r="286" ht="15.75" customHeight="1">
      <c r="A286" s="22" t="s">
        <v>23</v>
      </c>
      <c r="B286" s="23">
        <f t="shared" si="6"/>
        <v>45939</v>
      </c>
      <c r="C286" s="24">
        <v>11.0</v>
      </c>
      <c r="D286" s="24" t="s">
        <v>20</v>
      </c>
      <c r="E286" s="21"/>
      <c r="F286" s="21"/>
      <c r="G286" s="18"/>
      <c r="I286" s="19"/>
      <c r="K286" s="19"/>
      <c r="M286" s="19"/>
      <c r="O286" s="19"/>
      <c r="Q286" s="19"/>
      <c r="R286" s="92"/>
      <c r="S286" s="18"/>
      <c r="U286" s="19"/>
      <c r="W286" s="19"/>
      <c r="Y286" s="19"/>
      <c r="AA286" s="19"/>
      <c r="AC286" s="19"/>
      <c r="AD286" s="92"/>
      <c r="AE286" s="25">
        <f t="shared" si="1"/>
        <v>0</v>
      </c>
      <c r="AF286" s="24">
        <f t="shared" si="2"/>
        <v>0</v>
      </c>
      <c r="AG286" s="24">
        <f t="shared" si="3"/>
        <v>0</v>
      </c>
      <c r="AH286" s="24">
        <f t="shared" si="4"/>
        <v>0</v>
      </c>
      <c r="AI286" s="26">
        <f t="shared" si="5"/>
        <v>0</v>
      </c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</row>
    <row r="287" ht="15.75" customHeight="1">
      <c r="A287" s="22" t="s">
        <v>24</v>
      </c>
      <c r="B287" s="23">
        <f t="shared" si="6"/>
        <v>45940</v>
      </c>
      <c r="C287" s="24">
        <v>11.0</v>
      </c>
      <c r="D287" s="24" t="s">
        <v>20</v>
      </c>
      <c r="E287" s="21"/>
      <c r="F287" s="21"/>
      <c r="G287" s="18"/>
      <c r="I287" s="19"/>
      <c r="K287" s="19"/>
      <c r="M287" s="19"/>
      <c r="O287" s="19"/>
      <c r="Q287" s="19"/>
      <c r="R287" s="92"/>
      <c r="S287" s="18"/>
      <c r="U287" s="19"/>
      <c r="W287" s="19"/>
      <c r="Y287" s="19"/>
      <c r="AA287" s="19"/>
      <c r="AC287" s="19"/>
      <c r="AD287" s="92"/>
      <c r="AE287" s="25">
        <f t="shared" si="1"/>
        <v>0</v>
      </c>
      <c r="AF287" s="24">
        <f t="shared" si="2"/>
        <v>0</v>
      </c>
      <c r="AG287" s="24">
        <f t="shared" si="3"/>
        <v>0</v>
      </c>
      <c r="AH287" s="24">
        <f t="shared" si="4"/>
        <v>0</v>
      </c>
      <c r="AI287" s="26">
        <f t="shared" si="5"/>
        <v>0</v>
      </c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</row>
    <row r="288" ht="15.75" customHeight="1">
      <c r="A288" s="22" t="s">
        <v>25</v>
      </c>
      <c r="B288" s="23">
        <f t="shared" si="6"/>
        <v>45941</v>
      </c>
      <c r="C288" s="24">
        <v>11.0</v>
      </c>
      <c r="D288" s="24" t="s">
        <v>20</v>
      </c>
      <c r="E288" s="21"/>
      <c r="F288" s="21"/>
      <c r="G288" s="18"/>
      <c r="I288" s="19"/>
      <c r="K288" s="19"/>
      <c r="M288" s="19"/>
      <c r="O288" s="19"/>
      <c r="Q288" s="19"/>
      <c r="R288" s="92"/>
      <c r="S288" s="18"/>
      <c r="U288" s="19"/>
      <c r="W288" s="19"/>
      <c r="Y288" s="19"/>
      <c r="AA288" s="19"/>
      <c r="AC288" s="19"/>
      <c r="AD288" s="92"/>
      <c r="AE288" s="25">
        <f t="shared" si="1"/>
        <v>0</v>
      </c>
      <c r="AF288" s="24">
        <f t="shared" si="2"/>
        <v>0</v>
      </c>
      <c r="AG288" s="24">
        <f t="shared" si="3"/>
        <v>0</v>
      </c>
      <c r="AH288" s="24">
        <f t="shared" si="4"/>
        <v>0</v>
      </c>
      <c r="AI288" s="26">
        <f t="shared" si="5"/>
        <v>0</v>
      </c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</row>
    <row r="289" ht="15.75" customHeight="1">
      <c r="A289" s="27" t="s">
        <v>26</v>
      </c>
      <c r="B289" s="28">
        <f t="shared" si="6"/>
        <v>45942</v>
      </c>
      <c r="C289" s="29">
        <v>11.0</v>
      </c>
      <c r="D289" s="29" t="s">
        <v>20</v>
      </c>
      <c r="E289" s="30"/>
      <c r="F289" s="30"/>
      <c r="G289" s="31"/>
      <c r="H289" s="6"/>
      <c r="I289" s="32"/>
      <c r="J289" s="6"/>
      <c r="K289" s="32"/>
      <c r="L289" s="6"/>
      <c r="M289" s="32"/>
      <c r="N289" s="6"/>
      <c r="O289" s="32"/>
      <c r="P289" s="6"/>
      <c r="Q289" s="32"/>
      <c r="R289" s="93"/>
      <c r="S289" s="31"/>
      <c r="T289" s="6"/>
      <c r="U289" s="32"/>
      <c r="V289" s="6"/>
      <c r="W289" s="32"/>
      <c r="X289" s="6"/>
      <c r="Y289" s="32"/>
      <c r="Z289" s="6"/>
      <c r="AA289" s="32"/>
      <c r="AB289" s="6"/>
      <c r="AC289" s="32"/>
      <c r="AD289" s="93"/>
      <c r="AE289" s="33">
        <f t="shared" si="1"/>
        <v>0</v>
      </c>
      <c r="AF289" s="29">
        <f t="shared" si="2"/>
        <v>0</v>
      </c>
      <c r="AG289" s="29">
        <f t="shared" si="3"/>
        <v>0</v>
      </c>
      <c r="AH289" s="29">
        <f t="shared" si="4"/>
        <v>0</v>
      </c>
      <c r="AI289" s="34">
        <f t="shared" si="5"/>
        <v>0</v>
      </c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</row>
    <row r="290" ht="15.75" customHeight="1">
      <c r="A290" s="14" t="s">
        <v>19</v>
      </c>
      <c r="B290" s="35">
        <f t="shared" si="6"/>
        <v>45943</v>
      </c>
      <c r="C290" s="16">
        <v>11.0</v>
      </c>
      <c r="D290" s="16" t="s">
        <v>27</v>
      </c>
      <c r="E290" s="17"/>
      <c r="F290" s="17"/>
      <c r="G290" s="18"/>
      <c r="I290" s="19"/>
      <c r="K290" s="19"/>
      <c r="M290" s="19"/>
      <c r="O290" s="19"/>
      <c r="Q290" s="19"/>
      <c r="R290" s="92"/>
      <c r="S290" s="18"/>
      <c r="U290" s="19"/>
      <c r="W290" s="19"/>
      <c r="Y290" s="19"/>
      <c r="AA290" s="19"/>
      <c r="AC290" s="19"/>
      <c r="AD290" s="92"/>
      <c r="AE290" s="20">
        <f t="shared" si="1"/>
        <v>0</v>
      </c>
      <c r="AF290" s="16">
        <f t="shared" si="2"/>
        <v>0</v>
      </c>
      <c r="AG290" s="16">
        <f t="shared" si="3"/>
        <v>0</v>
      </c>
      <c r="AH290" s="16">
        <f t="shared" si="4"/>
        <v>0</v>
      </c>
      <c r="AI290" s="36">
        <f t="shared" si="5"/>
        <v>0</v>
      </c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</row>
    <row r="291" ht="15.75" customHeight="1">
      <c r="A291" s="22" t="s">
        <v>21</v>
      </c>
      <c r="B291" s="23">
        <f t="shared" si="6"/>
        <v>45944</v>
      </c>
      <c r="C291" s="24">
        <v>11.0</v>
      </c>
      <c r="D291" s="24" t="s">
        <v>27</v>
      </c>
      <c r="E291" s="21"/>
      <c r="F291" s="21"/>
      <c r="G291" s="18"/>
      <c r="I291" s="19"/>
      <c r="K291" s="19"/>
      <c r="M291" s="19"/>
      <c r="O291" s="19"/>
      <c r="Q291" s="19"/>
      <c r="R291" s="92"/>
      <c r="S291" s="18"/>
      <c r="U291" s="19"/>
      <c r="W291" s="19"/>
      <c r="Y291" s="19"/>
      <c r="AA291" s="19"/>
      <c r="AC291" s="19"/>
      <c r="AD291" s="92"/>
      <c r="AE291" s="25">
        <f t="shared" si="1"/>
        <v>0</v>
      </c>
      <c r="AF291" s="24">
        <f t="shared" si="2"/>
        <v>0</v>
      </c>
      <c r="AG291" s="24">
        <f t="shared" si="3"/>
        <v>0</v>
      </c>
      <c r="AH291" s="24">
        <f t="shared" si="4"/>
        <v>0</v>
      </c>
      <c r="AI291" s="26">
        <f t="shared" si="5"/>
        <v>0</v>
      </c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</row>
    <row r="292" ht="15.75" customHeight="1">
      <c r="A292" s="22" t="s">
        <v>22</v>
      </c>
      <c r="B292" s="23">
        <f t="shared" si="6"/>
        <v>45945</v>
      </c>
      <c r="C292" s="24">
        <v>11.0</v>
      </c>
      <c r="D292" s="24" t="s">
        <v>27</v>
      </c>
      <c r="E292" s="21"/>
      <c r="F292" s="21"/>
      <c r="G292" s="18"/>
      <c r="I292" s="19"/>
      <c r="K292" s="19"/>
      <c r="M292" s="19"/>
      <c r="O292" s="19"/>
      <c r="Q292" s="19"/>
      <c r="R292" s="92"/>
      <c r="S292" s="18"/>
      <c r="U292" s="19"/>
      <c r="W292" s="19"/>
      <c r="Y292" s="19"/>
      <c r="AA292" s="19"/>
      <c r="AC292" s="19"/>
      <c r="AD292" s="92"/>
      <c r="AE292" s="25">
        <f t="shared" si="1"/>
        <v>0</v>
      </c>
      <c r="AF292" s="24">
        <f t="shared" si="2"/>
        <v>0</v>
      </c>
      <c r="AG292" s="24">
        <f t="shared" si="3"/>
        <v>0</v>
      </c>
      <c r="AH292" s="24">
        <f t="shared" si="4"/>
        <v>0</v>
      </c>
      <c r="AI292" s="26">
        <f t="shared" si="5"/>
        <v>0</v>
      </c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</row>
    <row r="293" ht="15.75" customHeight="1">
      <c r="A293" s="22" t="s">
        <v>23</v>
      </c>
      <c r="B293" s="23">
        <f t="shared" si="6"/>
        <v>45946</v>
      </c>
      <c r="C293" s="24">
        <v>11.0</v>
      </c>
      <c r="D293" s="24" t="s">
        <v>27</v>
      </c>
      <c r="E293" s="21"/>
      <c r="F293" s="21"/>
      <c r="G293" s="18"/>
      <c r="I293" s="19"/>
      <c r="K293" s="19"/>
      <c r="M293" s="19"/>
      <c r="O293" s="19"/>
      <c r="Q293" s="19"/>
      <c r="R293" s="92"/>
      <c r="S293" s="18"/>
      <c r="U293" s="19"/>
      <c r="W293" s="19"/>
      <c r="Y293" s="19"/>
      <c r="AA293" s="19"/>
      <c r="AC293" s="19"/>
      <c r="AD293" s="92"/>
      <c r="AE293" s="25">
        <f t="shared" si="1"/>
        <v>0</v>
      </c>
      <c r="AF293" s="24">
        <f t="shared" si="2"/>
        <v>0</v>
      </c>
      <c r="AG293" s="24">
        <f t="shared" si="3"/>
        <v>0</v>
      </c>
      <c r="AH293" s="24">
        <f t="shared" si="4"/>
        <v>0</v>
      </c>
      <c r="AI293" s="26">
        <f t="shared" si="5"/>
        <v>0</v>
      </c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</row>
    <row r="294" ht="15.75" customHeight="1">
      <c r="A294" s="22" t="s">
        <v>24</v>
      </c>
      <c r="B294" s="23">
        <f t="shared" si="6"/>
        <v>45947</v>
      </c>
      <c r="C294" s="24">
        <v>11.0</v>
      </c>
      <c r="D294" s="24" t="s">
        <v>27</v>
      </c>
      <c r="E294" s="21"/>
      <c r="F294" s="21"/>
      <c r="G294" s="18"/>
      <c r="I294" s="19"/>
      <c r="K294" s="19"/>
      <c r="M294" s="19"/>
      <c r="O294" s="19"/>
      <c r="Q294" s="19"/>
      <c r="R294" s="92"/>
      <c r="S294" s="18"/>
      <c r="U294" s="19"/>
      <c r="W294" s="19"/>
      <c r="Y294" s="19"/>
      <c r="AA294" s="19"/>
      <c r="AC294" s="19"/>
      <c r="AD294" s="92"/>
      <c r="AE294" s="25">
        <f t="shared" si="1"/>
        <v>0</v>
      </c>
      <c r="AF294" s="24">
        <f t="shared" si="2"/>
        <v>0</v>
      </c>
      <c r="AG294" s="24">
        <f t="shared" si="3"/>
        <v>0</v>
      </c>
      <c r="AH294" s="24">
        <f t="shared" si="4"/>
        <v>0</v>
      </c>
      <c r="AI294" s="26">
        <f t="shared" si="5"/>
        <v>0</v>
      </c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</row>
    <row r="295" ht="15.75" customHeight="1">
      <c r="A295" s="22" t="s">
        <v>25</v>
      </c>
      <c r="B295" s="23">
        <f t="shared" si="6"/>
        <v>45948</v>
      </c>
      <c r="C295" s="24">
        <v>11.0</v>
      </c>
      <c r="D295" s="24" t="s">
        <v>27</v>
      </c>
      <c r="E295" s="21"/>
      <c r="F295" s="21"/>
      <c r="G295" s="18"/>
      <c r="I295" s="19"/>
      <c r="K295" s="19"/>
      <c r="M295" s="19"/>
      <c r="O295" s="19"/>
      <c r="Q295" s="19"/>
      <c r="R295" s="92"/>
      <c r="S295" s="18"/>
      <c r="U295" s="19"/>
      <c r="W295" s="19"/>
      <c r="Y295" s="19"/>
      <c r="AA295" s="19"/>
      <c r="AC295" s="19"/>
      <c r="AD295" s="92"/>
      <c r="AE295" s="25">
        <f t="shared" si="1"/>
        <v>0</v>
      </c>
      <c r="AF295" s="24">
        <f t="shared" si="2"/>
        <v>0</v>
      </c>
      <c r="AG295" s="24">
        <f t="shared" si="3"/>
        <v>0</v>
      </c>
      <c r="AH295" s="24">
        <f t="shared" si="4"/>
        <v>0</v>
      </c>
      <c r="AI295" s="26">
        <f t="shared" si="5"/>
        <v>0</v>
      </c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</row>
    <row r="296" ht="15.75" customHeight="1">
      <c r="A296" s="27" t="s">
        <v>26</v>
      </c>
      <c r="B296" s="28">
        <f t="shared" si="6"/>
        <v>45949</v>
      </c>
      <c r="C296" s="29">
        <v>11.0</v>
      </c>
      <c r="D296" s="29" t="s">
        <v>27</v>
      </c>
      <c r="E296" s="30"/>
      <c r="F296" s="30"/>
      <c r="G296" s="31"/>
      <c r="H296" s="6"/>
      <c r="I296" s="32"/>
      <c r="J296" s="6"/>
      <c r="K296" s="32"/>
      <c r="L296" s="6"/>
      <c r="M296" s="32"/>
      <c r="N296" s="6"/>
      <c r="O296" s="32"/>
      <c r="P296" s="6"/>
      <c r="Q296" s="32"/>
      <c r="R296" s="93"/>
      <c r="S296" s="31"/>
      <c r="T296" s="6"/>
      <c r="U296" s="32"/>
      <c r="V296" s="6"/>
      <c r="W296" s="32"/>
      <c r="X296" s="6"/>
      <c r="Y296" s="32"/>
      <c r="Z296" s="6"/>
      <c r="AA296" s="32"/>
      <c r="AB296" s="6"/>
      <c r="AC296" s="32"/>
      <c r="AD296" s="93"/>
      <c r="AE296" s="33">
        <f t="shared" si="1"/>
        <v>0</v>
      </c>
      <c r="AF296" s="29">
        <f t="shared" si="2"/>
        <v>0</v>
      </c>
      <c r="AG296" s="29">
        <f t="shared" si="3"/>
        <v>0</v>
      </c>
      <c r="AH296" s="29">
        <f t="shared" si="4"/>
        <v>0</v>
      </c>
      <c r="AI296" s="34">
        <f t="shared" si="5"/>
        <v>0</v>
      </c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</row>
    <row r="297" ht="15.75" customHeight="1">
      <c r="A297" s="14" t="s">
        <v>19</v>
      </c>
      <c r="B297" s="35">
        <f t="shared" si="6"/>
        <v>45950</v>
      </c>
      <c r="C297" s="16">
        <v>11.0</v>
      </c>
      <c r="D297" s="16" t="s">
        <v>28</v>
      </c>
      <c r="E297" s="17"/>
      <c r="F297" s="17"/>
      <c r="G297" s="18"/>
      <c r="I297" s="19"/>
      <c r="K297" s="19"/>
      <c r="M297" s="19"/>
      <c r="O297" s="19"/>
      <c r="Q297" s="19"/>
      <c r="R297" s="92"/>
      <c r="S297" s="18"/>
      <c r="U297" s="19"/>
      <c r="W297" s="19"/>
      <c r="Y297" s="19"/>
      <c r="AA297" s="19"/>
      <c r="AC297" s="19"/>
      <c r="AD297" s="92"/>
      <c r="AE297" s="20">
        <f t="shared" si="1"/>
        <v>0</v>
      </c>
      <c r="AF297" s="16">
        <f t="shared" si="2"/>
        <v>0</v>
      </c>
      <c r="AG297" s="16">
        <f t="shared" si="3"/>
        <v>0</v>
      </c>
      <c r="AH297" s="16">
        <f t="shared" si="4"/>
        <v>0</v>
      </c>
      <c r="AI297" s="36">
        <f t="shared" si="5"/>
        <v>0</v>
      </c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</row>
    <row r="298" ht="15.75" customHeight="1">
      <c r="A298" s="22" t="s">
        <v>21</v>
      </c>
      <c r="B298" s="23">
        <f t="shared" si="6"/>
        <v>45951</v>
      </c>
      <c r="C298" s="24">
        <v>11.0</v>
      </c>
      <c r="D298" s="24" t="s">
        <v>28</v>
      </c>
      <c r="E298" s="21"/>
      <c r="F298" s="21"/>
      <c r="G298" s="18"/>
      <c r="I298" s="19"/>
      <c r="K298" s="19"/>
      <c r="M298" s="19"/>
      <c r="O298" s="19"/>
      <c r="Q298" s="19"/>
      <c r="R298" s="92"/>
      <c r="S298" s="18"/>
      <c r="U298" s="19"/>
      <c r="W298" s="19"/>
      <c r="Y298" s="19"/>
      <c r="AA298" s="19"/>
      <c r="AC298" s="19"/>
      <c r="AD298" s="92"/>
      <c r="AE298" s="25">
        <f t="shared" si="1"/>
        <v>0</v>
      </c>
      <c r="AF298" s="24">
        <f t="shared" si="2"/>
        <v>0</v>
      </c>
      <c r="AG298" s="24">
        <f t="shared" si="3"/>
        <v>0</v>
      </c>
      <c r="AH298" s="24">
        <f t="shared" si="4"/>
        <v>0</v>
      </c>
      <c r="AI298" s="26">
        <f t="shared" si="5"/>
        <v>0</v>
      </c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</row>
    <row r="299" ht="15.75" customHeight="1">
      <c r="A299" s="22" t="s">
        <v>22</v>
      </c>
      <c r="B299" s="23">
        <f t="shared" si="6"/>
        <v>45952</v>
      </c>
      <c r="C299" s="24">
        <v>11.0</v>
      </c>
      <c r="D299" s="24" t="s">
        <v>28</v>
      </c>
      <c r="E299" s="21"/>
      <c r="F299" s="21"/>
      <c r="G299" s="18"/>
      <c r="I299" s="19"/>
      <c r="K299" s="19"/>
      <c r="M299" s="19"/>
      <c r="O299" s="19"/>
      <c r="Q299" s="19"/>
      <c r="R299" s="92"/>
      <c r="S299" s="18"/>
      <c r="U299" s="19"/>
      <c r="W299" s="19"/>
      <c r="Y299" s="19"/>
      <c r="AA299" s="19"/>
      <c r="AC299" s="19"/>
      <c r="AD299" s="92"/>
      <c r="AE299" s="25">
        <f t="shared" si="1"/>
        <v>0</v>
      </c>
      <c r="AF299" s="24">
        <f t="shared" si="2"/>
        <v>0</v>
      </c>
      <c r="AG299" s="24">
        <f t="shared" si="3"/>
        <v>0</v>
      </c>
      <c r="AH299" s="24">
        <f t="shared" si="4"/>
        <v>0</v>
      </c>
      <c r="AI299" s="26">
        <f t="shared" si="5"/>
        <v>0</v>
      </c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</row>
    <row r="300" ht="15.75" customHeight="1">
      <c r="A300" s="22" t="s">
        <v>23</v>
      </c>
      <c r="B300" s="23">
        <f t="shared" si="6"/>
        <v>45953</v>
      </c>
      <c r="C300" s="24">
        <v>11.0</v>
      </c>
      <c r="D300" s="24" t="s">
        <v>28</v>
      </c>
      <c r="E300" s="21"/>
      <c r="F300" s="21"/>
      <c r="G300" s="18"/>
      <c r="I300" s="19"/>
      <c r="K300" s="19"/>
      <c r="M300" s="19"/>
      <c r="O300" s="19"/>
      <c r="Q300" s="19"/>
      <c r="R300" s="92"/>
      <c r="S300" s="18"/>
      <c r="U300" s="19"/>
      <c r="W300" s="19"/>
      <c r="Y300" s="19"/>
      <c r="AA300" s="19"/>
      <c r="AC300" s="19"/>
      <c r="AD300" s="92"/>
      <c r="AE300" s="25">
        <f t="shared" si="1"/>
        <v>0</v>
      </c>
      <c r="AF300" s="24">
        <f t="shared" si="2"/>
        <v>0</v>
      </c>
      <c r="AG300" s="24">
        <f t="shared" si="3"/>
        <v>0</v>
      </c>
      <c r="AH300" s="24">
        <f t="shared" si="4"/>
        <v>0</v>
      </c>
      <c r="AI300" s="26">
        <f t="shared" si="5"/>
        <v>0</v>
      </c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</row>
    <row r="301" ht="15.75" customHeight="1">
      <c r="A301" s="22" t="s">
        <v>24</v>
      </c>
      <c r="B301" s="23">
        <f t="shared" si="6"/>
        <v>45954</v>
      </c>
      <c r="C301" s="24">
        <v>11.0</v>
      </c>
      <c r="D301" s="24" t="s">
        <v>28</v>
      </c>
      <c r="E301" s="21"/>
      <c r="F301" s="21"/>
      <c r="G301" s="18"/>
      <c r="I301" s="19"/>
      <c r="K301" s="19"/>
      <c r="M301" s="19"/>
      <c r="O301" s="19"/>
      <c r="Q301" s="19"/>
      <c r="R301" s="92"/>
      <c r="S301" s="18"/>
      <c r="U301" s="19"/>
      <c r="W301" s="19"/>
      <c r="Y301" s="19"/>
      <c r="AA301" s="19"/>
      <c r="AC301" s="19"/>
      <c r="AD301" s="92"/>
      <c r="AE301" s="25">
        <f t="shared" si="1"/>
        <v>0</v>
      </c>
      <c r="AF301" s="24">
        <f t="shared" si="2"/>
        <v>0</v>
      </c>
      <c r="AG301" s="24">
        <f t="shared" si="3"/>
        <v>0</v>
      </c>
      <c r="AH301" s="24">
        <f t="shared" si="4"/>
        <v>0</v>
      </c>
      <c r="AI301" s="26">
        <f t="shared" si="5"/>
        <v>0</v>
      </c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</row>
    <row r="302" ht="15.75" customHeight="1">
      <c r="A302" s="22" t="s">
        <v>25</v>
      </c>
      <c r="B302" s="23">
        <f t="shared" si="6"/>
        <v>45955</v>
      </c>
      <c r="C302" s="24">
        <v>11.0</v>
      </c>
      <c r="D302" s="24" t="s">
        <v>28</v>
      </c>
      <c r="E302" s="21"/>
      <c r="F302" s="21"/>
      <c r="G302" s="18"/>
      <c r="I302" s="19"/>
      <c r="K302" s="19"/>
      <c r="M302" s="19"/>
      <c r="O302" s="19"/>
      <c r="Q302" s="19"/>
      <c r="R302" s="92"/>
      <c r="S302" s="18"/>
      <c r="U302" s="19"/>
      <c r="W302" s="19"/>
      <c r="Y302" s="19"/>
      <c r="AA302" s="19"/>
      <c r="AC302" s="19"/>
      <c r="AD302" s="92"/>
      <c r="AE302" s="25">
        <f t="shared" si="1"/>
        <v>0</v>
      </c>
      <c r="AF302" s="24">
        <f t="shared" si="2"/>
        <v>0</v>
      </c>
      <c r="AG302" s="24">
        <f t="shared" si="3"/>
        <v>0</v>
      </c>
      <c r="AH302" s="24">
        <f t="shared" si="4"/>
        <v>0</v>
      </c>
      <c r="AI302" s="26">
        <f t="shared" si="5"/>
        <v>0</v>
      </c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</row>
    <row r="303" ht="15.75" customHeight="1">
      <c r="A303" s="27" t="s">
        <v>26</v>
      </c>
      <c r="B303" s="28">
        <f t="shared" si="6"/>
        <v>45956</v>
      </c>
      <c r="C303" s="29">
        <v>11.0</v>
      </c>
      <c r="D303" s="29" t="s">
        <v>28</v>
      </c>
      <c r="E303" s="30"/>
      <c r="F303" s="30"/>
      <c r="G303" s="31"/>
      <c r="H303" s="6"/>
      <c r="I303" s="32"/>
      <c r="J303" s="6"/>
      <c r="K303" s="32"/>
      <c r="L303" s="6"/>
      <c r="M303" s="32"/>
      <c r="N303" s="6"/>
      <c r="O303" s="32"/>
      <c r="P303" s="6"/>
      <c r="Q303" s="32"/>
      <c r="R303" s="93"/>
      <c r="S303" s="31"/>
      <c r="T303" s="6"/>
      <c r="U303" s="32"/>
      <c r="V303" s="6"/>
      <c r="W303" s="32"/>
      <c r="X303" s="6"/>
      <c r="Y303" s="32"/>
      <c r="Z303" s="6"/>
      <c r="AA303" s="32"/>
      <c r="AB303" s="6"/>
      <c r="AC303" s="32"/>
      <c r="AD303" s="93"/>
      <c r="AE303" s="33">
        <f t="shared" si="1"/>
        <v>0</v>
      </c>
      <c r="AF303" s="29">
        <f t="shared" si="2"/>
        <v>0</v>
      </c>
      <c r="AG303" s="29">
        <f t="shared" si="3"/>
        <v>0</v>
      </c>
      <c r="AH303" s="29">
        <f t="shared" si="4"/>
        <v>0</v>
      </c>
      <c r="AI303" s="34">
        <f t="shared" si="5"/>
        <v>0</v>
      </c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</row>
    <row r="304" ht="15.75" customHeight="1">
      <c r="A304" s="14" t="s">
        <v>19</v>
      </c>
      <c r="B304" s="35">
        <f t="shared" si="6"/>
        <v>45957</v>
      </c>
      <c r="C304" s="16">
        <v>11.0</v>
      </c>
      <c r="D304" s="16" t="s">
        <v>29</v>
      </c>
      <c r="E304" s="17"/>
      <c r="F304" s="17"/>
      <c r="G304" s="18"/>
      <c r="I304" s="19"/>
      <c r="K304" s="19"/>
      <c r="M304" s="19"/>
      <c r="O304" s="19"/>
      <c r="Q304" s="19"/>
      <c r="R304" s="92"/>
      <c r="S304" s="18"/>
      <c r="U304" s="19"/>
      <c r="W304" s="19"/>
      <c r="Y304" s="19"/>
      <c r="AA304" s="19"/>
      <c r="AC304" s="19"/>
      <c r="AD304" s="92"/>
      <c r="AE304" s="20">
        <f t="shared" si="1"/>
        <v>0</v>
      </c>
      <c r="AF304" s="16">
        <f t="shared" si="2"/>
        <v>0</v>
      </c>
      <c r="AG304" s="16">
        <f t="shared" si="3"/>
        <v>0</v>
      </c>
      <c r="AH304" s="16">
        <f t="shared" si="4"/>
        <v>0</v>
      </c>
      <c r="AI304" s="36">
        <f t="shared" si="5"/>
        <v>0</v>
      </c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</row>
    <row r="305" ht="15.75" customHeight="1">
      <c r="A305" s="22" t="s">
        <v>21</v>
      </c>
      <c r="B305" s="23">
        <f t="shared" si="6"/>
        <v>45958</v>
      </c>
      <c r="C305" s="24">
        <v>11.0</v>
      </c>
      <c r="D305" s="24" t="s">
        <v>29</v>
      </c>
      <c r="E305" s="21"/>
      <c r="F305" s="21"/>
      <c r="G305" s="18"/>
      <c r="I305" s="19"/>
      <c r="K305" s="19"/>
      <c r="M305" s="19"/>
      <c r="O305" s="19"/>
      <c r="Q305" s="19"/>
      <c r="R305" s="92"/>
      <c r="S305" s="18"/>
      <c r="U305" s="19"/>
      <c r="W305" s="19"/>
      <c r="Y305" s="19"/>
      <c r="AA305" s="19"/>
      <c r="AC305" s="19"/>
      <c r="AD305" s="92"/>
      <c r="AE305" s="25">
        <f t="shared" si="1"/>
        <v>0</v>
      </c>
      <c r="AF305" s="24">
        <f t="shared" si="2"/>
        <v>0</v>
      </c>
      <c r="AG305" s="24">
        <f t="shared" si="3"/>
        <v>0</v>
      </c>
      <c r="AH305" s="24">
        <f t="shared" si="4"/>
        <v>0</v>
      </c>
      <c r="AI305" s="26">
        <f t="shared" si="5"/>
        <v>0</v>
      </c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</row>
    <row r="306" ht="15.75" customHeight="1">
      <c r="A306" s="22" t="s">
        <v>22</v>
      </c>
      <c r="B306" s="23">
        <f t="shared" si="6"/>
        <v>45959</v>
      </c>
      <c r="C306" s="24">
        <v>11.0</v>
      </c>
      <c r="D306" s="24" t="s">
        <v>29</v>
      </c>
      <c r="E306" s="21"/>
      <c r="F306" s="21"/>
      <c r="G306" s="18"/>
      <c r="I306" s="19"/>
      <c r="K306" s="19"/>
      <c r="M306" s="19"/>
      <c r="O306" s="19"/>
      <c r="Q306" s="19"/>
      <c r="R306" s="92"/>
      <c r="S306" s="18"/>
      <c r="U306" s="19"/>
      <c r="W306" s="19"/>
      <c r="Y306" s="19"/>
      <c r="AA306" s="19"/>
      <c r="AC306" s="19"/>
      <c r="AD306" s="92"/>
      <c r="AE306" s="25">
        <f t="shared" si="1"/>
        <v>0</v>
      </c>
      <c r="AF306" s="24">
        <f t="shared" si="2"/>
        <v>0</v>
      </c>
      <c r="AG306" s="24">
        <f t="shared" si="3"/>
        <v>0</v>
      </c>
      <c r="AH306" s="24">
        <f t="shared" si="4"/>
        <v>0</v>
      </c>
      <c r="AI306" s="26">
        <f t="shared" si="5"/>
        <v>0</v>
      </c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</row>
    <row r="307" ht="15.75" customHeight="1">
      <c r="A307" s="22" t="s">
        <v>23</v>
      </c>
      <c r="B307" s="23">
        <f t="shared" si="6"/>
        <v>45960</v>
      </c>
      <c r="C307" s="24">
        <v>11.0</v>
      </c>
      <c r="D307" s="24" t="s">
        <v>29</v>
      </c>
      <c r="E307" s="21"/>
      <c r="F307" s="21"/>
      <c r="G307" s="18"/>
      <c r="I307" s="19"/>
      <c r="K307" s="19"/>
      <c r="M307" s="19"/>
      <c r="O307" s="19"/>
      <c r="Q307" s="19"/>
      <c r="R307" s="92"/>
      <c r="S307" s="18"/>
      <c r="U307" s="19"/>
      <c r="W307" s="19"/>
      <c r="Y307" s="19"/>
      <c r="AA307" s="19"/>
      <c r="AC307" s="19"/>
      <c r="AD307" s="92"/>
      <c r="AE307" s="25">
        <f t="shared" si="1"/>
        <v>0</v>
      </c>
      <c r="AF307" s="24">
        <f t="shared" si="2"/>
        <v>0</v>
      </c>
      <c r="AG307" s="24">
        <f t="shared" si="3"/>
        <v>0</v>
      </c>
      <c r="AH307" s="24">
        <f t="shared" si="4"/>
        <v>0</v>
      </c>
      <c r="AI307" s="26">
        <f t="shared" si="5"/>
        <v>0</v>
      </c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</row>
    <row r="308" ht="15.75" customHeight="1">
      <c r="A308" s="22" t="s">
        <v>24</v>
      </c>
      <c r="B308" s="23">
        <f t="shared" si="6"/>
        <v>45961</v>
      </c>
      <c r="C308" s="24">
        <v>11.0</v>
      </c>
      <c r="D308" s="24" t="s">
        <v>29</v>
      </c>
      <c r="E308" s="21"/>
      <c r="F308" s="21"/>
      <c r="G308" s="18"/>
      <c r="I308" s="19"/>
      <c r="K308" s="19"/>
      <c r="M308" s="19"/>
      <c r="O308" s="19"/>
      <c r="Q308" s="19"/>
      <c r="R308" s="92"/>
      <c r="S308" s="18"/>
      <c r="U308" s="19"/>
      <c r="W308" s="19"/>
      <c r="Y308" s="19"/>
      <c r="AA308" s="19"/>
      <c r="AC308" s="19"/>
      <c r="AD308" s="92"/>
      <c r="AE308" s="25">
        <f t="shared" si="1"/>
        <v>0</v>
      </c>
      <c r="AF308" s="24">
        <f t="shared" si="2"/>
        <v>0</v>
      </c>
      <c r="AG308" s="24">
        <f t="shared" si="3"/>
        <v>0</v>
      </c>
      <c r="AH308" s="24">
        <f t="shared" si="4"/>
        <v>0</v>
      </c>
      <c r="AI308" s="26">
        <f t="shared" si="5"/>
        <v>0</v>
      </c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</row>
    <row r="309" ht="15.75" customHeight="1">
      <c r="A309" s="22" t="s">
        <v>25</v>
      </c>
      <c r="B309" s="23">
        <f t="shared" si="6"/>
        <v>45962</v>
      </c>
      <c r="C309" s="24">
        <v>11.0</v>
      </c>
      <c r="D309" s="24" t="s">
        <v>29</v>
      </c>
      <c r="E309" s="21"/>
      <c r="F309" s="21"/>
      <c r="G309" s="18"/>
      <c r="I309" s="19"/>
      <c r="K309" s="19"/>
      <c r="M309" s="19"/>
      <c r="O309" s="19"/>
      <c r="Q309" s="19"/>
      <c r="R309" s="92"/>
      <c r="S309" s="18"/>
      <c r="U309" s="19"/>
      <c r="W309" s="19"/>
      <c r="Y309" s="19"/>
      <c r="AA309" s="19"/>
      <c r="AC309" s="19"/>
      <c r="AD309" s="92"/>
      <c r="AE309" s="25">
        <f t="shared" si="1"/>
        <v>0</v>
      </c>
      <c r="AF309" s="24">
        <f t="shared" si="2"/>
        <v>0</v>
      </c>
      <c r="AG309" s="24">
        <f t="shared" si="3"/>
        <v>0</v>
      </c>
      <c r="AH309" s="24">
        <f t="shared" si="4"/>
        <v>0</v>
      </c>
      <c r="AI309" s="26">
        <f t="shared" si="5"/>
        <v>0</v>
      </c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</row>
    <row r="310" ht="15.75" customHeight="1">
      <c r="A310" s="27" t="s">
        <v>26</v>
      </c>
      <c r="B310" s="28">
        <f t="shared" si="6"/>
        <v>45963</v>
      </c>
      <c r="C310" s="29">
        <v>11.0</v>
      </c>
      <c r="D310" s="29" t="s">
        <v>29</v>
      </c>
      <c r="E310" s="30"/>
      <c r="F310" s="30"/>
      <c r="G310" s="31"/>
      <c r="H310" s="6"/>
      <c r="I310" s="32"/>
      <c r="J310" s="6"/>
      <c r="K310" s="32"/>
      <c r="L310" s="6"/>
      <c r="M310" s="32"/>
      <c r="N310" s="6"/>
      <c r="O310" s="32"/>
      <c r="P310" s="6"/>
      <c r="Q310" s="32"/>
      <c r="R310" s="93"/>
      <c r="S310" s="31"/>
      <c r="T310" s="6"/>
      <c r="U310" s="32"/>
      <c r="V310" s="6"/>
      <c r="W310" s="32"/>
      <c r="X310" s="6"/>
      <c r="Y310" s="32"/>
      <c r="Z310" s="6"/>
      <c r="AA310" s="32"/>
      <c r="AB310" s="6"/>
      <c r="AC310" s="32"/>
      <c r="AD310" s="93"/>
      <c r="AE310" s="33">
        <f t="shared" si="1"/>
        <v>0</v>
      </c>
      <c r="AF310" s="29">
        <f t="shared" si="2"/>
        <v>0</v>
      </c>
      <c r="AG310" s="29">
        <f t="shared" si="3"/>
        <v>0</v>
      </c>
      <c r="AH310" s="29">
        <f t="shared" si="4"/>
        <v>0</v>
      </c>
      <c r="AI310" s="34">
        <f t="shared" si="5"/>
        <v>0</v>
      </c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</row>
    <row r="311" ht="15.75" customHeight="1">
      <c r="A311" s="14" t="s">
        <v>19</v>
      </c>
      <c r="B311" s="35">
        <f t="shared" si="6"/>
        <v>45964</v>
      </c>
      <c r="C311" s="16">
        <v>12.0</v>
      </c>
      <c r="D311" s="16" t="s">
        <v>20</v>
      </c>
      <c r="E311" s="17"/>
      <c r="F311" s="17"/>
      <c r="G311" s="18"/>
      <c r="I311" s="19"/>
      <c r="K311" s="19"/>
      <c r="M311" s="19"/>
      <c r="O311" s="19"/>
      <c r="Q311" s="19"/>
      <c r="R311" s="92"/>
      <c r="S311" s="18"/>
      <c r="U311" s="19"/>
      <c r="W311" s="19"/>
      <c r="Y311" s="19"/>
      <c r="AA311" s="19"/>
      <c r="AC311" s="19"/>
      <c r="AD311" s="92"/>
      <c r="AE311" s="20">
        <f t="shared" si="1"/>
        <v>0</v>
      </c>
      <c r="AF311" s="16">
        <f t="shared" si="2"/>
        <v>0</v>
      </c>
      <c r="AG311" s="16">
        <f t="shared" si="3"/>
        <v>0</v>
      </c>
      <c r="AH311" s="16">
        <f t="shared" si="4"/>
        <v>0</v>
      </c>
      <c r="AI311" s="36">
        <f t="shared" si="5"/>
        <v>0</v>
      </c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</row>
    <row r="312" ht="15.75" customHeight="1">
      <c r="A312" s="22" t="s">
        <v>21</v>
      </c>
      <c r="B312" s="23">
        <f t="shared" si="6"/>
        <v>45965</v>
      </c>
      <c r="C312" s="24">
        <v>12.0</v>
      </c>
      <c r="D312" s="24" t="s">
        <v>20</v>
      </c>
      <c r="E312" s="21"/>
      <c r="F312" s="21"/>
      <c r="G312" s="18"/>
      <c r="I312" s="19"/>
      <c r="K312" s="19"/>
      <c r="M312" s="19"/>
      <c r="O312" s="19"/>
      <c r="Q312" s="19"/>
      <c r="R312" s="92"/>
      <c r="S312" s="18"/>
      <c r="U312" s="19"/>
      <c r="W312" s="19"/>
      <c r="Y312" s="19"/>
      <c r="AA312" s="19"/>
      <c r="AC312" s="19"/>
      <c r="AD312" s="92"/>
      <c r="AE312" s="25">
        <f t="shared" si="1"/>
        <v>0</v>
      </c>
      <c r="AF312" s="24">
        <f t="shared" si="2"/>
        <v>0</v>
      </c>
      <c r="AG312" s="24">
        <f t="shared" si="3"/>
        <v>0</v>
      </c>
      <c r="AH312" s="24">
        <f t="shared" si="4"/>
        <v>0</v>
      </c>
      <c r="AI312" s="26">
        <f t="shared" si="5"/>
        <v>0</v>
      </c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</row>
    <row r="313" ht="15.75" customHeight="1">
      <c r="A313" s="22" t="s">
        <v>22</v>
      </c>
      <c r="B313" s="23">
        <f t="shared" si="6"/>
        <v>45966</v>
      </c>
      <c r="C313" s="24">
        <v>12.0</v>
      </c>
      <c r="D313" s="24" t="s">
        <v>20</v>
      </c>
      <c r="E313" s="21"/>
      <c r="F313" s="21"/>
      <c r="G313" s="42"/>
      <c r="H313" s="43"/>
      <c r="I313" s="44"/>
      <c r="J313" s="43"/>
      <c r="K313" s="44"/>
      <c r="L313" s="43"/>
      <c r="M313" s="44"/>
      <c r="N313" s="43"/>
      <c r="O313" s="44"/>
      <c r="P313" s="43"/>
      <c r="Q313" s="44"/>
      <c r="R313" s="207"/>
      <c r="S313" s="42"/>
      <c r="T313" s="43"/>
      <c r="U313" s="44"/>
      <c r="V313" s="43"/>
      <c r="W313" s="44"/>
      <c r="X313" s="43"/>
      <c r="Y313" s="44"/>
      <c r="Z313" s="43"/>
      <c r="AA313" s="44"/>
      <c r="AB313" s="43"/>
      <c r="AC313" s="44"/>
      <c r="AD313" s="207"/>
      <c r="AE313" s="45">
        <f t="shared" si="1"/>
        <v>0</v>
      </c>
      <c r="AF313" s="46">
        <f t="shared" si="2"/>
        <v>0</v>
      </c>
      <c r="AG313" s="24">
        <f t="shared" si="3"/>
        <v>0</v>
      </c>
      <c r="AH313" s="24">
        <f t="shared" si="4"/>
        <v>0</v>
      </c>
      <c r="AI313" s="26">
        <f t="shared" si="5"/>
        <v>0</v>
      </c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</row>
    <row r="314" ht="15.75" customHeight="1">
      <c r="A314" s="22" t="s">
        <v>23</v>
      </c>
      <c r="B314" s="23">
        <f t="shared" si="6"/>
        <v>45967</v>
      </c>
      <c r="C314" s="24">
        <v>12.0</v>
      </c>
      <c r="D314" s="24" t="s">
        <v>20</v>
      </c>
      <c r="E314" s="21"/>
      <c r="F314" s="21"/>
      <c r="G314" s="42"/>
      <c r="H314" s="43"/>
      <c r="I314" s="44"/>
      <c r="J314" s="43"/>
      <c r="K314" s="44"/>
      <c r="L314" s="43"/>
      <c r="M314" s="44"/>
      <c r="N314" s="43"/>
      <c r="O314" s="44"/>
      <c r="P314" s="43"/>
      <c r="Q314" s="44"/>
      <c r="R314" s="207"/>
      <c r="S314" s="42"/>
      <c r="T314" s="43"/>
      <c r="U314" s="44"/>
      <c r="V314" s="43"/>
      <c r="W314" s="44"/>
      <c r="X314" s="43"/>
      <c r="Y314" s="44"/>
      <c r="Z314" s="43"/>
      <c r="AA314" s="44"/>
      <c r="AB314" s="43"/>
      <c r="AC314" s="44"/>
      <c r="AD314" s="207"/>
      <c r="AE314" s="45">
        <f t="shared" si="1"/>
        <v>0</v>
      </c>
      <c r="AF314" s="46">
        <f t="shared" si="2"/>
        <v>0</v>
      </c>
      <c r="AG314" s="24">
        <f t="shared" si="3"/>
        <v>0</v>
      </c>
      <c r="AH314" s="24">
        <f t="shared" si="4"/>
        <v>0</v>
      </c>
      <c r="AI314" s="26">
        <f t="shared" si="5"/>
        <v>0</v>
      </c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</row>
    <row r="315" ht="15.75" customHeight="1">
      <c r="A315" s="22" t="s">
        <v>24</v>
      </c>
      <c r="B315" s="23">
        <f t="shared" si="6"/>
        <v>45968</v>
      </c>
      <c r="C315" s="24">
        <v>12.0</v>
      </c>
      <c r="D315" s="24" t="s">
        <v>20</v>
      </c>
      <c r="E315" s="21"/>
      <c r="F315" s="21"/>
      <c r="G315" s="42"/>
      <c r="H315" s="43"/>
      <c r="I315" s="44"/>
      <c r="J315" s="43"/>
      <c r="K315" s="44"/>
      <c r="L315" s="43"/>
      <c r="M315" s="44"/>
      <c r="N315" s="43"/>
      <c r="O315" s="44"/>
      <c r="P315" s="43"/>
      <c r="Q315" s="44"/>
      <c r="R315" s="207"/>
      <c r="S315" s="42"/>
      <c r="T315" s="43"/>
      <c r="U315" s="44"/>
      <c r="V315" s="43"/>
      <c r="W315" s="44"/>
      <c r="X315" s="43"/>
      <c r="Y315" s="44"/>
      <c r="Z315" s="43"/>
      <c r="AA315" s="44"/>
      <c r="AB315" s="43"/>
      <c r="AC315" s="44"/>
      <c r="AD315" s="207"/>
      <c r="AE315" s="45">
        <f t="shared" si="1"/>
        <v>0</v>
      </c>
      <c r="AF315" s="46">
        <f t="shared" si="2"/>
        <v>0</v>
      </c>
      <c r="AG315" s="24">
        <f t="shared" si="3"/>
        <v>0</v>
      </c>
      <c r="AH315" s="24">
        <f t="shared" si="4"/>
        <v>0</v>
      </c>
      <c r="AI315" s="26">
        <f t="shared" si="5"/>
        <v>0</v>
      </c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</row>
    <row r="316" ht="15.75" customHeight="1">
      <c r="A316" s="22" t="s">
        <v>25</v>
      </c>
      <c r="B316" s="23">
        <f t="shared" si="6"/>
        <v>45969</v>
      </c>
      <c r="C316" s="24">
        <v>12.0</v>
      </c>
      <c r="D316" s="24" t="s">
        <v>20</v>
      </c>
      <c r="E316" s="21"/>
      <c r="F316" s="21"/>
      <c r="G316" s="42"/>
      <c r="H316" s="43"/>
      <c r="I316" s="44"/>
      <c r="J316" s="43"/>
      <c r="K316" s="44"/>
      <c r="L316" s="43"/>
      <c r="M316" s="44"/>
      <c r="N316" s="43"/>
      <c r="O316" s="44"/>
      <c r="P316" s="43"/>
      <c r="Q316" s="44"/>
      <c r="R316" s="207"/>
      <c r="S316" s="42"/>
      <c r="T316" s="43"/>
      <c r="U316" s="44"/>
      <c r="V316" s="43"/>
      <c r="W316" s="44"/>
      <c r="X316" s="43"/>
      <c r="Y316" s="44"/>
      <c r="Z316" s="43"/>
      <c r="AA316" s="44"/>
      <c r="AB316" s="43"/>
      <c r="AC316" s="44"/>
      <c r="AD316" s="207"/>
      <c r="AE316" s="45">
        <f t="shared" si="1"/>
        <v>0</v>
      </c>
      <c r="AF316" s="46">
        <f t="shared" si="2"/>
        <v>0</v>
      </c>
      <c r="AG316" s="24">
        <f t="shared" si="3"/>
        <v>0</v>
      </c>
      <c r="AH316" s="24">
        <f t="shared" si="4"/>
        <v>0</v>
      </c>
      <c r="AI316" s="26">
        <f t="shared" si="5"/>
        <v>0</v>
      </c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</row>
    <row r="317" ht="15.75" customHeight="1">
      <c r="A317" s="27" t="s">
        <v>26</v>
      </c>
      <c r="B317" s="28">
        <f t="shared" si="6"/>
        <v>45970</v>
      </c>
      <c r="C317" s="29">
        <v>12.0</v>
      </c>
      <c r="D317" s="29" t="s">
        <v>20</v>
      </c>
      <c r="E317" s="30"/>
      <c r="F317" s="30"/>
      <c r="G317" s="47"/>
      <c r="H317" s="48"/>
      <c r="I317" s="49"/>
      <c r="J317" s="48"/>
      <c r="K317" s="49"/>
      <c r="L317" s="48"/>
      <c r="M317" s="49"/>
      <c r="N317" s="48"/>
      <c r="O317" s="49"/>
      <c r="P317" s="48"/>
      <c r="Q317" s="49"/>
      <c r="R317" s="208"/>
      <c r="S317" s="47"/>
      <c r="T317" s="48"/>
      <c r="U317" s="49"/>
      <c r="V317" s="48"/>
      <c r="W317" s="49"/>
      <c r="X317" s="48"/>
      <c r="Y317" s="49"/>
      <c r="Z317" s="48"/>
      <c r="AA317" s="49"/>
      <c r="AB317" s="48"/>
      <c r="AC317" s="49"/>
      <c r="AD317" s="208"/>
      <c r="AE317" s="50">
        <f t="shared" si="1"/>
        <v>0</v>
      </c>
      <c r="AF317" s="51">
        <f t="shared" si="2"/>
        <v>0</v>
      </c>
      <c r="AG317" s="29">
        <f t="shared" si="3"/>
        <v>0</v>
      </c>
      <c r="AH317" s="29">
        <f t="shared" si="4"/>
        <v>0</v>
      </c>
      <c r="AI317" s="34">
        <f t="shared" si="5"/>
        <v>0</v>
      </c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</row>
    <row r="318" ht="15.75" customHeight="1">
      <c r="A318" s="14" t="s">
        <v>19</v>
      </c>
      <c r="B318" s="35">
        <f t="shared" si="6"/>
        <v>45971</v>
      </c>
      <c r="C318" s="16">
        <v>12.0</v>
      </c>
      <c r="D318" s="16" t="s">
        <v>27</v>
      </c>
      <c r="E318" s="17"/>
      <c r="F318" s="17"/>
      <c r="G318" s="42"/>
      <c r="H318" s="43"/>
      <c r="I318" s="44"/>
      <c r="J318" s="43"/>
      <c r="K318" s="44"/>
      <c r="L318" s="43"/>
      <c r="M318" s="44"/>
      <c r="N318" s="43"/>
      <c r="O318" s="44"/>
      <c r="P318" s="43"/>
      <c r="Q318" s="44"/>
      <c r="R318" s="207"/>
      <c r="S318" s="42"/>
      <c r="T318" s="43"/>
      <c r="U318" s="44"/>
      <c r="V318" s="43"/>
      <c r="W318" s="44"/>
      <c r="X318" s="43"/>
      <c r="Y318" s="44"/>
      <c r="Z318" s="43"/>
      <c r="AA318" s="44"/>
      <c r="AB318" s="43"/>
      <c r="AC318" s="44"/>
      <c r="AD318" s="207"/>
      <c r="AE318" s="52">
        <f t="shared" si="1"/>
        <v>0</v>
      </c>
      <c r="AF318" s="53">
        <f t="shared" si="2"/>
        <v>0</v>
      </c>
      <c r="AG318" s="16">
        <f t="shared" si="3"/>
        <v>0</v>
      </c>
      <c r="AH318" s="16">
        <f t="shared" si="4"/>
        <v>0</v>
      </c>
      <c r="AI318" s="36">
        <f t="shared" si="5"/>
        <v>0</v>
      </c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</row>
    <row r="319" ht="15.75" customHeight="1">
      <c r="A319" s="22" t="s">
        <v>21</v>
      </c>
      <c r="B319" s="23">
        <f t="shared" si="6"/>
        <v>45972</v>
      </c>
      <c r="C319" s="24">
        <v>12.0</v>
      </c>
      <c r="D319" s="24" t="s">
        <v>27</v>
      </c>
      <c r="E319" s="21"/>
      <c r="F319" s="21"/>
      <c r="G319" s="42"/>
      <c r="H319" s="43"/>
      <c r="I319" s="44"/>
      <c r="J319" s="43"/>
      <c r="K319" s="44"/>
      <c r="L319" s="43"/>
      <c r="M319" s="44"/>
      <c r="N319" s="43"/>
      <c r="O319" s="44"/>
      <c r="P319" s="43"/>
      <c r="Q319" s="44"/>
      <c r="R319" s="207"/>
      <c r="S319" s="42"/>
      <c r="T319" s="43"/>
      <c r="U319" s="44"/>
      <c r="V319" s="43"/>
      <c r="W319" s="44"/>
      <c r="X319" s="43"/>
      <c r="Y319" s="44"/>
      <c r="Z319" s="43"/>
      <c r="AA319" s="44"/>
      <c r="AB319" s="43"/>
      <c r="AC319" s="44"/>
      <c r="AD319" s="207"/>
      <c r="AE319" s="45">
        <f t="shared" si="1"/>
        <v>0</v>
      </c>
      <c r="AF319" s="46">
        <f t="shared" si="2"/>
        <v>0</v>
      </c>
      <c r="AG319" s="24">
        <f t="shared" si="3"/>
        <v>0</v>
      </c>
      <c r="AH319" s="24">
        <f t="shared" si="4"/>
        <v>0</v>
      </c>
      <c r="AI319" s="26">
        <f t="shared" si="5"/>
        <v>0</v>
      </c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</row>
    <row r="320" ht="15.75" customHeight="1">
      <c r="A320" s="22" t="s">
        <v>22</v>
      </c>
      <c r="B320" s="23">
        <f t="shared" si="6"/>
        <v>45973</v>
      </c>
      <c r="C320" s="24">
        <v>12.0</v>
      </c>
      <c r="D320" s="24" t="s">
        <v>27</v>
      </c>
      <c r="E320" s="21"/>
      <c r="F320" s="21"/>
      <c r="G320" s="42"/>
      <c r="H320" s="43"/>
      <c r="I320" s="44"/>
      <c r="J320" s="43"/>
      <c r="K320" s="44"/>
      <c r="L320" s="43"/>
      <c r="M320" s="44"/>
      <c r="N320" s="43"/>
      <c r="O320" s="44"/>
      <c r="P320" s="43"/>
      <c r="Q320" s="44"/>
      <c r="R320" s="207"/>
      <c r="S320" s="42"/>
      <c r="T320" s="43"/>
      <c r="U320" s="44"/>
      <c r="V320" s="43"/>
      <c r="W320" s="44"/>
      <c r="X320" s="43"/>
      <c r="Y320" s="44"/>
      <c r="Z320" s="43"/>
      <c r="AA320" s="44"/>
      <c r="AB320" s="43"/>
      <c r="AC320" s="44"/>
      <c r="AD320" s="207"/>
      <c r="AE320" s="45">
        <f t="shared" si="1"/>
        <v>0</v>
      </c>
      <c r="AF320" s="46">
        <f t="shared" si="2"/>
        <v>0</v>
      </c>
      <c r="AG320" s="24">
        <f t="shared" si="3"/>
        <v>0</v>
      </c>
      <c r="AH320" s="24">
        <f t="shared" si="4"/>
        <v>0</v>
      </c>
      <c r="AI320" s="26">
        <f t="shared" si="5"/>
        <v>0</v>
      </c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</row>
    <row r="321" ht="15.75" customHeight="1">
      <c r="A321" s="22" t="s">
        <v>23</v>
      </c>
      <c r="B321" s="23">
        <f t="shared" si="6"/>
        <v>45974</v>
      </c>
      <c r="C321" s="24">
        <v>12.0</v>
      </c>
      <c r="D321" s="24" t="s">
        <v>27</v>
      </c>
      <c r="E321" s="21"/>
      <c r="F321" s="21"/>
      <c r="G321" s="42"/>
      <c r="H321" s="43"/>
      <c r="I321" s="44"/>
      <c r="J321" s="43"/>
      <c r="K321" s="44"/>
      <c r="L321" s="43"/>
      <c r="M321" s="44"/>
      <c r="N321" s="43"/>
      <c r="O321" s="44"/>
      <c r="P321" s="43"/>
      <c r="Q321" s="44"/>
      <c r="R321" s="207"/>
      <c r="S321" s="42"/>
      <c r="T321" s="43"/>
      <c r="U321" s="44"/>
      <c r="V321" s="43"/>
      <c r="W321" s="44"/>
      <c r="X321" s="43"/>
      <c r="Y321" s="44"/>
      <c r="Z321" s="43"/>
      <c r="AA321" s="44"/>
      <c r="AB321" s="43"/>
      <c r="AC321" s="44"/>
      <c r="AD321" s="207"/>
      <c r="AE321" s="45">
        <f t="shared" si="1"/>
        <v>0</v>
      </c>
      <c r="AF321" s="46">
        <f t="shared" si="2"/>
        <v>0</v>
      </c>
      <c r="AG321" s="24">
        <f t="shared" si="3"/>
        <v>0</v>
      </c>
      <c r="AH321" s="24">
        <f t="shared" si="4"/>
        <v>0</v>
      </c>
      <c r="AI321" s="26">
        <f t="shared" si="5"/>
        <v>0</v>
      </c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</row>
    <row r="322" ht="15.75" customHeight="1">
      <c r="A322" s="22" t="s">
        <v>24</v>
      </c>
      <c r="B322" s="23">
        <f t="shared" si="6"/>
        <v>45975</v>
      </c>
      <c r="C322" s="24">
        <v>12.0</v>
      </c>
      <c r="D322" s="24" t="s">
        <v>27</v>
      </c>
      <c r="E322" s="21"/>
      <c r="F322" s="21"/>
      <c r="G322" s="42"/>
      <c r="H322" s="43"/>
      <c r="I322" s="44"/>
      <c r="J322" s="43"/>
      <c r="K322" s="44"/>
      <c r="L322" s="43"/>
      <c r="M322" s="44"/>
      <c r="N322" s="43"/>
      <c r="O322" s="44"/>
      <c r="P322" s="43"/>
      <c r="Q322" s="44"/>
      <c r="R322" s="207"/>
      <c r="S322" s="42"/>
      <c r="T322" s="43"/>
      <c r="U322" s="44"/>
      <c r="V322" s="43"/>
      <c r="W322" s="44"/>
      <c r="X322" s="43"/>
      <c r="Y322" s="44"/>
      <c r="Z322" s="43"/>
      <c r="AA322" s="44"/>
      <c r="AB322" s="43"/>
      <c r="AC322" s="44"/>
      <c r="AD322" s="207"/>
      <c r="AE322" s="45">
        <f t="shared" si="1"/>
        <v>0</v>
      </c>
      <c r="AF322" s="46">
        <f t="shared" si="2"/>
        <v>0</v>
      </c>
      <c r="AG322" s="24">
        <f t="shared" si="3"/>
        <v>0</v>
      </c>
      <c r="AH322" s="24">
        <f t="shared" si="4"/>
        <v>0</v>
      </c>
      <c r="AI322" s="26">
        <f t="shared" si="5"/>
        <v>0</v>
      </c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</row>
    <row r="323" ht="15.75" customHeight="1">
      <c r="A323" s="22" t="s">
        <v>25</v>
      </c>
      <c r="B323" s="23">
        <f t="shared" si="6"/>
        <v>45976</v>
      </c>
      <c r="C323" s="24">
        <v>12.0</v>
      </c>
      <c r="D323" s="24" t="s">
        <v>27</v>
      </c>
      <c r="E323" s="21"/>
      <c r="F323" s="21"/>
      <c r="G323" s="42"/>
      <c r="H323" s="43"/>
      <c r="I323" s="44"/>
      <c r="J323" s="43"/>
      <c r="K323" s="44"/>
      <c r="L323" s="43"/>
      <c r="M323" s="44"/>
      <c r="N323" s="43"/>
      <c r="O323" s="44"/>
      <c r="P323" s="43"/>
      <c r="Q323" s="44"/>
      <c r="R323" s="207"/>
      <c r="S323" s="42"/>
      <c r="T323" s="43"/>
      <c r="U323" s="44"/>
      <c r="V323" s="43"/>
      <c r="W323" s="44"/>
      <c r="X323" s="43"/>
      <c r="Y323" s="44"/>
      <c r="Z323" s="43"/>
      <c r="AA323" s="44"/>
      <c r="AB323" s="43"/>
      <c r="AC323" s="44"/>
      <c r="AD323" s="207"/>
      <c r="AE323" s="45">
        <f t="shared" si="1"/>
        <v>0</v>
      </c>
      <c r="AF323" s="46">
        <f t="shared" si="2"/>
        <v>0</v>
      </c>
      <c r="AG323" s="24">
        <f t="shared" si="3"/>
        <v>0</v>
      </c>
      <c r="AH323" s="24">
        <f t="shared" si="4"/>
        <v>0</v>
      </c>
      <c r="AI323" s="26">
        <f t="shared" si="5"/>
        <v>0</v>
      </c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</row>
    <row r="324" ht="15.75" customHeight="1">
      <c r="A324" s="27" t="s">
        <v>26</v>
      </c>
      <c r="B324" s="28">
        <f t="shared" si="6"/>
        <v>45977</v>
      </c>
      <c r="C324" s="29">
        <v>12.0</v>
      </c>
      <c r="D324" s="29" t="s">
        <v>27</v>
      </c>
      <c r="E324" s="30"/>
      <c r="F324" s="30"/>
      <c r="G324" s="47"/>
      <c r="H324" s="48"/>
      <c r="I324" s="49"/>
      <c r="J324" s="48"/>
      <c r="K324" s="49"/>
      <c r="L324" s="48"/>
      <c r="M324" s="49"/>
      <c r="N324" s="48"/>
      <c r="O324" s="49"/>
      <c r="P324" s="48"/>
      <c r="Q324" s="49"/>
      <c r="R324" s="208"/>
      <c r="S324" s="47"/>
      <c r="T324" s="48"/>
      <c r="U324" s="49"/>
      <c r="V324" s="48"/>
      <c r="W324" s="49"/>
      <c r="X324" s="48"/>
      <c r="Y324" s="49"/>
      <c r="Z324" s="48"/>
      <c r="AA324" s="49"/>
      <c r="AB324" s="48"/>
      <c r="AC324" s="49"/>
      <c r="AD324" s="208"/>
      <c r="AE324" s="50">
        <f t="shared" si="1"/>
        <v>0</v>
      </c>
      <c r="AF324" s="51">
        <f t="shared" si="2"/>
        <v>0</v>
      </c>
      <c r="AG324" s="29">
        <f t="shared" si="3"/>
        <v>0</v>
      </c>
      <c r="AH324" s="29">
        <f t="shared" si="4"/>
        <v>0</v>
      </c>
      <c r="AI324" s="34">
        <f t="shared" si="5"/>
        <v>0</v>
      </c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</row>
    <row r="325" ht="15.75" customHeight="1">
      <c r="A325" s="14" t="s">
        <v>19</v>
      </c>
      <c r="B325" s="35">
        <f t="shared" si="6"/>
        <v>45978</v>
      </c>
      <c r="C325" s="16">
        <v>12.0</v>
      </c>
      <c r="D325" s="16" t="s">
        <v>28</v>
      </c>
      <c r="E325" s="17"/>
      <c r="F325" s="17"/>
      <c r="G325" s="42"/>
      <c r="H325" s="43"/>
      <c r="I325" s="44"/>
      <c r="J325" s="43"/>
      <c r="K325" s="44"/>
      <c r="L325" s="43"/>
      <c r="M325" s="44"/>
      <c r="N325" s="43"/>
      <c r="O325" s="44"/>
      <c r="P325" s="43"/>
      <c r="Q325" s="44"/>
      <c r="R325" s="207"/>
      <c r="S325" s="42"/>
      <c r="T325" s="43"/>
      <c r="U325" s="44"/>
      <c r="V325" s="43"/>
      <c r="W325" s="44"/>
      <c r="X325" s="43"/>
      <c r="Y325" s="44"/>
      <c r="Z325" s="43"/>
      <c r="AA325" s="44"/>
      <c r="AB325" s="43"/>
      <c r="AC325" s="44"/>
      <c r="AD325" s="207"/>
      <c r="AE325" s="52">
        <f t="shared" si="1"/>
        <v>0</v>
      </c>
      <c r="AF325" s="53">
        <f t="shared" si="2"/>
        <v>0</v>
      </c>
      <c r="AG325" s="16">
        <f t="shared" si="3"/>
        <v>0</v>
      </c>
      <c r="AH325" s="16">
        <f t="shared" si="4"/>
        <v>0</v>
      </c>
      <c r="AI325" s="36">
        <f t="shared" si="5"/>
        <v>0</v>
      </c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</row>
    <row r="326" ht="15.75" customHeight="1">
      <c r="A326" s="22" t="s">
        <v>21</v>
      </c>
      <c r="B326" s="23">
        <f t="shared" si="6"/>
        <v>45979</v>
      </c>
      <c r="C326" s="24">
        <v>12.0</v>
      </c>
      <c r="D326" s="24" t="s">
        <v>28</v>
      </c>
      <c r="E326" s="21"/>
      <c r="F326" s="21"/>
      <c r="G326" s="42"/>
      <c r="H326" s="43"/>
      <c r="I326" s="44"/>
      <c r="J326" s="43"/>
      <c r="K326" s="44"/>
      <c r="L326" s="43"/>
      <c r="M326" s="44"/>
      <c r="N326" s="43"/>
      <c r="O326" s="44"/>
      <c r="P326" s="43"/>
      <c r="Q326" s="44"/>
      <c r="R326" s="207"/>
      <c r="S326" s="42"/>
      <c r="T326" s="43"/>
      <c r="U326" s="44"/>
      <c r="V326" s="43"/>
      <c r="W326" s="44"/>
      <c r="X326" s="43"/>
      <c r="Y326" s="44"/>
      <c r="Z326" s="43"/>
      <c r="AA326" s="44"/>
      <c r="AB326" s="43"/>
      <c r="AC326" s="44"/>
      <c r="AD326" s="207"/>
      <c r="AE326" s="45">
        <f t="shared" si="1"/>
        <v>0</v>
      </c>
      <c r="AF326" s="46">
        <f t="shared" si="2"/>
        <v>0</v>
      </c>
      <c r="AG326" s="24">
        <f t="shared" si="3"/>
        <v>0</v>
      </c>
      <c r="AH326" s="24">
        <f t="shared" si="4"/>
        <v>0</v>
      </c>
      <c r="AI326" s="26">
        <f t="shared" si="5"/>
        <v>0</v>
      </c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ht="15.75" customHeight="1">
      <c r="A327" s="22" t="s">
        <v>22</v>
      </c>
      <c r="B327" s="23">
        <f t="shared" si="6"/>
        <v>45980</v>
      </c>
      <c r="C327" s="24">
        <v>12.0</v>
      </c>
      <c r="D327" s="24" t="s">
        <v>28</v>
      </c>
      <c r="E327" s="21"/>
      <c r="F327" s="21"/>
      <c r="G327" s="42"/>
      <c r="H327" s="43"/>
      <c r="I327" s="44"/>
      <c r="J327" s="43"/>
      <c r="K327" s="44"/>
      <c r="L327" s="43"/>
      <c r="M327" s="44"/>
      <c r="N327" s="43"/>
      <c r="O327" s="44"/>
      <c r="P327" s="43"/>
      <c r="Q327" s="44"/>
      <c r="R327" s="207"/>
      <c r="S327" s="42"/>
      <c r="T327" s="43"/>
      <c r="U327" s="44"/>
      <c r="V327" s="43"/>
      <c r="W327" s="44"/>
      <c r="X327" s="43"/>
      <c r="Y327" s="44"/>
      <c r="Z327" s="43"/>
      <c r="AA327" s="44"/>
      <c r="AB327" s="43"/>
      <c r="AC327" s="44"/>
      <c r="AD327" s="207"/>
      <c r="AE327" s="45">
        <f t="shared" si="1"/>
        <v>0</v>
      </c>
      <c r="AF327" s="46">
        <f t="shared" si="2"/>
        <v>0</v>
      </c>
      <c r="AG327" s="24">
        <f t="shared" si="3"/>
        <v>0</v>
      </c>
      <c r="AH327" s="24">
        <f t="shared" si="4"/>
        <v>0</v>
      </c>
      <c r="AI327" s="26">
        <f t="shared" si="5"/>
        <v>0</v>
      </c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</row>
    <row r="328" ht="15.75" customHeight="1">
      <c r="A328" s="22" t="s">
        <v>23</v>
      </c>
      <c r="B328" s="23">
        <f t="shared" si="6"/>
        <v>45981</v>
      </c>
      <c r="C328" s="24">
        <v>12.0</v>
      </c>
      <c r="D328" s="24" t="s">
        <v>28</v>
      </c>
      <c r="E328" s="21"/>
      <c r="F328" s="21"/>
      <c r="G328" s="18"/>
      <c r="I328" s="19"/>
      <c r="K328" s="19"/>
      <c r="M328" s="19"/>
      <c r="O328" s="19"/>
      <c r="Q328" s="19"/>
      <c r="R328" s="92"/>
      <c r="S328" s="18"/>
      <c r="U328" s="19"/>
      <c r="W328" s="19"/>
      <c r="Y328" s="19"/>
      <c r="AA328" s="19"/>
      <c r="AC328" s="19"/>
      <c r="AD328" s="92"/>
      <c r="AE328" s="25">
        <f t="shared" si="1"/>
        <v>0</v>
      </c>
      <c r="AF328" s="24">
        <f t="shared" si="2"/>
        <v>0</v>
      </c>
      <c r="AG328" s="24">
        <f t="shared" si="3"/>
        <v>0</v>
      </c>
      <c r="AH328" s="24">
        <f t="shared" si="4"/>
        <v>0</v>
      </c>
      <c r="AI328" s="26">
        <f t="shared" si="5"/>
        <v>0</v>
      </c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</row>
    <row r="329" ht="15.75" customHeight="1">
      <c r="A329" s="22" t="s">
        <v>24</v>
      </c>
      <c r="B329" s="23">
        <f t="shared" si="6"/>
        <v>45982</v>
      </c>
      <c r="C329" s="24">
        <v>12.0</v>
      </c>
      <c r="D329" s="24" t="s">
        <v>28</v>
      </c>
      <c r="E329" s="21"/>
      <c r="F329" s="21"/>
      <c r="G329" s="18"/>
      <c r="I329" s="19"/>
      <c r="K329" s="19"/>
      <c r="M329" s="19"/>
      <c r="O329" s="19"/>
      <c r="Q329" s="19"/>
      <c r="R329" s="92"/>
      <c r="S329" s="18"/>
      <c r="U329" s="19"/>
      <c r="W329" s="19"/>
      <c r="Y329" s="19"/>
      <c r="AA329" s="19"/>
      <c r="AC329" s="19"/>
      <c r="AD329" s="92"/>
      <c r="AE329" s="25">
        <f t="shared" si="1"/>
        <v>0</v>
      </c>
      <c r="AF329" s="24">
        <f t="shared" si="2"/>
        <v>0</v>
      </c>
      <c r="AG329" s="24">
        <f t="shared" si="3"/>
        <v>0</v>
      </c>
      <c r="AH329" s="24">
        <f t="shared" si="4"/>
        <v>0</v>
      </c>
      <c r="AI329" s="26">
        <f t="shared" si="5"/>
        <v>0</v>
      </c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</row>
    <row r="330" ht="15.75" customHeight="1">
      <c r="A330" s="22" t="s">
        <v>25</v>
      </c>
      <c r="B330" s="23">
        <f t="shared" si="6"/>
        <v>45983</v>
      </c>
      <c r="C330" s="24">
        <v>12.0</v>
      </c>
      <c r="D330" s="24" t="s">
        <v>28</v>
      </c>
      <c r="E330" s="21"/>
      <c r="F330" s="21"/>
      <c r="G330" s="18"/>
      <c r="I330" s="19"/>
      <c r="K330" s="19"/>
      <c r="M330" s="19"/>
      <c r="O330" s="19"/>
      <c r="Q330" s="19"/>
      <c r="R330" s="92"/>
      <c r="S330" s="18"/>
      <c r="U330" s="19"/>
      <c r="W330" s="19"/>
      <c r="Y330" s="19"/>
      <c r="AA330" s="19"/>
      <c r="AC330" s="19"/>
      <c r="AD330" s="92"/>
      <c r="AE330" s="25">
        <f t="shared" si="1"/>
        <v>0</v>
      </c>
      <c r="AF330" s="24">
        <f t="shared" si="2"/>
        <v>0</v>
      </c>
      <c r="AG330" s="24">
        <f t="shared" si="3"/>
        <v>0</v>
      </c>
      <c r="AH330" s="24">
        <f t="shared" si="4"/>
        <v>0</v>
      </c>
      <c r="AI330" s="26">
        <f t="shared" si="5"/>
        <v>0</v>
      </c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</row>
    <row r="331" ht="15.75" customHeight="1">
      <c r="A331" s="27" t="s">
        <v>26</v>
      </c>
      <c r="B331" s="28">
        <f t="shared" si="6"/>
        <v>45984</v>
      </c>
      <c r="C331" s="29">
        <v>12.0</v>
      </c>
      <c r="D331" s="29" t="s">
        <v>28</v>
      </c>
      <c r="E331" s="30"/>
      <c r="F331" s="30"/>
      <c r="G331" s="31"/>
      <c r="H331" s="6"/>
      <c r="I331" s="32"/>
      <c r="J331" s="6"/>
      <c r="K331" s="32"/>
      <c r="L331" s="6"/>
      <c r="M331" s="32"/>
      <c r="N331" s="6"/>
      <c r="O331" s="32"/>
      <c r="P331" s="6"/>
      <c r="Q331" s="32"/>
      <c r="R331" s="93"/>
      <c r="S331" s="31"/>
      <c r="T331" s="6"/>
      <c r="U331" s="32"/>
      <c r="V331" s="6"/>
      <c r="W331" s="32"/>
      <c r="X331" s="6"/>
      <c r="Y331" s="32"/>
      <c r="Z331" s="6"/>
      <c r="AA331" s="32"/>
      <c r="AB331" s="6"/>
      <c r="AC331" s="32"/>
      <c r="AD331" s="93"/>
      <c r="AE331" s="33">
        <f t="shared" si="1"/>
        <v>0</v>
      </c>
      <c r="AF331" s="29">
        <f t="shared" si="2"/>
        <v>0</v>
      </c>
      <c r="AG331" s="29">
        <f t="shared" si="3"/>
        <v>0</v>
      </c>
      <c r="AH331" s="29">
        <f t="shared" si="4"/>
        <v>0</v>
      </c>
      <c r="AI331" s="34">
        <f t="shared" si="5"/>
        <v>0</v>
      </c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</row>
    <row r="332" ht="15.75" customHeight="1">
      <c r="A332" s="14" t="s">
        <v>19</v>
      </c>
      <c r="B332" s="35">
        <f t="shared" si="6"/>
        <v>45985</v>
      </c>
      <c r="C332" s="16">
        <v>12.0</v>
      </c>
      <c r="D332" s="16" t="s">
        <v>29</v>
      </c>
      <c r="E332" s="17"/>
      <c r="F332" s="17"/>
      <c r="G332" s="18"/>
      <c r="I332" s="19"/>
      <c r="K332" s="19"/>
      <c r="M332" s="19"/>
      <c r="O332" s="19"/>
      <c r="Q332" s="19"/>
      <c r="R332" s="92"/>
      <c r="S332" s="18"/>
      <c r="U332" s="19"/>
      <c r="W332" s="19"/>
      <c r="Y332" s="19"/>
      <c r="AA332" s="19"/>
      <c r="AC332" s="19"/>
      <c r="AD332" s="92"/>
      <c r="AE332" s="20">
        <f t="shared" si="1"/>
        <v>0</v>
      </c>
      <c r="AF332" s="16">
        <f t="shared" si="2"/>
        <v>0</v>
      </c>
      <c r="AG332" s="16">
        <f t="shared" si="3"/>
        <v>0</v>
      </c>
      <c r="AH332" s="16">
        <f t="shared" si="4"/>
        <v>0</v>
      </c>
      <c r="AI332" s="36">
        <f t="shared" si="5"/>
        <v>0</v>
      </c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</row>
    <row r="333" ht="15.75" customHeight="1">
      <c r="A333" s="22" t="s">
        <v>21</v>
      </c>
      <c r="B333" s="23">
        <f t="shared" si="6"/>
        <v>45986</v>
      </c>
      <c r="C333" s="24">
        <v>12.0</v>
      </c>
      <c r="D333" s="24" t="s">
        <v>29</v>
      </c>
      <c r="E333" s="21"/>
      <c r="F333" s="21"/>
      <c r="G333" s="18"/>
      <c r="I333" s="19"/>
      <c r="K333" s="19"/>
      <c r="M333" s="19"/>
      <c r="O333" s="19"/>
      <c r="Q333" s="19"/>
      <c r="R333" s="92"/>
      <c r="S333" s="18"/>
      <c r="U333" s="19"/>
      <c r="W333" s="19"/>
      <c r="Y333" s="19"/>
      <c r="AA333" s="19"/>
      <c r="AC333" s="19"/>
      <c r="AD333" s="92"/>
      <c r="AE333" s="25">
        <f t="shared" si="1"/>
        <v>0</v>
      </c>
      <c r="AF333" s="24">
        <f t="shared" si="2"/>
        <v>0</v>
      </c>
      <c r="AG333" s="24">
        <f t="shared" si="3"/>
        <v>0</v>
      </c>
      <c r="AH333" s="24">
        <f t="shared" si="4"/>
        <v>0</v>
      </c>
      <c r="AI333" s="26">
        <f t="shared" si="5"/>
        <v>0</v>
      </c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</row>
    <row r="334" ht="15.75" customHeight="1">
      <c r="A334" s="22" t="s">
        <v>22</v>
      </c>
      <c r="B334" s="23">
        <f t="shared" si="6"/>
        <v>45987</v>
      </c>
      <c r="C334" s="24">
        <v>12.0</v>
      </c>
      <c r="D334" s="24" t="s">
        <v>29</v>
      </c>
      <c r="E334" s="21"/>
      <c r="F334" s="21"/>
      <c r="G334" s="18"/>
      <c r="I334" s="19"/>
      <c r="K334" s="19"/>
      <c r="M334" s="19"/>
      <c r="O334" s="19"/>
      <c r="Q334" s="19"/>
      <c r="R334" s="92"/>
      <c r="S334" s="18"/>
      <c r="U334" s="19"/>
      <c r="W334" s="19"/>
      <c r="Y334" s="19"/>
      <c r="AA334" s="19"/>
      <c r="AC334" s="19"/>
      <c r="AD334" s="92"/>
      <c r="AE334" s="25">
        <f t="shared" si="1"/>
        <v>0</v>
      </c>
      <c r="AF334" s="24">
        <f t="shared" si="2"/>
        <v>0</v>
      </c>
      <c r="AG334" s="24">
        <f t="shared" si="3"/>
        <v>0</v>
      </c>
      <c r="AH334" s="24">
        <f t="shared" si="4"/>
        <v>0</v>
      </c>
      <c r="AI334" s="26">
        <f t="shared" si="5"/>
        <v>0</v>
      </c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</row>
    <row r="335" ht="15.75" customHeight="1">
      <c r="A335" s="22" t="s">
        <v>23</v>
      </c>
      <c r="B335" s="23">
        <f t="shared" si="6"/>
        <v>45988</v>
      </c>
      <c r="C335" s="24">
        <v>12.0</v>
      </c>
      <c r="D335" s="24" t="s">
        <v>29</v>
      </c>
      <c r="E335" s="21"/>
      <c r="F335" s="21"/>
      <c r="G335" s="18"/>
      <c r="I335" s="19"/>
      <c r="K335" s="19"/>
      <c r="M335" s="19"/>
      <c r="O335" s="19"/>
      <c r="Q335" s="19"/>
      <c r="R335" s="92"/>
      <c r="S335" s="18"/>
      <c r="U335" s="19"/>
      <c r="W335" s="19"/>
      <c r="Y335" s="19"/>
      <c r="AA335" s="19"/>
      <c r="AC335" s="19"/>
      <c r="AD335" s="92"/>
      <c r="AE335" s="25">
        <f t="shared" si="1"/>
        <v>0</v>
      </c>
      <c r="AF335" s="24">
        <f t="shared" si="2"/>
        <v>0</v>
      </c>
      <c r="AG335" s="24">
        <f t="shared" si="3"/>
        <v>0</v>
      </c>
      <c r="AH335" s="24">
        <f t="shared" si="4"/>
        <v>0</v>
      </c>
      <c r="AI335" s="26">
        <f t="shared" si="5"/>
        <v>0</v>
      </c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</row>
    <row r="336" ht="15.75" customHeight="1">
      <c r="A336" s="22" t="s">
        <v>24</v>
      </c>
      <c r="B336" s="23">
        <f t="shared" si="6"/>
        <v>45989</v>
      </c>
      <c r="C336" s="24">
        <v>12.0</v>
      </c>
      <c r="D336" s="24" t="s">
        <v>29</v>
      </c>
      <c r="E336" s="21"/>
      <c r="F336" s="21"/>
      <c r="G336" s="18"/>
      <c r="I336" s="19"/>
      <c r="K336" s="19"/>
      <c r="M336" s="19"/>
      <c r="O336" s="19"/>
      <c r="Q336" s="19"/>
      <c r="R336" s="92"/>
      <c r="S336" s="18"/>
      <c r="U336" s="19"/>
      <c r="W336" s="19"/>
      <c r="Y336" s="19"/>
      <c r="AA336" s="19"/>
      <c r="AC336" s="19"/>
      <c r="AD336" s="92"/>
      <c r="AE336" s="25">
        <f t="shared" si="1"/>
        <v>0</v>
      </c>
      <c r="AF336" s="24">
        <f t="shared" si="2"/>
        <v>0</v>
      </c>
      <c r="AG336" s="24">
        <f t="shared" si="3"/>
        <v>0</v>
      </c>
      <c r="AH336" s="24">
        <f t="shared" si="4"/>
        <v>0</v>
      </c>
      <c r="AI336" s="26">
        <f t="shared" si="5"/>
        <v>0</v>
      </c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</row>
    <row r="337" ht="15.75" customHeight="1">
      <c r="A337" s="22" t="s">
        <v>25</v>
      </c>
      <c r="B337" s="23">
        <f t="shared" si="6"/>
        <v>45990</v>
      </c>
      <c r="C337" s="24">
        <v>12.0</v>
      </c>
      <c r="D337" s="24" t="s">
        <v>29</v>
      </c>
      <c r="E337" s="21"/>
      <c r="F337" s="21"/>
      <c r="G337" s="18"/>
      <c r="I337" s="19"/>
      <c r="K337" s="19"/>
      <c r="M337" s="19"/>
      <c r="O337" s="19"/>
      <c r="Q337" s="19"/>
      <c r="R337" s="92"/>
      <c r="S337" s="18"/>
      <c r="U337" s="19"/>
      <c r="W337" s="19"/>
      <c r="Y337" s="19"/>
      <c r="AA337" s="19"/>
      <c r="AC337" s="19"/>
      <c r="AD337" s="92"/>
      <c r="AE337" s="25">
        <f t="shared" si="1"/>
        <v>0</v>
      </c>
      <c r="AF337" s="24">
        <f t="shared" si="2"/>
        <v>0</v>
      </c>
      <c r="AG337" s="24">
        <f t="shared" si="3"/>
        <v>0</v>
      </c>
      <c r="AH337" s="24">
        <f t="shared" si="4"/>
        <v>0</v>
      </c>
      <c r="AI337" s="26">
        <f t="shared" si="5"/>
        <v>0</v>
      </c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</row>
    <row r="338" ht="15.75" customHeight="1">
      <c r="A338" s="27" t="s">
        <v>26</v>
      </c>
      <c r="B338" s="28">
        <f t="shared" si="6"/>
        <v>45991</v>
      </c>
      <c r="C338" s="29">
        <v>12.0</v>
      </c>
      <c r="D338" s="29" t="s">
        <v>29</v>
      </c>
      <c r="E338" s="30"/>
      <c r="F338" s="30"/>
      <c r="G338" s="31"/>
      <c r="H338" s="6"/>
      <c r="I338" s="32"/>
      <c r="J338" s="6"/>
      <c r="K338" s="32"/>
      <c r="L338" s="6"/>
      <c r="M338" s="32"/>
      <c r="N338" s="6"/>
      <c r="O338" s="32"/>
      <c r="P338" s="6"/>
      <c r="Q338" s="32"/>
      <c r="R338" s="93"/>
      <c r="S338" s="31"/>
      <c r="T338" s="6"/>
      <c r="U338" s="32"/>
      <c r="V338" s="6"/>
      <c r="W338" s="32"/>
      <c r="X338" s="6"/>
      <c r="Y338" s="32"/>
      <c r="Z338" s="6"/>
      <c r="AA338" s="32"/>
      <c r="AB338" s="6"/>
      <c r="AC338" s="32"/>
      <c r="AD338" s="93"/>
      <c r="AE338" s="33">
        <f t="shared" si="1"/>
        <v>0</v>
      </c>
      <c r="AF338" s="29">
        <f t="shared" si="2"/>
        <v>0</v>
      </c>
      <c r="AG338" s="29">
        <f t="shared" si="3"/>
        <v>0</v>
      </c>
      <c r="AH338" s="29">
        <f t="shared" si="4"/>
        <v>0</v>
      </c>
      <c r="AI338" s="34">
        <f t="shared" si="5"/>
        <v>0</v>
      </c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</row>
    <row r="339" ht="15.75" customHeight="1">
      <c r="A339" s="14" t="s">
        <v>19</v>
      </c>
      <c r="B339" s="35">
        <f t="shared" si="6"/>
        <v>45992</v>
      </c>
      <c r="C339" s="16">
        <v>13.0</v>
      </c>
      <c r="D339" s="16" t="s">
        <v>27</v>
      </c>
      <c r="E339" s="17"/>
      <c r="F339" s="17"/>
      <c r="G339" s="18"/>
      <c r="I339" s="19"/>
      <c r="K339" s="19"/>
      <c r="M339" s="19"/>
      <c r="O339" s="19"/>
      <c r="Q339" s="19"/>
      <c r="R339" s="92"/>
      <c r="S339" s="18"/>
      <c r="U339" s="19"/>
      <c r="W339" s="19"/>
      <c r="Y339" s="19"/>
      <c r="AA339" s="19"/>
      <c r="AC339" s="19"/>
      <c r="AD339" s="92"/>
      <c r="AE339" s="20">
        <f t="shared" si="1"/>
        <v>0</v>
      </c>
      <c r="AF339" s="16">
        <f t="shared" si="2"/>
        <v>0</v>
      </c>
      <c r="AG339" s="16">
        <f t="shared" si="3"/>
        <v>0</v>
      </c>
      <c r="AH339" s="16">
        <f t="shared" si="4"/>
        <v>0</v>
      </c>
      <c r="AI339" s="36">
        <f t="shared" si="5"/>
        <v>0</v>
      </c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</row>
    <row r="340" ht="15.75" customHeight="1">
      <c r="A340" s="22" t="s">
        <v>21</v>
      </c>
      <c r="B340" s="23">
        <f t="shared" si="6"/>
        <v>45993</v>
      </c>
      <c r="C340" s="24">
        <v>13.0</v>
      </c>
      <c r="D340" s="24" t="s">
        <v>27</v>
      </c>
      <c r="E340" s="21"/>
      <c r="F340" s="21"/>
      <c r="G340" s="18"/>
      <c r="I340" s="19"/>
      <c r="K340" s="19"/>
      <c r="M340" s="19"/>
      <c r="O340" s="19"/>
      <c r="Q340" s="19"/>
      <c r="R340" s="92"/>
      <c r="S340" s="18"/>
      <c r="U340" s="19"/>
      <c r="W340" s="19"/>
      <c r="Y340" s="19"/>
      <c r="AA340" s="19"/>
      <c r="AC340" s="19"/>
      <c r="AD340" s="92"/>
      <c r="AE340" s="25">
        <f t="shared" si="1"/>
        <v>0</v>
      </c>
      <c r="AF340" s="24">
        <f t="shared" si="2"/>
        <v>0</v>
      </c>
      <c r="AG340" s="24">
        <f t="shared" si="3"/>
        <v>0</v>
      </c>
      <c r="AH340" s="24">
        <f t="shared" si="4"/>
        <v>0</v>
      </c>
      <c r="AI340" s="26">
        <f t="shared" si="5"/>
        <v>0</v>
      </c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</row>
    <row r="341" ht="15.75" customHeight="1">
      <c r="A341" s="22" t="s">
        <v>22</v>
      </c>
      <c r="B341" s="23">
        <f t="shared" si="6"/>
        <v>45994</v>
      </c>
      <c r="C341" s="24">
        <v>13.0</v>
      </c>
      <c r="D341" s="24" t="s">
        <v>27</v>
      </c>
      <c r="E341" s="21"/>
      <c r="F341" s="21"/>
      <c r="G341" s="18"/>
      <c r="I341" s="19"/>
      <c r="K341" s="19"/>
      <c r="M341" s="19"/>
      <c r="O341" s="19"/>
      <c r="Q341" s="19"/>
      <c r="R341" s="92"/>
      <c r="S341" s="18"/>
      <c r="U341" s="19"/>
      <c r="W341" s="19"/>
      <c r="Y341" s="19"/>
      <c r="AA341" s="19"/>
      <c r="AC341" s="19"/>
      <c r="AD341" s="92"/>
      <c r="AE341" s="25">
        <f t="shared" si="1"/>
        <v>0</v>
      </c>
      <c r="AF341" s="24">
        <f t="shared" si="2"/>
        <v>0</v>
      </c>
      <c r="AG341" s="24">
        <f t="shared" si="3"/>
        <v>0</v>
      </c>
      <c r="AH341" s="24">
        <f t="shared" si="4"/>
        <v>0</v>
      </c>
      <c r="AI341" s="26">
        <f t="shared" si="5"/>
        <v>0</v>
      </c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</row>
    <row r="342" ht="15.75" customHeight="1">
      <c r="A342" s="22" t="s">
        <v>23</v>
      </c>
      <c r="B342" s="23">
        <f t="shared" si="6"/>
        <v>45995</v>
      </c>
      <c r="C342" s="24">
        <v>13.0</v>
      </c>
      <c r="D342" s="24" t="s">
        <v>27</v>
      </c>
      <c r="E342" s="21"/>
      <c r="F342" s="21"/>
      <c r="G342" s="18"/>
      <c r="I342" s="19"/>
      <c r="K342" s="19"/>
      <c r="M342" s="19"/>
      <c r="O342" s="19"/>
      <c r="Q342" s="19"/>
      <c r="R342" s="92"/>
      <c r="S342" s="18"/>
      <c r="U342" s="19"/>
      <c r="W342" s="19"/>
      <c r="Y342" s="19"/>
      <c r="AA342" s="19"/>
      <c r="AC342" s="19"/>
      <c r="AD342" s="92"/>
      <c r="AE342" s="25">
        <f t="shared" si="1"/>
        <v>0</v>
      </c>
      <c r="AF342" s="24">
        <f t="shared" si="2"/>
        <v>0</v>
      </c>
      <c r="AG342" s="24">
        <f t="shared" si="3"/>
        <v>0</v>
      </c>
      <c r="AH342" s="24">
        <f t="shared" si="4"/>
        <v>0</v>
      </c>
      <c r="AI342" s="26">
        <f t="shared" si="5"/>
        <v>0</v>
      </c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</row>
    <row r="343" ht="15.75" customHeight="1">
      <c r="A343" s="22" t="s">
        <v>24</v>
      </c>
      <c r="B343" s="23">
        <f t="shared" si="6"/>
        <v>45996</v>
      </c>
      <c r="C343" s="24">
        <v>13.0</v>
      </c>
      <c r="D343" s="24" t="s">
        <v>27</v>
      </c>
      <c r="E343" s="21"/>
      <c r="F343" s="21"/>
      <c r="G343" s="18"/>
      <c r="I343" s="19"/>
      <c r="K343" s="19"/>
      <c r="M343" s="19"/>
      <c r="O343" s="19"/>
      <c r="Q343" s="19"/>
      <c r="R343" s="92"/>
      <c r="S343" s="18"/>
      <c r="U343" s="19"/>
      <c r="W343" s="19"/>
      <c r="Y343" s="19"/>
      <c r="AA343" s="19"/>
      <c r="AC343" s="19"/>
      <c r="AD343" s="92"/>
      <c r="AE343" s="25">
        <f t="shared" si="1"/>
        <v>0</v>
      </c>
      <c r="AF343" s="24">
        <f t="shared" si="2"/>
        <v>0</v>
      </c>
      <c r="AG343" s="24">
        <f t="shared" si="3"/>
        <v>0</v>
      </c>
      <c r="AH343" s="24">
        <f t="shared" si="4"/>
        <v>0</v>
      </c>
      <c r="AI343" s="26">
        <f t="shared" si="5"/>
        <v>0</v>
      </c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</row>
    <row r="344" ht="15.75" customHeight="1">
      <c r="A344" s="22" t="s">
        <v>25</v>
      </c>
      <c r="B344" s="23">
        <f t="shared" si="6"/>
        <v>45997</v>
      </c>
      <c r="C344" s="24">
        <v>13.0</v>
      </c>
      <c r="D344" s="24" t="s">
        <v>27</v>
      </c>
      <c r="E344" s="21"/>
      <c r="F344" s="21"/>
      <c r="G344" s="18"/>
      <c r="I344" s="19"/>
      <c r="K344" s="19"/>
      <c r="M344" s="19"/>
      <c r="O344" s="19"/>
      <c r="Q344" s="19"/>
      <c r="R344" s="92"/>
      <c r="S344" s="18"/>
      <c r="U344" s="19"/>
      <c r="W344" s="19"/>
      <c r="Y344" s="19"/>
      <c r="AA344" s="19"/>
      <c r="AC344" s="19"/>
      <c r="AD344" s="92"/>
      <c r="AE344" s="25">
        <f t="shared" si="1"/>
        <v>0</v>
      </c>
      <c r="AF344" s="24">
        <f t="shared" si="2"/>
        <v>0</v>
      </c>
      <c r="AG344" s="24">
        <f t="shared" si="3"/>
        <v>0</v>
      </c>
      <c r="AH344" s="24">
        <f t="shared" si="4"/>
        <v>0</v>
      </c>
      <c r="AI344" s="26">
        <f t="shared" si="5"/>
        <v>0</v>
      </c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</row>
    <row r="345" ht="15.75" customHeight="1">
      <c r="A345" s="27" t="s">
        <v>26</v>
      </c>
      <c r="B345" s="28">
        <f t="shared" si="6"/>
        <v>45998</v>
      </c>
      <c r="C345" s="29">
        <v>13.0</v>
      </c>
      <c r="D345" s="29" t="s">
        <v>27</v>
      </c>
      <c r="E345" s="30"/>
      <c r="F345" s="30"/>
      <c r="G345" s="31"/>
      <c r="H345" s="6"/>
      <c r="I345" s="32"/>
      <c r="J345" s="6"/>
      <c r="K345" s="32"/>
      <c r="L345" s="6"/>
      <c r="M345" s="32"/>
      <c r="N345" s="6"/>
      <c r="O345" s="32"/>
      <c r="P345" s="6"/>
      <c r="Q345" s="32"/>
      <c r="R345" s="93"/>
      <c r="S345" s="31"/>
      <c r="T345" s="6"/>
      <c r="U345" s="32"/>
      <c r="V345" s="6"/>
      <c r="W345" s="32"/>
      <c r="X345" s="6"/>
      <c r="Y345" s="32"/>
      <c r="Z345" s="6"/>
      <c r="AA345" s="32"/>
      <c r="AB345" s="6"/>
      <c r="AC345" s="32"/>
      <c r="AD345" s="93"/>
      <c r="AE345" s="33">
        <f t="shared" si="1"/>
        <v>0</v>
      </c>
      <c r="AF345" s="29">
        <f t="shared" si="2"/>
        <v>0</v>
      </c>
      <c r="AG345" s="29">
        <f t="shared" si="3"/>
        <v>0</v>
      </c>
      <c r="AH345" s="29">
        <f t="shared" si="4"/>
        <v>0</v>
      </c>
      <c r="AI345" s="34">
        <f t="shared" si="5"/>
        <v>0</v>
      </c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</row>
    <row r="346" ht="15.75" customHeight="1">
      <c r="A346" s="14" t="s">
        <v>19</v>
      </c>
      <c r="B346" s="35">
        <f t="shared" si="6"/>
        <v>45999</v>
      </c>
      <c r="C346" s="16">
        <v>13.0</v>
      </c>
      <c r="D346" s="16" t="s">
        <v>28</v>
      </c>
      <c r="E346" s="17"/>
      <c r="F346" s="17"/>
      <c r="G346" s="18"/>
      <c r="I346" s="19"/>
      <c r="K346" s="19"/>
      <c r="M346" s="19"/>
      <c r="O346" s="19"/>
      <c r="Q346" s="19"/>
      <c r="R346" s="92"/>
      <c r="S346" s="18"/>
      <c r="U346" s="19"/>
      <c r="W346" s="19"/>
      <c r="Y346" s="19"/>
      <c r="AA346" s="19"/>
      <c r="AC346" s="19"/>
      <c r="AD346" s="92"/>
      <c r="AE346" s="20">
        <f t="shared" si="1"/>
        <v>0</v>
      </c>
      <c r="AF346" s="16">
        <f t="shared" si="2"/>
        <v>0</v>
      </c>
      <c r="AG346" s="16">
        <f t="shared" si="3"/>
        <v>0</v>
      </c>
      <c r="AH346" s="16">
        <f t="shared" si="4"/>
        <v>0</v>
      </c>
      <c r="AI346" s="36">
        <f t="shared" si="5"/>
        <v>0</v>
      </c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ht="15.75" customHeight="1">
      <c r="A347" s="22" t="s">
        <v>21</v>
      </c>
      <c r="B347" s="23">
        <f t="shared" si="6"/>
        <v>46000</v>
      </c>
      <c r="C347" s="24">
        <v>13.0</v>
      </c>
      <c r="D347" s="24" t="s">
        <v>28</v>
      </c>
      <c r="E347" s="21"/>
      <c r="F347" s="21"/>
      <c r="G347" s="18"/>
      <c r="I347" s="19"/>
      <c r="K347" s="19"/>
      <c r="M347" s="19"/>
      <c r="O347" s="19"/>
      <c r="Q347" s="19"/>
      <c r="R347" s="92"/>
      <c r="S347" s="18"/>
      <c r="U347" s="19"/>
      <c r="W347" s="19"/>
      <c r="Y347" s="19"/>
      <c r="AA347" s="19"/>
      <c r="AC347" s="19"/>
      <c r="AD347" s="92"/>
      <c r="AE347" s="25">
        <f t="shared" si="1"/>
        <v>0</v>
      </c>
      <c r="AF347" s="24">
        <f t="shared" si="2"/>
        <v>0</v>
      </c>
      <c r="AG347" s="24">
        <f t="shared" si="3"/>
        <v>0</v>
      </c>
      <c r="AH347" s="24">
        <f t="shared" si="4"/>
        <v>0</v>
      </c>
      <c r="AI347" s="26">
        <f t="shared" si="5"/>
        <v>0</v>
      </c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</row>
    <row r="348" ht="15.75" customHeight="1">
      <c r="A348" s="22" t="s">
        <v>22</v>
      </c>
      <c r="B348" s="23">
        <f t="shared" si="6"/>
        <v>46001</v>
      </c>
      <c r="C348" s="24">
        <v>13.0</v>
      </c>
      <c r="D348" s="24" t="s">
        <v>28</v>
      </c>
      <c r="E348" s="21"/>
      <c r="F348" s="21"/>
      <c r="G348" s="18"/>
      <c r="I348" s="19"/>
      <c r="K348" s="19"/>
      <c r="M348" s="19"/>
      <c r="O348" s="19"/>
      <c r="Q348" s="19"/>
      <c r="R348" s="92"/>
      <c r="S348" s="18"/>
      <c r="U348" s="19"/>
      <c r="W348" s="19"/>
      <c r="Y348" s="19"/>
      <c r="AA348" s="19"/>
      <c r="AC348" s="19"/>
      <c r="AD348" s="92"/>
      <c r="AE348" s="25">
        <f t="shared" si="1"/>
        <v>0</v>
      </c>
      <c r="AF348" s="24">
        <f t="shared" si="2"/>
        <v>0</v>
      </c>
      <c r="AG348" s="24">
        <f t="shared" si="3"/>
        <v>0</v>
      </c>
      <c r="AH348" s="24">
        <f t="shared" si="4"/>
        <v>0</v>
      </c>
      <c r="AI348" s="26">
        <f t="shared" si="5"/>
        <v>0</v>
      </c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</row>
    <row r="349" ht="15.75" customHeight="1">
      <c r="A349" s="22" t="s">
        <v>23</v>
      </c>
      <c r="B349" s="23">
        <f t="shared" si="6"/>
        <v>46002</v>
      </c>
      <c r="C349" s="24">
        <v>13.0</v>
      </c>
      <c r="D349" s="24" t="s">
        <v>28</v>
      </c>
      <c r="E349" s="21"/>
      <c r="F349" s="21"/>
      <c r="G349" s="18"/>
      <c r="I349" s="19"/>
      <c r="K349" s="19"/>
      <c r="M349" s="19"/>
      <c r="O349" s="19"/>
      <c r="Q349" s="19"/>
      <c r="R349" s="92"/>
      <c r="S349" s="18"/>
      <c r="U349" s="19"/>
      <c r="W349" s="19"/>
      <c r="Y349" s="19"/>
      <c r="AA349" s="19"/>
      <c r="AC349" s="19"/>
      <c r="AD349" s="92"/>
      <c r="AE349" s="25">
        <f t="shared" si="1"/>
        <v>0</v>
      </c>
      <c r="AF349" s="24">
        <f t="shared" si="2"/>
        <v>0</v>
      </c>
      <c r="AG349" s="24">
        <f t="shared" si="3"/>
        <v>0</v>
      </c>
      <c r="AH349" s="24">
        <f t="shared" si="4"/>
        <v>0</v>
      </c>
      <c r="AI349" s="26">
        <f t="shared" si="5"/>
        <v>0</v>
      </c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</row>
    <row r="350" ht="15.75" customHeight="1">
      <c r="A350" s="22" t="s">
        <v>24</v>
      </c>
      <c r="B350" s="23">
        <f t="shared" si="6"/>
        <v>46003</v>
      </c>
      <c r="C350" s="24">
        <v>13.0</v>
      </c>
      <c r="D350" s="24" t="s">
        <v>28</v>
      </c>
      <c r="E350" s="21"/>
      <c r="F350" s="21"/>
      <c r="G350" s="18"/>
      <c r="I350" s="19"/>
      <c r="K350" s="19"/>
      <c r="M350" s="19"/>
      <c r="O350" s="19"/>
      <c r="Q350" s="19"/>
      <c r="R350" s="92"/>
      <c r="S350" s="18"/>
      <c r="U350" s="19"/>
      <c r="W350" s="19"/>
      <c r="Y350" s="19"/>
      <c r="AA350" s="19"/>
      <c r="AC350" s="19"/>
      <c r="AD350" s="92"/>
      <c r="AE350" s="25">
        <f t="shared" si="1"/>
        <v>0</v>
      </c>
      <c r="AF350" s="24">
        <f t="shared" si="2"/>
        <v>0</v>
      </c>
      <c r="AG350" s="24">
        <f t="shared" si="3"/>
        <v>0</v>
      </c>
      <c r="AH350" s="24">
        <f t="shared" si="4"/>
        <v>0</v>
      </c>
      <c r="AI350" s="26">
        <f t="shared" si="5"/>
        <v>0</v>
      </c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</row>
    <row r="351" ht="15.75" customHeight="1">
      <c r="A351" s="22" t="s">
        <v>25</v>
      </c>
      <c r="B351" s="23">
        <f t="shared" si="6"/>
        <v>46004</v>
      </c>
      <c r="C351" s="24">
        <v>13.0</v>
      </c>
      <c r="D351" s="24" t="s">
        <v>28</v>
      </c>
      <c r="E351" s="21"/>
      <c r="F351" s="21"/>
      <c r="G351" s="18"/>
      <c r="I351" s="19"/>
      <c r="K351" s="19"/>
      <c r="M351" s="19"/>
      <c r="O351" s="19"/>
      <c r="Q351" s="19"/>
      <c r="R351" s="92"/>
      <c r="S351" s="18"/>
      <c r="U351" s="19"/>
      <c r="W351" s="19"/>
      <c r="Y351" s="19"/>
      <c r="AA351" s="19"/>
      <c r="AC351" s="19"/>
      <c r="AD351" s="92"/>
      <c r="AE351" s="25">
        <f t="shared" si="1"/>
        <v>0</v>
      </c>
      <c r="AF351" s="24">
        <f t="shared" si="2"/>
        <v>0</v>
      </c>
      <c r="AG351" s="24">
        <f t="shared" si="3"/>
        <v>0</v>
      </c>
      <c r="AH351" s="24">
        <f t="shared" si="4"/>
        <v>0</v>
      </c>
      <c r="AI351" s="26">
        <f t="shared" si="5"/>
        <v>0</v>
      </c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</row>
    <row r="352" ht="15.75" customHeight="1">
      <c r="A352" s="27" t="s">
        <v>26</v>
      </c>
      <c r="B352" s="28">
        <f t="shared" si="6"/>
        <v>46005</v>
      </c>
      <c r="C352" s="29">
        <v>13.0</v>
      </c>
      <c r="D352" s="29" t="s">
        <v>28</v>
      </c>
      <c r="E352" s="30"/>
      <c r="F352" s="30"/>
      <c r="G352" s="31"/>
      <c r="H352" s="6"/>
      <c r="I352" s="32"/>
      <c r="J352" s="6"/>
      <c r="K352" s="32"/>
      <c r="L352" s="6"/>
      <c r="M352" s="32"/>
      <c r="N352" s="6"/>
      <c r="O352" s="32"/>
      <c r="P352" s="6"/>
      <c r="Q352" s="32"/>
      <c r="R352" s="93"/>
      <c r="S352" s="31"/>
      <c r="T352" s="6"/>
      <c r="U352" s="32"/>
      <c r="V352" s="6"/>
      <c r="W352" s="32"/>
      <c r="X352" s="6"/>
      <c r="Y352" s="32"/>
      <c r="Z352" s="6"/>
      <c r="AA352" s="32"/>
      <c r="AB352" s="6"/>
      <c r="AC352" s="32"/>
      <c r="AD352" s="93"/>
      <c r="AE352" s="33">
        <f t="shared" si="1"/>
        <v>0</v>
      </c>
      <c r="AF352" s="29">
        <f t="shared" si="2"/>
        <v>0</v>
      </c>
      <c r="AG352" s="29">
        <f t="shared" si="3"/>
        <v>0</v>
      </c>
      <c r="AH352" s="29">
        <f t="shared" si="4"/>
        <v>0</v>
      </c>
      <c r="AI352" s="34">
        <f t="shared" si="5"/>
        <v>0</v>
      </c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</row>
    <row r="353" ht="15.75" customHeight="1">
      <c r="A353" s="14" t="s">
        <v>19</v>
      </c>
      <c r="B353" s="35">
        <f t="shared" si="6"/>
        <v>46006</v>
      </c>
      <c r="C353" s="16">
        <v>13.0</v>
      </c>
      <c r="D353" s="16" t="s">
        <v>29</v>
      </c>
      <c r="E353" s="17"/>
      <c r="F353" s="17"/>
      <c r="G353" s="18"/>
      <c r="I353" s="19"/>
      <c r="K353" s="19"/>
      <c r="M353" s="19"/>
      <c r="O353" s="19"/>
      <c r="Q353" s="19"/>
      <c r="R353" s="92"/>
      <c r="S353" s="18"/>
      <c r="U353" s="19"/>
      <c r="W353" s="19"/>
      <c r="Y353" s="19"/>
      <c r="AA353" s="19"/>
      <c r="AC353" s="19"/>
      <c r="AD353" s="92"/>
      <c r="AE353" s="20">
        <f t="shared" si="1"/>
        <v>0</v>
      </c>
      <c r="AF353" s="16">
        <f t="shared" si="2"/>
        <v>0</v>
      </c>
      <c r="AG353" s="16">
        <f t="shared" si="3"/>
        <v>0</v>
      </c>
      <c r="AH353" s="16">
        <f t="shared" si="4"/>
        <v>0</v>
      </c>
      <c r="AI353" s="36">
        <f t="shared" si="5"/>
        <v>0</v>
      </c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</row>
    <row r="354" ht="15.75" customHeight="1">
      <c r="A354" s="22" t="s">
        <v>21</v>
      </c>
      <c r="B354" s="23">
        <f t="shared" si="6"/>
        <v>46007</v>
      </c>
      <c r="C354" s="24">
        <v>13.0</v>
      </c>
      <c r="D354" s="24" t="s">
        <v>29</v>
      </c>
      <c r="E354" s="21"/>
      <c r="F354" s="21"/>
      <c r="G354" s="18"/>
      <c r="I354" s="19"/>
      <c r="K354" s="19"/>
      <c r="M354" s="19"/>
      <c r="O354" s="19"/>
      <c r="Q354" s="19"/>
      <c r="R354" s="92"/>
      <c r="S354" s="18"/>
      <c r="U354" s="19"/>
      <c r="W354" s="19"/>
      <c r="Y354" s="19"/>
      <c r="AA354" s="19"/>
      <c r="AC354" s="19"/>
      <c r="AD354" s="92"/>
      <c r="AE354" s="25">
        <f t="shared" si="1"/>
        <v>0</v>
      </c>
      <c r="AF354" s="24">
        <f t="shared" si="2"/>
        <v>0</v>
      </c>
      <c r="AG354" s="24">
        <f t="shared" si="3"/>
        <v>0</v>
      </c>
      <c r="AH354" s="24">
        <f t="shared" si="4"/>
        <v>0</v>
      </c>
      <c r="AI354" s="26">
        <f t="shared" si="5"/>
        <v>0</v>
      </c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</row>
    <row r="355" ht="15.75" customHeight="1">
      <c r="A355" s="22" t="s">
        <v>22</v>
      </c>
      <c r="B355" s="23">
        <f t="shared" si="6"/>
        <v>46008</v>
      </c>
      <c r="C355" s="24">
        <v>13.0</v>
      </c>
      <c r="D355" s="24" t="s">
        <v>29</v>
      </c>
      <c r="E355" s="21"/>
      <c r="F355" s="21"/>
      <c r="G355" s="18"/>
      <c r="I355" s="19"/>
      <c r="K355" s="19"/>
      <c r="M355" s="19"/>
      <c r="O355" s="19"/>
      <c r="Q355" s="19"/>
      <c r="R355" s="92"/>
      <c r="S355" s="18"/>
      <c r="U355" s="19"/>
      <c r="W355" s="19"/>
      <c r="Y355" s="19"/>
      <c r="AA355" s="19"/>
      <c r="AC355" s="19"/>
      <c r="AD355" s="92"/>
      <c r="AE355" s="25">
        <f t="shared" si="1"/>
        <v>0</v>
      </c>
      <c r="AF355" s="24">
        <f t="shared" si="2"/>
        <v>0</v>
      </c>
      <c r="AG355" s="24">
        <f t="shared" si="3"/>
        <v>0</v>
      </c>
      <c r="AH355" s="24">
        <f t="shared" si="4"/>
        <v>0</v>
      </c>
      <c r="AI355" s="26">
        <f t="shared" si="5"/>
        <v>0</v>
      </c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</row>
    <row r="356" ht="15.75" customHeight="1">
      <c r="A356" s="22" t="s">
        <v>23</v>
      </c>
      <c r="B356" s="23">
        <f t="shared" si="6"/>
        <v>46009</v>
      </c>
      <c r="C356" s="24">
        <v>13.0</v>
      </c>
      <c r="D356" s="24" t="s">
        <v>29</v>
      </c>
      <c r="E356" s="21"/>
      <c r="F356" s="21"/>
      <c r="G356" s="18"/>
      <c r="I356" s="19"/>
      <c r="K356" s="19"/>
      <c r="M356" s="19"/>
      <c r="O356" s="19"/>
      <c r="Q356" s="19"/>
      <c r="R356" s="92"/>
      <c r="S356" s="18"/>
      <c r="U356" s="19"/>
      <c r="W356" s="19"/>
      <c r="Y356" s="19"/>
      <c r="AA356" s="19"/>
      <c r="AC356" s="19"/>
      <c r="AD356" s="92"/>
      <c r="AE356" s="25">
        <f t="shared" si="1"/>
        <v>0</v>
      </c>
      <c r="AF356" s="24">
        <f t="shared" si="2"/>
        <v>0</v>
      </c>
      <c r="AG356" s="24">
        <f t="shared" si="3"/>
        <v>0</v>
      </c>
      <c r="AH356" s="24">
        <f t="shared" si="4"/>
        <v>0</v>
      </c>
      <c r="AI356" s="26">
        <f t="shared" si="5"/>
        <v>0</v>
      </c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</row>
    <row r="357" ht="15.75" customHeight="1">
      <c r="A357" s="22" t="s">
        <v>24</v>
      </c>
      <c r="B357" s="23">
        <f t="shared" si="6"/>
        <v>46010</v>
      </c>
      <c r="C357" s="24">
        <v>13.0</v>
      </c>
      <c r="D357" s="24" t="s">
        <v>29</v>
      </c>
      <c r="E357" s="21"/>
      <c r="F357" s="21"/>
      <c r="G357" s="18"/>
      <c r="I357" s="19"/>
      <c r="K357" s="19"/>
      <c r="M357" s="19"/>
      <c r="O357" s="19"/>
      <c r="Q357" s="19"/>
      <c r="R357" s="92"/>
      <c r="S357" s="18"/>
      <c r="U357" s="19"/>
      <c r="W357" s="19"/>
      <c r="Y357" s="19"/>
      <c r="AA357" s="19"/>
      <c r="AC357" s="19"/>
      <c r="AD357" s="92"/>
      <c r="AE357" s="25">
        <f t="shared" si="1"/>
        <v>0</v>
      </c>
      <c r="AF357" s="24">
        <f t="shared" si="2"/>
        <v>0</v>
      </c>
      <c r="AG357" s="24">
        <f t="shared" si="3"/>
        <v>0</v>
      </c>
      <c r="AH357" s="24">
        <f t="shared" si="4"/>
        <v>0</v>
      </c>
      <c r="AI357" s="26">
        <f t="shared" si="5"/>
        <v>0</v>
      </c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</row>
    <row r="358" ht="15.75" customHeight="1">
      <c r="A358" s="22" t="s">
        <v>25</v>
      </c>
      <c r="B358" s="23">
        <f t="shared" si="6"/>
        <v>46011</v>
      </c>
      <c r="C358" s="24">
        <v>13.0</v>
      </c>
      <c r="D358" s="24" t="s">
        <v>29</v>
      </c>
      <c r="E358" s="21"/>
      <c r="F358" s="21"/>
      <c r="G358" s="18"/>
      <c r="I358" s="19"/>
      <c r="K358" s="19"/>
      <c r="M358" s="19"/>
      <c r="O358" s="19"/>
      <c r="Q358" s="19"/>
      <c r="R358" s="92"/>
      <c r="S358" s="18"/>
      <c r="U358" s="19"/>
      <c r="W358" s="19"/>
      <c r="Y358" s="19"/>
      <c r="AA358" s="19"/>
      <c r="AC358" s="19"/>
      <c r="AD358" s="92"/>
      <c r="AE358" s="25">
        <f t="shared" si="1"/>
        <v>0</v>
      </c>
      <c r="AF358" s="24">
        <f t="shared" si="2"/>
        <v>0</v>
      </c>
      <c r="AG358" s="24">
        <f t="shared" si="3"/>
        <v>0</v>
      </c>
      <c r="AH358" s="24">
        <f t="shared" si="4"/>
        <v>0</v>
      </c>
      <c r="AI358" s="26">
        <f t="shared" si="5"/>
        <v>0</v>
      </c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</row>
    <row r="359" ht="15.75" customHeight="1">
      <c r="A359" s="27" t="s">
        <v>26</v>
      </c>
      <c r="B359" s="28">
        <f t="shared" si="6"/>
        <v>46012</v>
      </c>
      <c r="C359" s="29">
        <v>13.0</v>
      </c>
      <c r="D359" s="29" t="s">
        <v>29</v>
      </c>
      <c r="E359" s="30"/>
      <c r="F359" s="30"/>
      <c r="G359" s="31"/>
      <c r="H359" s="6"/>
      <c r="I359" s="32"/>
      <c r="J359" s="6"/>
      <c r="K359" s="32"/>
      <c r="L359" s="6"/>
      <c r="M359" s="32"/>
      <c r="N359" s="6"/>
      <c r="O359" s="32"/>
      <c r="P359" s="6"/>
      <c r="Q359" s="32"/>
      <c r="R359" s="93"/>
      <c r="S359" s="31"/>
      <c r="T359" s="6"/>
      <c r="U359" s="32"/>
      <c r="V359" s="6"/>
      <c r="W359" s="32"/>
      <c r="X359" s="6"/>
      <c r="Y359" s="32"/>
      <c r="Z359" s="6"/>
      <c r="AA359" s="32"/>
      <c r="AB359" s="6"/>
      <c r="AC359" s="32"/>
      <c r="AD359" s="93"/>
      <c r="AE359" s="33">
        <f t="shared" si="1"/>
        <v>0</v>
      </c>
      <c r="AF359" s="29">
        <f t="shared" si="2"/>
        <v>0</v>
      </c>
      <c r="AG359" s="29">
        <f t="shared" si="3"/>
        <v>0</v>
      </c>
      <c r="AH359" s="29">
        <f t="shared" si="4"/>
        <v>0</v>
      </c>
      <c r="AI359" s="34">
        <f t="shared" si="5"/>
        <v>0</v>
      </c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</row>
    <row r="360" ht="15.75" customHeight="1">
      <c r="A360" s="54"/>
      <c r="B360" s="55"/>
      <c r="C360" s="19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7" t="s">
        <v>34</v>
      </c>
      <c r="AK360" s="57">
        <v>1.0</v>
      </c>
      <c r="AL360" s="57">
        <v>2.0</v>
      </c>
      <c r="AM360" s="57">
        <v>3.0</v>
      </c>
      <c r="AN360" s="57">
        <v>4.0</v>
      </c>
      <c r="AO360" s="57">
        <v>5.0</v>
      </c>
      <c r="AP360" s="57">
        <v>6.0</v>
      </c>
      <c r="AQ360" s="57">
        <v>7.0</v>
      </c>
      <c r="AR360" s="57">
        <v>8.0</v>
      </c>
      <c r="AS360" s="57">
        <v>9.0</v>
      </c>
      <c r="AT360" s="57">
        <v>10.0</v>
      </c>
      <c r="AU360" s="57">
        <v>11.0</v>
      </c>
      <c r="AV360" s="57">
        <v>12.0</v>
      </c>
      <c r="AW360" s="57">
        <v>13.0</v>
      </c>
      <c r="AX360" s="57" t="s">
        <v>35</v>
      </c>
      <c r="AY360" s="58"/>
    </row>
    <row r="361" ht="15.75" customHeight="1">
      <c r="A361" s="54"/>
      <c r="B361" s="55"/>
      <c r="C361" s="19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9">
        <f>SUM(AE3:AE359)</f>
        <v>170726.7</v>
      </c>
      <c r="AF361" s="56"/>
      <c r="AG361" s="56"/>
      <c r="AH361" s="60">
        <f>SUM(AH3:AH359)</f>
        <v>7995</v>
      </c>
      <c r="AI361" s="56"/>
      <c r="AJ361" s="57" t="s">
        <v>36</v>
      </c>
      <c r="AK361" s="58">
        <f t="shared" ref="AK361:AW361" si="7">SUMIF($C$3:$C$359, AK360, $AF$3:$AF$359)</f>
        <v>0</v>
      </c>
      <c r="AL361" s="58">
        <f t="shared" si="7"/>
        <v>0</v>
      </c>
      <c r="AM361" s="58">
        <f t="shared" si="7"/>
        <v>0</v>
      </c>
      <c r="AN361" s="58">
        <f t="shared" si="7"/>
        <v>765</v>
      </c>
      <c r="AO361" s="58">
        <f t="shared" si="7"/>
        <v>990</v>
      </c>
      <c r="AP361" s="58">
        <f t="shared" si="7"/>
        <v>900</v>
      </c>
      <c r="AQ361" s="58">
        <f t="shared" si="7"/>
        <v>810</v>
      </c>
      <c r="AR361" s="58">
        <f t="shared" si="7"/>
        <v>1305</v>
      </c>
      <c r="AS361" s="58">
        <f t="shared" si="7"/>
        <v>1035</v>
      </c>
      <c r="AT361" s="58">
        <f t="shared" si="7"/>
        <v>450</v>
      </c>
      <c r="AU361" s="58">
        <f t="shared" si="7"/>
        <v>0</v>
      </c>
      <c r="AV361" s="58">
        <f t="shared" si="7"/>
        <v>0</v>
      </c>
      <c r="AW361" s="58">
        <f t="shared" si="7"/>
        <v>0</v>
      </c>
      <c r="AX361" s="57">
        <f>SUM(AK361:AW361)</f>
        <v>6255</v>
      </c>
      <c r="AY361" s="58"/>
    </row>
    <row r="362" ht="15.75" customHeight="1">
      <c r="A362" s="54"/>
      <c r="B362" s="55"/>
      <c r="C362" s="19"/>
      <c r="D362" s="56"/>
      <c r="E362" s="61"/>
      <c r="F362" s="61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7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7"/>
      <c r="AY362" s="58"/>
    </row>
    <row r="363" ht="15.75" customHeight="1">
      <c r="A363" s="54"/>
      <c r="B363" s="55"/>
      <c r="C363" s="19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7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7"/>
      <c r="AY363" s="58"/>
    </row>
    <row r="364" ht="15.75" customHeight="1">
      <c r="A364" s="54"/>
      <c r="B364" s="55"/>
      <c r="C364" s="19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7" t="s">
        <v>37</v>
      </c>
      <c r="AK364" s="62">
        <f t="shared" ref="AK364:AW364" si="8">SUMIF($C$3:$C$359, AK360, $AE$3:$AE$359)</f>
        <v>0</v>
      </c>
      <c r="AL364" s="62">
        <f t="shared" si="8"/>
        <v>0</v>
      </c>
      <c r="AM364" s="62">
        <f t="shared" si="8"/>
        <v>0</v>
      </c>
      <c r="AN364" s="62">
        <f t="shared" si="8"/>
        <v>20607.3</v>
      </c>
      <c r="AO364" s="62">
        <f t="shared" si="8"/>
        <v>27226.2</v>
      </c>
      <c r="AP364" s="62">
        <f t="shared" si="8"/>
        <v>24728.4</v>
      </c>
      <c r="AQ364" s="62">
        <f t="shared" si="8"/>
        <v>22230.6</v>
      </c>
      <c r="AR364" s="62">
        <f t="shared" si="8"/>
        <v>35594.1</v>
      </c>
      <c r="AS364" s="62">
        <f t="shared" si="8"/>
        <v>28100.7</v>
      </c>
      <c r="AT364" s="62">
        <f t="shared" si="8"/>
        <v>12239.4</v>
      </c>
      <c r="AU364" s="62">
        <f t="shared" si="8"/>
        <v>0</v>
      </c>
      <c r="AV364" s="62">
        <f t="shared" si="8"/>
        <v>0</v>
      </c>
      <c r="AW364" s="62">
        <f t="shared" si="8"/>
        <v>0</v>
      </c>
      <c r="AX364" s="63">
        <f>SUM(AK364:AW364)</f>
        <v>170726.7</v>
      </c>
      <c r="AY364" s="58"/>
    </row>
    <row r="365" ht="15.75" customHeight="1">
      <c r="A365" s="54"/>
      <c r="B365" s="55"/>
      <c r="C365" s="19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7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3"/>
      <c r="AY365" s="58"/>
    </row>
    <row r="366" ht="15.75" customHeight="1">
      <c r="A366" s="64"/>
      <c r="B366" s="56"/>
      <c r="C366" s="19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7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3"/>
      <c r="AY366" s="58"/>
    </row>
    <row r="367" ht="15.75" customHeight="1">
      <c r="A367" s="64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7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63"/>
      <c r="AY367" s="58"/>
    </row>
    <row r="368" ht="15.75" customHeight="1">
      <c r="A368" s="64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7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63"/>
      <c r="AY368" s="58"/>
    </row>
    <row r="369" ht="15.75" customHeight="1">
      <c r="A369" s="64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65" t="s">
        <v>38</v>
      </c>
      <c r="AK369" s="66">
        <v>0.26</v>
      </c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63"/>
      <c r="AY369" s="58"/>
    </row>
    <row r="370" ht="15.75" customHeight="1">
      <c r="A370" s="64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7"/>
      <c r="AK370" s="62">
        <f t="shared" ref="AK370:AW370" si="9">SUM(AK364:AK366)*$AK$369</f>
        <v>0</v>
      </c>
      <c r="AL370" s="62">
        <f t="shared" si="9"/>
        <v>0</v>
      </c>
      <c r="AM370" s="62">
        <f t="shared" si="9"/>
        <v>0</v>
      </c>
      <c r="AN370" s="62">
        <f t="shared" si="9"/>
        <v>5357.898</v>
      </c>
      <c r="AO370" s="62">
        <f t="shared" si="9"/>
        <v>7078.812</v>
      </c>
      <c r="AP370" s="62">
        <f t="shared" si="9"/>
        <v>6429.384</v>
      </c>
      <c r="AQ370" s="62">
        <f t="shared" si="9"/>
        <v>5779.956</v>
      </c>
      <c r="AR370" s="62">
        <f t="shared" si="9"/>
        <v>9254.466</v>
      </c>
      <c r="AS370" s="62">
        <f t="shared" si="9"/>
        <v>7306.182</v>
      </c>
      <c r="AT370" s="62">
        <f t="shared" si="9"/>
        <v>3182.244</v>
      </c>
      <c r="AU370" s="62">
        <f t="shared" si="9"/>
        <v>0</v>
      </c>
      <c r="AV370" s="62">
        <f t="shared" si="9"/>
        <v>0</v>
      </c>
      <c r="AW370" s="62">
        <f t="shared" si="9"/>
        <v>0</v>
      </c>
      <c r="AX370" s="63">
        <f>SUM(AK370:AW370)</f>
        <v>44388.942</v>
      </c>
      <c r="AY370" s="67">
        <f>AX370/AX364</f>
        <v>0.26</v>
      </c>
    </row>
    <row r="371" ht="15.75" customHeight="1">
      <c r="A371" s="64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7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63"/>
      <c r="AY371" s="58"/>
    </row>
    <row r="372" ht="15.75" customHeight="1">
      <c r="A372" s="64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65" t="s">
        <v>39</v>
      </c>
      <c r="AK372" s="66">
        <v>0.0</v>
      </c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63"/>
      <c r="AY372" s="58"/>
    </row>
    <row r="373" ht="15.75" customHeight="1">
      <c r="A373" s="64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7"/>
      <c r="AK373" s="62">
        <f t="shared" ref="AK373:AW373" si="10">$BC$372*SUM(AK364:AK366)</f>
        <v>0</v>
      </c>
      <c r="AL373" s="62">
        <f t="shared" si="10"/>
        <v>0</v>
      </c>
      <c r="AM373" s="62">
        <f t="shared" si="10"/>
        <v>0</v>
      </c>
      <c r="AN373" s="62">
        <f t="shared" si="10"/>
        <v>0</v>
      </c>
      <c r="AO373" s="62">
        <f t="shared" si="10"/>
        <v>0</v>
      </c>
      <c r="AP373" s="62">
        <f t="shared" si="10"/>
        <v>0</v>
      </c>
      <c r="AQ373" s="62">
        <f t="shared" si="10"/>
        <v>0</v>
      </c>
      <c r="AR373" s="62">
        <f t="shared" si="10"/>
        <v>0</v>
      </c>
      <c r="AS373" s="62">
        <f t="shared" si="10"/>
        <v>0</v>
      </c>
      <c r="AT373" s="62">
        <f t="shared" si="10"/>
        <v>0</v>
      </c>
      <c r="AU373" s="62">
        <f t="shared" si="10"/>
        <v>0</v>
      </c>
      <c r="AV373" s="62">
        <f t="shared" si="10"/>
        <v>0</v>
      </c>
      <c r="AW373" s="62">
        <f t="shared" si="10"/>
        <v>0</v>
      </c>
      <c r="AX373" s="63">
        <f>SUM(AK373:AW373)</f>
        <v>0</v>
      </c>
      <c r="AY373" s="58"/>
    </row>
    <row r="374" ht="15.75" customHeight="1">
      <c r="A374" s="64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7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3"/>
      <c r="AY374" s="58"/>
    </row>
    <row r="375" ht="15.75" customHeight="1">
      <c r="A375" s="64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7" t="s">
        <v>40</v>
      </c>
      <c r="AK375" s="62">
        <f>SUM(AK376:AK378)</f>
        <v>42000</v>
      </c>
      <c r="AL375" s="68" t="s">
        <v>41</v>
      </c>
      <c r="AM375" s="69">
        <f>SUM(AK376:AK378)/SUM(AN376:AN378)-1</f>
        <v>0.05</v>
      </c>
      <c r="AN375" s="70" t="s">
        <v>42</v>
      </c>
      <c r="AO375" s="58"/>
      <c r="AP375" s="58"/>
      <c r="AQ375" s="58"/>
      <c r="AR375" s="58"/>
      <c r="AS375" s="58"/>
      <c r="AT375" s="58"/>
      <c r="AU375" s="58"/>
      <c r="AV375" s="58"/>
      <c r="AW375" s="58"/>
      <c r="AX375" s="63"/>
      <c r="AY375" s="58"/>
    </row>
    <row r="376" ht="15.75" customHeight="1">
      <c r="A376" s="64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7" t="s">
        <v>43</v>
      </c>
      <c r="AK376" s="62">
        <v>42000.0</v>
      </c>
      <c r="AL376" s="58"/>
      <c r="AM376" s="58"/>
      <c r="AN376" s="62">
        <v>40000.0</v>
      </c>
      <c r="AO376" s="58"/>
      <c r="AP376" s="58"/>
      <c r="AQ376" s="58"/>
      <c r="AR376" s="58"/>
      <c r="AS376" s="58"/>
      <c r="AT376" s="58"/>
      <c r="AU376" s="58"/>
      <c r="AV376" s="58"/>
      <c r="AW376" s="58"/>
      <c r="AX376" s="63"/>
      <c r="AY376" s="58"/>
    </row>
    <row r="377" ht="15.75" customHeight="1">
      <c r="A377" s="64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7" t="s">
        <v>44</v>
      </c>
      <c r="AK377" s="62">
        <v>0.0</v>
      </c>
      <c r="AL377" s="58"/>
      <c r="AM377" s="58"/>
      <c r="AN377" s="62">
        <v>0.0</v>
      </c>
      <c r="AO377" s="58"/>
      <c r="AP377" s="58"/>
      <c r="AQ377" s="58"/>
      <c r="AR377" s="58"/>
      <c r="AS377" s="58"/>
      <c r="AT377" s="58"/>
      <c r="AU377" s="58"/>
      <c r="AV377" s="58"/>
      <c r="AW377" s="58"/>
      <c r="AX377" s="63"/>
      <c r="AY377" s="58"/>
    </row>
    <row r="378" ht="15.75" customHeight="1">
      <c r="A378" s="64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7" t="s">
        <v>45</v>
      </c>
      <c r="AK378" s="62">
        <v>0.0</v>
      </c>
      <c r="AL378" s="58"/>
      <c r="AM378" s="58"/>
      <c r="AN378" s="62">
        <v>0.0</v>
      </c>
      <c r="AO378" s="58"/>
      <c r="AP378" s="58"/>
      <c r="AQ378" s="58"/>
      <c r="AR378" s="58"/>
      <c r="AS378" s="58"/>
      <c r="AT378" s="58"/>
      <c r="AU378" s="58"/>
      <c r="AV378" s="58"/>
      <c r="AW378" s="58"/>
      <c r="AX378" s="63"/>
      <c r="AY378" s="58"/>
    </row>
    <row r="379" ht="15.75" customHeight="1">
      <c r="A379" s="64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7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63"/>
      <c r="AY379" s="58"/>
    </row>
    <row r="380" ht="15.75" customHeight="1">
      <c r="A380" s="64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71" t="s">
        <v>46</v>
      </c>
      <c r="AK380" s="72">
        <v>0.025</v>
      </c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63"/>
      <c r="AY380" s="58"/>
    </row>
    <row r="381" ht="15.75" customHeight="1">
      <c r="A381" s="64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71"/>
      <c r="AK381" s="62">
        <f t="shared" ref="AK381:AW381" si="11">$AK$380 * AK364</f>
        <v>0</v>
      </c>
      <c r="AL381" s="62">
        <f t="shared" si="11"/>
        <v>0</v>
      </c>
      <c r="AM381" s="62">
        <f t="shared" si="11"/>
        <v>0</v>
      </c>
      <c r="AN381" s="62">
        <f t="shared" si="11"/>
        <v>515.1825</v>
      </c>
      <c r="AO381" s="62">
        <f t="shared" si="11"/>
        <v>680.655</v>
      </c>
      <c r="AP381" s="62">
        <f t="shared" si="11"/>
        <v>618.21</v>
      </c>
      <c r="AQ381" s="62">
        <f t="shared" si="11"/>
        <v>555.765</v>
      </c>
      <c r="AR381" s="62">
        <f t="shared" si="11"/>
        <v>889.8525</v>
      </c>
      <c r="AS381" s="62">
        <f t="shared" si="11"/>
        <v>702.5175</v>
      </c>
      <c r="AT381" s="62">
        <f t="shared" si="11"/>
        <v>305.985</v>
      </c>
      <c r="AU381" s="62">
        <f t="shared" si="11"/>
        <v>0</v>
      </c>
      <c r="AV381" s="62">
        <f t="shared" si="11"/>
        <v>0</v>
      </c>
      <c r="AW381" s="62">
        <f t="shared" si="11"/>
        <v>0</v>
      </c>
      <c r="AX381" s="63">
        <f>SUM(AK381:AW381)</f>
        <v>4268.1675</v>
      </c>
      <c r="AY381" s="58"/>
    </row>
    <row r="382" ht="15.75" customHeight="1">
      <c r="A382" s="64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7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7"/>
      <c r="AY382" s="58"/>
    </row>
    <row r="383" ht="15.75" customHeight="1">
      <c r="A383" s="64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71" t="s">
        <v>47</v>
      </c>
      <c r="AK383" s="72">
        <v>0.015</v>
      </c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63"/>
      <c r="AY383" s="58"/>
    </row>
    <row r="384" ht="15.75" customHeight="1">
      <c r="A384" s="64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7"/>
      <c r="AK384" s="62">
        <f t="shared" ref="AK384:AW384" si="12">$AK$383 * AK364</f>
        <v>0</v>
      </c>
      <c r="AL384" s="62">
        <f t="shared" si="12"/>
        <v>0</v>
      </c>
      <c r="AM384" s="62">
        <f t="shared" si="12"/>
        <v>0</v>
      </c>
      <c r="AN384" s="62">
        <f t="shared" si="12"/>
        <v>309.1095</v>
      </c>
      <c r="AO384" s="62">
        <f t="shared" si="12"/>
        <v>408.393</v>
      </c>
      <c r="AP384" s="62">
        <f t="shared" si="12"/>
        <v>370.926</v>
      </c>
      <c r="AQ384" s="62">
        <f t="shared" si="12"/>
        <v>333.459</v>
      </c>
      <c r="AR384" s="62">
        <f t="shared" si="12"/>
        <v>533.9115</v>
      </c>
      <c r="AS384" s="62">
        <f t="shared" si="12"/>
        <v>421.5105</v>
      </c>
      <c r="AT384" s="62">
        <f t="shared" si="12"/>
        <v>183.591</v>
      </c>
      <c r="AU384" s="62">
        <f t="shared" si="12"/>
        <v>0</v>
      </c>
      <c r="AV384" s="62">
        <f t="shared" si="12"/>
        <v>0</v>
      </c>
      <c r="AW384" s="62">
        <f t="shared" si="12"/>
        <v>0</v>
      </c>
      <c r="AX384" s="63">
        <f>SUM(AK384:AW384)</f>
        <v>2560.9005</v>
      </c>
      <c r="AY384" s="58"/>
    </row>
    <row r="385" ht="15.75" customHeight="1">
      <c r="A385" s="64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7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7"/>
      <c r="AY385" s="58"/>
    </row>
    <row r="386" ht="15.75" customHeight="1">
      <c r="A386" s="64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7" t="s">
        <v>48</v>
      </c>
      <c r="AK386" s="62">
        <v>0.0</v>
      </c>
      <c r="AL386" s="62">
        <v>0.0</v>
      </c>
      <c r="AM386" s="62">
        <v>0.0</v>
      </c>
      <c r="AN386" s="62">
        <v>500.0</v>
      </c>
      <c r="AO386" s="62">
        <v>20.0</v>
      </c>
      <c r="AP386" s="62">
        <v>20.0</v>
      </c>
      <c r="AQ386" s="62">
        <v>20.0</v>
      </c>
      <c r="AR386" s="62">
        <v>20.0</v>
      </c>
      <c r="AS386" s="62">
        <v>20.0</v>
      </c>
      <c r="AT386" s="62">
        <v>20.0</v>
      </c>
      <c r="AU386" s="62">
        <v>0.0</v>
      </c>
      <c r="AV386" s="62">
        <v>0.0</v>
      </c>
      <c r="AW386" s="62">
        <v>0.0</v>
      </c>
      <c r="AX386" s="63">
        <f>SUM(AK386:AW386)</f>
        <v>620</v>
      </c>
      <c r="AY386" s="58"/>
    </row>
    <row r="387" ht="15.75" customHeight="1">
      <c r="A387" s="64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63"/>
      <c r="AY387" s="58"/>
    </row>
    <row r="388" ht="15.75" customHeight="1">
      <c r="A388" s="64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73" t="s">
        <v>49</v>
      </c>
      <c r="AK388" s="74"/>
      <c r="AL388" s="74"/>
      <c r="AM388" s="75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63"/>
      <c r="AY388" s="58"/>
    </row>
    <row r="389" ht="15.75" customHeight="1">
      <c r="A389" s="64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76" t="s">
        <v>50</v>
      </c>
      <c r="AK389" s="58"/>
      <c r="AL389" s="58"/>
      <c r="AM389" s="77">
        <v>1000.0</v>
      </c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63"/>
      <c r="AY389" s="58"/>
    </row>
    <row r="390" ht="15.75" customHeight="1">
      <c r="A390" s="64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78" t="s">
        <v>51</v>
      </c>
      <c r="AK390" s="58"/>
      <c r="AL390" s="58"/>
      <c r="AM390" s="77">
        <v>5000.0</v>
      </c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63"/>
      <c r="AY390" s="58"/>
    </row>
    <row r="391" ht="15.75" customHeight="1">
      <c r="A391" s="64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79" t="s">
        <v>52</v>
      </c>
      <c r="AK391" s="58"/>
      <c r="AL391" s="58"/>
      <c r="AM391" s="80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63"/>
      <c r="AY391" s="58"/>
    </row>
    <row r="392" ht="15.75" customHeight="1">
      <c r="A392" s="64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76"/>
      <c r="AK392" s="58"/>
      <c r="AL392" s="58"/>
      <c r="AM392" s="81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63"/>
      <c r="AY392" s="58"/>
    </row>
    <row r="393" ht="15.75" customHeight="1">
      <c r="A393" s="64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73" t="s">
        <v>53</v>
      </c>
      <c r="AK393" s="58"/>
      <c r="AL393" s="58"/>
      <c r="AM393" s="81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63"/>
      <c r="AY393" s="58"/>
    </row>
    <row r="394" ht="15.75" customHeight="1">
      <c r="A394" s="64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76" t="s">
        <v>54</v>
      </c>
      <c r="AK394" s="58"/>
      <c r="AL394" s="58"/>
      <c r="AM394" s="77"/>
      <c r="AN394" s="58"/>
      <c r="AO394" s="58" t="s">
        <v>55</v>
      </c>
      <c r="AP394" s="72">
        <v>0.05</v>
      </c>
      <c r="AQ394" s="58"/>
      <c r="AR394" s="58"/>
      <c r="AS394" s="58"/>
      <c r="AT394" s="58"/>
      <c r="AU394" s="58"/>
      <c r="AV394" s="58"/>
      <c r="AW394" s="58"/>
      <c r="AX394" s="63"/>
      <c r="AY394" s="58"/>
    </row>
    <row r="395" ht="15.75" customHeight="1">
      <c r="A395" s="64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78" t="s">
        <v>56</v>
      </c>
      <c r="AK395" s="58"/>
      <c r="AL395" s="58"/>
      <c r="AM395" s="77"/>
      <c r="AN395" s="58"/>
      <c r="AO395" s="58" t="s">
        <v>57</v>
      </c>
      <c r="AP395" s="72">
        <v>0.072</v>
      </c>
      <c r="AQ395" s="58"/>
      <c r="AR395" s="58"/>
      <c r="AS395" s="58"/>
      <c r="AT395" s="58"/>
      <c r="AU395" s="58"/>
      <c r="AV395" s="58"/>
      <c r="AW395" s="58"/>
      <c r="AX395" s="57"/>
      <c r="AY395" s="58"/>
    </row>
    <row r="396" ht="15.75" customHeight="1">
      <c r="A396" s="64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79" t="s">
        <v>58</v>
      </c>
      <c r="AK396" s="58"/>
      <c r="AL396" s="58"/>
      <c r="AM396" s="80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7"/>
      <c r="AY396" s="58"/>
    </row>
    <row r="397" ht="15.75" customHeight="1">
      <c r="A397" s="64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76"/>
      <c r="AK397" s="58"/>
      <c r="AL397" s="58"/>
      <c r="AM397" s="81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7"/>
      <c r="AY397" s="58"/>
    </row>
    <row r="398" ht="15.75" customHeight="1">
      <c r="A398" s="64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73" t="s">
        <v>59</v>
      </c>
      <c r="AK398" s="58"/>
      <c r="AL398" s="58"/>
      <c r="AM398" s="81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7"/>
      <c r="AY398" s="58"/>
    </row>
    <row r="399" ht="15.75" customHeight="1">
      <c r="A399" s="64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76" t="s">
        <v>60</v>
      </c>
      <c r="AK399" s="58"/>
      <c r="AL399" s="58"/>
      <c r="AM399" s="77">
        <v>12000.0</v>
      </c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7"/>
      <c r="AY399" s="58"/>
    </row>
    <row r="400" ht="15.75" customHeight="1">
      <c r="A400" s="64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78" t="s">
        <v>61</v>
      </c>
      <c r="AK400" s="58"/>
      <c r="AL400" s="58"/>
      <c r="AM400" s="77">
        <v>0.0</v>
      </c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7"/>
      <c r="AY400" s="58"/>
    </row>
    <row r="401" ht="15.75" customHeight="1">
      <c r="A401" s="64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79" t="s">
        <v>62</v>
      </c>
      <c r="AK401" s="58"/>
      <c r="AL401" s="58"/>
      <c r="AM401" s="80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7"/>
      <c r="AY401" s="58"/>
    </row>
    <row r="402" ht="15.75" customHeight="1">
      <c r="A402" s="64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76"/>
      <c r="AK402" s="58"/>
      <c r="AL402" s="58"/>
      <c r="AM402" s="81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7"/>
      <c r="AY402" s="58"/>
    </row>
    <row r="403" ht="15.75" customHeight="1">
      <c r="A403" s="64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73" t="s">
        <v>63</v>
      </c>
      <c r="AK403" s="58"/>
      <c r="AL403" s="58"/>
      <c r="AM403" s="82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7"/>
      <c r="AY403" s="58"/>
    </row>
    <row r="404" ht="15.75" customHeight="1">
      <c r="A404" s="64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76" t="s">
        <v>64</v>
      </c>
      <c r="AK404" s="58"/>
      <c r="AL404" s="58"/>
      <c r="AM404" s="77">
        <f>60*7</f>
        <v>420</v>
      </c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7"/>
      <c r="AY404" s="58"/>
    </row>
    <row r="405" ht="15.75" customHeight="1">
      <c r="A405" s="64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76" t="s">
        <v>65</v>
      </c>
      <c r="AK405" s="58"/>
      <c r="AL405" s="58"/>
      <c r="AM405" s="77">
        <v>0.0</v>
      </c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7"/>
      <c r="AY405" s="58"/>
    </row>
    <row r="406" ht="15.75" customHeight="1">
      <c r="A406" s="64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78" t="s">
        <v>66</v>
      </c>
      <c r="AK406" s="58"/>
      <c r="AL406" s="58"/>
      <c r="AM406" s="77">
        <v>0.0</v>
      </c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7"/>
      <c r="AY406" s="58"/>
    </row>
    <row r="407" ht="15.75" customHeight="1">
      <c r="A407" s="64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79" t="s">
        <v>67</v>
      </c>
      <c r="AK407" s="58"/>
      <c r="AL407" s="58"/>
      <c r="AM407" s="80">
        <v>0.0</v>
      </c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7"/>
      <c r="AY407" s="58"/>
    </row>
    <row r="408" ht="15.75" customHeight="1">
      <c r="A408" s="64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76"/>
      <c r="AK408" s="58"/>
      <c r="AL408" s="58"/>
      <c r="AM408" s="81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7"/>
      <c r="AY408" s="58"/>
    </row>
    <row r="409" ht="15.75" customHeight="1">
      <c r="A409" s="64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73" t="s">
        <v>68</v>
      </c>
      <c r="AK409" s="58"/>
      <c r="AL409" s="58"/>
      <c r="AM409" s="77">
        <v>0.0</v>
      </c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7"/>
      <c r="AY409" s="58"/>
    </row>
    <row r="410" ht="15.75" customHeight="1">
      <c r="A410" s="64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76" t="s">
        <v>69</v>
      </c>
      <c r="AK410" s="58"/>
      <c r="AL410" s="58"/>
      <c r="AM410" s="77">
        <v>2600.0</v>
      </c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7"/>
      <c r="AY410" s="58"/>
    </row>
    <row r="411" ht="15.75" customHeight="1">
      <c r="A411" s="64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78" t="s">
        <v>70</v>
      </c>
      <c r="AK411" s="58"/>
      <c r="AL411" s="58"/>
      <c r="AM411" s="77">
        <v>7500.0</v>
      </c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7"/>
      <c r="AY411" s="58"/>
    </row>
    <row r="412" ht="15.75" customHeight="1">
      <c r="A412" s="64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79" t="s">
        <v>71</v>
      </c>
      <c r="AK412" s="58"/>
      <c r="AL412" s="58"/>
      <c r="AM412" s="77">
        <v>0.0</v>
      </c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7"/>
      <c r="AY412" s="58"/>
    </row>
    <row r="413" ht="15.75" customHeight="1">
      <c r="A413" s="64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76"/>
      <c r="AK413" s="58"/>
      <c r="AL413" s="58"/>
      <c r="AM413" s="80">
        <v>0.0</v>
      </c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7"/>
      <c r="AY413" s="58"/>
    </row>
    <row r="414" ht="15.75" customHeight="1">
      <c r="A414" s="64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73" t="s">
        <v>72</v>
      </c>
      <c r="AK414" s="58"/>
      <c r="AL414" s="58"/>
      <c r="AM414" s="81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7"/>
      <c r="AY414" s="58"/>
    </row>
    <row r="415" ht="15.75" customHeight="1">
      <c r="A415" s="64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76" t="s">
        <v>73</v>
      </c>
      <c r="AK415" s="58"/>
      <c r="AL415" s="58"/>
      <c r="AM415" s="77">
        <v>0.0</v>
      </c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7"/>
      <c r="AY415" s="58"/>
    </row>
    <row r="416" ht="15.75" customHeight="1">
      <c r="A416" s="64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78" t="s">
        <v>74</v>
      </c>
      <c r="AK416" s="58"/>
      <c r="AL416" s="58"/>
      <c r="AM416" s="77">
        <v>500.0</v>
      </c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7"/>
      <c r="AY416" s="58"/>
    </row>
    <row r="417" ht="15.75" customHeight="1">
      <c r="A417" s="64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79" t="s">
        <v>75</v>
      </c>
      <c r="AK417" s="58"/>
      <c r="AL417" s="58"/>
      <c r="AM417" s="80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7"/>
      <c r="AY417" s="58"/>
    </row>
    <row r="418" ht="15.75" customHeight="1">
      <c r="A418" s="64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76"/>
      <c r="AK418" s="58"/>
      <c r="AL418" s="58"/>
      <c r="AM418" s="82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7"/>
      <c r="AY418" s="58"/>
    </row>
    <row r="419" ht="15.75" customHeight="1">
      <c r="A419" s="64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73" t="s">
        <v>76</v>
      </c>
      <c r="AK419" s="58"/>
      <c r="AL419" s="58"/>
      <c r="AM419" s="77">
        <v>0.0</v>
      </c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7"/>
      <c r="AY419" s="58"/>
    </row>
    <row r="420" ht="15.75" customHeight="1">
      <c r="A420" s="64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76" t="s">
        <v>77</v>
      </c>
      <c r="AK420" s="58"/>
      <c r="AL420" s="58"/>
      <c r="AM420" s="77">
        <v>350.0</v>
      </c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7"/>
      <c r="AY420" s="58"/>
    </row>
    <row r="421" ht="15.75" customHeight="1">
      <c r="A421" s="64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76" t="s">
        <v>78</v>
      </c>
      <c r="AK421" s="58"/>
      <c r="AL421" s="58"/>
      <c r="AM421" s="77">
        <v>350.0</v>
      </c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7"/>
      <c r="AY421" s="58"/>
    </row>
    <row r="422" ht="15.75" customHeight="1">
      <c r="A422" s="64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78" t="s">
        <v>79</v>
      </c>
      <c r="AK422" s="58"/>
      <c r="AL422" s="58"/>
      <c r="AM422" s="77">
        <v>0.0</v>
      </c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7"/>
      <c r="AY422" s="58"/>
    </row>
    <row r="423" ht="15.75" customHeight="1">
      <c r="A423" s="64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79" t="s">
        <v>80</v>
      </c>
      <c r="AK423" s="58"/>
      <c r="AL423" s="58"/>
      <c r="AM423" s="77">
        <v>0.0</v>
      </c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7"/>
      <c r="AY423" s="58"/>
    </row>
    <row r="424" ht="15.75" customHeight="1">
      <c r="A424" s="64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76"/>
      <c r="AK424" s="58"/>
      <c r="AL424" s="58"/>
      <c r="AM424" s="77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7"/>
      <c r="AY424" s="58"/>
    </row>
    <row r="425" ht="15.75" customHeight="1">
      <c r="A425" s="64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83" t="s">
        <v>81</v>
      </c>
      <c r="AK425" s="58"/>
      <c r="AL425" s="58"/>
      <c r="AM425" s="80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7"/>
      <c r="AY425" s="58"/>
    </row>
    <row r="426" ht="15.75" customHeight="1">
      <c r="A426" s="64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84"/>
      <c r="AK426" s="58"/>
      <c r="AL426" s="58"/>
      <c r="AM426" s="81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7"/>
      <c r="AY426" s="58"/>
    </row>
    <row r="427" ht="15.75" customHeight="1">
      <c r="A427" s="64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85"/>
      <c r="AK427" s="58"/>
      <c r="AL427" s="58"/>
      <c r="AM427" s="80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7"/>
      <c r="AY427" s="58"/>
    </row>
    <row r="428" ht="15.75" customHeight="1">
      <c r="A428" s="64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86"/>
      <c r="AK428" s="58"/>
      <c r="AL428" s="58"/>
      <c r="AM428" s="82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7"/>
      <c r="AY428" s="58"/>
    </row>
    <row r="429" ht="15.75" customHeight="1">
      <c r="A429" s="64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87"/>
      <c r="AK429" s="88"/>
      <c r="AL429" s="88"/>
      <c r="AM429" s="89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7"/>
      <c r="AY429" s="58"/>
    </row>
    <row r="430" ht="15.75" customHeight="1">
      <c r="A430" s="64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</row>
    <row r="431" ht="15.75" customHeight="1">
      <c r="A431" s="64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</row>
    <row r="432" ht="15.75" customHeight="1">
      <c r="A432" s="64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</row>
    <row r="433" ht="15.75" customHeight="1">
      <c r="A433" s="64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</row>
    <row r="434" ht="15.75" customHeight="1">
      <c r="A434" s="64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</row>
    <row r="435" ht="15.75" customHeight="1">
      <c r="A435" s="64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</row>
    <row r="436" ht="15.75" customHeight="1">
      <c r="A436" s="64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</row>
    <row r="437" ht="15.75" customHeight="1">
      <c r="A437" s="64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</row>
    <row r="438" ht="15.75" customHeight="1">
      <c r="A438" s="64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</row>
    <row r="439" ht="15.75" customHeight="1">
      <c r="A439" s="64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</row>
    <row r="440" ht="15.75" customHeight="1">
      <c r="A440" s="64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</row>
    <row r="441" ht="15.75" customHeight="1">
      <c r="A441" s="64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</row>
    <row r="442" ht="15.75" customHeight="1">
      <c r="A442" s="64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</row>
    <row r="443" ht="15.75" customHeight="1">
      <c r="A443" s="64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</row>
    <row r="444" ht="15.75" customHeight="1">
      <c r="A444" s="64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</row>
    <row r="445" ht="15.75" customHeight="1">
      <c r="A445" s="64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</row>
    <row r="446" ht="15.75" customHeight="1">
      <c r="A446" s="64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</row>
    <row r="447" ht="15.75" customHeight="1">
      <c r="A447" s="64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</row>
    <row r="448" ht="15.75" customHeight="1">
      <c r="A448" s="64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</row>
    <row r="449" ht="15.75" customHeight="1">
      <c r="A449" s="64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</row>
    <row r="450" ht="15.75" customHeight="1">
      <c r="A450" s="64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</row>
    <row r="451" ht="15.75" customHeight="1">
      <c r="A451" s="64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</row>
    <row r="452" ht="15.75" customHeight="1">
      <c r="A452" s="64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</row>
    <row r="453" ht="15.75" customHeight="1">
      <c r="A453" s="64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</row>
    <row r="454" ht="15.75" customHeight="1">
      <c r="A454" s="64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</row>
    <row r="455" ht="15.75" customHeight="1">
      <c r="A455" s="64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</row>
    <row r="456" ht="15.75" customHeight="1">
      <c r="A456" s="64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</row>
    <row r="457" ht="15.75" customHeight="1">
      <c r="A457" s="64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</row>
    <row r="458" ht="15.75" customHeight="1">
      <c r="A458" s="64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</row>
    <row r="459" ht="15.75" customHeight="1">
      <c r="A459" s="64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</row>
    <row r="460" ht="15.75" customHeight="1">
      <c r="A460" s="64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</row>
    <row r="461" ht="15.75" customHeight="1">
      <c r="A461" s="64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</row>
    <row r="462" ht="15.75" customHeight="1">
      <c r="A462" s="64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</row>
    <row r="463" ht="15.75" customHeight="1">
      <c r="A463" s="64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</row>
    <row r="464" ht="15.75" customHeight="1">
      <c r="A464" s="64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</row>
    <row r="465" ht="15.75" customHeight="1">
      <c r="A465" s="64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</row>
    <row r="466" ht="15.75" customHeight="1">
      <c r="A466" s="64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</row>
    <row r="467" ht="15.75" customHeight="1">
      <c r="A467" s="64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</row>
    <row r="468" ht="15.75" customHeight="1">
      <c r="A468" s="64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</row>
    <row r="469" ht="15.75" customHeight="1">
      <c r="A469" s="64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</row>
    <row r="470" ht="15.75" customHeight="1">
      <c r="A470" s="64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</row>
    <row r="471" ht="15.75" customHeight="1">
      <c r="A471" s="64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</row>
    <row r="472" ht="15.75" customHeight="1">
      <c r="A472" s="64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</row>
    <row r="473" ht="15.75" customHeight="1">
      <c r="A473" s="64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</row>
    <row r="474" ht="15.75" customHeight="1">
      <c r="A474" s="64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</row>
    <row r="475" ht="15.75" customHeight="1">
      <c r="A475" s="64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</row>
    <row r="476" ht="15.75" customHeight="1">
      <c r="A476" s="64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</row>
    <row r="477" ht="15.75" customHeight="1">
      <c r="A477" s="64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</row>
    <row r="478" ht="15.75" customHeight="1">
      <c r="A478" s="64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</row>
    <row r="479" ht="15.75" customHeight="1">
      <c r="A479" s="64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</row>
    <row r="480" ht="15.75" customHeight="1">
      <c r="A480" s="64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</row>
    <row r="481" ht="15.75" customHeight="1">
      <c r="A481" s="64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</row>
    <row r="482" ht="15.75" customHeight="1">
      <c r="A482" s="64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</row>
    <row r="483" ht="15.75" customHeight="1">
      <c r="A483" s="64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</row>
    <row r="484" ht="15.75" customHeight="1">
      <c r="A484" s="64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</row>
    <row r="485" ht="15.75" customHeight="1">
      <c r="A485" s="64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</row>
    <row r="486" ht="15.75" customHeight="1">
      <c r="A486" s="64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</row>
    <row r="487" ht="15.75" customHeight="1">
      <c r="A487" s="64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</row>
    <row r="488" ht="15.75" customHeight="1">
      <c r="A488" s="64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</row>
    <row r="489" ht="15.75" customHeight="1">
      <c r="A489" s="64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</row>
    <row r="490" ht="15.75" customHeight="1">
      <c r="A490" s="64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</row>
    <row r="491" ht="15.75" customHeight="1">
      <c r="A491" s="64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</row>
    <row r="492" ht="15.75" customHeight="1">
      <c r="A492" s="64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</row>
    <row r="493" ht="15.75" customHeight="1">
      <c r="A493" s="64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</row>
    <row r="494" ht="15.75" customHeight="1">
      <c r="A494" s="64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</row>
    <row r="495" ht="15.75" customHeight="1">
      <c r="A495" s="64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</row>
    <row r="496" ht="15.75" customHeight="1">
      <c r="A496" s="64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</row>
    <row r="497" ht="15.75" customHeight="1">
      <c r="A497" s="64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</row>
    <row r="498" ht="15.75" customHeight="1">
      <c r="A498" s="64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</row>
    <row r="499" ht="15.75" customHeight="1">
      <c r="A499" s="64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</row>
    <row r="500" ht="15.75" customHeight="1">
      <c r="A500" s="64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</row>
    <row r="501" ht="15.75" customHeight="1">
      <c r="A501" s="64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</row>
    <row r="502" ht="15.75" customHeight="1">
      <c r="A502" s="64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</row>
    <row r="503" ht="15.75" customHeight="1">
      <c r="A503" s="64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</row>
    <row r="504" ht="15.75" customHeight="1">
      <c r="A504" s="64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</row>
    <row r="505" ht="15.75" customHeight="1">
      <c r="A505" s="64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</row>
    <row r="506" ht="15.75" customHeight="1">
      <c r="A506" s="64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</row>
    <row r="507" ht="15.75" customHeight="1">
      <c r="A507" s="64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</row>
    <row r="508" ht="15.75" customHeight="1">
      <c r="A508" s="64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</row>
    <row r="509" ht="15.75" customHeight="1">
      <c r="A509" s="64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</row>
    <row r="510" ht="15.75" customHeight="1">
      <c r="A510" s="64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</row>
    <row r="511" ht="15.75" customHeight="1">
      <c r="A511" s="64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</row>
    <row r="512" ht="15.75" customHeight="1">
      <c r="A512" s="64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</row>
    <row r="513" ht="15.75" customHeight="1">
      <c r="A513" s="64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</row>
    <row r="514" ht="15.75" customHeight="1">
      <c r="A514" s="64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</row>
    <row r="515" ht="15.75" customHeight="1">
      <c r="A515" s="64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</row>
    <row r="516" ht="15.75" customHeight="1">
      <c r="A516" s="64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</row>
    <row r="517" ht="15.75" customHeight="1">
      <c r="A517" s="64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</row>
    <row r="518" ht="15.75" customHeight="1">
      <c r="A518" s="64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</row>
    <row r="519" ht="15.75" customHeight="1">
      <c r="A519" s="64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</row>
    <row r="520" ht="15.75" customHeight="1">
      <c r="A520" s="64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</row>
    <row r="521" ht="15.75" customHeight="1">
      <c r="A521" s="64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</row>
    <row r="522" ht="15.75" customHeight="1">
      <c r="A522" s="64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</row>
    <row r="523" ht="15.75" customHeight="1">
      <c r="A523" s="64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</row>
    <row r="524" ht="15.75" customHeight="1">
      <c r="A524" s="64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</row>
    <row r="525" ht="15.75" customHeight="1">
      <c r="A525" s="64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</row>
    <row r="526" ht="15.75" customHeight="1">
      <c r="A526" s="64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</row>
    <row r="527" ht="15.75" customHeight="1">
      <c r="A527" s="64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</row>
    <row r="528" ht="15.75" customHeight="1">
      <c r="A528" s="64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</row>
    <row r="529" ht="15.75" customHeight="1">
      <c r="A529" s="64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</row>
    <row r="530" ht="15.75" customHeight="1">
      <c r="A530" s="64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</row>
    <row r="531" ht="15.75" customHeight="1">
      <c r="A531" s="64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</row>
    <row r="532" ht="15.75" customHeight="1">
      <c r="A532" s="64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</row>
    <row r="533" ht="15.75" customHeight="1">
      <c r="A533" s="64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</row>
    <row r="534" ht="15.75" customHeight="1">
      <c r="A534" s="64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</row>
    <row r="535" ht="15.75" customHeight="1">
      <c r="A535" s="64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</row>
    <row r="536" ht="15.75" customHeight="1">
      <c r="A536" s="64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</row>
    <row r="537" ht="15.75" customHeight="1">
      <c r="A537" s="64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</row>
    <row r="538" ht="15.75" customHeight="1">
      <c r="A538" s="64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</row>
    <row r="539" ht="15.75" customHeight="1">
      <c r="A539" s="64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</row>
    <row r="540" ht="15.75" customHeight="1">
      <c r="A540" s="64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</row>
    <row r="541" ht="15.75" customHeight="1">
      <c r="A541" s="64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</row>
    <row r="542" ht="15.75" customHeight="1">
      <c r="A542" s="64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</row>
    <row r="543" ht="15.75" customHeight="1">
      <c r="A543" s="64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</row>
    <row r="544" ht="15.75" customHeight="1">
      <c r="A544" s="64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</row>
    <row r="545" ht="15.75" customHeight="1">
      <c r="A545" s="64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</row>
    <row r="546" ht="15.75" customHeight="1">
      <c r="A546" s="64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</row>
    <row r="547" ht="15.75" customHeight="1">
      <c r="A547" s="64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</row>
    <row r="548" ht="15.75" customHeight="1">
      <c r="A548" s="64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</row>
    <row r="549" ht="15.75" customHeight="1">
      <c r="A549" s="64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</row>
    <row r="550" ht="15.75" customHeight="1">
      <c r="A550" s="64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</row>
    <row r="551" ht="15.75" customHeight="1">
      <c r="A551" s="64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</row>
    <row r="552" ht="15.75" customHeight="1">
      <c r="A552" s="64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</row>
    <row r="553" ht="15.75" customHeight="1">
      <c r="A553" s="64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</row>
    <row r="554" ht="15.75" customHeight="1">
      <c r="A554" s="64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</row>
    <row r="555" ht="15.75" customHeight="1">
      <c r="A555" s="64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</row>
    <row r="556" ht="15.75" customHeight="1">
      <c r="A556" s="64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</row>
    <row r="557" ht="15.75" customHeight="1">
      <c r="A557" s="64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</row>
    <row r="558" ht="15.75" customHeight="1">
      <c r="A558" s="64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</row>
    <row r="559" ht="15.75" customHeight="1">
      <c r="A559" s="64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</row>
    <row r="560" ht="15.75" customHeight="1">
      <c r="A560" s="64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</row>
    <row r="561" ht="15.75" customHeight="1">
      <c r="A561" s="64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</row>
    <row r="562" ht="15.75" customHeight="1">
      <c r="A562" s="64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</row>
    <row r="563" ht="15.75" customHeight="1">
      <c r="A563" s="64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</row>
    <row r="564" ht="15.75" customHeight="1">
      <c r="A564" s="64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</row>
    <row r="565" ht="15.75" customHeight="1">
      <c r="A565" s="64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</row>
    <row r="566" ht="15.75" customHeight="1">
      <c r="A566" s="64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</row>
    <row r="567" ht="15.75" customHeight="1">
      <c r="A567" s="64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</row>
    <row r="568" ht="15.75" customHeight="1">
      <c r="A568" s="64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</row>
    <row r="569" ht="15.75" customHeight="1">
      <c r="A569" s="64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</row>
    <row r="570" ht="15.75" customHeight="1">
      <c r="A570" s="64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</row>
    <row r="571" ht="15.75" customHeight="1">
      <c r="A571" s="64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</row>
    <row r="572" ht="15.75" customHeight="1">
      <c r="A572" s="64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</row>
    <row r="573" ht="15.75" customHeight="1">
      <c r="A573" s="64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</row>
    <row r="574" ht="15.75" customHeight="1">
      <c r="A574" s="64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</row>
    <row r="575" ht="15.75" customHeight="1">
      <c r="A575" s="64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</row>
    <row r="576" ht="15.75" customHeight="1">
      <c r="A576" s="64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</row>
    <row r="577" ht="15.75" customHeight="1">
      <c r="A577" s="64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</row>
    <row r="578" ht="15.75" customHeight="1">
      <c r="A578" s="64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</row>
    <row r="579" ht="15.75" customHeight="1">
      <c r="A579" s="64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</row>
    <row r="580" ht="15.75" customHeight="1">
      <c r="A580" s="64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</row>
    <row r="581" ht="15.75" customHeight="1">
      <c r="A581" s="64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</row>
    <row r="582" ht="15.75" customHeight="1">
      <c r="A582" s="64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</row>
    <row r="583" ht="15.75" customHeight="1">
      <c r="A583" s="64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</row>
    <row r="584" ht="15.75" customHeight="1">
      <c r="A584" s="64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</row>
    <row r="585" ht="15.75" customHeight="1">
      <c r="A585" s="64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</row>
    <row r="586" ht="15.75" customHeight="1">
      <c r="A586" s="64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</row>
    <row r="587" ht="15.75" customHeight="1">
      <c r="A587" s="64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</row>
    <row r="588" ht="15.75" customHeight="1">
      <c r="A588" s="64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</row>
    <row r="589" ht="15.75" customHeight="1">
      <c r="A589" s="64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</row>
    <row r="590" ht="15.75" customHeight="1">
      <c r="A590" s="64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</row>
    <row r="591" ht="15.75" customHeight="1">
      <c r="A591" s="64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</row>
    <row r="592" ht="15.75" customHeight="1">
      <c r="A592" s="64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</row>
    <row r="593" ht="15.75" customHeight="1">
      <c r="A593" s="64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</row>
    <row r="594" ht="15.75" customHeight="1">
      <c r="A594" s="64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</row>
    <row r="595" ht="15.75" customHeight="1">
      <c r="A595" s="64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</row>
    <row r="596" ht="15.75" customHeight="1">
      <c r="A596" s="64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</row>
    <row r="597" ht="15.75" customHeight="1">
      <c r="A597" s="64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</row>
    <row r="598" ht="15.75" customHeight="1">
      <c r="A598" s="64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</row>
    <row r="599" ht="15.75" customHeight="1">
      <c r="A599" s="64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</row>
    <row r="600" ht="15.75" customHeight="1">
      <c r="A600" s="64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</row>
    <row r="601" ht="15.75" customHeight="1">
      <c r="A601" s="64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</row>
    <row r="602" ht="15.75" customHeight="1">
      <c r="A602" s="64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</row>
    <row r="603" ht="15.75" customHeight="1">
      <c r="A603" s="64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</row>
    <row r="604" ht="15.75" customHeight="1">
      <c r="A604" s="64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</row>
    <row r="605" ht="15.75" customHeight="1">
      <c r="A605" s="64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</row>
    <row r="606" ht="15.75" customHeight="1">
      <c r="A606" s="64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</row>
    <row r="607" ht="15.75" customHeight="1">
      <c r="A607" s="64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</row>
    <row r="608" ht="15.75" customHeight="1">
      <c r="A608" s="64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</row>
    <row r="609" ht="15.75" customHeight="1">
      <c r="A609" s="64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</row>
    <row r="610" ht="15.75" customHeight="1">
      <c r="A610" s="64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</row>
    <row r="611" ht="15.75" customHeight="1">
      <c r="A611" s="64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</row>
    <row r="612" ht="15.75" customHeight="1">
      <c r="A612" s="64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</row>
    <row r="613" ht="15.75" customHeight="1">
      <c r="A613" s="64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</row>
    <row r="614" ht="15.75" customHeight="1">
      <c r="A614" s="64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</row>
    <row r="615" ht="15.75" customHeight="1">
      <c r="A615" s="64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</row>
    <row r="616" ht="15.75" customHeight="1">
      <c r="A616" s="64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</row>
    <row r="617" ht="15.75" customHeight="1">
      <c r="A617" s="64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</row>
    <row r="618" ht="15.75" customHeight="1">
      <c r="A618" s="64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</row>
    <row r="619" ht="15.75" customHeight="1">
      <c r="A619" s="64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</row>
    <row r="620" ht="15.75" customHeight="1">
      <c r="A620" s="64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</row>
    <row r="621" ht="15.75" customHeight="1">
      <c r="A621" s="64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</row>
    <row r="622" ht="15.75" customHeight="1">
      <c r="A622" s="64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</row>
    <row r="623" ht="15.75" customHeight="1">
      <c r="A623" s="64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</row>
    <row r="624" ht="15.75" customHeight="1">
      <c r="A624" s="64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</row>
    <row r="625" ht="15.75" customHeight="1">
      <c r="A625" s="64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</row>
  </sheetData>
  <mergeCells count="4288">
    <mergeCell ref="Q3:R3"/>
    <mergeCell ref="S3:T3"/>
    <mergeCell ref="Q4:R4"/>
    <mergeCell ref="S4:T4"/>
    <mergeCell ref="U3:V3"/>
    <mergeCell ref="W3:X3"/>
    <mergeCell ref="U4:V4"/>
    <mergeCell ref="W4:X4"/>
    <mergeCell ref="Y3:Z3"/>
    <mergeCell ref="AA3:AB3"/>
    <mergeCell ref="Y4:Z4"/>
    <mergeCell ref="AA4:AB4"/>
    <mergeCell ref="AC4:AD4"/>
    <mergeCell ref="A1:F1"/>
    <mergeCell ref="G1:R1"/>
    <mergeCell ref="S1:AD1"/>
    <mergeCell ref="AE1:AI1"/>
    <mergeCell ref="G3:H3"/>
    <mergeCell ref="I3:J3"/>
    <mergeCell ref="K3:L3"/>
    <mergeCell ref="AC3:AD3"/>
    <mergeCell ref="M3:N3"/>
    <mergeCell ref="O3:P3"/>
    <mergeCell ref="G4:H4"/>
    <mergeCell ref="I4:J4"/>
    <mergeCell ref="K4:L4"/>
    <mergeCell ref="M4:N4"/>
    <mergeCell ref="O4:P4"/>
    <mergeCell ref="U5:V5"/>
    <mergeCell ref="W5:X5"/>
    <mergeCell ref="Y5:Z5"/>
    <mergeCell ref="AA5:AB5"/>
    <mergeCell ref="AC5:AD5"/>
    <mergeCell ref="G5:H5"/>
    <mergeCell ref="I5:J5"/>
    <mergeCell ref="K5:L5"/>
    <mergeCell ref="M5:N5"/>
    <mergeCell ref="O5:P5"/>
    <mergeCell ref="Q5:R5"/>
    <mergeCell ref="S5:T5"/>
    <mergeCell ref="U9:V9"/>
    <mergeCell ref="W9:X9"/>
    <mergeCell ref="Y9:Z9"/>
    <mergeCell ref="AA9:AB9"/>
    <mergeCell ref="AC9:AD9"/>
    <mergeCell ref="G9:H9"/>
    <mergeCell ref="I9:J9"/>
    <mergeCell ref="K9:L9"/>
    <mergeCell ref="M9:N9"/>
    <mergeCell ref="O9:P9"/>
    <mergeCell ref="Q9:R9"/>
    <mergeCell ref="S9:T9"/>
    <mergeCell ref="U10:V10"/>
    <mergeCell ref="W10:X10"/>
    <mergeCell ref="Y10:Z10"/>
    <mergeCell ref="AA10:AB10"/>
    <mergeCell ref="AC10:AD10"/>
    <mergeCell ref="G10:H10"/>
    <mergeCell ref="I10:J10"/>
    <mergeCell ref="K10:L10"/>
    <mergeCell ref="M10:N10"/>
    <mergeCell ref="O10:P10"/>
    <mergeCell ref="Q10:R10"/>
    <mergeCell ref="S10:T10"/>
    <mergeCell ref="U11:V11"/>
    <mergeCell ref="W11:X11"/>
    <mergeCell ref="Y11:Z11"/>
    <mergeCell ref="AA11:AB11"/>
    <mergeCell ref="AC11:AD11"/>
    <mergeCell ref="G11:H11"/>
    <mergeCell ref="I11:J11"/>
    <mergeCell ref="K11:L11"/>
    <mergeCell ref="M11:N11"/>
    <mergeCell ref="O11:P11"/>
    <mergeCell ref="Q11:R11"/>
    <mergeCell ref="S11:T11"/>
    <mergeCell ref="U12:V12"/>
    <mergeCell ref="W12:X12"/>
    <mergeCell ref="Y12:Z12"/>
    <mergeCell ref="AA12:AB12"/>
    <mergeCell ref="AC12:AD12"/>
    <mergeCell ref="G12:H12"/>
    <mergeCell ref="I12:J12"/>
    <mergeCell ref="K12:L12"/>
    <mergeCell ref="M12:N12"/>
    <mergeCell ref="O12:P12"/>
    <mergeCell ref="Q12:R12"/>
    <mergeCell ref="S12:T12"/>
    <mergeCell ref="U13:V13"/>
    <mergeCell ref="W13:X13"/>
    <mergeCell ref="Y13:Z13"/>
    <mergeCell ref="AA13:AB13"/>
    <mergeCell ref="AC13:AD13"/>
    <mergeCell ref="G13:H13"/>
    <mergeCell ref="I13:J13"/>
    <mergeCell ref="K13:L13"/>
    <mergeCell ref="M13:N13"/>
    <mergeCell ref="O13:P13"/>
    <mergeCell ref="Q13:R13"/>
    <mergeCell ref="S13:T13"/>
    <mergeCell ref="U14:V14"/>
    <mergeCell ref="W14:X14"/>
    <mergeCell ref="Y14:Z14"/>
    <mergeCell ref="AA14:AB14"/>
    <mergeCell ref="AC14:AD14"/>
    <mergeCell ref="G14:H14"/>
    <mergeCell ref="I14:J14"/>
    <mergeCell ref="K14:L14"/>
    <mergeCell ref="M14:N14"/>
    <mergeCell ref="O14:P14"/>
    <mergeCell ref="Q14:R14"/>
    <mergeCell ref="S14:T14"/>
    <mergeCell ref="U15:V15"/>
    <mergeCell ref="W15:X15"/>
    <mergeCell ref="Y15:Z15"/>
    <mergeCell ref="AA15:AB15"/>
    <mergeCell ref="AC15:AD15"/>
    <mergeCell ref="G15:H15"/>
    <mergeCell ref="I15:J15"/>
    <mergeCell ref="K15:L15"/>
    <mergeCell ref="M15:N15"/>
    <mergeCell ref="O15:P15"/>
    <mergeCell ref="Q15:R15"/>
    <mergeCell ref="S15:T15"/>
    <mergeCell ref="U16:V16"/>
    <mergeCell ref="W16:X16"/>
    <mergeCell ref="Y16:Z16"/>
    <mergeCell ref="AA16:AB16"/>
    <mergeCell ref="AC16:AD16"/>
    <mergeCell ref="G16:H16"/>
    <mergeCell ref="I16:J16"/>
    <mergeCell ref="K16:L16"/>
    <mergeCell ref="M16:N16"/>
    <mergeCell ref="O16:P16"/>
    <mergeCell ref="Q16:R16"/>
    <mergeCell ref="S16:T16"/>
    <mergeCell ref="U17:V17"/>
    <mergeCell ref="W17:X17"/>
    <mergeCell ref="Y17:Z17"/>
    <mergeCell ref="AA17:AB17"/>
    <mergeCell ref="AC17:AD17"/>
    <mergeCell ref="G17:H17"/>
    <mergeCell ref="I17:J17"/>
    <mergeCell ref="K17:L17"/>
    <mergeCell ref="M17:N17"/>
    <mergeCell ref="O17:P17"/>
    <mergeCell ref="Q17:R17"/>
    <mergeCell ref="S17:T17"/>
    <mergeCell ref="U18:V18"/>
    <mergeCell ref="W18:X18"/>
    <mergeCell ref="Y18:Z18"/>
    <mergeCell ref="AA18:AB18"/>
    <mergeCell ref="AC18:AD18"/>
    <mergeCell ref="G18:H18"/>
    <mergeCell ref="I18:J18"/>
    <mergeCell ref="K18:L18"/>
    <mergeCell ref="M18:N18"/>
    <mergeCell ref="O18:P18"/>
    <mergeCell ref="Q18:R18"/>
    <mergeCell ref="S18:T18"/>
    <mergeCell ref="U19:V19"/>
    <mergeCell ref="W19:X19"/>
    <mergeCell ref="Y19:Z19"/>
    <mergeCell ref="AA19:AB19"/>
    <mergeCell ref="AC19:AD19"/>
    <mergeCell ref="G19:H19"/>
    <mergeCell ref="I19:J19"/>
    <mergeCell ref="K19:L19"/>
    <mergeCell ref="M19:N19"/>
    <mergeCell ref="O19:P19"/>
    <mergeCell ref="Q19:R19"/>
    <mergeCell ref="S19:T19"/>
    <mergeCell ref="U20:V20"/>
    <mergeCell ref="W20:X20"/>
    <mergeCell ref="Y20:Z20"/>
    <mergeCell ref="AA20:AB20"/>
    <mergeCell ref="AC20:AD20"/>
    <mergeCell ref="G20:H20"/>
    <mergeCell ref="I20:J20"/>
    <mergeCell ref="K20:L20"/>
    <mergeCell ref="M20:N20"/>
    <mergeCell ref="O20:P20"/>
    <mergeCell ref="Q20:R20"/>
    <mergeCell ref="S20:T20"/>
    <mergeCell ref="U21:V21"/>
    <mergeCell ref="W21:X21"/>
    <mergeCell ref="Y21:Z21"/>
    <mergeCell ref="AA21:AB21"/>
    <mergeCell ref="AC21:AD21"/>
    <mergeCell ref="G21:H21"/>
    <mergeCell ref="I21:J21"/>
    <mergeCell ref="K21:L21"/>
    <mergeCell ref="M21:N21"/>
    <mergeCell ref="O21:P21"/>
    <mergeCell ref="Q21:R21"/>
    <mergeCell ref="S21:T21"/>
    <mergeCell ref="U22:V22"/>
    <mergeCell ref="W22:X22"/>
    <mergeCell ref="Y22:Z22"/>
    <mergeCell ref="AA22:AB22"/>
    <mergeCell ref="AC22:AD22"/>
    <mergeCell ref="G22:H22"/>
    <mergeCell ref="I22:J22"/>
    <mergeCell ref="K22:L22"/>
    <mergeCell ref="M22:N22"/>
    <mergeCell ref="O22:P22"/>
    <mergeCell ref="Q22:R22"/>
    <mergeCell ref="S22:T22"/>
    <mergeCell ref="U23:V23"/>
    <mergeCell ref="W23:X23"/>
    <mergeCell ref="Y23:Z23"/>
    <mergeCell ref="AA23:AB23"/>
    <mergeCell ref="AC23:AD23"/>
    <mergeCell ref="G23:H23"/>
    <mergeCell ref="I23:J23"/>
    <mergeCell ref="K23:L23"/>
    <mergeCell ref="M23:N23"/>
    <mergeCell ref="O23:P23"/>
    <mergeCell ref="Q23:R23"/>
    <mergeCell ref="S23:T23"/>
    <mergeCell ref="U24:V24"/>
    <mergeCell ref="W24:X24"/>
    <mergeCell ref="Y24:Z24"/>
    <mergeCell ref="AA24:AB24"/>
    <mergeCell ref="AC24:AD24"/>
    <mergeCell ref="G24:H24"/>
    <mergeCell ref="I24:J24"/>
    <mergeCell ref="K24:L24"/>
    <mergeCell ref="M24:N24"/>
    <mergeCell ref="O24:P24"/>
    <mergeCell ref="Q24:R24"/>
    <mergeCell ref="S24:T24"/>
    <mergeCell ref="U25:V25"/>
    <mergeCell ref="W25:X25"/>
    <mergeCell ref="Y25:Z25"/>
    <mergeCell ref="AA25:AB25"/>
    <mergeCell ref="AC25:AD25"/>
    <mergeCell ref="G25:H25"/>
    <mergeCell ref="I25:J25"/>
    <mergeCell ref="K25:L25"/>
    <mergeCell ref="M25:N25"/>
    <mergeCell ref="O25:P25"/>
    <mergeCell ref="Q25:R25"/>
    <mergeCell ref="S25:T25"/>
    <mergeCell ref="U26:V26"/>
    <mergeCell ref="W26:X26"/>
    <mergeCell ref="Y26:Z26"/>
    <mergeCell ref="AA26:AB26"/>
    <mergeCell ref="AC26:AD26"/>
    <mergeCell ref="G26:H26"/>
    <mergeCell ref="I26:J26"/>
    <mergeCell ref="K26:L26"/>
    <mergeCell ref="M26:N26"/>
    <mergeCell ref="O26:P26"/>
    <mergeCell ref="Q26:R26"/>
    <mergeCell ref="S26:T26"/>
    <mergeCell ref="U27:V27"/>
    <mergeCell ref="W27:X27"/>
    <mergeCell ref="Y27:Z27"/>
    <mergeCell ref="AA27:AB27"/>
    <mergeCell ref="AC27:AD27"/>
    <mergeCell ref="G27:H27"/>
    <mergeCell ref="I27:J27"/>
    <mergeCell ref="K27:L27"/>
    <mergeCell ref="M27:N27"/>
    <mergeCell ref="O27:P27"/>
    <mergeCell ref="Q27:R27"/>
    <mergeCell ref="S27:T27"/>
    <mergeCell ref="U28:V28"/>
    <mergeCell ref="W28:X28"/>
    <mergeCell ref="Y28:Z28"/>
    <mergeCell ref="AA28:AB28"/>
    <mergeCell ref="AC28:AD28"/>
    <mergeCell ref="G28:H28"/>
    <mergeCell ref="I28:J28"/>
    <mergeCell ref="K28:L28"/>
    <mergeCell ref="M28:N28"/>
    <mergeCell ref="O28:P28"/>
    <mergeCell ref="Q28:R28"/>
    <mergeCell ref="S28:T28"/>
    <mergeCell ref="U29:V29"/>
    <mergeCell ref="W29:X29"/>
    <mergeCell ref="Y29:Z29"/>
    <mergeCell ref="AA29:AB29"/>
    <mergeCell ref="AC29:AD29"/>
    <mergeCell ref="G29:H29"/>
    <mergeCell ref="I29:J29"/>
    <mergeCell ref="K29:L29"/>
    <mergeCell ref="M29:N29"/>
    <mergeCell ref="O29:P29"/>
    <mergeCell ref="Q29:R29"/>
    <mergeCell ref="S29:T29"/>
    <mergeCell ref="U30:V30"/>
    <mergeCell ref="W30:X30"/>
    <mergeCell ref="Y30:Z30"/>
    <mergeCell ref="AA30:AB30"/>
    <mergeCell ref="AC30:AD30"/>
    <mergeCell ref="G30:H30"/>
    <mergeCell ref="I30:J30"/>
    <mergeCell ref="K30:L30"/>
    <mergeCell ref="M30:N30"/>
    <mergeCell ref="O30:P30"/>
    <mergeCell ref="Q30:R30"/>
    <mergeCell ref="S30:T30"/>
    <mergeCell ref="U31:V31"/>
    <mergeCell ref="W31:X31"/>
    <mergeCell ref="Y31:Z31"/>
    <mergeCell ref="AA31:AB31"/>
    <mergeCell ref="AC31:AD31"/>
    <mergeCell ref="G31:H31"/>
    <mergeCell ref="I31:J31"/>
    <mergeCell ref="K31:L31"/>
    <mergeCell ref="M31:N31"/>
    <mergeCell ref="O31:P31"/>
    <mergeCell ref="Q31:R31"/>
    <mergeCell ref="S31:T31"/>
    <mergeCell ref="U32:V32"/>
    <mergeCell ref="W32:X32"/>
    <mergeCell ref="Y32:Z32"/>
    <mergeCell ref="AA32:AB32"/>
    <mergeCell ref="AC32:AD32"/>
    <mergeCell ref="G32:H32"/>
    <mergeCell ref="I32:J32"/>
    <mergeCell ref="K32:L32"/>
    <mergeCell ref="M32:N32"/>
    <mergeCell ref="O32:P32"/>
    <mergeCell ref="Q32:R32"/>
    <mergeCell ref="S32:T32"/>
    <mergeCell ref="U33:V33"/>
    <mergeCell ref="W33:X33"/>
    <mergeCell ref="Y33:Z33"/>
    <mergeCell ref="AA33:AB33"/>
    <mergeCell ref="AC33:AD33"/>
    <mergeCell ref="G33:H33"/>
    <mergeCell ref="I33:J33"/>
    <mergeCell ref="K33:L33"/>
    <mergeCell ref="M33:N33"/>
    <mergeCell ref="O33:P33"/>
    <mergeCell ref="Q33:R33"/>
    <mergeCell ref="S33:T33"/>
    <mergeCell ref="U34:V34"/>
    <mergeCell ref="W34:X34"/>
    <mergeCell ref="Y34:Z34"/>
    <mergeCell ref="AA34:AB34"/>
    <mergeCell ref="AC34:AD34"/>
    <mergeCell ref="G34:H34"/>
    <mergeCell ref="I34:J34"/>
    <mergeCell ref="K34:L34"/>
    <mergeCell ref="M34:N34"/>
    <mergeCell ref="O34:P34"/>
    <mergeCell ref="Q34:R34"/>
    <mergeCell ref="S34:T34"/>
    <mergeCell ref="U35:V35"/>
    <mergeCell ref="W35:X35"/>
    <mergeCell ref="Y35:Z35"/>
    <mergeCell ref="AA35:AB35"/>
    <mergeCell ref="AC35:AD35"/>
    <mergeCell ref="G35:H35"/>
    <mergeCell ref="I35:J35"/>
    <mergeCell ref="K35:L35"/>
    <mergeCell ref="M35:N35"/>
    <mergeCell ref="O35:P35"/>
    <mergeCell ref="Q35:R35"/>
    <mergeCell ref="S35:T35"/>
    <mergeCell ref="U36:V36"/>
    <mergeCell ref="W36:X36"/>
    <mergeCell ref="Y36:Z36"/>
    <mergeCell ref="AA36:AB36"/>
    <mergeCell ref="AC36:AD36"/>
    <mergeCell ref="G36:H36"/>
    <mergeCell ref="I36:J36"/>
    <mergeCell ref="K36:L36"/>
    <mergeCell ref="M36:N36"/>
    <mergeCell ref="O36:P36"/>
    <mergeCell ref="Q36:R36"/>
    <mergeCell ref="S36:T36"/>
    <mergeCell ref="U37:V37"/>
    <mergeCell ref="W37:X37"/>
    <mergeCell ref="Y37:Z37"/>
    <mergeCell ref="AA37:AB37"/>
    <mergeCell ref="AC37:AD37"/>
    <mergeCell ref="G37:H37"/>
    <mergeCell ref="I37:J37"/>
    <mergeCell ref="K37:L37"/>
    <mergeCell ref="M37:N37"/>
    <mergeCell ref="O37:P37"/>
    <mergeCell ref="Q37:R37"/>
    <mergeCell ref="S37:T37"/>
    <mergeCell ref="U38:V38"/>
    <mergeCell ref="W38:X38"/>
    <mergeCell ref="Y38:Z38"/>
    <mergeCell ref="AA38:AB38"/>
    <mergeCell ref="AC38:AD38"/>
    <mergeCell ref="G38:H38"/>
    <mergeCell ref="I38:J38"/>
    <mergeCell ref="K38:L38"/>
    <mergeCell ref="M38:N38"/>
    <mergeCell ref="O38:P38"/>
    <mergeCell ref="Q38:R38"/>
    <mergeCell ref="S38:T38"/>
    <mergeCell ref="U39:V39"/>
    <mergeCell ref="W39:X39"/>
    <mergeCell ref="Y39:Z39"/>
    <mergeCell ref="AA39:AB39"/>
    <mergeCell ref="AC39:AD39"/>
    <mergeCell ref="G39:H39"/>
    <mergeCell ref="I39:J39"/>
    <mergeCell ref="K39:L39"/>
    <mergeCell ref="M39:N39"/>
    <mergeCell ref="O39:P39"/>
    <mergeCell ref="Q39:R39"/>
    <mergeCell ref="S39:T39"/>
    <mergeCell ref="U40:V40"/>
    <mergeCell ref="W40:X40"/>
    <mergeCell ref="Y40:Z40"/>
    <mergeCell ref="AA40:AB40"/>
    <mergeCell ref="AC40:AD40"/>
    <mergeCell ref="G40:H40"/>
    <mergeCell ref="I40:J40"/>
    <mergeCell ref="K40:L40"/>
    <mergeCell ref="M40:N40"/>
    <mergeCell ref="O40:P40"/>
    <mergeCell ref="Q40:R40"/>
    <mergeCell ref="S40:T40"/>
    <mergeCell ref="U41:V41"/>
    <mergeCell ref="W41:X41"/>
    <mergeCell ref="Y41:Z41"/>
    <mergeCell ref="AA41:AB41"/>
    <mergeCell ref="AC41:AD41"/>
    <mergeCell ref="G41:H41"/>
    <mergeCell ref="I41:J41"/>
    <mergeCell ref="K41:L41"/>
    <mergeCell ref="M41:N41"/>
    <mergeCell ref="O41:P41"/>
    <mergeCell ref="Q41:R41"/>
    <mergeCell ref="S41:T41"/>
    <mergeCell ref="U42:V42"/>
    <mergeCell ref="W42:X42"/>
    <mergeCell ref="Y42:Z42"/>
    <mergeCell ref="AA42:AB42"/>
    <mergeCell ref="AC42:AD42"/>
    <mergeCell ref="G42:H42"/>
    <mergeCell ref="I42:J42"/>
    <mergeCell ref="K42:L42"/>
    <mergeCell ref="M42:N42"/>
    <mergeCell ref="O42:P42"/>
    <mergeCell ref="Q42:R42"/>
    <mergeCell ref="S42:T42"/>
    <mergeCell ref="U43:V43"/>
    <mergeCell ref="W43:X43"/>
    <mergeCell ref="Y43:Z43"/>
    <mergeCell ref="AA43:AB43"/>
    <mergeCell ref="AC43:AD43"/>
    <mergeCell ref="G43:H43"/>
    <mergeCell ref="I43:J43"/>
    <mergeCell ref="K43:L43"/>
    <mergeCell ref="M43:N43"/>
    <mergeCell ref="O43:P43"/>
    <mergeCell ref="Q43:R43"/>
    <mergeCell ref="S43:T43"/>
    <mergeCell ref="U44:V44"/>
    <mergeCell ref="W44:X44"/>
    <mergeCell ref="Y44:Z44"/>
    <mergeCell ref="AA44:AB44"/>
    <mergeCell ref="AC44:AD44"/>
    <mergeCell ref="G44:H44"/>
    <mergeCell ref="I44:J44"/>
    <mergeCell ref="K44:L44"/>
    <mergeCell ref="M44:N44"/>
    <mergeCell ref="O44:P44"/>
    <mergeCell ref="Q44:R44"/>
    <mergeCell ref="S44:T44"/>
    <mergeCell ref="U45:V45"/>
    <mergeCell ref="W45:X45"/>
    <mergeCell ref="Y45:Z45"/>
    <mergeCell ref="AA45:AB45"/>
    <mergeCell ref="AC45:AD45"/>
    <mergeCell ref="G45:H45"/>
    <mergeCell ref="I45:J45"/>
    <mergeCell ref="K45:L45"/>
    <mergeCell ref="M45:N45"/>
    <mergeCell ref="O45:P45"/>
    <mergeCell ref="Q45:R45"/>
    <mergeCell ref="S45:T45"/>
    <mergeCell ref="U46:V46"/>
    <mergeCell ref="W46:X46"/>
    <mergeCell ref="Y46:Z46"/>
    <mergeCell ref="AA46:AB46"/>
    <mergeCell ref="AC46:AD46"/>
    <mergeCell ref="G46:H46"/>
    <mergeCell ref="I46:J46"/>
    <mergeCell ref="K46:L46"/>
    <mergeCell ref="M46:N46"/>
    <mergeCell ref="O46:P46"/>
    <mergeCell ref="Q46:R46"/>
    <mergeCell ref="S46:T46"/>
    <mergeCell ref="U47:V47"/>
    <mergeCell ref="W47:X47"/>
    <mergeCell ref="Y47:Z47"/>
    <mergeCell ref="AA47:AB47"/>
    <mergeCell ref="AC47:AD47"/>
    <mergeCell ref="G47:H47"/>
    <mergeCell ref="I47:J47"/>
    <mergeCell ref="K47:L47"/>
    <mergeCell ref="M47:N47"/>
    <mergeCell ref="O47:P47"/>
    <mergeCell ref="Q47:R47"/>
    <mergeCell ref="S47:T47"/>
    <mergeCell ref="U48:V48"/>
    <mergeCell ref="W48:X48"/>
    <mergeCell ref="Y48:Z48"/>
    <mergeCell ref="AA48:AB48"/>
    <mergeCell ref="AC48:AD48"/>
    <mergeCell ref="G48:H48"/>
    <mergeCell ref="I48:J48"/>
    <mergeCell ref="K48:L48"/>
    <mergeCell ref="M48:N48"/>
    <mergeCell ref="O48:P48"/>
    <mergeCell ref="Q48:R48"/>
    <mergeCell ref="S48:T48"/>
    <mergeCell ref="U49:V49"/>
    <mergeCell ref="W49:X49"/>
    <mergeCell ref="Y49:Z49"/>
    <mergeCell ref="AA49:AB49"/>
    <mergeCell ref="AC49:AD49"/>
    <mergeCell ref="G49:H49"/>
    <mergeCell ref="I49:J49"/>
    <mergeCell ref="K49:L49"/>
    <mergeCell ref="M49:N49"/>
    <mergeCell ref="O49:P49"/>
    <mergeCell ref="Q49:R49"/>
    <mergeCell ref="S49:T49"/>
    <mergeCell ref="U50:V50"/>
    <mergeCell ref="W50:X50"/>
    <mergeCell ref="Y50:Z50"/>
    <mergeCell ref="AA50:AB50"/>
    <mergeCell ref="AC50:AD50"/>
    <mergeCell ref="G50:H50"/>
    <mergeCell ref="I50:J50"/>
    <mergeCell ref="K50:L50"/>
    <mergeCell ref="M50:N50"/>
    <mergeCell ref="O50:P50"/>
    <mergeCell ref="Q50:R50"/>
    <mergeCell ref="S50:T50"/>
    <mergeCell ref="U51:V51"/>
    <mergeCell ref="W51:X51"/>
    <mergeCell ref="Y51:Z51"/>
    <mergeCell ref="AA51:AB51"/>
    <mergeCell ref="AC51:AD51"/>
    <mergeCell ref="G51:H51"/>
    <mergeCell ref="I51:J51"/>
    <mergeCell ref="K51:L51"/>
    <mergeCell ref="M51:N51"/>
    <mergeCell ref="O51:P51"/>
    <mergeCell ref="Q51:R51"/>
    <mergeCell ref="S51:T51"/>
    <mergeCell ref="U52:V52"/>
    <mergeCell ref="W52:X52"/>
    <mergeCell ref="Y52:Z52"/>
    <mergeCell ref="AA52:AB52"/>
    <mergeCell ref="AC52:AD52"/>
    <mergeCell ref="G52:H52"/>
    <mergeCell ref="I52:J52"/>
    <mergeCell ref="K52:L52"/>
    <mergeCell ref="M52:N52"/>
    <mergeCell ref="O52:P52"/>
    <mergeCell ref="Q52:R52"/>
    <mergeCell ref="S52:T52"/>
    <mergeCell ref="U53:V53"/>
    <mergeCell ref="W53:X53"/>
    <mergeCell ref="Y53:Z53"/>
    <mergeCell ref="AA53:AB53"/>
    <mergeCell ref="AC53:AD53"/>
    <mergeCell ref="G53:H53"/>
    <mergeCell ref="I53:J53"/>
    <mergeCell ref="K53:L53"/>
    <mergeCell ref="M53:N53"/>
    <mergeCell ref="O53:P53"/>
    <mergeCell ref="Q53:R53"/>
    <mergeCell ref="S53:T53"/>
    <mergeCell ref="U54:V54"/>
    <mergeCell ref="W54:X54"/>
    <mergeCell ref="Y54:Z54"/>
    <mergeCell ref="AA54:AB54"/>
    <mergeCell ref="AC54:AD54"/>
    <mergeCell ref="G54:H54"/>
    <mergeCell ref="I54:J54"/>
    <mergeCell ref="K54:L54"/>
    <mergeCell ref="M54:N54"/>
    <mergeCell ref="O54:P54"/>
    <mergeCell ref="Q54:R54"/>
    <mergeCell ref="S54:T54"/>
    <mergeCell ref="U55:V55"/>
    <mergeCell ref="W55:X55"/>
    <mergeCell ref="Y55:Z55"/>
    <mergeCell ref="AA55:AB55"/>
    <mergeCell ref="AC55:AD55"/>
    <mergeCell ref="G55:H55"/>
    <mergeCell ref="I55:J55"/>
    <mergeCell ref="K55:L55"/>
    <mergeCell ref="M55:N55"/>
    <mergeCell ref="O55:P55"/>
    <mergeCell ref="Q55:R55"/>
    <mergeCell ref="S55:T55"/>
    <mergeCell ref="U56:V56"/>
    <mergeCell ref="W56:X56"/>
    <mergeCell ref="Y56:Z56"/>
    <mergeCell ref="AA56:AB56"/>
    <mergeCell ref="AC56:AD56"/>
    <mergeCell ref="G56:H56"/>
    <mergeCell ref="I56:J56"/>
    <mergeCell ref="K56:L56"/>
    <mergeCell ref="M56:N56"/>
    <mergeCell ref="O56:P56"/>
    <mergeCell ref="Q56:R56"/>
    <mergeCell ref="S56:T56"/>
    <mergeCell ref="U57:V57"/>
    <mergeCell ref="W57:X57"/>
    <mergeCell ref="Y57:Z57"/>
    <mergeCell ref="AA57:AB57"/>
    <mergeCell ref="AC57:AD57"/>
    <mergeCell ref="G57:H57"/>
    <mergeCell ref="I57:J57"/>
    <mergeCell ref="K57:L57"/>
    <mergeCell ref="M57:N57"/>
    <mergeCell ref="O57:P57"/>
    <mergeCell ref="Q57:R57"/>
    <mergeCell ref="S57:T57"/>
    <mergeCell ref="U58:V58"/>
    <mergeCell ref="W58:X58"/>
    <mergeCell ref="Y58:Z58"/>
    <mergeCell ref="AA58:AB58"/>
    <mergeCell ref="AC58:AD58"/>
    <mergeCell ref="G58:H58"/>
    <mergeCell ref="I58:J58"/>
    <mergeCell ref="K58:L58"/>
    <mergeCell ref="M58:N58"/>
    <mergeCell ref="O58:P58"/>
    <mergeCell ref="Q58:R58"/>
    <mergeCell ref="S58:T58"/>
    <mergeCell ref="U59:V59"/>
    <mergeCell ref="W59:X59"/>
    <mergeCell ref="Y59:Z59"/>
    <mergeCell ref="AA59:AB59"/>
    <mergeCell ref="AC59:AD59"/>
    <mergeCell ref="G59:H59"/>
    <mergeCell ref="I59:J59"/>
    <mergeCell ref="K59:L59"/>
    <mergeCell ref="M59:N59"/>
    <mergeCell ref="O59:P59"/>
    <mergeCell ref="Q59:R59"/>
    <mergeCell ref="S59:T59"/>
    <mergeCell ref="U60:V60"/>
    <mergeCell ref="W60:X60"/>
    <mergeCell ref="Y60:Z60"/>
    <mergeCell ref="AA60:AB60"/>
    <mergeCell ref="AC60:AD60"/>
    <mergeCell ref="G60:H60"/>
    <mergeCell ref="I60:J60"/>
    <mergeCell ref="K60:L60"/>
    <mergeCell ref="M60:N60"/>
    <mergeCell ref="O60:P60"/>
    <mergeCell ref="Q60:R60"/>
    <mergeCell ref="S60:T60"/>
    <mergeCell ref="U61:V61"/>
    <mergeCell ref="W61:X61"/>
    <mergeCell ref="Y61:Z61"/>
    <mergeCell ref="AA61:AB61"/>
    <mergeCell ref="AC61:AD61"/>
    <mergeCell ref="G61:H61"/>
    <mergeCell ref="I61:J61"/>
    <mergeCell ref="K61:L61"/>
    <mergeCell ref="M61:N61"/>
    <mergeCell ref="O61:P61"/>
    <mergeCell ref="Q61:R61"/>
    <mergeCell ref="S61:T61"/>
    <mergeCell ref="U62:V62"/>
    <mergeCell ref="W62:X62"/>
    <mergeCell ref="Y62:Z62"/>
    <mergeCell ref="AA62:AB62"/>
    <mergeCell ref="AC62:AD62"/>
    <mergeCell ref="G62:H62"/>
    <mergeCell ref="I62:J62"/>
    <mergeCell ref="K62:L62"/>
    <mergeCell ref="M62:N62"/>
    <mergeCell ref="O62:P62"/>
    <mergeCell ref="Q62:R62"/>
    <mergeCell ref="S62:T62"/>
    <mergeCell ref="U63:V63"/>
    <mergeCell ref="W63:X63"/>
    <mergeCell ref="Y63:Z63"/>
    <mergeCell ref="AA63:AB63"/>
    <mergeCell ref="AC63:AD63"/>
    <mergeCell ref="G63:H63"/>
    <mergeCell ref="I63:J63"/>
    <mergeCell ref="K63:L63"/>
    <mergeCell ref="M63:N63"/>
    <mergeCell ref="O63:P63"/>
    <mergeCell ref="Q63:R63"/>
    <mergeCell ref="S63:T63"/>
    <mergeCell ref="U64:V64"/>
    <mergeCell ref="W64:X64"/>
    <mergeCell ref="Y64:Z64"/>
    <mergeCell ref="AA64:AB64"/>
    <mergeCell ref="AC64:AD64"/>
    <mergeCell ref="G64:H64"/>
    <mergeCell ref="I64:J64"/>
    <mergeCell ref="K64:L64"/>
    <mergeCell ref="M64:N64"/>
    <mergeCell ref="O64:P64"/>
    <mergeCell ref="Q64:R64"/>
    <mergeCell ref="S64:T64"/>
    <mergeCell ref="U65:V65"/>
    <mergeCell ref="W65:X65"/>
    <mergeCell ref="Y65:Z65"/>
    <mergeCell ref="AA65:AB65"/>
    <mergeCell ref="AC65:AD65"/>
    <mergeCell ref="G65:H65"/>
    <mergeCell ref="I65:J65"/>
    <mergeCell ref="K65:L65"/>
    <mergeCell ref="M65:N65"/>
    <mergeCell ref="O65:P65"/>
    <mergeCell ref="Q65:R65"/>
    <mergeCell ref="S65:T65"/>
    <mergeCell ref="U66:V66"/>
    <mergeCell ref="W66:X66"/>
    <mergeCell ref="Y66:Z66"/>
    <mergeCell ref="AA66:AB66"/>
    <mergeCell ref="AC66:AD66"/>
    <mergeCell ref="G66:H66"/>
    <mergeCell ref="I66:J66"/>
    <mergeCell ref="K66:L66"/>
    <mergeCell ref="M66:N66"/>
    <mergeCell ref="O66:P66"/>
    <mergeCell ref="Q66:R66"/>
    <mergeCell ref="S66:T66"/>
    <mergeCell ref="U67:V67"/>
    <mergeCell ref="W67:X67"/>
    <mergeCell ref="Y67:Z67"/>
    <mergeCell ref="AA67:AB67"/>
    <mergeCell ref="AC67:AD67"/>
    <mergeCell ref="G67:H67"/>
    <mergeCell ref="I67:J67"/>
    <mergeCell ref="K67:L67"/>
    <mergeCell ref="M67:N67"/>
    <mergeCell ref="O67:P67"/>
    <mergeCell ref="Q67:R67"/>
    <mergeCell ref="S67:T67"/>
    <mergeCell ref="U68:V68"/>
    <mergeCell ref="W68:X68"/>
    <mergeCell ref="Y68:Z68"/>
    <mergeCell ref="AA68:AB68"/>
    <mergeCell ref="AC68:AD68"/>
    <mergeCell ref="G68:H68"/>
    <mergeCell ref="I68:J68"/>
    <mergeCell ref="K68:L68"/>
    <mergeCell ref="M68:N68"/>
    <mergeCell ref="O68:P68"/>
    <mergeCell ref="Q68:R68"/>
    <mergeCell ref="S68:T68"/>
    <mergeCell ref="U69:V69"/>
    <mergeCell ref="W69:X69"/>
    <mergeCell ref="Y69:Z69"/>
    <mergeCell ref="AA69:AB69"/>
    <mergeCell ref="AC69:AD69"/>
    <mergeCell ref="G69:H69"/>
    <mergeCell ref="I69:J69"/>
    <mergeCell ref="K69:L69"/>
    <mergeCell ref="M69:N69"/>
    <mergeCell ref="O69:P69"/>
    <mergeCell ref="Q69:R69"/>
    <mergeCell ref="S69:T69"/>
    <mergeCell ref="U70:V70"/>
    <mergeCell ref="W70:X70"/>
    <mergeCell ref="Y70:Z70"/>
    <mergeCell ref="AA70:AB70"/>
    <mergeCell ref="AC70:AD70"/>
    <mergeCell ref="G70:H70"/>
    <mergeCell ref="I70:J70"/>
    <mergeCell ref="K70:L70"/>
    <mergeCell ref="M70:N70"/>
    <mergeCell ref="O70:P70"/>
    <mergeCell ref="Q70:R70"/>
    <mergeCell ref="S70:T70"/>
    <mergeCell ref="U71:V71"/>
    <mergeCell ref="W71:X71"/>
    <mergeCell ref="Y71:Z71"/>
    <mergeCell ref="AA71:AB71"/>
    <mergeCell ref="AC71:AD71"/>
    <mergeCell ref="G71:H71"/>
    <mergeCell ref="I71:J71"/>
    <mergeCell ref="K71:L71"/>
    <mergeCell ref="M71:N71"/>
    <mergeCell ref="O71:P71"/>
    <mergeCell ref="Q71:R71"/>
    <mergeCell ref="S71:T71"/>
    <mergeCell ref="U72:V72"/>
    <mergeCell ref="W72:X72"/>
    <mergeCell ref="Y72:Z72"/>
    <mergeCell ref="AA72:AB72"/>
    <mergeCell ref="AC72:AD72"/>
    <mergeCell ref="G72:H72"/>
    <mergeCell ref="I72:J72"/>
    <mergeCell ref="K72:L72"/>
    <mergeCell ref="M72:N72"/>
    <mergeCell ref="O72:P72"/>
    <mergeCell ref="Q72:R72"/>
    <mergeCell ref="S72:T72"/>
    <mergeCell ref="U73:V73"/>
    <mergeCell ref="W73:X73"/>
    <mergeCell ref="Y73:Z73"/>
    <mergeCell ref="AA73:AB73"/>
    <mergeCell ref="AC73:AD73"/>
    <mergeCell ref="G73:H73"/>
    <mergeCell ref="I73:J73"/>
    <mergeCell ref="K73:L73"/>
    <mergeCell ref="M73:N73"/>
    <mergeCell ref="O73:P73"/>
    <mergeCell ref="Q73:R73"/>
    <mergeCell ref="S73:T73"/>
    <mergeCell ref="U74:V74"/>
    <mergeCell ref="W74:X74"/>
    <mergeCell ref="Y74:Z74"/>
    <mergeCell ref="AA74:AB74"/>
    <mergeCell ref="AC74:AD74"/>
    <mergeCell ref="G74:H74"/>
    <mergeCell ref="I74:J74"/>
    <mergeCell ref="K74:L74"/>
    <mergeCell ref="M74:N74"/>
    <mergeCell ref="O74:P74"/>
    <mergeCell ref="Q74:R74"/>
    <mergeCell ref="S74:T74"/>
    <mergeCell ref="U75:V75"/>
    <mergeCell ref="W75:X75"/>
    <mergeCell ref="Y75:Z75"/>
    <mergeCell ref="AA75:AB75"/>
    <mergeCell ref="AC75:AD75"/>
    <mergeCell ref="G75:H75"/>
    <mergeCell ref="I75:J75"/>
    <mergeCell ref="K75:L75"/>
    <mergeCell ref="M75:N75"/>
    <mergeCell ref="O75:P75"/>
    <mergeCell ref="Q75:R75"/>
    <mergeCell ref="S75:T75"/>
    <mergeCell ref="U76:V76"/>
    <mergeCell ref="W76:X76"/>
    <mergeCell ref="Y76:Z76"/>
    <mergeCell ref="AA76:AB76"/>
    <mergeCell ref="AC76:AD76"/>
    <mergeCell ref="G76:H76"/>
    <mergeCell ref="I76:J76"/>
    <mergeCell ref="K76:L76"/>
    <mergeCell ref="M76:N76"/>
    <mergeCell ref="O76:P76"/>
    <mergeCell ref="Q76:R76"/>
    <mergeCell ref="S76:T76"/>
    <mergeCell ref="U77:V77"/>
    <mergeCell ref="W77:X77"/>
    <mergeCell ref="Y77:Z77"/>
    <mergeCell ref="AA77:AB77"/>
    <mergeCell ref="AC77:AD77"/>
    <mergeCell ref="G77:H77"/>
    <mergeCell ref="I77:J77"/>
    <mergeCell ref="K77:L77"/>
    <mergeCell ref="M77:N77"/>
    <mergeCell ref="O77:P77"/>
    <mergeCell ref="Q77:R77"/>
    <mergeCell ref="S77:T77"/>
    <mergeCell ref="U78:V78"/>
    <mergeCell ref="W78:X78"/>
    <mergeCell ref="Y78:Z78"/>
    <mergeCell ref="AA78:AB78"/>
    <mergeCell ref="AC78:AD78"/>
    <mergeCell ref="G78:H78"/>
    <mergeCell ref="I78:J78"/>
    <mergeCell ref="K78:L78"/>
    <mergeCell ref="M78:N78"/>
    <mergeCell ref="O78:P78"/>
    <mergeCell ref="Q78:R78"/>
    <mergeCell ref="S78:T78"/>
    <mergeCell ref="U79:V79"/>
    <mergeCell ref="W79:X79"/>
    <mergeCell ref="Y79:Z79"/>
    <mergeCell ref="AA79:AB79"/>
    <mergeCell ref="AC79:AD79"/>
    <mergeCell ref="G79:H79"/>
    <mergeCell ref="I79:J79"/>
    <mergeCell ref="K79:L79"/>
    <mergeCell ref="M79:N79"/>
    <mergeCell ref="O79:P79"/>
    <mergeCell ref="Q79:R79"/>
    <mergeCell ref="S79:T79"/>
    <mergeCell ref="U80:V80"/>
    <mergeCell ref="W80:X80"/>
    <mergeCell ref="Y80:Z80"/>
    <mergeCell ref="AA80:AB80"/>
    <mergeCell ref="AC80:AD80"/>
    <mergeCell ref="G80:H80"/>
    <mergeCell ref="I80:J80"/>
    <mergeCell ref="K80:L80"/>
    <mergeCell ref="M80:N80"/>
    <mergeCell ref="O80:P80"/>
    <mergeCell ref="Q80:R80"/>
    <mergeCell ref="S80:T80"/>
    <mergeCell ref="U81:V81"/>
    <mergeCell ref="W81:X81"/>
    <mergeCell ref="Y81:Z81"/>
    <mergeCell ref="AA81:AB81"/>
    <mergeCell ref="AC81:AD81"/>
    <mergeCell ref="G81:H81"/>
    <mergeCell ref="I81:J81"/>
    <mergeCell ref="K81:L81"/>
    <mergeCell ref="M81:N81"/>
    <mergeCell ref="O81:P81"/>
    <mergeCell ref="Q81:R81"/>
    <mergeCell ref="S81:T81"/>
    <mergeCell ref="U82:V82"/>
    <mergeCell ref="W82:X82"/>
    <mergeCell ref="Y82:Z82"/>
    <mergeCell ref="AA82:AB82"/>
    <mergeCell ref="AC82:AD82"/>
    <mergeCell ref="G82:H82"/>
    <mergeCell ref="I82:J82"/>
    <mergeCell ref="K82:L82"/>
    <mergeCell ref="M82:N82"/>
    <mergeCell ref="O82:P82"/>
    <mergeCell ref="Q82:R82"/>
    <mergeCell ref="S82:T82"/>
    <mergeCell ref="U83:V83"/>
    <mergeCell ref="W83:X83"/>
    <mergeCell ref="Y83:Z83"/>
    <mergeCell ref="AA83:AB83"/>
    <mergeCell ref="AC83:AD83"/>
    <mergeCell ref="G83:H83"/>
    <mergeCell ref="I83:J83"/>
    <mergeCell ref="K83:L83"/>
    <mergeCell ref="M83:N83"/>
    <mergeCell ref="O83:P83"/>
    <mergeCell ref="Q83:R83"/>
    <mergeCell ref="S83:T83"/>
    <mergeCell ref="U84:V84"/>
    <mergeCell ref="W84:X84"/>
    <mergeCell ref="Y84:Z84"/>
    <mergeCell ref="AA84:AB84"/>
    <mergeCell ref="AC84:AD84"/>
    <mergeCell ref="G84:H84"/>
    <mergeCell ref="I84:J84"/>
    <mergeCell ref="K84:L84"/>
    <mergeCell ref="M84:N84"/>
    <mergeCell ref="O84:P84"/>
    <mergeCell ref="Q84:R84"/>
    <mergeCell ref="S84:T84"/>
    <mergeCell ref="U85:V85"/>
    <mergeCell ref="W85:X85"/>
    <mergeCell ref="Y85:Z85"/>
    <mergeCell ref="AA85:AB85"/>
    <mergeCell ref="AC85:AD85"/>
    <mergeCell ref="G85:H85"/>
    <mergeCell ref="I85:J85"/>
    <mergeCell ref="K85:L85"/>
    <mergeCell ref="M85:N85"/>
    <mergeCell ref="O85:P85"/>
    <mergeCell ref="Q85:R85"/>
    <mergeCell ref="S85:T85"/>
    <mergeCell ref="U86:V86"/>
    <mergeCell ref="W86:X86"/>
    <mergeCell ref="Y86:Z86"/>
    <mergeCell ref="AA86:AB86"/>
    <mergeCell ref="AC86:AD86"/>
    <mergeCell ref="G86:H86"/>
    <mergeCell ref="I86:J86"/>
    <mergeCell ref="K86:L86"/>
    <mergeCell ref="M86:N86"/>
    <mergeCell ref="O86:P86"/>
    <mergeCell ref="Q86:R86"/>
    <mergeCell ref="S86:T86"/>
    <mergeCell ref="U87:V87"/>
    <mergeCell ref="W87:X87"/>
    <mergeCell ref="Y87:Z87"/>
    <mergeCell ref="AA87:AB87"/>
    <mergeCell ref="AC87:AD87"/>
    <mergeCell ref="G87:H87"/>
    <mergeCell ref="I87:J87"/>
    <mergeCell ref="K87:L87"/>
    <mergeCell ref="M87:N87"/>
    <mergeCell ref="O87:P87"/>
    <mergeCell ref="Q87:R87"/>
    <mergeCell ref="S87:T87"/>
    <mergeCell ref="U88:V88"/>
    <mergeCell ref="W88:X88"/>
    <mergeCell ref="Y88:Z88"/>
    <mergeCell ref="AA88:AB88"/>
    <mergeCell ref="AC88:AD88"/>
    <mergeCell ref="G88:H88"/>
    <mergeCell ref="I88:J88"/>
    <mergeCell ref="K88:L88"/>
    <mergeCell ref="M88:N88"/>
    <mergeCell ref="O88:P88"/>
    <mergeCell ref="Q88:R88"/>
    <mergeCell ref="S88:T88"/>
    <mergeCell ref="U89:V89"/>
    <mergeCell ref="W89:X89"/>
    <mergeCell ref="Y89:Z89"/>
    <mergeCell ref="AA89:AB89"/>
    <mergeCell ref="AC89:AD89"/>
    <mergeCell ref="G89:H89"/>
    <mergeCell ref="I89:J89"/>
    <mergeCell ref="K89:L89"/>
    <mergeCell ref="M89:N89"/>
    <mergeCell ref="O89:P89"/>
    <mergeCell ref="Q89:R89"/>
    <mergeCell ref="S89:T89"/>
    <mergeCell ref="U90:V90"/>
    <mergeCell ref="W90:X90"/>
    <mergeCell ref="Y90:Z90"/>
    <mergeCell ref="AA90:AB90"/>
    <mergeCell ref="AC90:AD90"/>
    <mergeCell ref="G90:H90"/>
    <mergeCell ref="I90:J90"/>
    <mergeCell ref="K90:L90"/>
    <mergeCell ref="M90:N90"/>
    <mergeCell ref="O90:P90"/>
    <mergeCell ref="Q90:R90"/>
    <mergeCell ref="S90:T90"/>
    <mergeCell ref="U91:V91"/>
    <mergeCell ref="W91:X91"/>
    <mergeCell ref="Y91:Z91"/>
    <mergeCell ref="AA91:AB91"/>
    <mergeCell ref="AC91:AD91"/>
    <mergeCell ref="G91:H91"/>
    <mergeCell ref="I91:J91"/>
    <mergeCell ref="K91:L91"/>
    <mergeCell ref="M91:N91"/>
    <mergeCell ref="O91:P91"/>
    <mergeCell ref="Q91:R91"/>
    <mergeCell ref="S91:T91"/>
    <mergeCell ref="U92:V92"/>
    <mergeCell ref="W92:X92"/>
    <mergeCell ref="Y92:Z92"/>
    <mergeCell ref="AA92:AB92"/>
    <mergeCell ref="AC92:AD92"/>
    <mergeCell ref="G92:H92"/>
    <mergeCell ref="I92:J92"/>
    <mergeCell ref="K92:L92"/>
    <mergeCell ref="M92:N92"/>
    <mergeCell ref="O92:P92"/>
    <mergeCell ref="Q92:R92"/>
    <mergeCell ref="S92:T92"/>
    <mergeCell ref="U93:V93"/>
    <mergeCell ref="W93:X93"/>
    <mergeCell ref="Y93:Z93"/>
    <mergeCell ref="AA93:AB93"/>
    <mergeCell ref="AC93:AD93"/>
    <mergeCell ref="G93:H93"/>
    <mergeCell ref="I93:J93"/>
    <mergeCell ref="K93:L93"/>
    <mergeCell ref="M93:N93"/>
    <mergeCell ref="O93:P93"/>
    <mergeCell ref="Q93:R93"/>
    <mergeCell ref="S93:T93"/>
    <mergeCell ref="U94:V94"/>
    <mergeCell ref="W94:X94"/>
    <mergeCell ref="Y94:Z94"/>
    <mergeCell ref="AA94:AB94"/>
    <mergeCell ref="AC94:AD94"/>
    <mergeCell ref="G94:H94"/>
    <mergeCell ref="I94:J94"/>
    <mergeCell ref="K94:L94"/>
    <mergeCell ref="M94:N94"/>
    <mergeCell ref="O94:P94"/>
    <mergeCell ref="Q94:R94"/>
    <mergeCell ref="S94:T94"/>
    <mergeCell ref="U95:V95"/>
    <mergeCell ref="W95:X95"/>
    <mergeCell ref="Y95:Z95"/>
    <mergeCell ref="AA95:AB95"/>
    <mergeCell ref="AC95:AD95"/>
    <mergeCell ref="G95:H95"/>
    <mergeCell ref="I95:J95"/>
    <mergeCell ref="K95:L95"/>
    <mergeCell ref="M95:N95"/>
    <mergeCell ref="O95:P95"/>
    <mergeCell ref="Q95:R95"/>
    <mergeCell ref="S95:T95"/>
    <mergeCell ref="U96:V96"/>
    <mergeCell ref="W96:X96"/>
    <mergeCell ref="Y96:Z96"/>
    <mergeCell ref="AA96:AB96"/>
    <mergeCell ref="AC96:AD96"/>
    <mergeCell ref="G96:H96"/>
    <mergeCell ref="I96:J96"/>
    <mergeCell ref="K96:L96"/>
    <mergeCell ref="M96:N96"/>
    <mergeCell ref="O96:P96"/>
    <mergeCell ref="Q96:R96"/>
    <mergeCell ref="S96:T96"/>
    <mergeCell ref="U97:V97"/>
    <mergeCell ref="W97:X97"/>
    <mergeCell ref="Y97:Z97"/>
    <mergeCell ref="AA97:AB97"/>
    <mergeCell ref="AC97:AD97"/>
    <mergeCell ref="G97:H97"/>
    <mergeCell ref="I97:J97"/>
    <mergeCell ref="K97:L97"/>
    <mergeCell ref="M97:N97"/>
    <mergeCell ref="O97:P97"/>
    <mergeCell ref="Q97:R97"/>
    <mergeCell ref="S97:T97"/>
    <mergeCell ref="U98:V98"/>
    <mergeCell ref="W98:X98"/>
    <mergeCell ref="Y98:Z98"/>
    <mergeCell ref="AA98:AB98"/>
    <mergeCell ref="AC98:AD98"/>
    <mergeCell ref="G98:H98"/>
    <mergeCell ref="I98:J98"/>
    <mergeCell ref="K98:L98"/>
    <mergeCell ref="M98:N98"/>
    <mergeCell ref="O98:P98"/>
    <mergeCell ref="Q98:R98"/>
    <mergeCell ref="S98:T98"/>
    <mergeCell ref="U99:V99"/>
    <mergeCell ref="W99:X99"/>
    <mergeCell ref="Y99:Z99"/>
    <mergeCell ref="AA99:AB99"/>
    <mergeCell ref="AC99:AD99"/>
    <mergeCell ref="G99:H99"/>
    <mergeCell ref="I99:J99"/>
    <mergeCell ref="K99:L99"/>
    <mergeCell ref="M99:N99"/>
    <mergeCell ref="O99:P99"/>
    <mergeCell ref="Q99:R99"/>
    <mergeCell ref="S99:T99"/>
    <mergeCell ref="U100:V100"/>
    <mergeCell ref="W100:X100"/>
    <mergeCell ref="Y100:Z100"/>
    <mergeCell ref="AA100:AB100"/>
    <mergeCell ref="AC100:AD100"/>
    <mergeCell ref="G100:H100"/>
    <mergeCell ref="I100:J100"/>
    <mergeCell ref="K100:L100"/>
    <mergeCell ref="M100:N100"/>
    <mergeCell ref="O100:P100"/>
    <mergeCell ref="Q100:R100"/>
    <mergeCell ref="S100:T100"/>
    <mergeCell ref="U101:V101"/>
    <mergeCell ref="W101:X101"/>
    <mergeCell ref="Y101:Z101"/>
    <mergeCell ref="AA101:AB101"/>
    <mergeCell ref="AC101:AD101"/>
    <mergeCell ref="G101:H101"/>
    <mergeCell ref="I101:J101"/>
    <mergeCell ref="K101:L101"/>
    <mergeCell ref="M101:N101"/>
    <mergeCell ref="O101:P101"/>
    <mergeCell ref="Q101:R101"/>
    <mergeCell ref="S101:T101"/>
    <mergeCell ref="U102:V102"/>
    <mergeCell ref="W102:X102"/>
    <mergeCell ref="Y102:Z102"/>
    <mergeCell ref="AA102:AB102"/>
    <mergeCell ref="AC102:AD102"/>
    <mergeCell ref="G102:H102"/>
    <mergeCell ref="I102:J102"/>
    <mergeCell ref="K102:L102"/>
    <mergeCell ref="M102:N102"/>
    <mergeCell ref="O102:P102"/>
    <mergeCell ref="Q102:R102"/>
    <mergeCell ref="S102:T102"/>
    <mergeCell ref="U103:V103"/>
    <mergeCell ref="W103:X103"/>
    <mergeCell ref="Y103:Z103"/>
    <mergeCell ref="AA103:AB103"/>
    <mergeCell ref="AC103:AD103"/>
    <mergeCell ref="G103:H103"/>
    <mergeCell ref="I103:J103"/>
    <mergeCell ref="K103:L103"/>
    <mergeCell ref="M103:N103"/>
    <mergeCell ref="O103:P103"/>
    <mergeCell ref="Q103:R103"/>
    <mergeCell ref="S103:T103"/>
    <mergeCell ref="U104:V104"/>
    <mergeCell ref="W104:X104"/>
    <mergeCell ref="Y104:Z104"/>
    <mergeCell ref="AA104:AB104"/>
    <mergeCell ref="AC104:AD104"/>
    <mergeCell ref="G104:H104"/>
    <mergeCell ref="I104:J104"/>
    <mergeCell ref="K104:L104"/>
    <mergeCell ref="M104:N104"/>
    <mergeCell ref="O104:P104"/>
    <mergeCell ref="Q104:R104"/>
    <mergeCell ref="S104:T104"/>
    <mergeCell ref="U105:V105"/>
    <mergeCell ref="W105:X105"/>
    <mergeCell ref="Y105:Z105"/>
    <mergeCell ref="AA105:AB105"/>
    <mergeCell ref="AC105:AD105"/>
    <mergeCell ref="G105:H105"/>
    <mergeCell ref="I105:J105"/>
    <mergeCell ref="K105:L105"/>
    <mergeCell ref="M105:N105"/>
    <mergeCell ref="O105:P105"/>
    <mergeCell ref="Q105:R105"/>
    <mergeCell ref="S105:T105"/>
    <mergeCell ref="U106:V106"/>
    <mergeCell ref="W106:X106"/>
    <mergeCell ref="Y106:Z106"/>
    <mergeCell ref="AA106:AB106"/>
    <mergeCell ref="AC106:AD106"/>
    <mergeCell ref="G106:H106"/>
    <mergeCell ref="I106:J106"/>
    <mergeCell ref="K106:L106"/>
    <mergeCell ref="M106:N106"/>
    <mergeCell ref="O106:P106"/>
    <mergeCell ref="Q106:R106"/>
    <mergeCell ref="S106:T106"/>
    <mergeCell ref="U107:V107"/>
    <mergeCell ref="W107:X107"/>
    <mergeCell ref="Y107:Z107"/>
    <mergeCell ref="AA107:AB107"/>
    <mergeCell ref="AC107:AD107"/>
    <mergeCell ref="G107:H107"/>
    <mergeCell ref="I107:J107"/>
    <mergeCell ref="K107:L107"/>
    <mergeCell ref="M107:N107"/>
    <mergeCell ref="O107:P107"/>
    <mergeCell ref="Q107:R107"/>
    <mergeCell ref="S107:T107"/>
    <mergeCell ref="U108:V108"/>
    <mergeCell ref="W108:X108"/>
    <mergeCell ref="Y108:Z108"/>
    <mergeCell ref="AA108:AB108"/>
    <mergeCell ref="AC108:AD108"/>
    <mergeCell ref="G108:H108"/>
    <mergeCell ref="I108:J108"/>
    <mergeCell ref="K108:L108"/>
    <mergeCell ref="M108:N108"/>
    <mergeCell ref="O108:P108"/>
    <mergeCell ref="Q108:R108"/>
    <mergeCell ref="S108:T108"/>
    <mergeCell ref="U109:V109"/>
    <mergeCell ref="W109:X109"/>
    <mergeCell ref="Y109:Z109"/>
    <mergeCell ref="AA109:AB109"/>
    <mergeCell ref="AC109:AD109"/>
    <mergeCell ref="G109:H109"/>
    <mergeCell ref="I109:J109"/>
    <mergeCell ref="K109:L109"/>
    <mergeCell ref="M109:N109"/>
    <mergeCell ref="O109:P109"/>
    <mergeCell ref="Q109:R109"/>
    <mergeCell ref="S109:T109"/>
    <mergeCell ref="U110:V110"/>
    <mergeCell ref="W110:X110"/>
    <mergeCell ref="Y110:Z110"/>
    <mergeCell ref="AA110:AB110"/>
    <mergeCell ref="AC110:AD110"/>
    <mergeCell ref="G110:H110"/>
    <mergeCell ref="I110:J110"/>
    <mergeCell ref="K110:L110"/>
    <mergeCell ref="M110:N110"/>
    <mergeCell ref="O110:P110"/>
    <mergeCell ref="Q110:R110"/>
    <mergeCell ref="S110:T110"/>
    <mergeCell ref="U111:V111"/>
    <mergeCell ref="W111:X111"/>
    <mergeCell ref="Y111:Z111"/>
    <mergeCell ref="AA111:AB111"/>
    <mergeCell ref="AC111:AD111"/>
    <mergeCell ref="G111:H111"/>
    <mergeCell ref="I111:J111"/>
    <mergeCell ref="K111:L111"/>
    <mergeCell ref="M111:N111"/>
    <mergeCell ref="O111:P111"/>
    <mergeCell ref="Q111:R111"/>
    <mergeCell ref="S111:T111"/>
    <mergeCell ref="U112:V112"/>
    <mergeCell ref="W112:X112"/>
    <mergeCell ref="Y112:Z112"/>
    <mergeCell ref="AA112:AB112"/>
    <mergeCell ref="AC112:AD112"/>
    <mergeCell ref="G112:H112"/>
    <mergeCell ref="I112:J112"/>
    <mergeCell ref="K112:L112"/>
    <mergeCell ref="M112:N112"/>
    <mergeCell ref="O112:P112"/>
    <mergeCell ref="Q112:R112"/>
    <mergeCell ref="S112:T112"/>
    <mergeCell ref="U113:V113"/>
    <mergeCell ref="W113:X113"/>
    <mergeCell ref="Y113:Z113"/>
    <mergeCell ref="AA113:AB113"/>
    <mergeCell ref="AC113:AD113"/>
    <mergeCell ref="G113:H113"/>
    <mergeCell ref="I113:J113"/>
    <mergeCell ref="K113:L113"/>
    <mergeCell ref="M113:N113"/>
    <mergeCell ref="O113:P113"/>
    <mergeCell ref="Q113:R113"/>
    <mergeCell ref="S113:T113"/>
    <mergeCell ref="U114:V114"/>
    <mergeCell ref="W114:X114"/>
    <mergeCell ref="Y114:Z114"/>
    <mergeCell ref="AA114:AB114"/>
    <mergeCell ref="AC114:AD114"/>
    <mergeCell ref="G114:H114"/>
    <mergeCell ref="I114:J114"/>
    <mergeCell ref="K114:L114"/>
    <mergeCell ref="M114:N114"/>
    <mergeCell ref="O114:P114"/>
    <mergeCell ref="Q114:R114"/>
    <mergeCell ref="S114:T114"/>
    <mergeCell ref="U115:V115"/>
    <mergeCell ref="W115:X115"/>
    <mergeCell ref="Y115:Z115"/>
    <mergeCell ref="AA115:AB115"/>
    <mergeCell ref="AC115:AD115"/>
    <mergeCell ref="G115:H115"/>
    <mergeCell ref="I115:J115"/>
    <mergeCell ref="K115:L115"/>
    <mergeCell ref="M115:N115"/>
    <mergeCell ref="O115:P115"/>
    <mergeCell ref="Q115:R115"/>
    <mergeCell ref="S115:T115"/>
    <mergeCell ref="U116:V116"/>
    <mergeCell ref="W116:X116"/>
    <mergeCell ref="Y116:Z116"/>
    <mergeCell ref="AA116:AB116"/>
    <mergeCell ref="AC116:AD116"/>
    <mergeCell ref="G116:H116"/>
    <mergeCell ref="I116:J116"/>
    <mergeCell ref="K116:L116"/>
    <mergeCell ref="M116:N116"/>
    <mergeCell ref="O116:P116"/>
    <mergeCell ref="Q116:R116"/>
    <mergeCell ref="S116:T116"/>
    <mergeCell ref="U117:V117"/>
    <mergeCell ref="W117:X117"/>
    <mergeCell ref="Y117:Z117"/>
    <mergeCell ref="AA117:AB117"/>
    <mergeCell ref="AC117:AD117"/>
    <mergeCell ref="G117:H117"/>
    <mergeCell ref="I117:J117"/>
    <mergeCell ref="K117:L117"/>
    <mergeCell ref="M117:N117"/>
    <mergeCell ref="O117:P117"/>
    <mergeCell ref="Q117:R117"/>
    <mergeCell ref="S117:T117"/>
    <mergeCell ref="U118:V118"/>
    <mergeCell ref="W118:X118"/>
    <mergeCell ref="Y118:Z118"/>
    <mergeCell ref="AA118:AB118"/>
    <mergeCell ref="AC118:AD118"/>
    <mergeCell ref="G118:H118"/>
    <mergeCell ref="I118:J118"/>
    <mergeCell ref="K118:L118"/>
    <mergeCell ref="M118:N118"/>
    <mergeCell ref="O118:P118"/>
    <mergeCell ref="Q118:R118"/>
    <mergeCell ref="S118:T118"/>
    <mergeCell ref="U119:V119"/>
    <mergeCell ref="W119:X119"/>
    <mergeCell ref="Y119:Z119"/>
    <mergeCell ref="AA119:AB119"/>
    <mergeCell ref="AC119:AD119"/>
    <mergeCell ref="G119:H119"/>
    <mergeCell ref="I119:J119"/>
    <mergeCell ref="K119:L119"/>
    <mergeCell ref="M119:N119"/>
    <mergeCell ref="O119:P119"/>
    <mergeCell ref="Q119:R119"/>
    <mergeCell ref="S119:T119"/>
    <mergeCell ref="U120:V120"/>
    <mergeCell ref="W120:X120"/>
    <mergeCell ref="Y120:Z120"/>
    <mergeCell ref="AA120:AB120"/>
    <mergeCell ref="AC120:AD120"/>
    <mergeCell ref="G120:H120"/>
    <mergeCell ref="I120:J120"/>
    <mergeCell ref="K120:L120"/>
    <mergeCell ref="M120:N120"/>
    <mergeCell ref="O120:P120"/>
    <mergeCell ref="Q120:R120"/>
    <mergeCell ref="S120:T120"/>
    <mergeCell ref="U121:V121"/>
    <mergeCell ref="W121:X121"/>
    <mergeCell ref="Y121:Z121"/>
    <mergeCell ref="AA121:AB121"/>
    <mergeCell ref="AC121:AD121"/>
    <mergeCell ref="G121:H121"/>
    <mergeCell ref="I121:J121"/>
    <mergeCell ref="K121:L121"/>
    <mergeCell ref="M121:N121"/>
    <mergeCell ref="O121:P121"/>
    <mergeCell ref="Q121:R121"/>
    <mergeCell ref="S121:T121"/>
    <mergeCell ref="U122:V122"/>
    <mergeCell ref="W122:X122"/>
    <mergeCell ref="Y122:Z122"/>
    <mergeCell ref="AA122:AB122"/>
    <mergeCell ref="AC122:AD122"/>
    <mergeCell ref="G122:H122"/>
    <mergeCell ref="I122:J122"/>
    <mergeCell ref="K122:L122"/>
    <mergeCell ref="M122:N122"/>
    <mergeCell ref="O122:P122"/>
    <mergeCell ref="Q122:R122"/>
    <mergeCell ref="S122:T122"/>
    <mergeCell ref="U123:V123"/>
    <mergeCell ref="W123:X123"/>
    <mergeCell ref="Y123:Z123"/>
    <mergeCell ref="AA123:AB123"/>
    <mergeCell ref="AC123:AD123"/>
    <mergeCell ref="G123:H123"/>
    <mergeCell ref="I123:J123"/>
    <mergeCell ref="K123:L123"/>
    <mergeCell ref="M123:N123"/>
    <mergeCell ref="O123:P123"/>
    <mergeCell ref="Q123:R123"/>
    <mergeCell ref="S123:T123"/>
    <mergeCell ref="U124:V124"/>
    <mergeCell ref="W124:X124"/>
    <mergeCell ref="Y124:Z124"/>
    <mergeCell ref="AA124:AB124"/>
    <mergeCell ref="AC124:AD124"/>
    <mergeCell ref="G124:H124"/>
    <mergeCell ref="I124:J124"/>
    <mergeCell ref="K124:L124"/>
    <mergeCell ref="M124:N124"/>
    <mergeCell ref="O124:P124"/>
    <mergeCell ref="Q124:R124"/>
    <mergeCell ref="S124:T124"/>
    <mergeCell ref="U125:V125"/>
    <mergeCell ref="W125:X125"/>
    <mergeCell ref="Y125:Z125"/>
    <mergeCell ref="AA125:AB125"/>
    <mergeCell ref="AC125:AD125"/>
    <mergeCell ref="G125:H125"/>
    <mergeCell ref="I125:J125"/>
    <mergeCell ref="K125:L125"/>
    <mergeCell ref="M125:N125"/>
    <mergeCell ref="O125:P125"/>
    <mergeCell ref="Q125:R125"/>
    <mergeCell ref="S125:T125"/>
    <mergeCell ref="U126:V126"/>
    <mergeCell ref="W126:X126"/>
    <mergeCell ref="Y126:Z126"/>
    <mergeCell ref="AA126:AB126"/>
    <mergeCell ref="AC126:AD126"/>
    <mergeCell ref="G126:H126"/>
    <mergeCell ref="I126:J126"/>
    <mergeCell ref="K126:L126"/>
    <mergeCell ref="M126:N126"/>
    <mergeCell ref="O126:P126"/>
    <mergeCell ref="Q126:R126"/>
    <mergeCell ref="S126:T126"/>
    <mergeCell ref="U127:V127"/>
    <mergeCell ref="W127:X127"/>
    <mergeCell ref="Y127:Z127"/>
    <mergeCell ref="AA127:AB127"/>
    <mergeCell ref="AC127:AD127"/>
    <mergeCell ref="G127:H127"/>
    <mergeCell ref="I127:J127"/>
    <mergeCell ref="K127:L127"/>
    <mergeCell ref="M127:N127"/>
    <mergeCell ref="O127:P127"/>
    <mergeCell ref="Q127:R127"/>
    <mergeCell ref="S127:T127"/>
    <mergeCell ref="U128:V128"/>
    <mergeCell ref="W128:X128"/>
    <mergeCell ref="Y128:Z128"/>
    <mergeCell ref="AA128:AB128"/>
    <mergeCell ref="AC128:AD128"/>
    <mergeCell ref="G128:H128"/>
    <mergeCell ref="I128:J128"/>
    <mergeCell ref="K128:L128"/>
    <mergeCell ref="M128:N128"/>
    <mergeCell ref="O128:P128"/>
    <mergeCell ref="Q128:R128"/>
    <mergeCell ref="S128:T128"/>
    <mergeCell ref="U129:V129"/>
    <mergeCell ref="W129:X129"/>
    <mergeCell ref="Y129:Z129"/>
    <mergeCell ref="AA129:AB129"/>
    <mergeCell ref="AC129:AD129"/>
    <mergeCell ref="G129:H129"/>
    <mergeCell ref="I129:J129"/>
    <mergeCell ref="K129:L129"/>
    <mergeCell ref="M129:N129"/>
    <mergeCell ref="O129:P129"/>
    <mergeCell ref="Q129:R129"/>
    <mergeCell ref="S129:T129"/>
    <mergeCell ref="U130:V130"/>
    <mergeCell ref="W130:X130"/>
    <mergeCell ref="Y130:Z130"/>
    <mergeCell ref="AA130:AB130"/>
    <mergeCell ref="AC130:AD130"/>
    <mergeCell ref="G130:H130"/>
    <mergeCell ref="I130:J130"/>
    <mergeCell ref="K130:L130"/>
    <mergeCell ref="M130:N130"/>
    <mergeCell ref="O130:P130"/>
    <mergeCell ref="Q130:R130"/>
    <mergeCell ref="S130:T130"/>
    <mergeCell ref="U131:V131"/>
    <mergeCell ref="W131:X131"/>
    <mergeCell ref="Y131:Z131"/>
    <mergeCell ref="AA131:AB131"/>
    <mergeCell ref="AC131:AD131"/>
    <mergeCell ref="G131:H131"/>
    <mergeCell ref="I131:J131"/>
    <mergeCell ref="K131:L131"/>
    <mergeCell ref="M131:N131"/>
    <mergeCell ref="O131:P131"/>
    <mergeCell ref="Q131:R131"/>
    <mergeCell ref="S131:T131"/>
    <mergeCell ref="U132:V132"/>
    <mergeCell ref="W132:X132"/>
    <mergeCell ref="Y132:Z132"/>
    <mergeCell ref="AA132:AB132"/>
    <mergeCell ref="AC132:AD132"/>
    <mergeCell ref="G132:H132"/>
    <mergeCell ref="I132:J132"/>
    <mergeCell ref="K132:L132"/>
    <mergeCell ref="M132:N132"/>
    <mergeCell ref="O132:P132"/>
    <mergeCell ref="Q132:R132"/>
    <mergeCell ref="S132:T132"/>
    <mergeCell ref="U133:V133"/>
    <mergeCell ref="W133:X133"/>
    <mergeCell ref="Y133:Z133"/>
    <mergeCell ref="AA133:AB133"/>
    <mergeCell ref="AC133:AD133"/>
    <mergeCell ref="G133:H133"/>
    <mergeCell ref="I133:J133"/>
    <mergeCell ref="K133:L133"/>
    <mergeCell ref="M133:N133"/>
    <mergeCell ref="O133:P133"/>
    <mergeCell ref="Q133:R133"/>
    <mergeCell ref="S133:T133"/>
    <mergeCell ref="U134:V134"/>
    <mergeCell ref="W134:X134"/>
    <mergeCell ref="Y134:Z134"/>
    <mergeCell ref="AA134:AB134"/>
    <mergeCell ref="AC134:AD134"/>
    <mergeCell ref="G134:H134"/>
    <mergeCell ref="I134:J134"/>
    <mergeCell ref="K134:L134"/>
    <mergeCell ref="M134:N134"/>
    <mergeCell ref="O134:P134"/>
    <mergeCell ref="Q134:R134"/>
    <mergeCell ref="S134:T134"/>
    <mergeCell ref="U135:V135"/>
    <mergeCell ref="W135:X135"/>
    <mergeCell ref="Y135:Z135"/>
    <mergeCell ref="AA135:AB135"/>
    <mergeCell ref="AC135:AD135"/>
    <mergeCell ref="G135:H135"/>
    <mergeCell ref="I135:J135"/>
    <mergeCell ref="K135:L135"/>
    <mergeCell ref="M135:N135"/>
    <mergeCell ref="O135:P135"/>
    <mergeCell ref="Q135:R135"/>
    <mergeCell ref="S135:T135"/>
    <mergeCell ref="U136:V136"/>
    <mergeCell ref="W136:X136"/>
    <mergeCell ref="Y136:Z136"/>
    <mergeCell ref="AA136:AB136"/>
    <mergeCell ref="AC136:AD136"/>
    <mergeCell ref="G136:H136"/>
    <mergeCell ref="I136:J136"/>
    <mergeCell ref="K136:L136"/>
    <mergeCell ref="M136:N136"/>
    <mergeCell ref="O136:P136"/>
    <mergeCell ref="Q136:R136"/>
    <mergeCell ref="S136:T136"/>
    <mergeCell ref="U137:V137"/>
    <mergeCell ref="W137:X137"/>
    <mergeCell ref="Y137:Z137"/>
    <mergeCell ref="AA137:AB137"/>
    <mergeCell ref="AC137:AD137"/>
    <mergeCell ref="G137:H137"/>
    <mergeCell ref="I137:J137"/>
    <mergeCell ref="K137:L137"/>
    <mergeCell ref="M137:N137"/>
    <mergeCell ref="O137:P137"/>
    <mergeCell ref="Q137:R137"/>
    <mergeCell ref="S137:T137"/>
    <mergeCell ref="U138:V138"/>
    <mergeCell ref="W138:X138"/>
    <mergeCell ref="Y138:Z138"/>
    <mergeCell ref="AA138:AB138"/>
    <mergeCell ref="AC138:AD138"/>
    <mergeCell ref="G138:H138"/>
    <mergeCell ref="I138:J138"/>
    <mergeCell ref="K138:L138"/>
    <mergeCell ref="M138:N138"/>
    <mergeCell ref="O138:P138"/>
    <mergeCell ref="Q138:R138"/>
    <mergeCell ref="S138:T138"/>
    <mergeCell ref="U139:V139"/>
    <mergeCell ref="W139:X139"/>
    <mergeCell ref="Y139:Z139"/>
    <mergeCell ref="AA139:AB139"/>
    <mergeCell ref="AC139:AD139"/>
    <mergeCell ref="G139:H139"/>
    <mergeCell ref="I139:J139"/>
    <mergeCell ref="K139:L139"/>
    <mergeCell ref="M139:N139"/>
    <mergeCell ref="O139:P139"/>
    <mergeCell ref="Q139:R139"/>
    <mergeCell ref="S139:T139"/>
    <mergeCell ref="U140:V140"/>
    <mergeCell ref="W140:X140"/>
    <mergeCell ref="Y140:Z140"/>
    <mergeCell ref="AA140:AB140"/>
    <mergeCell ref="AC140:AD140"/>
    <mergeCell ref="G140:H140"/>
    <mergeCell ref="I140:J140"/>
    <mergeCell ref="K140:L140"/>
    <mergeCell ref="M140:N140"/>
    <mergeCell ref="O140:P140"/>
    <mergeCell ref="Q140:R140"/>
    <mergeCell ref="S140:T140"/>
    <mergeCell ref="U141:V141"/>
    <mergeCell ref="W141:X141"/>
    <mergeCell ref="Y141:Z141"/>
    <mergeCell ref="AA141:AB141"/>
    <mergeCell ref="AC141:AD141"/>
    <mergeCell ref="G141:H141"/>
    <mergeCell ref="I141:J141"/>
    <mergeCell ref="K141:L141"/>
    <mergeCell ref="M141:N141"/>
    <mergeCell ref="O141:P141"/>
    <mergeCell ref="Q141:R141"/>
    <mergeCell ref="S141:T141"/>
    <mergeCell ref="U142:V142"/>
    <mergeCell ref="W142:X142"/>
    <mergeCell ref="Y142:Z142"/>
    <mergeCell ref="AA142:AB142"/>
    <mergeCell ref="AC142:AD142"/>
    <mergeCell ref="G142:H142"/>
    <mergeCell ref="I142:J142"/>
    <mergeCell ref="K142:L142"/>
    <mergeCell ref="M142:N142"/>
    <mergeCell ref="O142:P142"/>
    <mergeCell ref="Q142:R142"/>
    <mergeCell ref="S142:T142"/>
    <mergeCell ref="U143:V143"/>
    <mergeCell ref="W143:X143"/>
    <mergeCell ref="Y143:Z143"/>
    <mergeCell ref="AA143:AB143"/>
    <mergeCell ref="AC143:AD143"/>
    <mergeCell ref="G143:H143"/>
    <mergeCell ref="I143:J143"/>
    <mergeCell ref="K143:L143"/>
    <mergeCell ref="M143:N143"/>
    <mergeCell ref="O143:P143"/>
    <mergeCell ref="Q143:R143"/>
    <mergeCell ref="S143:T143"/>
    <mergeCell ref="U144:V144"/>
    <mergeCell ref="W144:X144"/>
    <mergeCell ref="Y144:Z144"/>
    <mergeCell ref="AA144:AB144"/>
    <mergeCell ref="AC144:AD144"/>
    <mergeCell ref="G144:H144"/>
    <mergeCell ref="I144:J144"/>
    <mergeCell ref="K144:L144"/>
    <mergeCell ref="M144:N144"/>
    <mergeCell ref="O144:P144"/>
    <mergeCell ref="Q144:R144"/>
    <mergeCell ref="S144:T144"/>
    <mergeCell ref="U145:V145"/>
    <mergeCell ref="W145:X145"/>
    <mergeCell ref="Y145:Z145"/>
    <mergeCell ref="AA145:AB145"/>
    <mergeCell ref="AC145:AD145"/>
    <mergeCell ref="G145:H145"/>
    <mergeCell ref="I145:J145"/>
    <mergeCell ref="K145:L145"/>
    <mergeCell ref="M145:N145"/>
    <mergeCell ref="O145:P145"/>
    <mergeCell ref="Q145:R145"/>
    <mergeCell ref="S145:T145"/>
    <mergeCell ref="U146:V146"/>
    <mergeCell ref="W146:X146"/>
    <mergeCell ref="Y146:Z146"/>
    <mergeCell ref="AA146:AB146"/>
    <mergeCell ref="AC146:AD146"/>
    <mergeCell ref="G146:H146"/>
    <mergeCell ref="I146:J146"/>
    <mergeCell ref="K146:L146"/>
    <mergeCell ref="M146:N146"/>
    <mergeCell ref="O146:P146"/>
    <mergeCell ref="Q146:R146"/>
    <mergeCell ref="S146:T146"/>
    <mergeCell ref="U147:V147"/>
    <mergeCell ref="W147:X147"/>
    <mergeCell ref="Y147:Z147"/>
    <mergeCell ref="AA147:AB147"/>
    <mergeCell ref="AC147:AD147"/>
    <mergeCell ref="G147:H147"/>
    <mergeCell ref="I147:J147"/>
    <mergeCell ref="K147:L147"/>
    <mergeCell ref="M147:N147"/>
    <mergeCell ref="O147:P147"/>
    <mergeCell ref="Q147:R147"/>
    <mergeCell ref="S147:T147"/>
    <mergeCell ref="U148:V148"/>
    <mergeCell ref="W148:X148"/>
    <mergeCell ref="Y148:Z148"/>
    <mergeCell ref="AA148:AB148"/>
    <mergeCell ref="AC148:AD148"/>
    <mergeCell ref="G148:H148"/>
    <mergeCell ref="I148:J148"/>
    <mergeCell ref="K148:L148"/>
    <mergeCell ref="M148:N148"/>
    <mergeCell ref="O148:P148"/>
    <mergeCell ref="Q148:R148"/>
    <mergeCell ref="S148:T148"/>
    <mergeCell ref="U149:V149"/>
    <mergeCell ref="W149:X149"/>
    <mergeCell ref="Y149:Z149"/>
    <mergeCell ref="AA149:AB149"/>
    <mergeCell ref="AC149:AD149"/>
    <mergeCell ref="G149:H149"/>
    <mergeCell ref="I149:J149"/>
    <mergeCell ref="K149:L149"/>
    <mergeCell ref="M149:N149"/>
    <mergeCell ref="O149:P149"/>
    <mergeCell ref="Q149:R149"/>
    <mergeCell ref="S149:T149"/>
    <mergeCell ref="U150:V150"/>
    <mergeCell ref="W150:X150"/>
    <mergeCell ref="Y150:Z150"/>
    <mergeCell ref="AA150:AB150"/>
    <mergeCell ref="AC150:AD150"/>
    <mergeCell ref="G150:H150"/>
    <mergeCell ref="I150:J150"/>
    <mergeCell ref="K150:L150"/>
    <mergeCell ref="M150:N150"/>
    <mergeCell ref="O150:P150"/>
    <mergeCell ref="Q150:R150"/>
    <mergeCell ref="S150:T150"/>
    <mergeCell ref="U151:V151"/>
    <mergeCell ref="W151:X151"/>
    <mergeCell ref="Y151:Z151"/>
    <mergeCell ref="AA151:AB151"/>
    <mergeCell ref="AC151:AD151"/>
    <mergeCell ref="G151:H151"/>
    <mergeCell ref="I151:J151"/>
    <mergeCell ref="K151:L151"/>
    <mergeCell ref="M151:N151"/>
    <mergeCell ref="O151:P151"/>
    <mergeCell ref="Q151:R151"/>
    <mergeCell ref="S151:T151"/>
    <mergeCell ref="U152:V152"/>
    <mergeCell ref="W152:X152"/>
    <mergeCell ref="Y152:Z152"/>
    <mergeCell ref="AA152:AB152"/>
    <mergeCell ref="AC152:AD152"/>
    <mergeCell ref="G152:H152"/>
    <mergeCell ref="I152:J152"/>
    <mergeCell ref="K152:L152"/>
    <mergeCell ref="M152:N152"/>
    <mergeCell ref="O152:P152"/>
    <mergeCell ref="Q152:R152"/>
    <mergeCell ref="S152:T152"/>
    <mergeCell ref="U153:V153"/>
    <mergeCell ref="W153:X153"/>
    <mergeCell ref="Y153:Z153"/>
    <mergeCell ref="AA153:AB153"/>
    <mergeCell ref="AC153:AD153"/>
    <mergeCell ref="G153:H153"/>
    <mergeCell ref="I153:J153"/>
    <mergeCell ref="K153:L153"/>
    <mergeCell ref="M153:N153"/>
    <mergeCell ref="O153:P153"/>
    <mergeCell ref="Q153:R153"/>
    <mergeCell ref="S153:T153"/>
    <mergeCell ref="U154:V154"/>
    <mergeCell ref="W154:X154"/>
    <mergeCell ref="Y154:Z154"/>
    <mergeCell ref="AA154:AB154"/>
    <mergeCell ref="AC154:AD154"/>
    <mergeCell ref="G154:H154"/>
    <mergeCell ref="I154:J154"/>
    <mergeCell ref="K154:L154"/>
    <mergeCell ref="M154:N154"/>
    <mergeCell ref="O154:P154"/>
    <mergeCell ref="Q154:R154"/>
    <mergeCell ref="S154:T154"/>
    <mergeCell ref="U155:V155"/>
    <mergeCell ref="W155:X155"/>
    <mergeCell ref="Y155:Z155"/>
    <mergeCell ref="AA155:AB155"/>
    <mergeCell ref="AC155:AD155"/>
    <mergeCell ref="G155:H155"/>
    <mergeCell ref="I155:J155"/>
    <mergeCell ref="K155:L155"/>
    <mergeCell ref="M155:N155"/>
    <mergeCell ref="O155:P155"/>
    <mergeCell ref="Q155:R155"/>
    <mergeCell ref="S155:T155"/>
    <mergeCell ref="U156:V156"/>
    <mergeCell ref="W156:X156"/>
    <mergeCell ref="Y156:Z156"/>
    <mergeCell ref="AA156:AB156"/>
    <mergeCell ref="AC156:AD156"/>
    <mergeCell ref="G156:H156"/>
    <mergeCell ref="I156:J156"/>
    <mergeCell ref="K156:L156"/>
    <mergeCell ref="M156:N156"/>
    <mergeCell ref="O156:P156"/>
    <mergeCell ref="Q156:R156"/>
    <mergeCell ref="S156:T156"/>
    <mergeCell ref="U157:V157"/>
    <mergeCell ref="W157:X157"/>
    <mergeCell ref="Y157:Z157"/>
    <mergeCell ref="AA157:AB157"/>
    <mergeCell ref="AC157:AD157"/>
    <mergeCell ref="G157:H157"/>
    <mergeCell ref="I157:J157"/>
    <mergeCell ref="K157:L157"/>
    <mergeCell ref="M157:N157"/>
    <mergeCell ref="O157:P157"/>
    <mergeCell ref="Q157:R157"/>
    <mergeCell ref="S157:T157"/>
    <mergeCell ref="U158:V158"/>
    <mergeCell ref="W158:X158"/>
    <mergeCell ref="Y158:Z158"/>
    <mergeCell ref="AA158:AB158"/>
    <mergeCell ref="AC158:AD158"/>
    <mergeCell ref="G158:H158"/>
    <mergeCell ref="I158:J158"/>
    <mergeCell ref="K158:L158"/>
    <mergeCell ref="M158:N158"/>
    <mergeCell ref="O158:P158"/>
    <mergeCell ref="Q158:R158"/>
    <mergeCell ref="S158:T158"/>
    <mergeCell ref="U159:V159"/>
    <mergeCell ref="W159:X159"/>
    <mergeCell ref="Y159:Z159"/>
    <mergeCell ref="AA159:AB159"/>
    <mergeCell ref="AC159:AD159"/>
    <mergeCell ref="G159:H159"/>
    <mergeCell ref="I159:J159"/>
    <mergeCell ref="K159:L159"/>
    <mergeCell ref="M159:N159"/>
    <mergeCell ref="O159:P159"/>
    <mergeCell ref="Q159:R159"/>
    <mergeCell ref="S159:T159"/>
    <mergeCell ref="U160:V160"/>
    <mergeCell ref="W160:X160"/>
    <mergeCell ref="Y160:Z160"/>
    <mergeCell ref="AA160:AB160"/>
    <mergeCell ref="AC160:AD160"/>
    <mergeCell ref="G160:H160"/>
    <mergeCell ref="I160:J160"/>
    <mergeCell ref="K160:L160"/>
    <mergeCell ref="M160:N160"/>
    <mergeCell ref="O160:P160"/>
    <mergeCell ref="Q160:R160"/>
    <mergeCell ref="S160:T160"/>
    <mergeCell ref="U161:V161"/>
    <mergeCell ref="W161:X161"/>
    <mergeCell ref="Y161:Z161"/>
    <mergeCell ref="AA161:AB161"/>
    <mergeCell ref="AC161:AD161"/>
    <mergeCell ref="G161:H161"/>
    <mergeCell ref="I161:J161"/>
    <mergeCell ref="K161:L161"/>
    <mergeCell ref="M161:N161"/>
    <mergeCell ref="O161:P161"/>
    <mergeCell ref="Q161:R161"/>
    <mergeCell ref="S161:T161"/>
    <mergeCell ref="U162:V162"/>
    <mergeCell ref="W162:X162"/>
    <mergeCell ref="Y162:Z162"/>
    <mergeCell ref="AA162:AB162"/>
    <mergeCell ref="AC162:AD162"/>
    <mergeCell ref="G162:H162"/>
    <mergeCell ref="I162:J162"/>
    <mergeCell ref="K162:L162"/>
    <mergeCell ref="M162:N162"/>
    <mergeCell ref="O162:P162"/>
    <mergeCell ref="Q162:R162"/>
    <mergeCell ref="S162:T162"/>
    <mergeCell ref="U163:V163"/>
    <mergeCell ref="W163:X163"/>
    <mergeCell ref="Y163:Z163"/>
    <mergeCell ref="AA163:AB163"/>
    <mergeCell ref="AC163:AD163"/>
    <mergeCell ref="G163:H163"/>
    <mergeCell ref="I163:J163"/>
    <mergeCell ref="K163:L163"/>
    <mergeCell ref="M163:N163"/>
    <mergeCell ref="O163:P163"/>
    <mergeCell ref="Q163:R163"/>
    <mergeCell ref="S163:T163"/>
    <mergeCell ref="U164:V164"/>
    <mergeCell ref="W164:X164"/>
    <mergeCell ref="Y164:Z164"/>
    <mergeCell ref="AA164:AB164"/>
    <mergeCell ref="AC164:AD164"/>
    <mergeCell ref="G164:H164"/>
    <mergeCell ref="I164:J164"/>
    <mergeCell ref="K164:L164"/>
    <mergeCell ref="M164:N164"/>
    <mergeCell ref="O164:P164"/>
    <mergeCell ref="Q164:R164"/>
    <mergeCell ref="S164:T164"/>
    <mergeCell ref="U165:V165"/>
    <mergeCell ref="W165:X165"/>
    <mergeCell ref="Y165:Z165"/>
    <mergeCell ref="AA165:AB165"/>
    <mergeCell ref="AC165:AD165"/>
    <mergeCell ref="G165:H165"/>
    <mergeCell ref="I165:J165"/>
    <mergeCell ref="K165:L165"/>
    <mergeCell ref="M165:N165"/>
    <mergeCell ref="O165:P165"/>
    <mergeCell ref="Q165:R165"/>
    <mergeCell ref="S165:T165"/>
    <mergeCell ref="U166:V166"/>
    <mergeCell ref="W166:X166"/>
    <mergeCell ref="Y166:Z166"/>
    <mergeCell ref="AA166:AB166"/>
    <mergeCell ref="AC166:AD166"/>
    <mergeCell ref="G166:H166"/>
    <mergeCell ref="I166:J166"/>
    <mergeCell ref="K166:L166"/>
    <mergeCell ref="M166:N166"/>
    <mergeCell ref="O166:P166"/>
    <mergeCell ref="Q166:R166"/>
    <mergeCell ref="S166:T166"/>
    <mergeCell ref="U167:V167"/>
    <mergeCell ref="W167:X167"/>
    <mergeCell ref="Y167:Z167"/>
    <mergeCell ref="AA167:AB167"/>
    <mergeCell ref="AC167:AD167"/>
    <mergeCell ref="G167:H167"/>
    <mergeCell ref="I167:J167"/>
    <mergeCell ref="K167:L167"/>
    <mergeCell ref="M167:N167"/>
    <mergeCell ref="O167:P167"/>
    <mergeCell ref="Q167:R167"/>
    <mergeCell ref="S167:T167"/>
    <mergeCell ref="U168:V168"/>
    <mergeCell ref="W168:X168"/>
    <mergeCell ref="Y168:Z168"/>
    <mergeCell ref="AA168:AB168"/>
    <mergeCell ref="AC168:AD168"/>
    <mergeCell ref="G168:H168"/>
    <mergeCell ref="I168:J168"/>
    <mergeCell ref="K168:L168"/>
    <mergeCell ref="M168:N168"/>
    <mergeCell ref="O168:P168"/>
    <mergeCell ref="Q168:R168"/>
    <mergeCell ref="S168:T168"/>
    <mergeCell ref="U169:V169"/>
    <mergeCell ref="W169:X169"/>
    <mergeCell ref="Y169:Z169"/>
    <mergeCell ref="AA169:AB169"/>
    <mergeCell ref="AC169:AD169"/>
    <mergeCell ref="G169:H169"/>
    <mergeCell ref="I169:J169"/>
    <mergeCell ref="K169:L169"/>
    <mergeCell ref="M169:N169"/>
    <mergeCell ref="O169:P169"/>
    <mergeCell ref="Q169:R169"/>
    <mergeCell ref="S169:T169"/>
    <mergeCell ref="U170:V170"/>
    <mergeCell ref="W170:X170"/>
    <mergeCell ref="Y170:Z170"/>
    <mergeCell ref="AA170:AB170"/>
    <mergeCell ref="AC170:AD170"/>
    <mergeCell ref="G170:H170"/>
    <mergeCell ref="I170:J170"/>
    <mergeCell ref="K170:L170"/>
    <mergeCell ref="M170:N170"/>
    <mergeCell ref="O170:P170"/>
    <mergeCell ref="Q170:R170"/>
    <mergeCell ref="S170:T170"/>
    <mergeCell ref="U171:V171"/>
    <mergeCell ref="W171:X171"/>
    <mergeCell ref="Y171:Z171"/>
    <mergeCell ref="AA171:AB171"/>
    <mergeCell ref="AC171:AD171"/>
    <mergeCell ref="G171:H171"/>
    <mergeCell ref="I171:J171"/>
    <mergeCell ref="K171:L171"/>
    <mergeCell ref="M171:N171"/>
    <mergeCell ref="O171:P171"/>
    <mergeCell ref="Q171:R171"/>
    <mergeCell ref="S171:T171"/>
    <mergeCell ref="U172:V172"/>
    <mergeCell ref="W172:X172"/>
    <mergeCell ref="Y172:Z172"/>
    <mergeCell ref="AA172:AB172"/>
    <mergeCell ref="AC172:AD172"/>
    <mergeCell ref="G172:H172"/>
    <mergeCell ref="I172:J172"/>
    <mergeCell ref="K172:L172"/>
    <mergeCell ref="M172:N172"/>
    <mergeCell ref="O172:P172"/>
    <mergeCell ref="Q172:R172"/>
    <mergeCell ref="S172:T172"/>
    <mergeCell ref="U173:V173"/>
    <mergeCell ref="W173:X173"/>
    <mergeCell ref="Y173:Z173"/>
    <mergeCell ref="AA173:AB173"/>
    <mergeCell ref="AC173:AD173"/>
    <mergeCell ref="G173:H173"/>
    <mergeCell ref="I173:J173"/>
    <mergeCell ref="K173:L173"/>
    <mergeCell ref="M173:N173"/>
    <mergeCell ref="O173:P173"/>
    <mergeCell ref="Q173:R173"/>
    <mergeCell ref="S173:T173"/>
    <mergeCell ref="U174:V174"/>
    <mergeCell ref="W174:X174"/>
    <mergeCell ref="Y174:Z174"/>
    <mergeCell ref="AA174:AB174"/>
    <mergeCell ref="AC174:AD174"/>
    <mergeCell ref="G174:H174"/>
    <mergeCell ref="I174:J174"/>
    <mergeCell ref="K174:L174"/>
    <mergeCell ref="M174:N174"/>
    <mergeCell ref="O174:P174"/>
    <mergeCell ref="Q174:R174"/>
    <mergeCell ref="S174:T174"/>
    <mergeCell ref="U175:V175"/>
    <mergeCell ref="W175:X175"/>
    <mergeCell ref="Y175:Z175"/>
    <mergeCell ref="AA175:AB175"/>
    <mergeCell ref="AC175:AD175"/>
    <mergeCell ref="G175:H175"/>
    <mergeCell ref="I175:J175"/>
    <mergeCell ref="K175:L175"/>
    <mergeCell ref="M175:N175"/>
    <mergeCell ref="O175:P175"/>
    <mergeCell ref="Q175:R175"/>
    <mergeCell ref="S175:T175"/>
    <mergeCell ref="U176:V176"/>
    <mergeCell ref="W176:X176"/>
    <mergeCell ref="Y176:Z176"/>
    <mergeCell ref="AA176:AB176"/>
    <mergeCell ref="AC176:AD176"/>
    <mergeCell ref="G176:H176"/>
    <mergeCell ref="I176:J176"/>
    <mergeCell ref="K176:L176"/>
    <mergeCell ref="M176:N176"/>
    <mergeCell ref="O176:P176"/>
    <mergeCell ref="Q176:R176"/>
    <mergeCell ref="S176:T176"/>
    <mergeCell ref="U177:V177"/>
    <mergeCell ref="W177:X177"/>
    <mergeCell ref="Y177:Z177"/>
    <mergeCell ref="AA177:AB177"/>
    <mergeCell ref="AC177:AD177"/>
    <mergeCell ref="G177:H177"/>
    <mergeCell ref="I177:J177"/>
    <mergeCell ref="K177:L177"/>
    <mergeCell ref="M177:N177"/>
    <mergeCell ref="O177:P177"/>
    <mergeCell ref="Q177:R177"/>
    <mergeCell ref="S177:T177"/>
    <mergeCell ref="U178:V178"/>
    <mergeCell ref="W178:X178"/>
    <mergeCell ref="Y178:Z178"/>
    <mergeCell ref="AA178:AB178"/>
    <mergeCell ref="AC178:AD178"/>
    <mergeCell ref="G178:H178"/>
    <mergeCell ref="I178:J178"/>
    <mergeCell ref="K178:L178"/>
    <mergeCell ref="M178:N178"/>
    <mergeCell ref="O178:P178"/>
    <mergeCell ref="Q178:R178"/>
    <mergeCell ref="S178:T178"/>
    <mergeCell ref="U179:V179"/>
    <mergeCell ref="W179:X179"/>
    <mergeCell ref="Y179:Z179"/>
    <mergeCell ref="AA179:AB179"/>
    <mergeCell ref="AC179:AD179"/>
    <mergeCell ref="G179:H179"/>
    <mergeCell ref="I179:J179"/>
    <mergeCell ref="K179:L179"/>
    <mergeCell ref="M179:N179"/>
    <mergeCell ref="O179:P179"/>
    <mergeCell ref="Q179:R179"/>
    <mergeCell ref="S179:T179"/>
    <mergeCell ref="U180:V180"/>
    <mergeCell ref="W180:X180"/>
    <mergeCell ref="Y180:Z180"/>
    <mergeCell ref="AA180:AB180"/>
    <mergeCell ref="AC180:AD180"/>
    <mergeCell ref="G180:H180"/>
    <mergeCell ref="I180:J180"/>
    <mergeCell ref="K180:L180"/>
    <mergeCell ref="M180:N180"/>
    <mergeCell ref="O180:P180"/>
    <mergeCell ref="Q180:R180"/>
    <mergeCell ref="S180:T180"/>
    <mergeCell ref="U181:V181"/>
    <mergeCell ref="W181:X181"/>
    <mergeCell ref="Y181:Z181"/>
    <mergeCell ref="AA181:AB181"/>
    <mergeCell ref="AC181:AD181"/>
    <mergeCell ref="G181:H181"/>
    <mergeCell ref="I181:J181"/>
    <mergeCell ref="K181:L181"/>
    <mergeCell ref="M181:N181"/>
    <mergeCell ref="O181:P181"/>
    <mergeCell ref="Q181:R181"/>
    <mergeCell ref="S181:T181"/>
    <mergeCell ref="U182:V182"/>
    <mergeCell ref="W182:X182"/>
    <mergeCell ref="Y182:Z182"/>
    <mergeCell ref="AA182:AB182"/>
    <mergeCell ref="AC182:AD182"/>
    <mergeCell ref="G182:H182"/>
    <mergeCell ref="I182:J182"/>
    <mergeCell ref="K182:L182"/>
    <mergeCell ref="M182:N182"/>
    <mergeCell ref="O182:P182"/>
    <mergeCell ref="Q182:R182"/>
    <mergeCell ref="S182:T182"/>
    <mergeCell ref="U183:V183"/>
    <mergeCell ref="W183:X183"/>
    <mergeCell ref="Y183:Z183"/>
    <mergeCell ref="AA183:AB183"/>
    <mergeCell ref="AC183:AD183"/>
    <mergeCell ref="G183:H183"/>
    <mergeCell ref="I183:J183"/>
    <mergeCell ref="K183:L183"/>
    <mergeCell ref="M183:N183"/>
    <mergeCell ref="O183:P183"/>
    <mergeCell ref="Q183:R183"/>
    <mergeCell ref="S183:T183"/>
    <mergeCell ref="U184:V184"/>
    <mergeCell ref="W184:X184"/>
    <mergeCell ref="Y184:Z184"/>
    <mergeCell ref="AA184:AB184"/>
    <mergeCell ref="AC184:AD184"/>
    <mergeCell ref="G184:H184"/>
    <mergeCell ref="I184:J184"/>
    <mergeCell ref="K184:L184"/>
    <mergeCell ref="M184:N184"/>
    <mergeCell ref="O184:P184"/>
    <mergeCell ref="Q184:R184"/>
    <mergeCell ref="S184:T184"/>
    <mergeCell ref="U185:V185"/>
    <mergeCell ref="W185:X185"/>
    <mergeCell ref="Y185:Z185"/>
    <mergeCell ref="AA185:AB185"/>
    <mergeCell ref="AC185:AD185"/>
    <mergeCell ref="G185:H185"/>
    <mergeCell ref="I185:J185"/>
    <mergeCell ref="K185:L185"/>
    <mergeCell ref="M185:N185"/>
    <mergeCell ref="O185:P185"/>
    <mergeCell ref="Q185:R185"/>
    <mergeCell ref="S185:T185"/>
    <mergeCell ref="U186:V186"/>
    <mergeCell ref="W186:X186"/>
    <mergeCell ref="Y186:Z186"/>
    <mergeCell ref="AA186:AB186"/>
    <mergeCell ref="AC186:AD186"/>
    <mergeCell ref="G186:H186"/>
    <mergeCell ref="I186:J186"/>
    <mergeCell ref="K186:L186"/>
    <mergeCell ref="M186:N186"/>
    <mergeCell ref="O186:P186"/>
    <mergeCell ref="Q186:R186"/>
    <mergeCell ref="S186:T186"/>
    <mergeCell ref="U187:V187"/>
    <mergeCell ref="W187:X187"/>
    <mergeCell ref="Y187:Z187"/>
    <mergeCell ref="AA187:AB187"/>
    <mergeCell ref="AC187:AD187"/>
    <mergeCell ref="G187:H187"/>
    <mergeCell ref="I187:J187"/>
    <mergeCell ref="K187:L187"/>
    <mergeCell ref="M187:N187"/>
    <mergeCell ref="O187:P187"/>
    <mergeCell ref="Q187:R187"/>
    <mergeCell ref="S187:T187"/>
    <mergeCell ref="U188:V188"/>
    <mergeCell ref="W188:X188"/>
    <mergeCell ref="Y188:Z188"/>
    <mergeCell ref="AA188:AB188"/>
    <mergeCell ref="AC188:AD188"/>
    <mergeCell ref="G188:H188"/>
    <mergeCell ref="I188:J188"/>
    <mergeCell ref="K188:L188"/>
    <mergeCell ref="M188:N188"/>
    <mergeCell ref="O188:P188"/>
    <mergeCell ref="Q188:R188"/>
    <mergeCell ref="S188:T188"/>
    <mergeCell ref="U189:V189"/>
    <mergeCell ref="W189:X189"/>
    <mergeCell ref="Y189:Z189"/>
    <mergeCell ref="AA189:AB189"/>
    <mergeCell ref="AC189:AD189"/>
    <mergeCell ref="G189:H189"/>
    <mergeCell ref="I189:J189"/>
    <mergeCell ref="K189:L189"/>
    <mergeCell ref="M189:N189"/>
    <mergeCell ref="O189:P189"/>
    <mergeCell ref="Q189:R189"/>
    <mergeCell ref="S189:T189"/>
    <mergeCell ref="U190:V190"/>
    <mergeCell ref="W190:X190"/>
    <mergeCell ref="Y190:Z190"/>
    <mergeCell ref="AA190:AB190"/>
    <mergeCell ref="AC190:AD190"/>
    <mergeCell ref="G190:H190"/>
    <mergeCell ref="I190:J190"/>
    <mergeCell ref="K190:L190"/>
    <mergeCell ref="M190:N190"/>
    <mergeCell ref="O190:P190"/>
    <mergeCell ref="Q190:R190"/>
    <mergeCell ref="S190:T190"/>
    <mergeCell ref="U191:V191"/>
    <mergeCell ref="W191:X191"/>
    <mergeCell ref="Y191:Z191"/>
    <mergeCell ref="AA191:AB191"/>
    <mergeCell ref="AC191:AD191"/>
    <mergeCell ref="G191:H191"/>
    <mergeCell ref="I191:J191"/>
    <mergeCell ref="K191:L191"/>
    <mergeCell ref="M191:N191"/>
    <mergeCell ref="O191:P191"/>
    <mergeCell ref="Q191:R191"/>
    <mergeCell ref="S191:T191"/>
    <mergeCell ref="U192:V192"/>
    <mergeCell ref="W192:X192"/>
    <mergeCell ref="Y192:Z192"/>
    <mergeCell ref="AA192:AB192"/>
    <mergeCell ref="AC192:AD192"/>
    <mergeCell ref="G192:H192"/>
    <mergeCell ref="I192:J192"/>
    <mergeCell ref="K192:L192"/>
    <mergeCell ref="M192:N192"/>
    <mergeCell ref="O192:P192"/>
    <mergeCell ref="Q192:R192"/>
    <mergeCell ref="S192:T192"/>
    <mergeCell ref="U193:V193"/>
    <mergeCell ref="W193:X193"/>
    <mergeCell ref="Y193:Z193"/>
    <mergeCell ref="AA193:AB193"/>
    <mergeCell ref="AC193:AD193"/>
    <mergeCell ref="G193:H193"/>
    <mergeCell ref="I193:J193"/>
    <mergeCell ref="K193:L193"/>
    <mergeCell ref="M193:N193"/>
    <mergeCell ref="O193:P193"/>
    <mergeCell ref="Q193:R193"/>
    <mergeCell ref="S193:T193"/>
    <mergeCell ref="U194:V194"/>
    <mergeCell ref="W194:X194"/>
    <mergeCell ref="Y194:Z194"/>
    <mergeCell ref="AA194:AB194"/>
    <mergeCell ref="AC194:AD194"/>
    <mergeCell ref="G194:H194"/>
    <mergeCell ref="I194:J194"/>
    <mergeCell ref="K194:L194"/>
    <mergeCell ref="M194:N194"/>
    <mergeCell ref="O194:P194"/>
    <mergeCell ref="Q194:R194"/>
    <mergeCell ref="S194:T194"/>
    <mergeCell ref="U195:V195"/>
    <mergeCell ref="W195:X195"/>
    <mergeCell ref="Y195:Z195"/>
    <mergeCell ref="AA195:AB195"/>
    <mergeCell ref="AC195:AD195"/>
    <mergeCell ref="G195:H195"/>
    <mergeCell ref="I195:J195"/>
    <mergeCell ref="K195:L195"/>
    <mergeCell ref="M195:N195"/>
    <mergeCell ref="O195:P195"/>
    <mergeCell ref="Q195:R195"/>
    <mergeCell ref="S195:T195"/>
    <mergeCell ref="U196:V196"/>
    <mergeCell ref="W196:X196"/>
    <mergeCell ref="Y196:Z196"/>
    <mergeCell ref="AA196:AB196"/>
    <mergeCell ref="AC196:AD196"/>
    <mergeCell ref="G196:H196"/>
    <mergeCell ref="I196:J196"/>
    <mergeCell ref="K196:L196"/>
    <mergeCell ref="M196:N196"/>
    <mergeCell ref="O196:P196"/>
    <mergeCell ref="Q196:R196"/>
    <mergeCell ref="S196:T196"/>
    <mergeCell ref="U197:V197"/>
    <mergeCell ref="W197:X197"/>
    <mergeCell ref="Y197:Z197"/>
    <mergeCell ref="AA197:AB197"/>
    <mergeCell ref="AC197:AD197"/>
    <mergeCell ref="G197:H197"/>
    <mergeCell ref="I197:J197"/>
    <mergeCell ref="K197:L197"/>
    <mergeCell ref="M197:N197"/>
    <mergeCell ref="O197:P197"/>
    <mergeCell ref="Q197:R197"/>
    <mergeCell ref="S197:T197"/>
    <mergeCell ref="U198:V198"/>
    <mergeCell ref="W198:X198"/>
    <mergeCell ref="Y198:Z198"/>
    <mergeCell ref="AA198:AB198"/>
    <mergeCell ref="AC198:AD198"/>
    <mergeCell ref="G198:H198"/>
    <mergeCell ref="I198:J198"/>
    <mergeCell ref="K198:L198"/>
    <mergeCell ref="M198:N198"/>
    <mergeCell ref="O198:P198"/>
    <mergeCell ref="Q198:R198"/>
    <mergeCell ref="S198:T198"/>
    <mergeCell ref="U199:V199"/>
    <mergeCell ref="W199:X199"/>
    <mergeCell ref="Y199:Z199"/>
    <mergeCell ref="AA199:AB199"/>
    <mergeCell ref="AC199:AD199"/>
    <mergeCell ref="G199:H199"/>
    <mergeCell ref="I199:J199"/>
    <mergeCell ref="K199:L199"/>
    <mergeCell ref="M199:N199"/>
    <mergeCell ref="O199:P199"/>
    <mergeCell ref="Q199:R199"/>
    <mergeCell ref="S199:T199"/>
    <mergeCell ref="U200:V200"/>
    <mergeCell ref="W200:X200"/>
    <mergeCell ref="Y200:Z200"/>
    <mergeCell ref="AA200:AB200"/>
    <mergeCell ref="AC200:AD200"/>
    <mergeCell ref="G200:H200"/>
    <mergeCell ref="I200:J200"/>
    <mergeCell ref="K200:L200"/>
    <mergeCell ref="M200:N200"/>
    <mergeCell ref="O200:P200"/>
    <mergeCell ref="Q200:R200"/>
    <mergeCell ref="S200:T200"/>
    <mergeCell ref="U201:V201"/>
    <mergeCell ref="W201:X201"/>
    <mergeCell ref="Y201:Z201"/>
    <mergeCell ref="AA201:AB201"/>
    <mergeCell ref="AC201:AD201"/>
    <mergeCell ref="G201:H201"/>
    <mergeCell ref="I201:J201"/>
    <mergeCell ref="K201:L201"/>
    <mergeCell ref="M201:N201"/>
    <mergeCell ref="O201:P201"/>
    <mergeCell ref="Q201:R201"/>
    <mergeCell ref="S201:T201"/>
    <mergeCell ref="U202:V202"/>
    <mergeCell ref="W202:X202"/>
    <mergeCell ref="Y202:Z202"/>
    <mergeCell ref="AA202:AB202"/>
    <mergeCell ref="AC202:AD202"/>
    <mergeCell ref="G202:H202"/>
    <mergeCell ref="I202:J202"/>
    <mergeCell ref="K202:L202"/>
    <mergeCell ref="M202:N202"/>
    <mergeCell ref="O202:P202"/>
    <mergeCell ref="Q202:R202"/>
    <mergeCell ref="S202:T202"/>
    <mergeCell ref="U203:V203"/>
    <mergeCell ref="W203:X203"/>
    <mergeCell ref="Y203:Z203"/>
    <mergeCell ref="AA203:AB203"/>
    <mergeCell ref="AC203:AD203"/>
    <mergeCell ref="G203:H203"/>
    <mergeCell ref="I203:J203"/>
    <mergeCell ref="K203:L203"/>
    <mergeCell ref="M203:N203"/>
    <mergeCell ref="O203:P203"/>
    <mergeCell ref="Q203:R203"/>
    <mergeCell ref="S203:T203"/>
    <mergeCell ref="U204:V204"/>
    <mergeCell ref="W204:X204"/>
    <mergeCell ref="Y204:Z204"/>
    <mergeCell ref="AA204:AB204"/>
    <mergeCell ref="AC204:AD204"/>
    <mergeCell ref="G204:H204"/>
    <mergeCell ref="I204:J204"/>
    <mergeCell ref="K204:L204"/>
    <mergeCell ref="M204:N204"/>
    <mergeCell ref="O204:P204"/>
    <mergeCell ref="Q204:R204"/>
    <mergeCell ref="S204:T204"/>
    <mergeCell ref="U205:V205"/>
    <mergeCell ref="W205:X205"/>
    <mergeCell ref="Y205:Z205"/>
    <mergeCell ref="AA205:AB205"/>
    <mergeCell ref="AC205:AD205"/>
    <mergeCell ref="G205:H205"/>
    <mergeCell ref="I205:J205"/>
    <mergeCell ref="K205:L205"/>
    <mergeCell ref="M205:N205"/>
    <mergeCell ref="O205:P205"/>
    <mergeCell ref="Q205:R205"/>
    <mergeCell ref="S205:T205"/>
    <mergeCell ref="U206:V206"/>
    <mergeCell ref="W206:X206"/>
    <mergeCell ref="Y206:Z206"/>
    <mergeCell ref="AA206:AB206"/>
    <mergeCell ref="AC206:AD206"/>
    <mergeCell ref="G206:H206"/>
    <mergeCell ref="I206:J206"/>
    <mergeCell ref="K206:L206"/>
    <mergeCell ref="M206:N206"/>
    <mergeCell ref="O206:P206"/>
    <mergeCell ref="Q206:R206"/>
    <mergeCell ref="S206:T206"/>
    <mergeCell ref="U207:V207"/>
    <mergeCell ref="W207:X207"/>
    <mergeCell ref="Y207:Z207"/>
    <mergeCell ref="AA207:AB207"/>
    <mergeCell ref="AC207:AD207"/>
    <mergeCell ref="G207:H207"/>
    <mergeCell ref="I207:J207"/>
    <mergeCell ref="K207:L207"/>
    <mergeCell ref="M207:N207"/>
    <mergeCell ref="O207:P207"/>
    <mergeCell ref="Q207:R207"/>
    <mergeCell ref="S207:T207"/>
    <mergeCell ref="U208:V208"/>
    <mergeCell ref="W208:X208"/>
    <mergeCell ref="Y208:Z208"/>
    <mergeCell ref="AA208:AB208"/>
    <mergeCell ref="AC208:AD208"/>
    <mergeCell ref="G208:H208"/>
    <mergeCell ref="I208:J208"/>
    <mergeCell ref="K208:L208"/>
    <mergeCell ref="M208:N208"/>
    <mergeCell ref="O208:P208"/>
    <mergeCell ref="Q208:R208"/>
    <mergeCell ref="S208:T208"/>
    <mergeCell ref="U209:V209"/>
    <mergeCell ref="W209:X209"/>
    <mergeCell ref="Y209:Z209"/>
    <mergeCell ref="AA209:AB209"/>
    <mergeCell ref="AC209:AD209"/>
    <mergeCell ref="G209:H209"/>
    <mergeCell ref="I209:J209"/>
    <mergeCell ref="K209:L209"/>
    <mergeCell ref="M209:N209"/>
    <mergeCell ref="O209:P209"/>
    <mergeCell ref="Q209:R209"/>
    <mergeCell ref="S209:T209"/>
    <mergeCell ref="U210:V210"/>
    <mergeCell ref="W210:X210"/>
    <mergeCell ref="Y210:Z210"/>
    <mergeCell ref="AA210:AB210"/>
    <mergeCell ref="AC210:AD210"/>
    <mergeCell ref="G210:H210"/>
    <mergeCell ref="I210:J210"/>
    <mergeCell ref="K210:L210"/>
    <mergeCell ref="M210:N210"/>
    <mergeCell ref="O210:P210"/>
    <mergeCell ref="Q210:R210"/>
    <mergeCell ref="S210:T210"/>
    <mergeCell ref="U211:V211"/>
    <mergeCell ref="W211:X211"/>
    <mergeCell ref="Y211:Z211"/>
    <mergeCell ref="AA211:AB211"/>
    <mergeCell ref="AC211:AD211"/>
    <mergeCell ref="G211:H211"/>
    <mergeCell ref="I211:J211"/>
    <mergeCell ref="K211:L211"/>
    <mergeCell ref="M211:N211"/>
    <mergeCell ref="O211:P211"/>
    <mergeCell ref="Q211:R211"/>
    <mergeCell ref="S211:T211"/>
    <mergeCell ref="U212:V212"/>
    <mergeCell ref="W212:X212"/>
    <mergeCell ref="Y212:Z212"/>
    <mergeCell ref="AA212:AB212"/>
    <mergeCell ref="AC212:AD212"/>
    <mergeCell ref="G212:H212"/>
    <mergeCell ref="I212:J212"/>
    <mergeCell ref="K212:L212"/>
    <mergeCell ref="M212:N212"/>
    <mergeCell ref="O212:P212"/>
    <mergeCell ref="Q212:R212"/>
    <mergeCell ref="S212:T212"/>
    <mergeCell ref="U213:V213"/>
    <mergeCell ref="W213:X213"/>
    <mergeCell ref="Y213:Z213"/>
    <mergeCell ref="AA213:AB213"/>
    <mergeCell ref="AC213:AD213"/>
    <mergeCell ref="G213:H213"/>
    <mergeCell ref="I213:J213"/>
    <mergeCell ref="K213:L213"/>
    <mergeCell ref="M213:N213"/>
    <mergeCell ref="O213:P213"/>
    <mergeCell ref="Q213:R213"/>
    <mergeCell ref="S213:T213"/>
    <mergeCell ref="U214:V214"/>
    <mergeCell ref="W214:X214"/>
    <mergeCell ref="Y214:Z214"/>
    <mergeCell ref="AA214:AB214"/>
    <mergeCell ref="AC214:AD214"/>
    <mergeCell ref="G214:H214"/>
    <mergeCell ref="I214:J214"/>
    <mergeCell ref="K214:L214"/>
    <mergeCell ref="M214:N214"/>
    <mergeCell ref="O214:P214"/>
    <mergeCell ref="Q214:R214"/>
    <mergeCell ref="S214:T214"/>
    <mergeCell ref="U215:V215"/>
    <mergeCell ref="W215:X215"/>
    <mergeCell ref="Y215:Z215"/>
    <mergeCell ref="AA215:AB215"/>
    <mergeCell ref="AC215:AD215"/>
    <mergeCell ref="G215:H215"/>
    <mergeCell ref="I215:J215"/>
    <mergeCell ref="K215:L215"/>
    <mergeCell ref="M215:N215"/>
    <mergeCell ref="O215:P215"/>
    <mergeCell ref="Q215:R215"/>
    <mergeCell ref="S215:T215"/>
    <mergeCell ref="U216:V216"/>
    <mergeCell ref="W216:X216"/>
    <mergeCell ref="Y216:Z216"/>
    <mergeCell ref="AA216:AB216"/>
    <mergeCell ref="AC216:AD216"/>
    <mergeCell ref="G216:H216"/>
    <mergeCell ref="I216:J216"/>
    <mergeCell ref="K216:L216"/>
    <mergeCell ref="M216:N216"/>
    <mergeCell ref="O216:P216"/>
    <mergeCell ref="Q216:R216"/>
    <mergeCell ref="S216:T216"/>
    <mergeCell ref="U217:V217"/>
    <mergeCell ref="W217:X217"/>
    <mergeCell ref="Y217:Z217"/>
    <mergeCell ref="AA217:AB217"/>
    <mergeCell ref="AC217:AD217"/>
    <mergeCell ref="G217:H217"/>
    <mergeCell ref="I217:J217"/>
    <mergeCell ref="K217:L217"/>
    <mergeCell ref="M217:N217"/>
    <mergeCell ref="O217:P217"/>
    <mergeCell ref="Q217:R217"/>
    <mergeCell ref="S217:T217"/>
    <mergeCell ref="U218:V218"/>
    <mergeCell ref="W218:X218"/>
    <mergeCell ref="Y218:Z218"/>
    <mergeCell ref="AA218:AB218"/>
    <mergeCell ref="AC218:AD218"/>
    <mergeCell ref="G218:H218"/>
    <mergeCell ref="I218:J218"/>
    <mergeCell ref="K218:L218"/>
    <mergeCell ref="M218:N218"/>
    <mergeCell ref="O218:P218"/>
    <mergeCell ref="Q218:R218"/>
    <mergeCell ref="S218:T218"/>
    <mergeCell ref="U219:V219"/>
    <mergeCell ref="W219:X219"/>
    <mergeCell ref="Y219:Z219"/>
    <mergeCell ref="AA219:AB219"/>
    <mergeCell ref="AC219:AD219"/>
    <mergeCell ref="G219:H219"/>
    <mergeCell ref="I219:J219"/>
    <mergeCell ref="K219:L219"/>
    <mergeCell ref="M219:N219"/>
    <mergeCell ref="O219:P219"/>
    <mergeCell ref="Q219:R219"/>
    <mergeCell ref="S219:T219"/>
    <mergeCell ref="U220:V220"/>
    <mergeCell ref="W220:X220"/>
    <mergeCell ref="Y220:Z220"/>
    <mergeCell ref="AA220:AB220"/>
    <mergeCell ref="AC220:AD220"/>
    <mergeCell ref="G220:H220"/>
    <mergeCell ref="I220:J220"/>
    <mergeCell ref="K220:L220"/>
    <mergeCell ref="M220:N220"/>
    <mergeCell ref="O220:P220"/>
    <mergeCell ref="Q220:R220"/>
    <mergeCell ref="S220:T220"/>
    <mergeCell ref="U221:V221"/>
    <mergeCell ref="W221:X221"/>
    <mergeCell ref="Y221:Z221"/>
    <mergeCell ref="AA221:AB221"/>
    <mergeCell ref="AC221:AD221"/>
    <mergeCell ref="G221:H221"/>
    <mergeCell ref="I221:J221"/>
    <mergeCell ref="K221:L221"/>
    <mergeCell ref="M221:N221"/>
    <mergeCell ref="O221:P221"/>
    <mergeCell ref="Q221:R221"/>
    <mergeCell ref="S221:T221"/>
    <mergeCell ref="U222:V222"/>
    <mergeCell ref="W222:X222"/>
    <mergeCell ref="Y222:Z222"/>
    <mergeCell ref="AA222:AB222"/>
    <mergeCell ref="AC222:AD222"/>
    <mergeCell ref="G222:H222"/>
    <mergeCell ref="I222:J222"/>
    <mergeCell ref="K222:L222"/>
    <mergeCell ref="M222:N222"/>
    <mergeCell ref="O222:P222"/>
    <mergeCell ref="Q222:R222"/>
    <mergeCell ref="S222:T222"/>
    <mergeCell ref="U223:V223"/>
    <mergeCell ref="W223:X223"/>
    <mergeCell ref="Y223:Z223"/>
    <mergeCell ref="AA223:AB223"/>
    <mergeCell ref="AC223:AD223"/>
    <mergeCell ref="G223:H223"/>
    <mergeCell ref="I223:J223"/>
    <mergeCell ref="K223:L223"/>
    <mergeCell ref="M223:N223"/>
    <mergeCell ref="O223:P223"/>
    <mergeCell ref="Q223:R223"/>
    <mergeCell ref="S223:T223"/>
    <mergeCell ref="U224:V224"/>
    <mergeCell ref="W224:X224"/>
    <mergeCell ref="Y224:Z224"/>
    <mergeCell ref="AA224:AB224"/>
    <mergeCell ref="AC224:AD224"/>
    <mergeCell ref="G224:H224"/>
    <mergeCell ref="I224:J224"/>
    <mergeCell ref="K224:L224"/>
    <mergeCell ref="M224:N224"/>
    <mergeCell ref="O224:P224"/>
    <mergeCell ref="Q224:R224"/>
    <mergeCell ref="S224:T224"/>
    <mergeCell ref="U225:V225"/>
    <mergeCell ref="W225:X225"/>
    <mergeCell ref="Y225:Z225"/>
    <mergeCell ref="AA225:AB225"/>
    <mergeCell ref="AC225:AD225"/>
    <mergeCell ref="G225:H225"/>
    <mergeCell ref="I225:J225"/>
    <mergeCell ref="K225:L225"/>
    <mergeCell ref="M225:N225"/>
    <mergeCell ref="O225:P225"/>
    <mergeCell ref="Q225:R225"/>
    <mergeCell ref="S225:T225"/>
    <mergeCell ref="U226:V226"/>
    <mergeCell ref="W226:X226"/>
    <mergeCell ref="Y226:Z226"/>
    <mergeCell ref="AA226:AB226"/>
    <mergeCell ref="AC226:AD226"/>
    <mergeCell ref="G226:H226"/>
    <mergeCell ref="I226:J226"/>
    <mergeCell ref="K226:L226"/>
    <mergeCell ref="M226:N226"/>
    <mergeCell ref="O226:P226"/>
    <mergeCell ref="Q226:R226"/>
    <mergeCell ref="S226:T226"/>
    <mergeCell ref="U227:V227"/>
    <mergeCell ref="W227:X227"/>
    <mergeCell ref="Y227:Z227"/>
    <mergeCell ref="AA227:AB227"/>
    <mergeCell ref="AC227:AD227"/>
    <mergeCell ref="G227:H227"/>
    <mergeCell ref="I227:J227"/>
    <mergeCell ref="K227:L227"/>
    <mergeCell ref="M227:N227"/>
    <mergeCell ref="O227:P227"/>
    <mergeCell ref="Q227:R227"/>
    <mergeCell ref="S227:T227"/>
    <mergeCell ref="U228:V228"/>
    <mergeCell ref="W228:X228"/>
    <mergeCell ref="Y228:Z228"/>
    <mergeCell ref="AA228:AB228"/>
    <mergeCell ref="AC228:AD228"/>
    <mergeCell ref="G228:H228"/>
    <mergeCell ref="I228:J228"/>
    <mergeCell ref="K228:L228"/>
    <mergeCell ref="M228:N228"/>
    <mergeCell ref="O228:P228"/>
    <mergeCell ref="Q228:R228"/>
    <mergeCell ref="S228:T228"/>
    <mergeCell ref="U229:V229"/>
    <mergeCell ref="W229:X229"/>
    <mergeCell ref="Y229:Z229"/>
    <mergeCell ref="AA229:AB229"/>
    <mergeCell ref="AC229:AD229"/>
    <mergeCell ref="G229:H229"/>
    <mergeCell ref="I229:J229"/>
    <mergeCell ref="K229:L229"/>
    <mergeCell ref="M229:N229"/>
    <mergeCell ref="O229:P229"/>
    <mergeCell ref="Q229:R229"/>
    <mergeCell ref="S229:T229"/>
    <mergeCell ref="U230:V230"/>
    <mergeCell ref="W230:X230"/>
    <mergeCell ref="Y230:Z230"/>
    <mergeCell ref="AA230:AB230"/>
    <mergeCell ref="AC230:AD230"/>
    <mergeCell ref="G230:H230"/>
    <mergeCell ref="I230:J230"/>
    <mergeCell ref="K230:L230"/>
    <mergeCell ref="M230:N230"/>
    <mergeCell ref="O230:P230"/>
    <mergeCell ref="Q230:R230"/>
    <mergeCell ref="S230:T230"/>
    <mergeCell ref="U231:V231"/>
    <mergeCell ref="W231:X231"/>
    <mergeCell ref="Y231:Z231"/>
    <mergeCell ref="AA231:AB231"/>
    <mergeCell ref="AC231:AD231"/>
    <mergeCell ref="G231:H231"/>
    <mergeCell ref="I231:J231"/>
    <mergeCell ref="K231:L231"/>
    <mergeCell ref="M231:N231"/>
    <mergeCell ref="O231:P231"/>
    <mergeCell ref="Q231:R231"/>
    <mergeCell ref="S231:T231"/>
    <mergeCell ref="U232:V232"/>
    <mergeCell ref="W232:X232"/>
    <mergeCell ref="Y232:Z232"/>
    <mergeCell ref="AA232:AB232"/>
    <mergeCell ref="AC232:AD232"/>
    <mergeCell ref="G232:H232"/>
    <mergeCell ref="I232:J232"/>
    <mergeCell ref="K232:L232"/>
    <mergeCell ref="M232:N232"/>
    <mergeCell ref="O232:P232"/>
    <mergeCell ref="Q232:R232"/>
    <mergeCell ref="S232:T232"/>
    <mergeCell ref="U233:V233"/>
    <mergeCell ref="W233:X233"/>
    <mergeCell ref="Y233:Z233"/>
    <mergeCell ref="AA233:AB233"/>
    <mergeCell ref="AC233:AD233"/>
    <mergeCell ref="G233:H233"/>
    <mergeCell ref="I233:J233"/>
    <mergeCell ref="K233:L233"/>
    <mergeCell ref="M233:N233"/>
    <mergeCell ref="O233:P233"/>
    <mergeCell ref="Q233:R233"/>
    <mergeCell ref="S233:T233"/>
    <mergeCell ref="U234:V234"/>
    <mergeCell ref="W234:X234"/>
    <mergeCell ref="Y234:Z234"/>
    <mergeCell ref="AA234:AB234"/>
    <mergeCell ref="AC234:AD234"/>
    <mergeCell ref="G234:H234"/>
    <mergeCell ref="I234:J234"/>
    <mergeCell ref="K234:L234"/>
    <mergeCell ref="M234:N234"/>
    <mergeCell ref="O234:P234"/>
    <mergeCell ref="Q234:R234"/>
    <mergeCell ref="S234:T234"/>
    <mergeCell ref="U235:V235"/>
    <mergeCell ref="W235:X235"/>
    <mergeCell ref="Y235:Z235"/>
    <mergeCell ref="AA235:AB235"/>
    <mergeCell ref="AC235:AD235"/>
    <mergeCell ref="G235:H235"/>
    <mergeCell ref="I235:J235"/>
    <mergeCell ref="K235:L235"/>
    <mergeCell ref="M235:N235"/>
    <mergeCell ref="O235:P235"/>
    <mergeCell ref="Q235:R235"/>
    <mergeCell ref="S235:T235"/>
    <mergeCell ref="U236:V236"/>
    <mergeCell ref="W236:X236"/>
    <mergeCell ref="Y236:Z236"/>
    <mergeCell ref="AA236:AB236"/>
    <mergeCell ref="AC236:AD236"/>
    <mergeCell ref="G236:H236"/>
    <mergeCell ref="I236:J236"/>
    <mergeCell ref="K236:L236"/>
    <mergeCell ref="M236:N236"/>
    <mergeCell ref="O236:P236"/>
    <mergeCell ref="Q236:R236"/>
    <mergeCell ref="S236:T236"/>
    <mergeCell ref="U237:V237"/>
    <mergeCell ref="W237:X237"/>
    <mergeCell ref="Y237:Z237"/>
    <mergeCell ref="AA237:AB237"/>
    <mergeCell ref="AC237:AD237"/>
    <mergeCell ref="G237:H237"/>
    <mergeCell ref="I237:J237"/>
    <mergeCell ref="K237:L237"/>
    <mergeCell ref="M237:N237"/>
    <mergeCell ref="O237:P237"/>
    <mergeCell ref="Q237:R237"/>
    <mergeCell ref="S237:T237"/>
    <mergeCell ref="U238:V238"/>
    <mergeCell ref="W238:X238"/>
    <mergeCell ref="Y238:Z238"/>
    <mergeCell ref="AA238:AB238"/>
    <mergeCell ref="AC238:AD238"/>
    <mergeCell ref="G238:H238"/>
    <mergeCell ref="I238:J238"/>
    <mergeCell ref="K238:L238"/>
    <mergeCell ref="M238:N238"/>
    <mergeCell ref="O238:P238"/>
    <mergeCell ref="Q238:R238"/>
    <mergeCell ref="S238:T238"/>
    <mergeCell ref="U239:V239"/>
    <mergeCell ref="W239:X239"/>
    <mergeCell ref="Y239:Z239"/>
    <mergeCell ref="AA239:AB239"/>
    <mergeCell ref="AC239:AD239"/>
    <mergeCell ref="G239:H239"/>
    <mergeCell ref="I239:J239"/>
    <mergeCell ref="K239:L239"/>
    <mergeCell ref="M239:N239"/>
    <mergeCell ref="O239:P239"/>
    <mergeCell ref="Q239:R239"/>
    <mergeCell ref="S239:T239"/>
    <mergeCell ref="U240:V240"/>
    <mergeCell ref="W240:X240"/>
    <mergeCell ref="Y240:Z240"/>
    <mergeCell ref="AA240:AB240"/>
    <mergeCell ref="AC240:AD240"/>
    <mergeCell ref="G240:H240"/>
    <mergeCell ref="I240:J240"/>
    <mergeCell ref="K240:L240"/>
    <mergeCell ref="M240:N240"/>
    <mergeCell ref="O240:P240"/>
    <mergeCell ref="Q240:R240"/>
    <mergeCell ref="S240:T240"/>
    <mergeCell ref="U241:V241"/>
    <mergeCell ref="W241:X241"/>
    <mergeCell ref="Y241:Z241"/>
    <mergeCell ref="AA241:AB241"/>
    <mergeCell ref="AC241:AD241"/>
    <mergeCell ref="G241:H241"/>
    <mergeCell ref="I241:J241"/>
    <mergeCell ref="K241:L241"/>
    <mergeCell ref="M241:N241"/>
    <mergeCell ref="O241:P241"/>
    <mergeCell ref="Q241:R241"/>
    <mergeCell ref="S241:T241"/>
    <mergeCell ref="U242:V242"/>
    <mergeCell ref="W242:X242"/>
    <mergeCell ref="Y242:Z242"/>
    <mergeCell ref="AA242:AB242"/>
    <mergeCell ref="AC242:AD242"/>
    <mergeCell ref="G242:H242"/>
    <mergeCell ref="I242:J242"/>
    <mergeCell ref="K242:L242"/>
    <mergeCell ref="M242:N242"/>
    <mergeCell ref="O242:P242"/>
    <mergeCell ref="Q242:R242"/>
    <mergeCell ref="S242:T242"/>
    <mergeCell ref="U243:V243"/>
    <mergeCell ref="W243:X243"/>
    <mergeCell ref="Y243:Z243"/>
    <mergeCell ref="AA243:AB243"/>
    <mergeCell ref="AC243:AD243"/>
    <mergeCell ref="G243:H243"/>
    <mergeCell ref="I243:J243"/>
    <mergeCell ref="K243:L243"/>
    <mergeCell ref="M243:N243"/>
    <mergeCell ref="O243:P243"/>
    <mergeCell ref="Q243:R243"/>
    <mergeCell ref="S243:T243"/>
    <mergeCell ref="U244:V244"/>
    <mergeCell ref="W244:X244"/>
    <mergeCell ref="Y244:Z244"/>
    <mergeCell ref="AA244:AB244"/>
    <mergeCell ref="AC244:AD244"/>
    <mergeCell ref="G244:H244"/>
    <mergeCell ref="I244:J244"/>
    <mergeCell ref="K244:L244"/>
    <mergeCell ref="M244:N244"/>
    <mergeCell ref="O244:P244"/>
    <mergeCell ref="Q244:R244"/>
    <mergeCell ref="S244:T244"/>
    <mergeCell ref="U245:V245"/>
    <mergeCell ref="W245:X245"/>
    <mergeCell ref="Y245:Z245"/>
    <mergeCell ref="AA245:AB245"/>
    <mergeCell ref="AC245:AD245"/>
    <mergeCell ref="G245:H245"/>
    <mergeCell ref="I245:J245"/>
    <mergeCell ref="K245:L245"/>
    <mergeCell ref="M245:N245"/>
    <mergeCell ref="O245:P245"/>
    <mergeCell ref="Q245:R245"/>
    <mergeCell ref="S245:T245"/>
    <mergeCell ref="U246:V246"/>
    <mergeCell ref="W246:X246"/>
    <mergeCell ref="Y246:Z246"/>
    <mergeCell ref="AA246:AB246"/>
    <mergeCell ref="AC246:AD246"/>
    <mergeCell ref="G246:H246"/>
    <mergeCell ref="I246:J246"/>
    <mergeCell ref="K246:L246"/>
    <mergeCell ref="M246:N246"/>
    <mergeCell ref="O246:P246"/>
    <mergeCell ref="Q246:R246"/>
    <mergeCell ref="S246:T246"/>
    <mergeCell ref="U247:V247"/>
    <mergeCell ref="W247:X247"/>
    <mergeCell ref="Y247:Z247"/>
    <mergeCell ref="AA247:AB247"/>
    <mergeCell ref="AC247:AD247"/>
    <mergeCell ref="G247:H247"/>
    <mergeCell ref="I247:J247"/>
    <mergeCell ref="K247:L247"/>
    <mergeCell ref="M247:N247"/>
    <mergeCell ref="O247:P247"/>
    <mergeCell ref="Q247:R247"/>
    <mergeCell ref="S247:T247"/>
    <mergeCell ref="U248:V248"/>
    <mergeCell ref="W248:X248"/>
    <mergeCell ref="Y248:Z248"/>
    <mergeCell ref="AA248:AB248"/>
    <mergeCell ref="AC248:AD248"/>
    <mergeCell ref="G248:H248"/>
    <mergeCell ref="I248:J248"/>
    <mergeCell ref="K248:L248"/>
    <mergeCell ref="M248:N248"/>
    <mergeCell ref="O248:P248"/>
    <mergeCell ref="Q248:R248"/>
    <mergeCell ref="S248:T248"/>
    <mergeCell ref="U249:V249"/>
    <mergeCell ref="W249:X249"/>
    <mergeCell ref="Y249:Z249"/>
    <mergeCell ref="AA249:AB249"/>
    <mergeCell ref="AC249:AD249"/>
    <mergeCell ref="G249:H249"/>
    <mergeCell ref="I249:J249"/>
    <mergeCell ref="K249:L249"/>
    <mergeCell ref="M249:N249"/>
    <mergeCell ref="O249:P249"/>
    <mergeCell ref="Q249:R249"/>
    <mergeCell ref="S249:T249"/>
    <mergeCell ref="U250:V250"/>
    <mergeCell ref="W250:X250"/>
    <mergeCell ref="Y250:Z250"/>
    <mergeCell ref="AA250:AB250"/>
    <mergeCell ref="AC250:AD250"/>
    <mergeCell ref="G250:H250"/>
    <mergeCell ref="I250:J250"/>
    <mergeCell ref="K250:L250"/>
    <mergeCell ref="M250:N250"/>
    <mergeCell ref="O250:P250"/>
    <mergeCell ref="Q250:R250"/>
    <mergeCell ref="S250:T250"/>
    <mergeCell ref="U251:V251"/>
    <mergeCell ref="W251:X251"/>
    <mergeCell ref="Y251:Z251"/>
    <mergeCell ref="AA251:AB251"/>
    <mergeCell ref="AC251:AD251"/>
    <mergeCell ref="G251:H251"/>
    <mergeCell ref="I251:J251"/>
    <mergeCell ref="K251:L251"/>
    <mergeCell ref="M251:N251"/>
    <mergeCell ref="O251:P251"/>
    <mergeCell ref="Q251:R251"/>
    <mergeCell ref="S251:T251"/>
    <mergeCell ref="U252:V252"/>
    <mergeCell ref="W252:X252"/>
    <mergeCell ref="Y252:Z252"/>
    <mergeCell ref="AA252:AB252"/>
    <mergeCell ref="AC252:AD252"/>
    <mergeCell ref="G252:H252"/>
    <mergeCell ref="I252:J252"/>
    <mergeCell ref="K252:L252"/>
    <mergeCell ref="M252:N252"/>
    <mergeCell ref="O252:P252"/>
    <mergeCell ref="Q252:R252"/>
    <mergeCell ref="S252:T252"/>
    <mergeCell ref="U253:V253"/>
    <mergeCell ref="W253:X253"/>
    <mergeCell ref="Y253:Z253"/>
    <mergeCell ref="AA253:AB253"/>
    <mergeCell ref="AC253:AD253"/>
    <mergeCell ref="G253:H253"/>
    <mergeCell ref="I253:J253"/>
    <mergeCell ref="K253:L253"/>
    <mergeCell ref="M253:N253"/>
    <mergeCell ref="O253:P253"/>
    <mergeCell ref="Q253:R253"/>
    <mergeCell ref="S253:T253"/>
    <mergeCell ref="U254:V254"/>
    <mergeCell ref="W254:X254"/>
    <mergeCell ref="Y254:Z254"/>
    <mergeCell ref="AA254:AB254"/>
    <mergeCell ref="AC254:AD254"/>
    <mergeCell ref="G254:H254"/>
    <mergeCell ref="I254:J254"/>
    <mergeCell ref="K254:L254"/>
    <mergeCell ref="M254:N254"/>
    <mergeCell ref="O254:P254"/>
    <mergeCell ref="Q254:R254"/>
    <mergeCell ref="S254:T254"/>
    <mergeCell ref="U255:V255"/>
    <mergeCell ref="W255:X255"/>
    <mergeCell ref="Y255:Z255"/>
    <mergeCell ref="AA255:AB255"/>
    <mergeCell ref="AC255:AD255"/>
    <mergeCell ref="G255:H255"/>
    <mergeCell ref="I255:J255"/>
    <mergeCell ref="K255:L255"/>
    <mergeCell ref="M255:N255"/>
    <mergeCell ref="O255:P255"/>
    <mergeCell ref="Q255:R255"/>
    <mergeCell ref="S255:T255"/>
    <mergeCell ref="U256:V256"/>
    <mergeCell ref="W256:X256"/>
    <mergeCell ref="Y256:Z256"/>
    <mergeCell ref="AA256:AB256"/>
    <mergeCell ref="AC256:AD256"/>
    <mergeCell ref="G256:H256"/>
    <mergeCell ref="I256:J256"/>
    <mergeCell ref="K256:L256"/>
    <mergeCell ref="M256:N256"/>
    <mergeCell ref="O256:P256"/>
    <mergeCell ref="Q256:R256"/>
    <mergeCell ref="S256:T256"/>
    <mergeCell ref="U257:V257"/>
    <mergeCell ref="W257:X257"/>
    <mergeCell ref="Y257:Z257"/>
    <mergeCell ref="AA257:AB257"/>
    <mergeCell ref="AC257:AD257"/>
    <mergeCell ref="G257:H257"/>
    <mergeCell ref="I257:J257"/>
    <mergeCell ref="K257:L257"/>
    <mergeCell ref="M257:N257"/>
    <mergeCell ref="O257:P257"/>
    <mergeCell ref="Q257:R257"/>
    <mergeCell ref="S257:T257"/>
    <mergeCell ref="U258:V258"/>
    <mergeCell ref="W258:X258"/>
    <mergeCell ref="Y258:Z258"/>
    <mergeCell ref="AA258:AB258"/>
    <mergeCell ref="AC258:AD258"/>
    <mergeCell ref="G258:H258"/>
    <mergeCell ref="I258:J258"/>
    <mergeCell ref="K258:L258"/>
    <mergeCell ref="M258:N258"/>
    <mergeCell ref="O258:P258"/>
    <mergeCell ref="Q258:R258"/>
    <mergeCell ref="S258:T258"/>
    <mergeCell ref="U259:V259"/>
    <mergeCell ref="W259:X259"/>
    <mergeCell ref="Y259:Z259"/>
    <mergeCell ref="AA259:AB259"/>
    <mergeCell ref="AC259:AD259"/>
    <mergeCell ref="G259:H259"/>
    <mergeCell ref="I259:J259"/>
    <mergeCell ref="K259:L259"/>
    <mergeCell ref="M259:N259"/>
    <mergeCell ref="O259:P259"/>
    <mergeCell ref="Q259:R259"/>
    <mergeCell ref="S259:T259"/>
    <mergeCell ref="U260:V260"/>
    <mergeCell ref="W260:X260"/>
    <mergeCell ref="Y260:Z260"/>
    <mergeCell ref="AA260:AB260"/>
    <mergeCell ref="AC260:AD260"/>
    <mergeCell ref="G260:H260"/>
    <mergeCell ref="I260:J260"/>
    <mergeCell ref="K260:L260"/>
    <mergeCell ref="M260:N260"/>
    <mergeCell ref="O260:P260"/>
    <mergeCell ref="Q260:R260"/>
    <mergeCell ref="S260:T260"/>
    <mergeCell ref="U261:V261"/>
    <mergeCell ref="W261:X261"/>
    <mergeCell ref="Y261:Z261"/>
    <mergeCell ref="AA261:AB261"/>
    <mergeCell ref="AC261:AD261"/>
    <mergeCell ref="G261:H261"/>
    <mergeCell ref="I261:J261"/>
    <mergeCell ref="K261:L261"/>
    <mergeCell ref="M261:N261"/>
    <mergeCell ref="O261:P261"/>
    <mergeCell ref="Q261:R261"/>
    <mergeCell ref="S261:T261"/>
    <mergeCell ref="U262:V262"/>
    <mergeCell ref="W262:X262"/>
    <mergeCell ref="Y262:Z262"/>
    <mergeCell ref="AA262:AB262"/>
    <mergeCell ref="AC262:AD262"/>
    <mergeCell ref="G262:H262"/>
    <mergeCell ref="I262:J262"/>
    <mergeCell ref="K262:L262"/>
    <mergeCell ref="M262:N262"/>
    <mergeCell ref="O262:P262"/>
    <mergeCell ref="Q262:R262"/>
    <mergeCell ref="S262:T262"/>
    <mergeCell ref="U263:V263"/>
    <mergeCell ref="W263:X263"/>
    <mergeCell ref="Y263:Z263"/>
    <mergeCell ref="AA263:AB263"/>
    <mergeCell ref="AC263:AD263"/>
    <mergeCell ref="G263:H263"/>
    <mergeCell ref="I263:J263"/>
    <mergeCell ref="K263:L263"/>
    <mergeCell ref="M263:N263"/>
    <mergeCell ref="O263:P263"/>
    <mergeCell ref="Q263:R263"/>
    <mergeCell ref="S263:T263"/>
    <mergeCell ref="U264:V264"/>
    <mergeCell ref="W264:X264"/>
    <mergeCell ref="Y264:Z264"/>
    <mergeCell ref="AA264:AB264"/>
    <mergeCell ref="AC264:AD264"/>
    <mergeCell ref="G264:H264"/>
    <mergeCell ref="I264:J264"/>
    <mergeCell ref="K264:L264"/>
    <mergeCell ref="M264:N264"/>
    <mergeCell ref="O264:P264"/>
    <mergeCell ref="Q264:R264"/>
    <mergeCell ref="S264:T264"/>
    <mergeCell ref="U265:V265"/>
    <mergeCell ref="W265:X265"/>
    <mergeCell ref="Y265:Z265"/>
    <mergeCell ref="AA265:AB265"/>
    <mergeCell ref="AC265:AD265"/>
    <mergeCell ref="G265:H265"/>
    <mergeCell ref="I265:J265"/>
    <mergeCell ref="K265:L265"/>
    <mergeCell ref="M265:N265"/>
    <mergeCell ref="O265:P265"/>
    <mergeCell ref="Q265:R265"/>
    <mergeCell ref="S265:T265"/>
    <mergeCell ref="U266:V266"/>
    <mergeCell ref="W266:X266"/>
    <mergeCell ref="Y266:Z266"/>
    <mergeCell ref="AA266:AB266"/>
    <mergeCell ref="AC266:AD266"/>
    <mergeCell ref="G266:H266"/>
    <mergeCell ref="I266:J266"/>
    <mergeCell ref="K266:L266"/>
    <mergeCell ref="M266:N266"/>
    <mergeCell ref="O266:P266"/>
    <mergeCell ref="Q266:R266"/>
    <mergeCell ref="S266:T266"/>
    <mergeCell ref="U267:V267"/>
    <mergeCell ref="W267:X267"/>
    <mergeCell ref="Y267:Z267"/>
    <mergeCell ref="AA267:AB267"/>
    <mergeCell ref="AC267:AD267"/>
    <mergeCell ref="G267:H267"/>
    <mergeCell ref="I267:J267"/>
    <mergeCell ref="K267:L267"/>
    <mergeCell ref="M267:N267"/>
    <mergeCell ref="O267:P267"/>
    <mergeCell ref="Q267:R267"/>
    <mergeCell ref="S267:T267"/>
    <mergeCell ref="U268:V268"/>
    <mergeCell ref="W268:X268"/>
    <mergeCell ref="Y268:Z268"/>
    <mergeCell ref="AA268:AB268"/>
    <mergeCell ref="AC268:AD268"/>
    <mergeCell ref="G268:H268"/>
    <mergeCell ref="I268:J268"/>
    <mergeCell ref="K268:L268"/>
    <mergeCell ref="M268:N268"/>
    <mergeCell ref="O268:P268"/>
    <mergeCell ref="Q268:R268"/>
    <mergeCell ref="S268:T268"/>
    <mergeCell ref="U269:V269"/>
    <mergeCell ref="W269:X269"/>
    <mergeCell ref="Y269:Z269"/>
    <mergeCell ref="AA269:AB269"/>
    <mergeCell ref="AC269:AD269"/>
    <mergeCell ref="G269:H269"/>
    <mergeCell ref="I269:J269"/>
    <mergeCell ref="K269:L269"/>
    <mergeCell ref="M269:N269"/>
    <mergeCell ref="O269:P269"/>
    <mergeCell ref="Q269:R269"/>
    <mergeCell ref="S269:T269"/>
    <mergeCell ref="U270:V270"/>
    <mergeCell ref="W270:X270"/>
    <mergeCell ref="Y270:Z270"/>
    <mergeCell ref="AA270:AB270"/>
    <mergeCell ref="AC270:AD270"/>
    <mergeCell ref="G270:H270"/>
    <mergeCell ref="I270:J270"/>
    <mergeCell ref="K270:L270"/>
    <mergeCell ref="M270:N270"/>
    <mergeCell ref="O270:P270"/>
    <mergeCell ref="Q270:R270"/>
    <mergeCell ref="S270:T270"/>
    <mergeCell ref="U271:V271"/>
    <mergeCell ref="W271:X271"/>
    <mergeCell ref="Y271:Z271"/>
    <mergeCell ref="AA271:AB271"/>
    <mergeCell ref="AC271:AD271"/>
    <mergeCell ref="G271:H271"/>
    <mergeCell ref="I271:J271"/>
    <mergeCell ref="K271:L271"/>
    <mergeCell ref="M271:N271"/>
    <mergeCell ref="O271:P271"/>
    <mergeCell ref="Q271:R271"/>
    <mergeCell ref="S271:T271"/>
    <mergeCell ref="U272:V272"/>
    <mergeCell ref="W272:X272"/>
    <mergeCell ref="Y272:Z272"/>
    <mergeCell ref="AA272:AB272"/>
    <mergeCell ref="AC272:AD272"/>
    <mergeCell ref="G272:H272"/>
    <mergeCell ref="I272:J272"/>
    <mergeCell ref="K272:L272"/>
    <mergeCell ref="M272:N272"/>
    <mergeCell ref="O272:P272"/>
    <mergeCell ref="Q272:R272"/>
    <mergeCell ref="S272:T272"/>
    <mergeCell ref="U273:V273"/>
    <mergeCell ref="W273:X273"/>
    <mergeCell ref="Y273:Z273"/>
    <mergeCell ref="AA273:AB273"/>
    <mergeCell ref="AC273:AD273"/>
    <mergeCell ref="G273:H273"/>
    <mergeCell ref="I273:J273"/>
    <mergeCell ref="K273:L273"/>
    <mergeCell ref="M273:N273"/>
    <mergeCell ref="O273:P273"/>
    <mergeCell ref="Q273:R273"/>
    <mergeCell ref="S273:T273"/>
    <mergeCell ref="U274:V274"/>
    <mergeCell ref="W274:X274"/>
    <mergeCell ref="Y274:Z274"/>
    <mergeCell ref="AA274:AB274"/>
    <mergeCell ref="AC274:AD274"/>
    <mergeCell ref="G274:H274"/>
    <mergeCell ref="I274:J274"/>
    <mergeCell ref="K274:L274"/>
    <mergeCell ref="M274:N274"/>
    <mergeCell ref="O274:P274"/>
    <mergeCell ref="Q274:R274"/>
    <mergeCell ref="S274:T274"/>
    <mergeCell ref="U275:V275"/>
    <mergeCell ref="W275:X275"/>
    <mergeCell ref="Y275:Z275"/>
    <mergeCell ref="AA275:AB275"/>
    <mergeCell ref="AC275:AD275"/>
    <mergeCell ref="G275:H275"/>
    <mergeCell ref="I275:J275"/>
    <mergeCell ref="K275:L275"/>
    <mergeCell ref="M275:N275"/>
    <mergeCell ref="O275:P275"/>
    <mergeCell ref="Q275:R275"/>
    <mergeCell ref="S275:T275"/>
    <mergeCell ref="U276:V276"/>
    <mergeCell ref="W276:X276"/>
    <mergeCell ref="Y276:Z276"/>
    <mergeCell ref="AA276:AB276"/>
    <mergeCell ref="AC276:AD276"/>
    <mergeCell ref="G276:H276"/>
    <mergeCell ref="I276:J276"/>
    <mergeCell ref="K276:L276"/>
    <mergeCell ref="M276:N276"/>
    <mergeCell ref="O276:P276"/>
    <mergeCell ref="Q276:R276"/>
    <mergeCell ref="S276:T276"/>
    <mergeCell ref="U277:V277"/>
    <mergeCell ref="W277:X277"/>
    <mergeCell ref="Y277:Z277"/>
    <mergeCell ref="AA277:AB277"/>
    <mergeCell ref="AC277:AD277"/>
    <mergeCell ref="G277:H277"/>
    <mergeCell ref="I277:J277"/>
    <mergeCell ref="K277:L277"/>
    <mergeCell ref="M277:N277"/>
    <mergeCell ref="O277:P277"/>
    <mergeCell ref="Q277:R277"/>
    <mergeCell ref="S277:T277"/>
    <mergeCell ref="U278:V278"/>
    <mergeCell ref="W278:X278"/>
    <mergeCell ref="Y278:Z278"/>
    <mergeCell ref="AA278:AB278"/>
    <mergeCell ref="AC278:AD278"/>
    <mergeCell ref="G278:H278"/>
    <mergeCell ref="I278:J278"/>
    <mergeCell ref="K278:L278"/>
    <mergeCell ref="M278:N278"/>
    <mergeCell ref="O278:P278"/>
    <mergeCell ref="Q278:R278"/>
    <mergeCell ref="S278:T278"/>
    <mergeCell ref="U279:V279"/>
    <mergeCell ref="W279:X279"/>
    <mergeCell ref="Y279:Z279"/>
    <mergeCell ref="AA279:AB279"/>
    <mergeCell ref="AC279:AD279"/>
    <mergeCell ref="G279:H279"/>
    <mergeCell ref="I279:J279"/>
    <mergeCell ref="K279:L279"/>
    <mergeCell ref="M279:N279"/>
    <mergeCell ref="O279:P279"/>
    <mergeCell ref="Q279:R279"/>
    <mergeCell ref="S279:T279"/>
    <mergeCell ref="U280:V280"/>
    <mergeCell ref="W280:X280"/>
    <mergeCell ref="Y280:Z280"/>
    <mergeCell ref="AA280:AB280"/>
    <mergeCell ref="AC280:AD280"/>
    <mergeCell ref="G280:H280"/>
    <mergeCell ref="I280:J280"/>
    <mergeCell ref="K280:L280"/>
    <mergeCell ref="M280:N280"/>
    <mergeCell ref="O280:P280"/>
    <mergeCell ref="Q280:R280"/>
    <mergeCell ref="S280:T280"/>
    <mergeCell ref="U281:V281"/>
    <mergeCell ref="W281:X281"/>
    <mergeCell ref="Y281:Z281"/>
    <mergeCell ref="AA281:AB281"/>
    <mergeCell ref="AC281:AD281"/>
    <mergeCell ref="G281:H281"/>
    <mergeCell ref="I281:J281"/>
    <mergeCell ref="K281:L281"/>
    <mergeCell ref="M281:N281"/>
    <mergeCell ref="O281:P281"/>
    <mergeCell ref="Q281:R281"/>
    <mergeCell ref="S281:T281"/>
    <mergeCell ref="U282:V282"/>
    <mergeCell ref="W282:X282"/>
    <mergeCell ref="Y282:Z282"/>
    <mergeCell ref="AA282:AB282"/>
    <mergeCell ref="AC282:AD282"/>
    <mergeCell ref="G282:H282"/>
    <mergeCell ref="I282:J282"/>
    <mergeCell ref="K282:L282"/>
    <mergeCell ref="M282:N282"/>
    <mergeCell ref="O282:P282"/>
    <mergeCell ref="Q282:R282"/>
    <mergeCell ref="S282:T282"/>
    <mergeCell ref="U283:V283"/>
    <mergeCell ref="W283:X283"/>
    <mergeCell ref="Y283:Z283"/>
    <mergeCell ref="AA283:AB283"/>
    <mergeCell ref="AC283:AD283"/>
    <mergeCell ref="G283:H283"/>
    <mergeCell ref="I283:J283"/>
    <mergeCell ref="K283:L283"/>
    <mergeCell ref="M283:N283"/>
    <mergeCell ref="O283:P283"/>
    <mergeCell ref="Q283:R283"/>
    <mergeCell ref="S283:T283"/>
    <mergeCell ref="U284:V284"/>
    <mergeCell ref="W284:X284"/>
    <mergeCell ref="Y284:Z284"/>
    <mergeCell ref="AA284:AB284"/>
    <mergeCell ref="AC284:AD284"/>
    <mergeCell ref="G284:H284"/>
    <mergeCell ref="I284:J284"/>
    <mergeCell ref="K284:L284"/>
    <mergeCell ref="M284:N284"/>
    <mergeCell ref="O284:P284"/>
    <mergeCell ref="Q284:R284"/>
    <mergeCell ref="S284:T284"/>
    <mergeCell ref="U285:V285"/>
    <mergeCell ref="W285:X285"/>
    <mergeCell ref="Y285:Z285"/>
    <mergeCell ref="AA285:AB285"/>
    <mergeCell ref="AC285:AD285"/>
    <mergeCell ref="G285:H285"/>
    <mergeCell ref="I285:J285"/>
    <mergeCell ref="K285:L285"/>
    <mergeCell ref="M285:N285"/>
    <mergeCell ref="O285:P285"/>
    <mergeCell ref="Q285:R285"/>
    <mergeCell ref="S285:T285"/>
    <mergeCell ref="U286:V286"/>
    <mergeCell ref="W286:X286"/>
    <mergeCell ref="Y286:Z286"/>
    <mergeCell ref="AA286:AB286"/>
    <mergeCell ref="AC286:AD286"/>
    <mergeCell ref="G286:H286"/>
    <mergeCell ref="I286:J286"/>
    <mergeCell ref="K286:L286"/>
    <mergeCell ref="M286:N286"/>
    <mergeCell ref="O286:P286"/>
    <mergeCell ref="Q286:R286"/>
    <mergeCell ref="S286:T286"/>
    <mergeCell ref="U287:V287"/>
    <mergeCell ref="W287:X287"/>
    <mergeCell ref="Y287:Z287"/>
    <mergeCell ref="AA287:AB287"/>
    <mergeCell ref="AC287:AD287"/>
    <mergeCell ref="G287:H287"/>
    <mergeCell ref="I287:J287"/>
    <mergeCell ref="K287:L287"/>
    <mergeCell ref="M287:N287"/>
    <mergeCell ref="O287:P287"/>
    <mergeCell ref="Q287:R287"/>
    <mergeCell ref="S287:T287"/>
    <mergeCell ref="U288:V288"/>
    <mergeCell ref="W288:X288"/>
    <mergeCell ref="Y288:Z288"/>
    <mergeCell ref="AA288:AB288"/>
    <mergeCell ref="AC288:AD288"/>
    <mergeCell ref="G288:H288"/>
    <mergeCell ref="I288:J288"/>
    <mergeCell ref="K288:L288"/>
    <mergeCell ref="M288:N288"/>
    <mergeCell ref="O288:P288"/>
    <mergeCell ref="Q288:R288"/>
    <mergeCell ref="S288:T288"/>
    <mergeCell ref="U289:V289"/>
    <mergeCell ref="W289:X289"/>
    <mergeCell ref="Y289:Z289"/>
    <mergeCell ref="AA289:AB289"/>
    <mergeCell ref="AC289:AD289"/>
    <mergeCell ref="G289:H289"/>
    <mergeCell ref="I289:J289"/>
    <mergeCell ref="K289:L289"/>
    <mergeCell ref="M289:N289"/>
    <mergeCell ref="O289:P289"/>
    <mergeCell ref="Q289:R289"/>
    <mergeCell ref="S289:T289"/>
    <mergeCell ref="U290:V290"/>
    <mergeCell ref="W290:X290"/>
    <mergeCell ref="Y290:Z290"/>
    <mergeCell ref="AA290:AB290"/>
    <mergeCell ref="AC290:AD290"/>
    <mergeCell ref="G290:H290"/>
    <mergeCell ref="I290:J290"/>
    <mergeCell ref="K290:L290"/>
    <mergeCell ref="M290:N290"/>
    <mergeCell ref="O290:P290"/>
    <mergeCell ref="Q290:R290"/>
    <mergeCell ref="S290:T290"/>
    <mergeCell ref="U291:V291"/>
    <mergeCell ref="W291:X291"/>
    <mergeCell ref="Y291:Z291"/>
    <mergeCell ref="AA291:AB291"/>
    <mergeCell ref="AC291:AD291"/>
    <mergeCell ref="G291:H291"/>
    <mergeCell ref="I291:J291"/>
    <mergeCell ref="K291:L291"/>
    <mergeCell ref="M291:N291"/>
    <mergeCell ref="O291:P291"/>
    <mergeCell ref="Q291:R291"/>
    <mergeCell ref="S291:T291"/>
    <mergeCell ref="U292:V292"/>
    <mergeCell ref="W292:X292"/>
    <mergeCell ref="Y292:Z292"/>
    <mergeCell ref="AA292:AB292"/>
    <mergeCell ref="AC292:AD292"/>
    <mergeCell ref="G292:H292"/>
    <mergeCell ref="I292:J292"/>
    <mergeCell ref="K292:L292"/>
    <mergeCell ref="M292:N292"/>
    <mergeCell ref="O292:P292"/>
    <mergeCell ref="Q292:R292"/>
    <mergeCell ref="S292:T292"/>
    <mergeCell ref="U293:V293"/>
    <mergeCell ref="W293:X293"/>
    <mergeCell ref="Y293:Z293"/>
    <mergeCell ref="AA293:AB293"/>
    <mergeCell ref="AC293:AD293"/>
    <mergeCell ref="G293:H293"/>
    <mergeCell ref="I293:J293"/>
    <mergeCell ref="K293:L293"/>
    <mergeCell ref="M293:N293"/>
    <mergeCell ref="O293:P293"/>
    <mergeCell ref="Q293:R293"/>
    <mergeCell ref="S293:T293"/>
    <mergeCell ref="U294:V294"/>
    <mergeCell ref="W294:X294"/>
    <mergeCell ref="Y294:Z294"/>
    <mergeCell ref="AA294:AB294"/>
    <mergeCell ref="AC294:AD294"/>
    <mergeCell ref="G294:H294"/>
    <mergeCell ref="I294:J294"/>
    <mergeCell ref="K294:L294"/>
    <mergeCell ref="M294:N294"/>
    <mergeCell ref="O294:P294"/>
    <mergeCell ref="Q294:R294"/>
    <mergeCell ref="S294:T294"/>
    <mergeCell ref="U295:V295"/>
    <mergeCell ref="W295:X295"/>
    <mergeCell ref="Y295:Z295"/>
    <mergeCell ref="AA295:AB295"/>
    <mergeCell ref="AC295:AD295"/>
    <mergeCell ref="G295:H295"/>
    <mergeCell ref="I295:J295"/>
    <mergeCell ref="K295:L295"/>
    <mergeCell ref="M295:N295"/>
    <mergeCell ref="O295:P295"/>
    <mergeCell ref="Q295:R295"/>
    <mergeCell ref="S295:T295"/>
    <mergeCell ref="U296:V296"/>
    <mergeCell ref="W296:X296"/>
    <mergeCell ref="Y296:Z296"/>
    <mergeCell ref="AA296:AB296"/>
    <mergeCell ref="AC296:AD296"/>
    <mergeCell ref="G296:H296"/>
    <mergeCell ref="I296:J296"/>
    <mergeCell ref="K296:L296"/>
    <mergeCell ref="M296:N296"/>
    <mergeCell ref="O296:P296"/>
    <mergeCell ref="Q296:R296"/>
    <mergeCell ref="S296:T296"/>
    <mergeCell ref="U297:V297"/>
    <mergeCell ref="W297:X297"/>
    <mergeCell ref="Y297:Z297"/>
    <mergeCell ref="AA297:AB297"/>
    <mergeCell ref="AC297:AD297"/>
    <mergeCell ref="G297:H297"/>
    <mergeCell ref="I297:J297"/>
    <mergeCell ref="K297:L297"/>
    <mergeCell ref="M297:N297"/>
    <mergeCell ref="O297:P297"/>
    <mergeCell ref="Q297:R297"/>
    <mergeCell ref="S297:T297"/>
    <mergeCell ref="U298:V298"/>
    <mergeCell ref="W298:X298"/>
    <mergeCell ref="Y298:Z298"/>
    <mergeCell ref="AA298:AB298"/>
    <mergeCell ref="AC298:AD298"/>
    <mergeCell ref="G298:H298"/>
    <mergeCell ref="I298:J298"/>
    <mergeCell ref="K298:L298"/>
    <mergeCell ref="M298:N298"/>
    <mergeCell ref="O298:P298"/>
    <mergeCell ref="Q298:R298"/>
    <mergeCell ref="S298:T298"/>
    <mergeCell ref="U299:V299"/>
    <mergeCell ref="W299:X299"/>
    <mergeCell ref="Y299:Z299"/>
    <mergeCell ref="AA299:AB299"/>
    <mergeCell ref="AC299:AD299"/>
    <mergeCell ref="G299:H299"/>
    <mergeCell ref="I299:J299"/>
    <mergeCell ref="K299:L299"/>
    <mergeCell ref="M299:N299"/>
    <mergeCell ref="O299:P299"/>
    <mergeCell ref="Q299:R299"/>
    <mergeCell ref="S299:T299"/>
    <mergeCell ref="U300:V300"/>
    <mergeCell ref="W300:X300"/>
    <mergeCell ref="Y300:Z300"/>
    <mergeCell ref="AA300:AB300"/>
    <mergeCell ref="AC300:AD300"/>
    <mergeCell ref="G300:H300"/>
    <mergeCell ref="I300:J300"/>
    <mergeCell ref="K300:L300"/>
    <mergeCell ref="M300:N300"/>
    <mergeCell ref="O300:P300"/>
    <mergeCell ref="Q300:R300"/>
    <mergeCell ref="S300:T300"/>
    <mergeCell ref="U301:V301"/>
    <mergeCell ref="W301:X301"/>
    <mergeCell ref="Y301:Z301"/>
    <mergeCell ref="AA301:AB301"/>
    <mergeCell ref="AC301:AD301"/>
    <mergeCell ref="G301:H301"/>
    <mergeCell ref="I301:J301"/>
    <mergeCell ref="K301:L301"/>
    <mergeCell ref="M301:N301"/>
    <mergeCell ref="O301:P301"/>
    <mergeCell ref="Q301:R301"/>
    <mergeCell ref="S301:T301"/>
    <mergeCell ref="U358:V358"/>
    <mergeCell ref="W358:X358"/>
    <mergeCell ref="Y358:Z358"/>
    <mergeCell ref="AA358:AB358"/>
    <mergeCell ref="AC358:AD358"/>
    <mergeCell ref="G358:H358"/>
    <mergeCell ref="I358:J358"/>
    <mergeCell ref="K358:L358"/>
    <mergeCell ref="M358:N358"/>
    <mergeCell ref="O358:P358"/>
    <mergeCell ref="Q358:R358"/>
    <mergeCell ref="S358:T358"/>
    <mergeCell ref="U6:V6"/>
    <mergeCell ref="W6:X6"/>
    <mergeCell ref="Y6:Z6"/>
    <mergeCell ref="AA6:AB6"/>
    <mergeCell ref="AC6:AD6"/>
    <mergeCell ref="G6:H6"/>
    <mergeCell ref="I6:J6"/>
    <mergeCell ref="K6:L6"/>
    <mergeCell ref="M6:N6"/>
    <mergeCell ref="O6:P6"/>
    <mergeCell ref="Q6:R6"/>
    <mergeCell ref="S6:T6"/>
    <mergeCell ref="U7:V7"/>
    <mergeCell ref="W7:X7"/>
    <mergeCell ref="Y7:Z7"/>
    <mergeCell ref="AA7:AB7"/>
    <mergeCell ref="AC7:AD7"/>
    <mergeCell ref="G7:H7"/>
    <mergeCell ref="I7:J7"/>
    <mergeCell ref="K7:L7"/>
    <mergeCell ref="M7:N7"/>
    <mergeCell ref="O7:P7"/>
    <mergeCell ref="Q7:R7"/>
    <mergeCell ref="S7:T7"/>
    <mergeCell ref="U8:V8"/>
    <mergeCell ref="W8:X8"/>
    <mergeCell ref="Y8:Z8"/>
    <mergeCell ref="AA8:AB8"/>
    <mergeCell ref="AC8:AD8"/>
    <mergeCell ref="G8:H8"/>
    <mergeCell ref="I8:J8"/>
    <mergeCell ref="K8:L8"/>
    <mergeCell ref="M8:N8"/>
    <mergeCell ref="O8:P8"/>
    <mergeCell ref="Q8:R8"/>
    <mergeCell ref="S8:T8"/>
    <mergeCell ref="U359:V359"/>
    <mergeCell ref="W359:X359"/>
    <mergeCell ref="Y359:Z359"/>
    <mergeCell ref="AA359:AB359"/>
    <mergeCell ref="AC359:AD359"/>
    <mergeCell ref="G359:H359"/>
    <mergeCell ref="I359:J359"/>
    <mergeCell ref="K359:L359"/>
    <mergeCell ref="M359:N359"/>
    <mergeCell ref="O359:P359"/>
    <mergeCell ref="Q359:R359"/>
    <mergeCell ref="S359:T359"/>
    <mergeCell ref="U351:V351"/>
    <mergeCell ref="W351:X351"/>
    <mergeCell ref="Y351:Z351"/>
    <mergeCell ref="AA351:AB351"/>
    <mergeCell ref="AC351:AD351"/>
    <mergeCell ref="G351:H351"/>
    <mergeCell ref="I351:J351"/>
    <mergeCell ref="K351:L351"/>
    <mergeCell ref="M351:N351"/>
    <mergeCell ref="O351:P351"/>
    <mergeCell ref="Q351:R351"/>
    <mergeCell ref="S351:T351"/>
    <mergeCell ref="U352:V352"/>
    <mergeCell ref="W352:X352"/>
    <mergeCell ref="Y352:Z352"/>
    <mergeCell ref="AA352:AB352"/>
    <mergeCell ref="AC352:AD352"/>
    <mergeCell ref="G352:H352"/>
    <mergeCell ref="I352:J352"/>
    <mergeCell ref="K352:L352"/>
    <mergeCell ref="M352:N352"/>
    <mergeCell ref="O352:P352"/>
    <mergeCell ref="Q352:R352"/>
    <mergeCell ref="S352:T352"/>
    <mergeCell ref="U353:V353"/>
    <mergeCell ref="W353:X353"/>
    <mergeCell ref="Y353:Z353"/>
    <mergeCell ref="AA353:AB353"/>
    <mergeCell ref="AC353:AD353"/>
    <mergeCell ref="G353:H353"/>
    <mergeCell ref="I353:J353"/>
    <mergeCell ref="K353:L353"/>
    <mergeCell ref="M353:N353"/>
    <mergeCell ref="O353:P353"/>
    <mergeCell ref="Q353:R353"/>
    <mergeCell ref="S353:T353"/>
    <mergeCell ref="U354:V354"/>
    <mergeCell ref="W354:X354"/>
    <mergeCell ref="Y354:Z354"/>
    <mergeCell ref="AA354:AB354"/>
    <mergeCell ref="AC354:AD354"/>
    <mergeCell ref="G354:H354"/>
    <mergeCell ref="I354:J354"/>
    <mergeCell ref="K354:L354"/>
    <mergeCell ref="M354:N354"/>
    <mergeCell ref="O354:P354"/>
    <mergeCell ref="Q354:R354"/>
    <mergeCell ref="S354:T354"/>
    <mergeCell ref="U355:V355"/>
    <mergeCell ref="W355:X355"/>
    <mergeCell ref="Y355:Z355"/>
    <mergeCell ref="AA355:AB355"/>
    <mergeCell ref="AC355:AD355"/>
    <mergeCell ref="G355:H355"/>
    <mergeCell ref="I355:J355"/>
    <mergeCell ref="K355:L355"/>
    <mergeCell ref="M355:N355"/>
    <mergeCell ref="O355:P355"/>
    <mergeCell ref="Q355:R355"/>
    <mergeCell ref="S355:T355"/>
    <mergeCell ref="U356:V356"/>
    <mergeCell ref="W356:X356"/>
    <mergeCell ref="Y356:Z356"/>
    <mergeCell ref="AA356:AB356"/>
    <mergeCell ref="AC356:AD356"/>
    <mergeCell ref="G356:H356"/>
    <mergeCell ref="I356:J356"/>
    <mergeCell ref="K356:L356"/>
    <mergeCell ref="M356:N356"/>
    <mergeCell ref="O356:P356"/>
    <mergeCell ref="Q356:R356"/>
    <mergeCell ref="S356:T356"/>
    <mergeCell ref="U357:V357"/>
    <mergeCell ref="W357:X357"/>
    <mergeCell ref="Y357:Z357"/>
    <mergeCell ref="AA357:AB357"/>
    <mergeCell ref="AC357:AD357"/>
    <mergeCell ref="G357:H357"/>
    <mergeCell ref="I357:J357"/>
    <mergeCell ref="K357:L357"/>
    <mergeCell ref="M357:N357"/>
    <mergeCell ref="O357:P357"/>
    <mergeCell ref="Q357:R357"/>
    <mergeCell ref="S357:T357"/>
    <mergeCell ref="U302:V302"/>
    <mergeCell ref="W302:X302"/>
    <mergeCell ref="Y302:Z302"/>
    <mergeCell ref="AA302:AB302"/>
    <mergeCell ref="AC302:AD302"/>
    <mergeCell ref="G302:H302"/>
    <mergeCell ref="I302:J302"/>
    <mergeCell ref="K302:L302"/>
    <mergeCell ref="M302:N302"/>
    <mergeCell ref="O302:P302"/>
    <mergeCell ref="Q302:R302"/>
    <mergeCell ref="S302:T302"/>
    <mergeCell ref="U303:V303"/>
    <mergeCell ref="W303:X303"/>
    <mergeCell ref="Y303:Z303"/>
    <mergeCell ref="AA303:AB303"/>
    <mergeCell ref="AC303:AD303"/>
    <mergeCell ref="G303:H303"/>
    <mergeCell ref="I303:J303"/>
    <mergeCell ref="K303:L303"/>
    <mergeCell ref="M303:N303"/>
    <mergeCell ref="O303:P303"/>
    <mergeCell ref="Q303:R303"/>
    <mergeCell ref="S303:T303"/>
    <mergeCell ref="U304:V304"/>
    <mergeCell ref="W304:X304"/>
    <mergeCell ref="Y304:Z304"/>
    <mergeCell ref="AA304:AB304"/>
    <mergeCell ref="AC304:AD304"/>
    <mergeCell ref="G304:H304"/>
    <mergeCell ref="I304:J304"/>
    <mergeCell ref="K304:L304"/>
    <mergeCell ref="M304:N304"/>
    <mergeCell ref="O304:P304"/>
    <mergeCell ref="Q304:R304"/>
    <mergeCell ref="S304:T304"/>
    <mergeCell ref="U305:V305"/>
    <mergeCell ref="W305:X305"/>
    <mergeCell ref="Y305:Z305"/>
    <mergeCell ref="AA305:AB305"/>
    <mergeCell ref="AC305:AD305"/>
    <mergeCell ref="G305:H305"/>
    <mergeCell ref="I305:J305"/>
    <mergeCell ref="K305:L305"/>
    <mergeCell ref="M305:N305"/>
    <mergeCell ref="O305:P305"/>
    <mergeCell ref="Q305:R305"/>
    <mergeCell ref="S305:T305"/>
    <mergeCell ref="U306:V306"/>
    <mergeCell ref="W306:X306"/>
    <mergeCell ref="Y306:Z306"/>
    <mergeCell ref="AA306:AB306"/>
    <mergeCell ref="AC306:AD306"/>
    <mergeCell ref="G306:H306"/>
    <mergeCell ref="I306:J306"/>
    <mergeCell ref="K306:L306"/>
    <mergeCell ref="M306:N306"/>
    <mergeCell ref="O306:P306"/>
    <mergeCell ref="Q306:R306"/>
    <mergeCell ref="S306:T306"/>
    <mergeCell ref="U307:V307"/>
    <mergeCell ref="W307:X307"/>
    <mergeCell ref="Y307:Z307"/>
    <mergeCell ref="AA307:AB307"/>
    <mergeCell ref="AC307:AD307"/>
    <mergeCell ref="G307:H307"/>
    <mergeCell ref="I307:J307"/>
    <mergeCell ref="K307:L307"/>
    <mergeCell ref="M307:N307"/>
    <mergeCell ref="O307:P307"/>
    <mergeCell ref="Q307:R307"/>
    <mergeCell ref="S307:T307"/>
    <mergeCell ref="U308:V308"/>
    <mergeCell ref="W308:X308"/>
    <mergeCell ref="Y308:Z308"/>
    <mergeCell ref="AA308:AB308"/>
    <mergeCell ref="AC308:AD308"/>
    <mergeCell ref="G308:H308"/>
    <mergeCell ref="I308:J308"/>
    <mergeCell ref="K308:L308"/>
    <mergeCell ref="M308:N308"/>
    <mergeCell ref="O308:P308"/>
    <mergeCell ref="Q308:R308"/>
    <mergeCell ref="S308:T308"/>
    <mergeCell ref="U309:V309"/>
    <mergeCell ref="W309:X309"/>
    <mergeCell ref="Y309:Z309"/>
    <mergeCell ref="AA309:AB309"/>
    <mergeCell ref="AC309:AD309"/>
    <mergeCell ref="G309:H309"/>
    <mergeCell ref="I309:J309"/>
    <mergeCell ref="K309:L309"/>
    <mergeCell ref="M309:N309"/>
    <mergeCell ref="O309:P309"/>
    <mergeCell ref="Q309:R309"/>
    <mergeCell ref="S309:T309"/>
    <mergeCell ref="U310:V310"/>
    <mergeCell ref="W310:X310"/>
    <mergeCell ref="Y310:Z310"/>
    <mergeCell ref="AA310:AB310"/>
    <mergeCell ref="AC310:AD310"/>
    <mergeCell ref="G310:H310"/>
    <mergeCell ref="I310:J310"/>
    <mergeCell ref="K310:L310"/>
    <mergeCell ref="M310:N310"/>
    <mergeCell ref="O310:P310"/>
    <mergeCell ref="Q310:R310"/>
    <mergeCell ref="S310:T310"/>
    <mergeCell ref="U311:V311"/>
    <mergeCell ref="W311:X311"/>
    <mergeCell ref="Y311:Z311"/>
    <mergeCell ref="AA311:AB311"/>
    <mergeCell ref="AC311:AD311"/>
    <mergeCell ref="G311:H311"/>
    <mergeCell ref="I311:J311"/>
    <mergeCell ref="K311:L311"/>
    <mergeCell ref="M311:N311"/>
    <mergeCell ref="O311:P311"/>
    <mergeCell ref="Q311:R311"/>
    <mergeCell ref="S311:T311"/>
    <mergeCell ref="U312:V312"/>
    <mergeCell ref="W312:X312"/>
    <mergeCell ref="Y312:Z312"/>
    <mergeCell ref="AA312:AB312"/>
    <mergeCell ref="AC312:AD312"/>
    <mergeCell ref="G312:H312"/>
    <mergeCell ref="I312:J312"/>
    <mergeCell ref="K312:L312"/>
    <mergeCell ref="M312:N312"/>
    <mergeCell ref="O312:P312"/>
    <mergeCell ref="Q312:R312"/>
    <mergeCell ref="S312:T312"/>
    <mergeCell ref="U313:V313"/>
    <mergeCell ref="W313:X313"/>
    <mergeCell ref="Y313:Z313"/>
    <mergeCell ref="AA313:AB313"/>
    <mergeCell ref="AC313:AD313"/>
    <mergeCell ref="G313:H313"/>
    <mergeCell ref="I313:J313"/>
    <mergeCell ref="K313:L313"/>
    <mergeCell ref="M313:N313"/>
    <mergeCell ref="O313:P313"/>
    <mergeCell ref="Q313:R313"/>
    <mergeCell ref="S313:T313"/>
    <mergeCell ref="U314:V314"/>
    <mergeCell ref="W314:X314"/>
    <mergeCell ref="Y314:Z314"/>
    <mergeCell ref="AA314:AB314"/>
    <mergeCell ref="AC314:AD314"/>
    <mergeCell ref="G314:H314"/>
    <mergeCell ref="I314:J314"/>
    <mergeCell ref="K314:L314"/>
    <mergeCell ref="M314:N314"/>
    <mergeCell ref="O314:P314"/>
    <mergeCell ref="Q314:R314"/>
    <mergeCell ref="S314:T314"/>
    <mergeCell ref="U315:V315"/>
    <mergeCell ref="W315:X315"/>
    <mergeCell ref="Y315:Z315"/>
    <mergeCell ref="AA315:AB315"/>
    <mergeCell ref="AC315:AD315"/>
    <mergeCell ref="G315:H315"/>
    <mergeCell ref="I315:J315"/>
    <mergeCell ref="K315:L315"/>
    <mergeCell ref="M315:N315"/>
    <mergeCell ref="O315:P315"/>
    <mergeCell ref="Q315:R315"/>
    <mergeCell ref="S315:T315"/>
    <mergeCell ref="U316:V316"/>
    <mergeCell ref="W316:X316"/>
    <mergeCell ref="Y316:Z316"/>
    <mergeCell ref="AA316:AB316"/>
    <mergeCell ref="AC316:AD316"/>
    <mergeCell ref="G316:H316"/>
    <mergeCell ref="I316:J316"/>
    <mergeCell ref="K316:L316"/>
    <mergeCell ref="M316:N316"/>
    <mergeCell ref="O316:P316"/>
    <mergeCell ref="Q316:R316"/>
    <mergeCell ref="S316:T316"/>
    <mergeCell ref="U317:V317"/>
    <mergeCell ref="W317:X317"/>
    <mergeCell ref="Y317:Z317"/>
    <mergeCell ref="AA317:AB317"/>
    <mergeCell ref="AC317:AD317"/>
    <mergeCell ref="G317:H317"/>
    <mergeCell ref="I317:J317"/>
    <mergeCell ref="K317:L317"/>
    <mergeCell ref="M317:N317"/>
    <mergeCell ref="O317:P317"/>
    <mergeCell ref="Q317:R317"/>
    <mergeCell ref="S317:T317"/>
    <mergeCell ref="U318:V318"/>
    <mergeCell ref="W318:X318"/>
    <mergeCell ref="Y318:Z318"/>
    <mergeCell ref="AA318:AB318"/>
    <mergeCell ref="AC318:AD318"/>
    <mergeCell ref="G318:H318"/>
    <mergeCell ref="I318:J318"/>
    <mergeCell ref="K318:L318"/>
    <mergeCell ref="M318:N318"/>
    <mergeCell ref="O318:P318"/>
    <mergeCell ref="Q318:R318"/>
    <mergeCell ref="S318:T318"/>
    <mergeCell ref="U319:V319"/>
    <mergeCell ref="W319:X319"/>
    <mergeCell ref="Y319:Z319"/>
    <mergeCell ref="AA319:AB319"/>
    <mergeCell ref="AC319:AD319"/>
    <mergeCell ref="G319:H319"/>
    <mergeCell ref="I319:J319"/>
    <mergeCell ref="K319:L319"/>
    <mergeCell ref="M319:N319"/>
    <mergeCell ref="O319:P319"/>
    <mergeCell ref="Q319:R319"/>
    <mergeCell ref="S319:T319"/>
    <mergeCell ref="U320:V320"/>
    <mergeCell ref="W320:X320"/>
    <mergeCell ref="Y320:Z320"/>
    <mergeCell ref="AA320:AB320"/>
    <mergeCell ref="AC320:AD320"/>
    <mergeCell ref="G320:H320"/>
    <mergeCell ref="I320:J320"/>
    <mergeCell ref="K320:L320"/>
    <mergeCell ref="M320:N320"/>
    <mergeCell ref="O320:P320"/>
    <mergeCell ref="Q320:R320"/>
    <mergeCell ref="S320:T320"/>
    <mergeCell ref="U321:V321"/>
    <mergeCell ref="W321:X321"/>
    <mergeCell ref="Y321:Z321"/>
    <mergeCell ref="AA321:AB321"/>
    <mergeCell ref="AC321:AD321"/>
    <mergeCell ref="G321:H321"/>
    <mergeCell ref="I321:J321"/>
    <mergeCell ref="K321:L321"/>
    <mergeCell ref="M321:N321"/>
    <mergeCell ref="O321:P321"/>
    <mergeCell ref="Q321:R321"/>
    <mergeCell ref="S321:T321"/>
    <mergeCell ref="U322:V322"/>
    <mergeCell ref="W322:X322"/>
    <mergeCell ref="Y322:Z322"/>
    <mergeCell ref="AA322:AB322"/>
    <mergeCell ref="AC322:AD322"/>
    <mergeCell ref="G322:H322"/>
    <mergeCell ref="I322:J322"/>
    <mergeCell ref="K322:L322"/>
    <mergeCell ref="M322:N322"/>
    <mergeCell ref="O322:P322"/>
    <mergeCell ref="Q322:R322"/>
    <mergeCell ref="S322:T322"/>
    <mergeCell ref="U323:V323"/>
    <mergeCell ref="W323:X323"/>
    <mergeCell ref="Y323:Z323"/>
    <mergeCell ref="AA323:AB323"/>
    <mergeCell ref="AC323:AD323"/>
    <mergeCell ref="G323:H323"/>
    <mergeCell ref="I323:J323"/>
    <mergeCell ref="K323:L323"/>
    <mergeCell ref="M323:N323"/>
    <mergeCell ref="O323:P323"/>
    <mergeCell ref="Q323:R323"/>
    <mergeCell ref="S323:T323"/>
    <mergeCell ref="U324:V324"/>
    <mergeCell ref="W324:X324"/>
    <mergeCell ref="Y324:Z324"/>
    <mergeCell ref="AA324:AB324"/>
    <mergeCell ref="AC324:AD324"/>
    <mergeCell ref="G324:H324"/>
    <mergeCell ref="I324:J324"/>
    <mergeCell ref="K324:L324"/>
    <mergeCell ref="M324:N324"/>
    <mergeCell ref="O324:P324"/>
    <mergeCell ref="Q324:R324"/>
    <mergeCell ref="S324:T324"/>
    <mergeCell ref="U325:V325"/>
    <mergeCell ref="W325:X325"/>
    <mergeCell ref="Y325:Z325"/>
    <mergeCell ref="AA325:AB325"/>
    <mergeCell ref="AC325:AD325"/>
    <mergeCell ref="G325:H325"/>
    <mergeCell ref="I325:J325"/>
    <mergeCell ref="K325:L325"/>
    <mergeCell ref="M325:N325"/>
    <mergeCell ref="O325:P325"/>
    <mergeCell ref="Q325:R325"/>
    <mergeCell ref="S325:T325"/>
    <mergeCell ref="U326:V326"/>
    <mergeCell ref="W326:X326"/>
    <mergeCell ref="Y326:Z326"/>
    <mergeCell ref="AA326:AB326"/>
    <mergeCell ref="AC326:AD326"/>
    <mergeCell ref="G326:H326"/>
    <mergeCell ref="I326:J326"/>
    <mergeCell ref="K326:L326"/>
    <mergeCell ref="M326:N326"/>
    <mergeCell ref="O326:P326"/>
    <mergeCell ref="Q326:R326"/>
    <mergeCell ref="S326:T326"/>
    <mergeCell ref="U327:V327"/>
    <mergeCell ref="W327:X327"/>
    <mergeCell ref="Y327:Z327"/>
    <mergeCell ref="AA327:AB327"/>
    <mergeCell ref="AC327:AD327"/>
    <mergeCell ref="G327:H327"/>
    <mergeCell ref="I327:J327"/>
    <mergeCell ref="K327:L327"/>
    <mergeCell ref="M327:N327"/>
    <mergeCell ref="O327:P327"/>
    <mergeCell ref="Q327:R327"/>
    <mergeCell ref="S327:T327"/>
    <mergeCell ref="U328:V328"/>
    <mergeCell ref="W328:X328"/>
    <mergeCell ref="Y328:Z328"/>
    <mergeCell ref="AA328:AB328"/>
    <mergeCell ref="AC328:AD328"/>
    <mergeCell ref="G328:H328"/>
    <mergeCell ref="I328:J328"/>
    <mergeCell ref="K328:L328"/>
    <mergeCell ref="M328:N328"/>
    <mergeCell ref="O328:P328"/>
    <mergeCell ref="Q328:R328"/>
    <mergeCell ref="S328:T328"/>
    <mergeCell ref="U329:V329"/>
    <mergeCell ref="W329:X329"/>
    <mergeCell ref="Y329:Z329"/>
    <mergeCell ref="AA329:AB329"/>
    <mergeCell ref="AC329:AD329"/>
    <mergeCell ref="G329:H329"/>
    <mergeCell ref="I329:J329"/>
    <mergeCell ref="K329:L329"/>
    <mergeCell ref="M329:N329"/>
    <mergeCell ref="O329:P329"/>
    <mergeCell ref="Q329:R329"/>
    <mergeCell ref="S329:T329"/>
    <mergeCell ref="U330:V330"/>
    <mergeCell ref="W330:X330"/>
    <mergeCell ref="Y330:Z330"/>
    <mergeCell ref="AA330:AB330"/>
    <mergeCell ref="AC330:AD330"/>
    <mergeCell ref="G330:H330"/>
    <mergeCell ref="I330:J330"/>
    <mergeCell ref="K330:L330"/>
    <mergeCell ref="M330:N330"/>
    <mergeCell ref="O330:P330"/>
    <mergeCell ref="Q330:R330"/>
    <mergeCell ref="S330:T330"/>
    <mergeCell ref="U331:V331"/>
    <mergeCell ref="W331:X331"/>
    <mergeCell ref="Y331:Z331"/>
    <mergeCell ref="AA331:AB331"/>
    <mergeCell ref="AC331:AD331"/>
    <mergeCell ref="G331:H331"/>
    <mergeCell ref="I331:J331"/>
    <mergeCell ref="K331:L331"/>
    <mergeCell ref="M331:N331"/>
    <mergeCell ref="O331:P331"/>
    <mergeCell ref="Q331:R331"/>
    <mergeCell ref="S331:T331"/>
    <mergeCell ref="U332:V332"/>
    <mergeCell ref="W332:X332"/>
    <mergeCell ref="Y332:Z332"/>
    <mergeCell ref="AA332:AB332"/>
    <mergeCell ref="AC332:AD332"/>
    <mergeCell ref="G332:H332"/>
    <mergeCell ref="I332:J332"/>
    <mergeCell ref="K332:L332"/>
    <mergeCell ref="M332:N332"/>
    <mergeCell ref="O332:P332"/>
    <mergeCell ref="Q332:R332"/>
    <mergeCell ref="S332:T332"/>
    <mergeCell ref="U333:V333"/>
    <mergeCell ref="W333:X333"/>
    <mergeCell ref="Y333:Z333"/>
    <mergeCell ref="AA333:AB333"/>
    <mergeCell ref="AC333:AD333"/>
    <mergeCell ref="G333:H333"/>
    <mergeCell ref="I333:J333"/>
    <mergeCell ref="K333:L333"/>
    <mergeCell ref="M333:N333"/>
    <mergeCell ref="O333:P333"/>
    <mergeCell ref="Q333:R333"/>
    <mergeCell ref="S333:T333"/>
    <mergeCell ref="U334:V334"/>
    <mergeCell ref="W334:X334"/>
    <mergeCell ref="Y334:Z334"/>
    <mergeCell ref="AA334:AB334"/>
    <mergeCell ref="AC334:AD334"/>
    <mergeCell ref="G334:H334"/>
    <mergeCell ref="I334:J334"/>
    <mergeCell ref="K334:L334"/>
    <mergeCell ref="M334:N334"/>
    <mergeCell ref="O334:P334"/>
    <mergeCell ref="Q334:R334"/>
    <mergeCell ref="S334:T334"/>
    <mergeCell ref="U335:V335"/>
    <mergeCell ref="W335:X335"/>
    <mergeCell ref="Y335:Z335"/>
    <mergeCell ref="AA335:AB335"/>
    <mergeCell ref="AC335:AD335"/>
    <mergeCell ref="G335:H335"/>
    <mergeCell ref="I335:J335"/>
    <mergeCell ref="K335:L335"/>
    <mergeCell ref="M335:N335"/>
    <mergeCell ref="O335:P335"/>
    <mergeCell ref="Q335:R335"/>
    <mergeCell ref="S335:T335"/>
    <mergeCell ref="U336:V336"/>
    <mergeCell ref="W336:X336"/>
    <mergeCell ref="Y336:Z336"/>
    <mergeCell ref="AA336:AB336"/>
    <mergeCell ref="AC336:AD336"/>
    <mergeCell ref="G336:H336"/>
    <mergeCell ref="I336:J336"/>
    <mergeCell ref="K336:L336"/>
    <mergeCell ref="M336:N336"/>
    <mergeCell ref="O336:P336"/>
    <mergeCell ref="Q336:R336"/>
    <mergeCell ref="S336:T336"/>
    <mergeCell ref="U337:V337"/>
    <mergeCell ref="W337:X337"/>
    <mergeCell ref="Y337:Z337"/>
    <mergeCell ref="AA337:AB337"/>
    <mergeCell ref="AC337:AD337"/>
    <mergeCell ref="G337:H337"/>
    <mergeCell ref="I337:J337"/>
    <mergeCell ref="K337:L337"/>
    <mergeCell ref="M337:N337"/>
    <mergeCell ref="O337:P337"/>
    <mergeCell ref="Q337:R337"/>
    <mergeCell ref="S337:T337"/>
    <mergeCell ref="U338:V338"/>
    <mergeCell ref="W338:X338"/>
    <mergeCell ref="Y338:Z338"/>
    <mergeCell ref="AA338:AB338"/>
    <mergeCell ref="AC338:AD338"/>
    <mergeCell ref="G338:H338"/>
    <mergeCell ref="I338:J338"/>
    <mergeCell ref="K338:L338"/>
    <mergeCell ref="M338:N338"/>
    <mergeCell ref="O338:P338"/>
    <mergeCell ref="Q338:R338"/>
    <mergeCell ref="S338:T338"/>
    <mergeCell ref="U339:V339"/>
    <mergeCell ref="W339:X339"/>
    <mergeCell ref="Y339:Z339"/>
    <mergeCell ref="AA339:AB339"/>
    <mergeCell ref="AC339:AD339"/>
    <mergeCell ref="G339:H339"/>
    <mergeCell ref="I339:J339"/>
    <mergeCell ref="K339:L339"/>
    <mergeCell ref="M339:N339"/>
    <mergeCell ref="O339:P339"/>
    <mergeCell ref="Q339:R339"/>
    <mergeCell ref="S339:T339"/>
    <mergeCell ref="U340:V340"/>
    <mergeCell ref="W340:X340"/>
    <mergeCell ref="Y340:Z340"/>
    <mergeCell ref="AA340:AB340"/>
    <mergeCell ref="AC340:AD340"/>
    <mergeCell ref="G340:H340"/>
    <mergeCell ref="I340:J340"/>
    <mergeCell ref="K340:L340"/>
    <mergeCell ref="M340:N340"/>
    <mergeCell ref="O340:P340"/>
    <mergeCell ref="Q340:R340"/>
    <mergeCell ref="S340:T340"/>
    <mergeCell ref="U341:V341"/>
    <mergeCell ref="W341:X341"/>
    <mergeCell ref="Y341:Z341"/>
    <mergeCell ref="AA341:AB341"/>
    <mergeCell ref="AC341:AD341"/>
    <mergeCell ref="G341:H341"/>
    <mergeCell ref="I341:J341"/>
    <mergeCell ref="K341:L341"/>
    <mergeCell ref="M341:N341"/>
    <mergeCell ref="O341:P341"/>
    <mergeCell ref="Q341:R341"/>
    <mergeCell ref="S341:T341"/>
    <mergeCell ref="U342:V342"/>
    <mergeCell ref="W342:X342"/>
    <mergeCell ref="Y342:Z342"/>
    <mergeCell ref="AA342:AB342"/>
    <mergeCell ref="AC342:AD342"/>
    <mergeCell ref="G342:H342"/>
    <mergeCell ref="I342:J342"/>
    <mergeCell ref="K342:L342"/>
    <mergeCell ref="M342:N342"/>
    <mergeCell ref="O342:P342"/>
    <mergeCell ref="Q342:R342"/>
    <mergeCell ref="S342:T342"/>
    <mergeCell ref="U343:V343"/>
    <mergeCell ref="W343:X343"/>
    <mergeCell ref="Y343:Z343"/>
    <mergeCell ref="AA343:AB343"/>
    <mergeCell ref="AC343:AD343"/>
    <mergeCell ref="G343:H343"/>
    <mergeCell ref="I343:J343"/>
    <mergeCell ref="K343:L343"/>
    <mergeCell ref="M343:N343"/>
    <mergeCell ref="O343:P343"/>
    <mergeCell ref="Q343:R343"/>
    <mergeCell ref="S343:T343"/>
    <mergeCell ref="U344:V344"/>
    <mergeCell ref="W344:X344"/>
    <mergeCell ref="Y344:Z344"/>
    <mergeCell ref="AA344:AB344"/>
    <mergeCell ref="AC344:AD344"/>
    <mergeCell ref="G344:H344"/>
    <mergeCell ref="I344:J344"/>
    <mergeCell ref="K344:L344"/>
    <mergeCell ref="M344:N344"/>
    <mergeCell ref="O344:P344"/>
    <mergeCell ref="Q344:R344"/>
    <mergeCell ref="S344:T344"/>
    <mergeCell ref="U345:V345"/>
    <mergeCell ref="W345:X345"/>
    <mergeCell ref="Y345:Z345"/>
    <mergeCell ref="AA345:AB345"/>
    <mergeCell ref="AC345:AD345"/>
    <mergeCell ref="G345:H345"/>
    <mergeCell ref="I345:J345"/>
    <mergeCell ref="K345:L345"/>
    <mergeCell ref="M345:N345"/>
    <mergeCell ref="O345:P345"/>
    <mergeCell ref="Q345:R345"/>
    <mergeCell ref="S345:T345"/>
    <mergeCell ref="U346:V346"/>
    <mergeCell ref="W346:X346"/>
    <mergeCell ref="Y346:Z346"/>
    <mergeCell ref="AA346:AB346"/>
    <mergeCell ref="AC346:AD346"/>
    <mergeCell ref="G346:H346"/>
    <mergeCell ref="I346:J346"/>
    <mergeCell ref="K346:L346"/>
    <mergeCell ref="M346:N346"/>
    <mergeCell ref="O346:P346"/>
    <mergeCell ref="Q346:R346"/>
    <mergeCell ref="S346:T346"/>
    <mergeCell ref="U347:V347"/>
    <mergeCell ref="W347:X347"/>
    <mergeCell ref="Y347:Z347"/>
    <mergeCell ref="AA347:AB347"/>
    <mergeCell ref="AC347:AD347"/>
    <mergeCell ref="G347:H347"/>
    <mergeCell ref="I347:J347"/>
    <mergeCell ref="K347:L347"/>
    <mergeCell ref="M347:N347"/>
    <mergeCell ref="O347:P347"/>
    <mergeCell ref="Q347:R347"/>
    <mergeCell ref="S347:T347"/>
    <mergeCell ref="U348:V348"/>
    <mergeCell ref="W348:X348"/>
    <mergeCell ref="Y348:Z348"/>
    <mergeCell ref="AA348:AB348"/>
    <mergeCell ref="AC348:AD348"/>
    <mergeCell ref="G348:H348"/>
    <mergeCell ref="I348:J348"/>
    <mergeCell ref="K348:L348"/>
    <mergeCell ref="M348:N348"/>
    <mergeCell ref="O348:P348"/>
    <mergeCell ref="Q348:R348"/>
    <mergeCell ref="S348:T348"/>
    <mergeCell ref="U349:V349"/>
    <mergeCell ref="W349:X349"/>
    <mergeCell ref="Y349:Z349"/>
    <mergeCell ref="AA349:AB349"/>
    <mergeCell ref="AC349:AD349"/>
    <mergeCell ref="G349:H349"/>
    <mergeCell ref="I349:J349"/>
    <mergeCell ref="K349:L349"/>
    <mergeCell ref="M349:N349"/>
    <mergeCell ref="O349:P349"/>
    <mergeCell ref="Q349:R349"/>
    <mergeCell ref="S349:T349"/>
    <mergeCell ref="U350:V350"/>
    <mergeCell ref="W350:X350"/>
    <mergeCell ref="Y350:Z350"/>
    <mergeCell ref="AA350:AB350"/>
    <mergeCell ref="AC350:AD350"/>
    <mergeCell ref="G350:H350"/>
    <mergeCell ref="I350:J350"/>
    <mergeCell ref="K350:L350"/>
    <mergeCell ref="M350:N350"/>
    <mergeCell ref="O350:P350"/>
    <mergeCell ref="Q350:R350"/>
    <mergeCell ref="S350:T3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2023-12-15T15:14:56Z</dcterms:created>
  <dc:creator>Joseph Lessard</dc:creator>
</cp:coreProperties>
</file>